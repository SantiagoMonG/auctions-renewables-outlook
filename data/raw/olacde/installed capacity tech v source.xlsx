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smonroy_iadb_org/Documents/BID - Repository/Research/Auctions/data/raw/olacde/"/>
    </mc:Choice>
  </mc:AlternateContent>
  <xr:revisionPtr revIDLastSave="0" documentId="8_{F4561B41-C125-4CFC-816B-D66C131365D4}" xr6:coauthVersionLast="47" xr6:coauthVersionMax="47" xr10:uidLastSave="{00000000-0000-0000-0000-000000000000}"/>
  <bookViews>
    <workbookView xWindow="-51720" yWindow="-7050" windowWidth="51840" windowHeight="21120" xr2:uid="{40E4403C-8229-4839-82CA-92C636A6DA2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3" l="1"/>
  <c r="Z7" i="3"/>
  <c r="T6" i="3"/>
  <c r="T7" i="3"/>
  <c r="N6" i="3"/>
  <c r="N7" i="3"/>
  <c r="Z5" i="3"/>
  <c r="T5" i="3"/>
  <c r="N5" i="3"/>
  <c r="K16" i="1"/>
  <c r="K15" i="1"/>
  <c r="K14" i="1"/>
  <c r="K13" i="1"/>
  <c r="K12" i="1"/>
  <c r="K11" i="1"/>
  <c r="K10" i="1"/>
  <c r="K9" i="1"/>
  <c r="K8" i="1"/>
  <c r="K7" i="1"/>
  <c r="K6" i="1"/>
  <c r="C49" i="2"/>
  <c r="C50" i="2"/>
  <c r="C51" i="2"/>
  <c r="C52" i="2"/>
  <c r="C53" i="2"/>
  <c r="C54" i="2"/>
  <c r="C55" i="2"/>
  <c r="C56" i="2"/>
  <c r="C48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</calcChain>
</file>

<file path=xl/sharedStrings.xml><?xml version="1.0" encoding="utf-8"?>
<sst xmlns="http://schemas.openxmlformats.org/spreadsheetml/2006/main" count="20" uniqueCount="16">
  <si>
    <t>Year</t>
  </si>
  <si>
    <t>LAC Final Consumption</t>
  </si>
  <si>
    <t>LAC Final Consumption Absolute changes</t>
  </si>
  <si>
    <t>1970s</t>
  </si>
  <si>
    <t>1980s</t>
  </si>
  <si>
    <t>1990s</t>
  </si>
  <si>
    <t>2000s</t>
  </si>
  <si>
    <t>2010s</t>
  </si>
  <si>
    <t>2021-2024</t>
  </si>
  <si>
    <t>Decade</t>
  </si>
  <si>
    <t>Installed Capacity by Source Total</t>
  </si>
  <si>
    <t>Installed Capacity by Technology Total</t>
  </si>
  <si>
    <t>Source</t>
  </si>
  <si>
    <t>Non-renewable thermal</t>
  </si>
  <si>
    <t>Hydro</t>
  </si>
  <si>
    <t>Wind +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</si>
</sst>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 applyAlignment="1">
      <alignment horizontal="right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27</xdr:col>
      <xdr:colOff>323850</xdr:colOff>
      <xdr:row>43</xdr:row>
      <xdr:rowOff>0</xdr:rowOff>
    </xdr:to>
    <xdr:sp macro="" textlink="">
      <xdr:nvSpPr>
        <xdr:cNvPr id="1025" name="AutoShape 1" descr="Imagen de salida">
          <a:extLst>
            <a:ext uri="{FF2B5EF4-FFF2-40B4-BE49-F238E27FC236}">
              <a16:creationId xmlns:a16="http://schemas.microsoft.com/office/drawing/2014/main" id="{1971DADC-4700-579D-6438-5072D6866D3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130550"/>
          <a:ext cx="9467850" cy="478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16</xdr:row>
      <xdr:rowOff>0</xdr:rowOff>
    </xdr:from>
    <xdr:to>
      <xdr:col>27</xdr:col>
      <xdr:colOff>323850</xdr:colOff>
      <xdr:row>42</xdr:row>
      <xdr:rowOff>0</xdr:rowOff>
    </xdr:to>
    <xdr:sp macro="" textlink="">
      <xdr:nvSpPr>
        <xdr:cNvPr id="1026" name="AutoShape 2" descr="Imagen de salida">
          <a:extLst>
            <a:ext uri="{FF2B5EF4-FFF2-40B4-BE49-F238E27FC236}">
              <a16:creationId xmlns:a16="http://schemas.microsoft.com/office/drawing/2014/main" id="{51FDA30E-D5AD-B9BC-157F-0AFB58AB81D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2946400"/>
          <a:ext cx="9467850" cy="478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DEC9-4805-4F0E-BCC3-18EE58163442}">
  <dimension ref="A1:K56"/>
  <sheetViews>
    <sheetView tabSelected="1" workbookViewId="0">
      <selection activeCell="C52" sqref="C52:C56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t="s">
        <v>2</v>
      </c>
    </row>
    <row r="2" spans="1:11" x14ac:dyDescent="0.35">
      <c r="A2" s="2">
        <v>1970</v>
      </c>
      <c r="B2">
        <v>120.95197</v>
      </c>
    </row>
    <row r="3" spans="1:11" x14ac:dyDescent="0.35">
      <c r="A3" s="2">
        <v>1971</v>
      </c>
      <c r="B3">
        <v>132.60623000000001</v>
      </c>
      <c r="C3">
        <v>11654.260000000009</v>
      </c>
    </row>
    <row r="4" spans="1:11" x14ac:dyDescent="0.35">
      <c r="A4" s="2">
        <v>1972</v>
      </c>
      <c r="B4">
        <v>146.57814000000002</v>
      </c>
      <c r="C4">
        <v>13971.910000000003</v>
      </c>
      <c r="E4" t="s">
        <v>9</v>
      </c>
      <c r="F4" t="s">
        <v>2</v>
      </c>
    </row>
    <row r="5" spans="1:11" x14ac:dyDescent="0.35">
      <c r="A5" s="2">
        <v>1973</v>
      </c>
      <c r="B5">
        <v>160.67084</v>
      </c>
      <c r="C5">
        <v>14092.699999999983</v>
      </c>
      <c r="E5" t="s">
        <v>3</v>
      </c>
      <c r="F5" s="4">
        <v>17.084497777777777</v>
      </c>
      <c r="G5" s="4"/>
      <c r="J5" s="1" t="s">
        <v>0</v>
      </c>
      <c r="K5" s="1" t="s">
        <v>1</v>
      </c>
    </row>
    <row r="6" spans="1:11" x14ac:dyDescent="0.35">
      <c r="A6" s="2">
        <v>1974</v>
      </c>
      <c r="B6">
        <v>175.53242</v>
      </c>
      <c r="C6">
        <v>14861.580000000016</v>
      </c>
      <c r="E6" t="s">
        <v>4</v>
      </c>
      <c r="F6" s="4">
        <v>19.890549</v>
      </c>
      <c r="G6" s="4"/>
      <c r="J6">
        <v>1970</v>
      </c>
      <c r="K6">
        <f>AVERAGE(C3:C6)</f>
        <v>13645.112500000003</v>
      </c>
    </row>
    <row r="7" spans="1:11" x14ac:dyDescent="0.35">
      <c r="A7" s="2">
        <v>1975</v>
      </c>
      <c r="B7">
        <v>187.05509000000001</v>
      </c>
      <c r="C7">
        <v>11522.669999999984</v>
      </c>
      <c r="E7" t="s">
        <v>5</v>
      </c>
      <c r="F7" s="4">
        <v>26.424218</v>
      </c>
      <c r="G7" s="4"/>
      <c r="J7">
        <v>1975</v>
      </c>
      <c r="K7">
        <f>AVERAGE(C7:C11)</f>
        <v>19836.006000000001</v>
      </c>
    </row>
    <row r="8" spans="1:11" x14ac:dyDescent="0.35">
      <c r="A8" s="2">
        <v>1976</v>
      </c>
      <c r="B8">
        <v>205.08530999999999</v>
      </c>
      <c r="C8">
        <v>18030.22</v>
      </c>
      <c r="E8" t="s">
        <v>6</v>
      </c>
      <c r="F8" s="4">
        <v>30.974866000000002</v>
      </c>
      <c r="G8" s="4"/>
      <c r="J8">
        <v>1980</v>
      </c>
      <c r="K8">
        <f>AVERAGE(C12:C16)</f>
        <v>18963.498</v>
      </c>
    </row>
    <row r="9" spans="1:11" x14ac:dyDescent="0.35">
      <c r="A9" s="2">
        <v>1977</v>
      </c>
      <c r="B9">
        <v>224.95295000000002</v>
      </c>
      <c r="C9">
        <v>19867.640000000014</v>
      </c>
      <c r="E9" t="s">
        <v>7</v>
      </c>
      <c r="F9" s="4">
        <v>27.610532000000006</v>
      </c>
      <c r="G9" s="4"/>
      <c r="J9">
        <v>1985</v>
      </c>
      <c r="K9">
        <f>AVERAGE(C17:C21)</f>
        <v>20817.599999999999</v>
      </c>
    </row>
    <row r="10" spans="1:11" x14ac:dyDescent="0.35">
      <c r="A10" s="2">
        <v>1978</v>
      </c>
      <c r="B10">
        <v>245.96014000000002</v>
      </c>
      <c r="C10">
        <v>21007.190000000002</v>
      </c>
      <c r="E10" t="s">
        <v>8</v>
      </c>
      <c r="F10" s="4">
        <v>43.327633999999982</v>
      </c>
      <c r="G10" s="4"/>
      <c r="J10">
        <v>1990</v>
      </c>
      <c r="K10">
        <f>AVERAGE(C22:C26)</f>
        <v>20815.748000000011</v>
      </c>
    </row>
    <row r="11" spans="1:11" x14ac:dyDescent="0.35">
      <c r="A11" s="2">
        <v>1979</v>
      </c>
      <c r="B11">
        <v>274.71244999999999</v>
      </c>
      <c r="C11">
        <v>28752.309999999998</v>
      </c>
      <c r="J11">
        <v>1995</v>
      </c>
      <c r="K11">
        <f>AVERAGE(C27:C31)</f>
        <v>32032.687999999987</v>
      </c>
    </row>
    <row r="12" spans="1:11" x14ac:dyDescent="0.35">
      <c r="A12" s="2">
        <v>1980</v>
      </c>
      <c r="B12">
        <v>297.84904</v>
      </c>
      <c r="C12">
        <v>23136.589999999967</v>
      </c>
      <c r="J12">
        <v>2000</v>
      </c>
      <c r="K12">
        <f>AVERAGE(C32:C36)</f>
        <v>28076.626</v>
      </c>
    </row>
    <row r="13" spans="1:11" x14ac:dyDescent="0.35">
      <c r="A13" s="2">
        <v>1981</v>
      </c>
      <c r="B13">
        <v>311.57009000000005</v>
      </c>
      <c r="C13">
        <v>13721.050000000047</v>
      </c>
      <c r="J13">
        <v>2005</v>
      </c>
      <c r="K13">
        <f>AVERAGE(C37:C41)</f>
        <v>33873.106000000007</v>
      </c>
    </row>
    <row r="14" spans="1:11" x14ac:dyDescent="0.35">
      <c r="A14" s="2">
        <v>1982</v>
      </c>
      <c r="B14">
        <v>324.98513000000003</v>
      </c>
      <c r="C14">
        <v>13415.039999999979</v>
      </c>
      <c r="J14">
        <v>2010</v>
      </c>
      <c r="K14">
        <f>AVERAGE(C42:C46)</f>
        <v>40807.597999999998</v>
      </c>
    </row>
    <row r="15" spans="1:11" x14ac:dyDescent="0.35">
      <c r="A15" s="2">
        <v>1983</v>
      </c>
      <c r="B15">
        <v>341.50484</v>
      </c>
      <c r="C15">
        <v>16519.710000000021</v>
      </c>
      <c r="J15">
        <v>2015</v>
      </c>
      <c r="K15">
        <f>AVERAGE(C47:C51)</f>
        <v>14413.466000000015</v>
      </c>
    </row>
    <row r="16" spans="1:11" x14ac:dyDescent="0.35">
      <c r="A16" s="2">
        <v>1984</v>
      </c>
      <c r="B16">
        <v>369.52994000000001</v>
      </c>
      <c r="C16">
        <v>28025.099999999977</v>
      </c>
      <c r="J16">
        <v>2020</v>
      </c>
      <c r="K16">
        <f>AVERAGE(C52:C56)</f>
        <v>43327.633999999984</v>
      </c>
    </row>
    <row r="17" spans="1:3" x14ac:dyDescent="0.35">
      <c r="A17" s="1">
        <v>1985</v>
      </c>
      <c r="B17">
        <v>390.43198999999998</v>
      </c>
      <c r="C17">
        <v>20902.049999999988</v>
      </c>
    </row>
    <row r="18" spans="1:3" x14ac:dyDescent="0.35">
      <c r="A18" s="1">
        <v>1986</v>
      </c>
      <c r="B18">
        <v>413.35284999999999</v>
      </c>
      <c r="C18">
        <v>22920.859999999986</v>
      </c>
    </row>
    <row r="19" spans="1:3" x14ac:dyDescent="0.35">
      <c r="A19" s="1">
        <v>1987</v>
      </c>
      <c r="B19">
        <v>436.36363</v>
      </c>
      <c r="C19">
        <v>23010.780000000028</v>
      </c>
    </row>
    <row r="20" spans="1:3" x14ac:dyDescent="0.35">
      <c r="A20" s="1">
        <v>1988</v>
      </c>
      <c r="B20">
        <v>458.58305999999999</v>
      </c>
      <c r="C20">
        <v>22219.429999999993</v>
      </c>
    </row>
    <row r="21" spans="1:3" x14ac:dyDescent="0.35">
      <c r="A21" s="1">
        <v>1989</v>
      </c>
      <c r="B21">
        <v>473.61793999999998</v>
      </c>
      <c r="C21">
        <v>15034.880000000005</v>
      </c>
    </row>
    <row r="22" spans="1:3" x14ac:dyDescent="0.35">
      <c r="A22" s="1">
        <v>1990</v>
      </c>
      <c r="B22">
        <v>489.00006999999999</v>
      </c>
      <c r="C22">
        <v>15382.130000000005</v>
      </c>
    </row>
    <row r="23" spans="1:3" x14ac:dyDescent="0.35">
      <c r="A23" s="1">
        <v>1991</v>
      </c>
      <c r="B23">
        <v>506.416</v>
      </c>
      <c r="C23">
        <v>17415.929999999993</v>
      </c>
    </row>
    <row r="24" spans="1:3" x14ac:dyDescent="0.35">
      <c r="A24" s="1">
        <v>1992</v>
      </c>
      <c r="B24">
        <v>524.23840999999993</v>
      </c>
      <c r="C24">
        <v>17822.409999999974</v>
      </c>
    </row>
    <row r="25" spans="1:3" x14ac:dyDescent="0.35">
      <c r="A25" s="1">
        <v>1993</v>
      </c>
      <c r="B25">
        <v>550.41753000000006</v>
      </c>
      <c r="C25">
        <v>26179.120000000054</v>
      </c>
    </row>
    <row r="26" spans="1:3" x14ac:dyDescent="0.35">
      <c r="A26" s="1">
        <v>1994</v>
      </c>
      <c r="B26">
        <v>577.69668000000001</v>
      </c>
      <c r="C26">
        <v>27279.150000000023</v>
      </c>
    </row>
    <row r="27" spans="1:3" x14ac:dyDescent="0.35">
      <c r="A27" s="1">
        <v>1995</v>
      </c>
      <c r="B27">
        <v>608.95266000000004</v>
      </c>
      <c r="C27">
        <v>31255.979999999981</v>
      </c>
    </row>
    <row r="28" spans="1:3" x14ac:dyDescent="0.35">
      <c r="A28" s="1">
        <v>1996</v>
      </c>
      <c r="B28">
        <v>643.93867</v>
      </c>
      <c r="C28">
        <v>34986.010000000009</v>
      </c>
    </row>
    <row r="29" spans="1:3" x14ac:dyDescent="0.35">
      <c r="A29" s="1">
        <v>1997</v>
      </c>
      <c r="B29">
        <v>682.84041000000002</v>
      </c>
      <c r="C29">
        <v>38901.739999999991</v>
      </c>
    </row>
    <row r="30" spans="1:3" x14ac:dyDescent="0.35">
      <c r="A30" s="1">
        <v>1998</v>
      </c>
      <c r="B30">
        <v>716.15726000000006</v>
      </c>
      <c r="C30">
        <v>33316.849999999977</v>
      </c>
    </row>
    <row r="31" spans="1:3" x14ac:dyDescent="0.35">
      <c r="A31" s="1">
        <v>1999</v>
      </c>
      <c r="B31">
        <v>737.86012000000005</v>
      </c>
      <c r="C31">
        <v>21702.859999999986</v>
      </c>
    </row>
    <row r="32" spans="1:3" x14ac:dyDescent="0.35">
      <c r="A32" s="1">
        <v>2000</v>
      </c>
      <c r="B32">
        <v>780.64469999999994</v>
      </c>
      <c r="C32">
        <v>42784.579999999958</v>
      </c>
    </row>
    <row r="33" spans="1:3" x14ac:dyDescent="0.35">
      <c r="A33" s="1">
        <v>2001</v>
      </c>
      <c r="B33">
        <v>769.49477999999999</v>
      </c>
      <c r="C33">
        <v>-11149.919999999925</v>
      </c>
    </row>
    <row r="34" spans="1:3" x14ac:dyDescent="0.35">
      <c r="A34" s="1">
        <v>2002</v>
      </c>
      <c r="B34">
        <v>788.65003000000002</v>
      </c>
      <c r="C34">
        <v>19155.25</v>
      </c>
    </row>
    <row r="35" spans="1:3" x14ac:dyDescent="0.35">
      <c r="A35" s="1">
        <v>2003</v>
      </c>
      <c r="B35">
        <v>837.67138999999997</v>
      </c>
      <c r="C35">
        <v>49021.359999999986</v>
      </c>
    </row>
    <row r="36" spans="1:3" x14ac:dyDescent="0.35">
      <c r="A36" s="1">
        <v>2004</v>
      </c>
      <c r="B36">
        <v>878.24324999999999</v>
      </c>
      <c r="C36">
        <v>40571.859999999986</v>
      </c>
    </row>
    <row r="37" spans="1:3" x14ac:dyDescent="0.35">
      <c r="A37" s="1">
        <v>2005</v>
      </c>
      <c r="B37">
        <v>920.02192000000002</v>
      </c>
      <c r="C37">
        <v>41778.670000000042</v>
      </c>
    </row>
    <row r="38" spans="1:3" x14ac:dyDescent="0.35">
      <c r="A38" s="1">
        <v>2006</v>
      </c>
      <c r="B38">
        <v>964.60222999999996</v>
      </c>
      <c r="C38">
        <v>44580.309999999939</v>
      </c>
    </row>
    <row r="39" spans="1:3" x14ac:dyDescent="0.35">
      <c r="A39" s="1">
        <v>2007</v>
      </c>
      <c r="B39">
        <v>1007.08554</v>
      </c>
      <c r="C39">
        <v>42483.310000000056</v>
      </c>
    </row>
    <row r="40" spans="1:3" x14ac:dyDescent="0.35">
      <c r="A40" s="1">
        <v>2008</v>
      </c>
      <c r="B40">
        <v>1044.35105</v>
      </c>
      <c r="C40">
        <v>37265.510000000009</v>
      </c>
    </row>
    <row r="41" spans="1:3" x14ac:dyDescent="0.35">
      <c r="A41" s="1">
        <v>2009</v>
      </c>
      <c r="B41">
        <v>1047.60878</v>
      </c>
      <c r="C41">
        <v>3257.7299999999814</v>
      </c>
    </row>
    <row r="42" spans="1:3" x14ac:dyDescent="0.35">
      <c r="A42" s="1">
        <v>2010</v>
      </c>
      <c r="B42">
        <v>1093.6217099999999</v>
      </c>
      <c r="C42">
        <v>46012.929999999935</v>
      </c>
    </row>
    <row r="43" spans="1:3" x14ac:dyDescent="0.35">
      <c r="A43" s="1">
        <v>2011</v>
      </c>
      <c r="B43">
        <v>1147.5528400000001</v>
      </c>
      <c r="C43">
        <v>53931.130000000121</v>
      </c>
    </row>
    <row r="44" spans="1:3" x14ac:dyDescent="0.35">
      <c r="A44" s="1">
        <v>2012</v>
      </c>
      <c r="B44">
        <v>1186.3091499999998</v>
      </c>
      <c r="C44">
        <v>38756.309999999823</v>
      </c>
    </row>
    <row r="45" spans="1:3" x14ac:dyDescent="0.35">
      <c r="A45" s="1">
        <v>2013</v>
      </c>
      <c r="B45">
        <v>1220.2641299999998</v>
      </c>
      <c r="C45">
        <v>33954.979999999981</v>
      </c>
    </row>
    <row r="46" spans="1:3" x14ac:dyDescent="0.35">
      <c r="A46" s="1">
        <v>2014</v>
      </c>
      <c r="B46">
        <v>1251.6467700000001</v>
      </c>
      <c r="C46">
        <v>31382.64000000013</v>
      </c>
    </row>
    <row r="47" spans="1:3" x14ac:dyDescent="0.35">
      <c r="A47" s="1">
        <v>2015</v>
      </c>
      <c r="B47">
        <v>1259.5618400000001</v>
      </c>
      <c r="C47">
        <v>7915.0700000000652</v>
      </c>
    </row>
    <row r="48" spans="1:3" x14ac:dyDescent="0.35">
      <c r="A48" s="1">
        <v>2016</v>
      </c>
      <c r="B48">
        <v>1283.82763</v>
      </c>
      <c r="C48">
        <v>24265.789999999804</v>
      </c>
    </row>
    <row r="49" spans="1:3" x14ac:dyDescent="0.35">
      <c r="A49" s="1">
        <v>2017</v>
      </c>
      <c r="B49">
        <v>1286.79477</v>
      </c>
      <c r="C49">
        <v>2967.1400000001304</v>
      </c>
    </row>
    <row r="50" spans="1:3" x14ac:dyDescent="0.35">
      <c r="A50" s="1">
        <v>2018</v>
      </c>
      <c r="B50">
        <v>1323.4543100000001</v>
      </c>
      <c r="C50">
        <v>36659.540000000037</v>
      </c>
    </row>
    <row r="51" spans="1:3" x14ac:dyDescent="0.35">
      <c r="A51" s="1">
        <v>2019</v>
      </c>
      <c r="B51">
        <v>1323.7141000000001</v>
      </c>
      <c r="C51">
        <v>259.79000000003725</v>
      </c>
    </row>
    <row r="52" spans="1:3" x14ac:dyDescent="0.35">
      <c r="A52" s="1">
        <v>2020</v>
      </c>
      <c r="B52">
        <v>1317.78079</v>
      </c>
      <c r="C52">
        <v>-5933.3100000000559</v>
      </c>
    </row>
    <row r="53" spans="1:3" x14ac:dyDescent="0.35">
      <c r="A53" s="1">
        <v>2021</v>
      </c>
      <c r="B53">
        <v>1361.4811200000001</v>
      </c>
      <c r="C53">
        <v>43700.330000000075</v>
      </c>
    </row>
    <row r="54" spans="1:3" x14ac:dyDescent="0.35">
      <c r="A54" s="1">
        <v>2022</v>
      </c>
      <c r="B54">
        <v>1421.1016999999999</v>
      </c>
      <c r="C54">
        <v>59620.579999999842</v>
      </c>
    </row>
    <row r="55" spans="1:3" x14ac:dyDescent="0.35">
      <c r="A55" s="1">
        <v>2023</v>
      </c>
      <c r="B55">
        <v>1480.68245</v>
      </c>
      <c r="C55">
        <v>59580.75</v>
      </c>
    </row>
    <row r="56" spans="1:3" x14ac:dyDescent="0.35">
      <c r="A56" s="1">
        <v>2024</v>
      </c>
      <c r="B56">
        <v>1540.3522700000001</v>
      </c>
      <c r="C56">
        <v>59669.820000000065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E116-7036-4DA5-8A0C-0906C1491C2B}">
  <dimension ref="A1:Z7"/>
  <sheetViews>
    <sheetView topLeftCell="B1" workbookViewId="0">
      <selection activeCell="N2" sqref="N2"/>
    </sheetView>
  </sheetViews>
  <sheetFormatPr defaultRowHeight="14.5" x14ac:dyDescent="0.35"/>
  <sheetData>
    <row r="1" spans="1:26" x14ac:dyDescent="0.35">
      <c r="A1" t="s">
        <v>12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6" x14ac:dyDescent="0.35">
      <c r="A2" t="s">
        <v>13</v>
      </c>
      <c r="B2">
        <v>80615.762870000006</v>
      </c>
      <c r="C2">
        <v>84367.754759999996</v>
      </c>
      <c r="D2">
        <v>90849.128949999998</v>
      </c>
      <c r="E2">
        <v>97641.605590000006</v>
      </c>
      <c r="F2">
        <v>102187.1427</v>
      </c>
      <c r="G2">
        <v>102313.5269</v>
      </c>
      <c r="H2">
        <v>107147.39599999999</v>
      </c>
      <c r="I2">
        <v>111386.88559999999</v>
      </c>
      <c r="J2">
        <v>115618.3799</v>
      </c>
      <c r="K2">
        <v>121898.0575</v>
      </c>
      <c r="L2">
        <v>129539.97229999999</v>
      </c>
      <c r="M2">
        <v>132967.7433</v>
      </c>
      <c r="N2">
        <v>138765.78200000001</v>
      </c>
      <c r="O2">
        <v>156420.6808</v>
      </c>
      <c r="P2">
        <v>156066.48420000001</v>
      </c>
      <c r="Q2">
        <v>160467.69769999999</v>
      </c>
      <c r="R2">
        <v>168151.22769999999</v>
      </c>
      <c r="S2">
        <v>164085.36989999999</v>
      </c>
      <c r="T2">
        <v>168053.0343</v>
      </c>
      <c r="U2">
        <v>173810.09160000001</v>
      </c>
      <c r="V2">
        <v>174106.6784</v>
      </c>
      <c r="W2">
        <v>176096.10459999999</v>
      </c>
      <c r="X2">
        <v>177551.02609999999</v>
      </c>
      <c r="Y2">
        <v>179966.15160000001</v>
      </c>
      <c r="Z2">
        <v>178965.71979999999</v>
      </c>
    </row>
    <row r="3" spans="1:26" x14ac:dyDescent="0.35">
      <c r="A3" t="s">
        <v>14</v>
      </c>
      <c r="B3">
        <v>123639.7513</v>
      </c>
      <c r="C3">
        <v>125580.0533</v>
      </c>
      <c r="D3">
        <v>127905.6465</v>
      </c>
      <c r="E3">
        <v>131190.15179999999</v>
      </c>
      <c r="F3">
        <v>135773.01259999999</v>
      </c>
      <c r="G3">
        <v>138691.37760000001</v>
      </c>
      <c r="H3">
        <v>141804.37890000001</v>
      </c>
      <c r="I3">
        <v>147663.91949999999</v>
      </c>
      <c r="J3">
        <v>148509.5257</v>
      </c>
      <c r="K3">
        <v>150169.33749999999</v>
      </c>
      <c r="L3">
        <v>153005.18220000001</v>
      </c>
      <c r="M3">
        <v>157003.85130000001</v>
      </c>
      <c r="N3">
        <v>160089.79430000001</v>
      </c>
      <c r="O3">
        <v>162575.17129999999</v>
      </c>
      <c r="P3">
        <v>168314.29089999999</v>
      </c>
      <c r="Q3">
        <v>172792.34669999999</v>
      </c>
      <c r="R3">
        <v>182287.74059999999</v>
      </c>
      <c r="S3">
        <v>186277.42310000001</v>
      </c>
      <c r="T3">
        <v>191271.4613</v>
      </c>
      <c r="U3">
        <v>196647.4136</v>
      </c>
      <c r="V3">
        <v>196979.356</v>
      </c>
      <c r="W3">
        <v>199442.8933</v>
      </c>
      <c r="X3">
        <v>201074.68919999999</v>
      </c>
      <c r="Y3">
        <v>203213.454</v>
      </c>
      <c r="Z3">
        <v>201963.83679999999</v>
      </c>
    </row>
    <row r="4" spans="1:26" x14ac:dyDescent="0.35">
      <c r="A4" t="s">
        <v>15</v>
      </c>
      <c r="B4">
        <v>4.09</v>
      </c>
      <c r="C4">
        <v>43.89</v>
      </c>
      <c r="D4">
        <v>45.39</v>
      </c>
      <c r="E4">
        <v>94.15</v>
      </c>
      <c r="F4">
        <v>141.85</v>
      </c>
      <c r="G4">
        <v>132.6</v>
      </c>
      <c r="H4">
        <v>349.11</v>
      </c>
      <c r="I4">
        <v>465.08</v>
      </c>
      <c r="J4">
        <v>638.23</v>
      </c>
      <c r="K4">
        <v>987.73</v>
      </c>
      <c r="L4">
        <v>1462.36</v>
      </c>
      <c r="M4">
        <v>2174.89</v>
      </c>
      <c r="N4">
        <v>3543.45</v>
      </c>
      <c r="O4">
        <v>5151.92</v>
      </c>
      <c r="P4">
        <v>9778.82</v>
      </c>
      <c r="Q4">
        <v>15230.34</v>
      </c>
      <c r="R4">
        <v>20523.73</v>
      </c>
      <c r="S4">
        <v>26198.07</v>
      </c>
      <c r="T4">
        <v>34085.870000000003</v>
      </c>
      <c r="U4">
        <v>42663.29</v>
      </c>
      <c r="V4">
        <v>52606.89</v>
      </c>
      <c r="W4">
        <v>68348.289999999994</v>
      </c>
      <c r="X4">
        <v>86165.47</v>
      </c>
      <c r="Y4">
        <v>108989.75</v>
      </c>
      <c r="Z4">
        <v>129698.45</v>
      </c>
    </row>
    <row r="5" spans="1:26" x14ac:dyDescent="0.35">
      <c r="N5">
        <f>N2-B2</f>
        <v>58150.019130000001</v>
      </c>
      <c r="T5">
        <f>T2-N2</f>
        <v>29287.252299999993</v>
      </c>
      <c r="Z5">
        <f>Z2-T2</f>
        <v>10912.685499999992</v>
      </c>
    </row>
    <row r="6" spans="1:26" x14ac:dyDescent="0.35">
      <c r="N6">
        <f t="shared" ref="N6:N7" si="0">N3-B3</f>
        <v>36450.043000000005</v>
      </c>
      <c r="T6">
        <f t="shared" ref="T6:T7" si="1">T3-N3</f>
        <v>31181.666999999987</v>
      </c>
      <c r="Z6">
        <f t="shared" ref="Z6:Z7" si="2">Z3-T3</f>
        <v>10692.375499999995</v>
      </c>
    </row>
    <row r="7" spans="1:26" x14ac:dyDescent="0.35">
      <c r="N7">
        <f t="shared" si="0"/>
        <v>3539.3599999999997</v>
      </c>
      <c r="T7">
        <f t="shared" si="1"/>
        <v>30542.420000000002</v>
      </c>
      <c r="Z7">
        <f t="shared" si="2"/>
        <v>95612.579999999987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91B6-A6EB-40C3-93AA-FB8521C0B0E4}">
  <dimension ref="A1:D56"/>
  <sheetViews>
    <sheetView workbookViewId="0">
      <selection activeCell="F26" sqref="F26"/>
    </sheetView>
  </sheetViews>
  <sheetFormatPr defaultRowHeight="14.5" x14ac:dyDescent="0.35"/>
  <cols>
    <col min="3" max="3" width="10.26953125" customWidth="1"/>
  </cols>
  <sheetData>
    <row r="1" spans="1:3" x14ac:dyDescent="0.35">
      <c r="A1" t="s">
        <v>0</v>
      </c>
      <c r="B1" t="s">
        <v>10</v>
      </c>
      <c r="C1" t="s">
        <v>11</v>
      </c>
    </row>
    <row r="2" spans="1:3" ht="15.5" x14ac:dyDescent="0.35">
      <c r="A2">
        <v>1970</v>
      </c>
      <c r="C2" s="3">
        <v>39094</v>
      </c>
    </row>
    <row r="3" spans="1:3" ht="15.5" x14ac:dyDescent="0.35">
      <c r="A3">
        <v>1971</v>
      </c>
      <c r="C3" s="3">
        <v>43252.3</v>
      </c>
    </row>
    <row r="4" spans="1:3" ht="15.5" x14ac:dyDescent="0.35">
      <c r="A4">
        <v>1972</v>
      </c>
      <c r="C4" s="3">
        <v>47563.6</v>
      </c>
    </row>
    <row r="5" spans="1:3" ht="15.5" x14ac:dyDescent="0.35">
      <c r="A5">
        <v>1973</v>
      </c>
      <c r="C5" s="3">
        <v>51608.3</v>
      </c>
    </row>
    <row r="6" spans="1:3" ht="15.5" x14ac:dyDescent="0.35">
      <c r="A6">
        <v>1974</v>
      </c>
      <c r="C6" s="3">
        <v>58056.3</v>
      </c>
    </row>
    <row r="7" spans="1:3" ht="15.5" x14ac:dyDescent="0.35">
      <c r="A7">
        <v>1975</v>
      </c>
      <c r="C7" s="3">
        <v>61959.199999999997</v>
      </c>
    </row>
    <row r="8" spans="1:3" ht="15.5" x14ac:dyDescent="0.35">
      <c r="A8">
        <v>1976</v>
      </c>
      <c r="C8" s="3">
        <v>68629.5</v>
      </c>
    </row>
    <row r="9" spans="1:3" ht="15.5" x14ac:dyDescent="0.35">
      <c r="A9">
        <v>1977</v>
      </c>
      <c r="C9" s="3">
        <v>73820.399999999994</v>
      </c>
    </row>
    <row r="10" spans="1:3" ht="15.5" x14ac:dyDescent="0.35">
      <c r="A10">
        <v>1978</v>
      </c>
      <c r="C10" s="3">
        <v>80997.5</v>
      </c>
    </row>
    <row r="11" spans="1:3" ht="15.5" x14ac:dyDescent="0.35">
      <c r="A11">
        <v>1979</v>
      </c>
      <c r="C11" s="3">
        <v>86865.2</v>
      </c>
    </row>
    <row r="12" spans="1:3" ht="15.5" x14ac:dyDescent="0.35">
      <c r="A12">
        <v>1980</v>
      </c>
      <c r="C12" s="3">
        <v>92440.46</v>
      </c>
    </row>
    <row r="13" spans="1:3" ht="15.5" x14ac:dyDescent="0.35">
      <c r="A13">
        <v>1981</v>
      </c>
      <c r="C13" s="3">
        <v>102048.81</v>
      </c>
    </row>
    <row r="14" spans="1:3" ht="15.5" x14ac:dyDescent="0.35">
      <c r="A14">
        <v>1982</v>
      </c>
      <c r="C14" s="3">
        <v>109443.85</v>
      </c>
    </row>
    <row r="15" spans="1:3" ht="15.5" x14ac:dyDescent="0.35">
      <c r="A15">
        <v>1983</v>
      </c>
      <c r="C15" s="3">
        <v>114261.2</v>
      </c>
    </row>
    <row r="16" spans="1:3" ht="15.5" x14ac:dyDescent="0.35">
      <c r="A16">
        <v>1984</v>
      </c>
      <c r="C16" s="3">
        <v>120136.18</v>
      </c>
    </row>
    <row r="17" spans="1:4" ht="15.5" x14ac:dyDescent="0.35">
      <c r="A17">
        <v>1985</v>
      </c>
      <c r="C17" s="3">
        <v>130685.25</v>
      </c>
    </row>
    <row r="18" spans="1:4" ht="15.5" x14ac:dyDescent="0.35">
      <c r="A18">
        <v>1986</v>
      </c>
      <c r="C18" s="3">
        <v>136870.31</v>
      </c>
    </row>
    <row r="19" spans="1:4" ht="15.5" x14ac:dyDescent="0.35">
      <c r="A19">
        <v>1987</v>
      </c>
      <c r="C19" s="3">
        <v>144741.57999999999</v>
      </c>
    </row>
    <row r="20" spans="1:4" ht="15.5" x14ac:dyDescent="0.35">
      <c r="A20">
        <v>1988</v>
      </c>
      <c r="C20" s="3">
        <v>150010.68</v>
      </c>
    </row>
    <row r="21" spans="1:4" ht="15.5" x14ac:dyDescent="0.35">
      <c r="A21">
        <v>1989</v>
      </c>
      <c r="C21" s="3">
        <v>154791.51</v>
      </c>
    </row>
    <row r="22" spans="1:4" ht="15.5" x14ac:dyDescent="0.35">
      <c r="A22">
        <v>1990</v>
      </c>
      <c r="C22" s="3">
        <v>153688.37</v>
      </c>
    </row>
    <row r="23" spans="1:4" ht="15.5" x14ac:dyDescent="0.35">
      <c r="A23">
        <v>1991</v>
      </c>
      <c r="B23">
        <v>667</v>
      </c>
      <c r="C23" s="3">
        <v>163137.49</v>
      </c>
    </row>
    <row r="24" spans="1:4" ht="15.5" x14ac:dyDescent="0.35">
      <c r="A24">
        <v>1992</v>
      </c>
      <c r="B24">
        <v>671.1</v>
      </c>
      <c r="C24" s="3">
        <v>165639.67999999999</v>
      </c>
    </row>
    <row r="25" spans="1:4" ht="15.5" x14ac:dyDescent="0.35">
      <c r="A25">
        <v>1993</v>
      </c>
      <c r="B25">
        <v>727.7</v>
      </c>
      <c r="C25" s="3">
        <v>171067.85</v>
      </c>
    </row>
    <row r="26" spans="1:4" ht="15.5" x14ac:dyDescent="0.35">
      <c r="A26">
        <v>1994</v>
      </c>
      <c r="B26">
        <v>775.6</v>
      </c>
      <c r="C26" s="3">
        <v>180869.88</v>
      </c>
    </row>
    <row r="27" spans="1:4" ht="15.5" x14ac:dyDescent="0.35">
      <c r="A27">
        <v>1995</v>
      </c>
      <c r="B27">
        <v>779.7</v>
      </c>
      <c r="C27" s="3">
        <v>186625.42</v>
      </c>
    </row>
    <row r="28" spans="1:4" ht="15.5" x14ac:dyDescent="0.35">
      <c r="A28">
        <v>1996</v>
      </c>
      <c r="B28">
        <v>1020.9</v>
      </c>
      <c r="C28" s="3">
        <v>195473.41</v>
      </c>
    </row>
    <row r="29" spans="1:4" ht="15.5" x14ac:dyDescent="0.35">
      <c r="A29">
        <v>1997</v>
      </c>
      <c r="B29">
        <v>988.6</v>
      </c>
      <c r="C29" s="3">
        <v>202018.12</v>
      </c>
    </row>
    <row r="30" spans="1:4" ht="15.5" x14ac:dyDescent="0.35">
      <c r="A30">
        <v>1998</v>
      </c>
      <c r="B30">
        <v>1143.8</v>
      </c>
      <c r="C30" s="3">
        <v>207342.07</v>
      </c>
    </row>
    <row r="31" spans="1:4" ht="15.5" x14ac:dyDescent="0.35">
      <c r="A31">
        <v>1999</v>
      </c>
      <c r="B31">
        <v>1215.5999999999999</v>
      </c>
      <c r="C31" s="3">
        <v>209656.13</v>
      </c>
    </row>
    <row r="32" spans="1:4" ht="15.5" x14ac:dyDescent="0.35">
      <c r="A32">
        <v>2000</v>
      </c>
      <c r="B32">
        <v>212878.35</v>
      </c>
      <c r="C32" s="3">
        <v>220843.79</v>
      </c>
      <c r="D32">
        <f>C32/B32</f>
        <v>1.0374178022330593</v>
      </c>
    </row>
    <row r="33" spans="1:4" ht="15.5" x14ac:dyDescent="0.35">
      <c r="A33">
        <v>2001</v>
      </c>
      <c r="B33">
        <v>218747.76</v>
      </c>
      <c r="C33" s="3">
        <v>228044.92</v>
      </c>
      <c r="D33">
        <f t="shared" ref="D33:D56" si="0">C33/B33</f>
        <v>1.0425017380749408</v>
      </c>
    </row>
    <row r="34" spans="1:4" ht="15.5" x14ac:dyDescent="0.35">
      <c r="A34">
        <v>2002</v>
      </c>
      <c r="B34">
        <v>227769.62</v>
      </c>
      <c r="C34" s="3">
        <v>237434.38</v>
      </c>
      <c r="D34">
        <f t="shared" si="0"/>
        <v>1.0424321733513013</v>
      </c>
    </row>
    <row r="35" spans="1:4" ht="15.5" x14ac:dyDescent="0.35">
      <c r="A35">
        <v>2003</v>
      </c>
      <c r="B35">
        <v>238571.85</v>
      </c>
      <c r="C35" s="3">
        <v>245565.86</v>
      </c>
      <c r="D35">
        <f t="shared" si="0"/>
        <v>1.0293161577948109</v>
      </c>
    </row>
    <row r="36" spans="1:4" ht="15.5" x14ac:dyDescent="0.35">
      <c r="A36">
        <v>2004</v>
      </c>
      <c r="B36">
        <v>248108.77</v>
      </c>
      <c r="C36" s="3">
        <v>253592.11</v>
      </c>
      <c r="D36">
        <f t="shared" si="0"/>
        <v>1.0221005488842656</v>
      </c>
    </row>
    <row r="37" spans="1:4" ht="15.5" x14ac:dyDescent="0.35">
      <c r="A37">
        <v>2005</v>
      </c>
      <c r="B37">
        <v>251546.23</v>
      </c>
      <c r="C37" s="3">
        <v>258968.22</v>
      </c>
      <c r="D37">
        <f t="shared" si="0"/>
        <v>1.0295054710221656</v>
      </c>
    </row>
    <row r="38" spans="1:4" ht="15.5" x14ac:dyDescent="0.35">
      <c r="A38">
        <v>2006</v>
      </c>
      <c r="B38">
        <v>259885.87</v>
      </c>
      <c r="C38" s="3">
        <v>268475.59000000003</v>
      </c>
      <c r="D38">
        <f t="shared" si="0"/>
        <v>1.0330518931252402</v>
      </c>
    </row>
    <row r="39" spans="1:4" ht="15.5" x14ac:dyDescent="0.35">
      <c r="A39">
        <v>2007</v>
      </c>
      <c r="B39">
        <v>270900.05</v>
      </c>
      <c r="C39" s="3">
        <v>283745.58</v>
      </c>
      <c r="D39">
        <f t="shared" si="0"/>
        <v>1.047417968361394</v>
      </c>
    </row>
    <row r="40" spans="1:4" ht="15.5" x14ac:dyDescent="0.35">
      <c r="A40">
        <v>2008</v>
      </c>
      <c r="B40">
        <v>277214.36</v>
      </c>
      <c r="C40" s="3">
        <v>286018.24</v>
      </c>
      <c r="D40">
        <f t="shared" si="0"/>
        <v>1.0317583836566042</v>
      </c>
    </row>
    <row r="41" spans="1:4" ht="15.5" x14ac:dyDescent="0.35">
      <c r="A41">
        <v>2009</v>
      </c>
      <c r="B41">
        <v>286288.53000000003</v>
      </c>
      <c r="C41" s="3">
        <v>298255.93</v>
      </c>
      <c r="D41">
        <f t="shared" si="0"/>
        <v>1.0418018842738825</v>
      </c>
    </row>
    <row r="42" spans="1:4" ht="15.5" x14ac:dyDescent="0.35">
      <c r="A42">
        <v>2010</v>
      </c>
      <c r="B42">
        <v>299483.23</v>
      </c>
      <c r="C42" s="3">
        <v>310437.28999999998</v>
      </c>
      <c r="D42">
        <f t="shared" si="0"/>
        <v>1.0365765388599555</v>
      </c>
    </row>
    <row r="43" spans="1:4" ht="15.5" x14ac:dyDescent="0.35">
      <c r="A43">
        <v>2011</v>
      </c>
      <c r="B43">
        <v>308837.13</v>
      </c>
      <c r="C43" s="3">
        <v>318375.69</v>
      </c>
      <c r="D43">
        <f t="shared" si="0"/>
        <v>1.0308854055210266</v>
      </c>
    </row>
    <row r="44" spans="1:4" ht="15.5" x14ac:dyDescent="0.35">
      <c r="A44">
        <v>2012</v>
      </c>
      <c r="B44">
        <v>320415.06</v>
      </c>
      <c r="C44" s="3">
        <v>328931.87</v>
      </c>
      <c r="D44">
        <f t="shared" si="0"/>
        <v>1.0265805546093869</v>
      </c>
    </row>
    <row r="45" spans="1:4" ht="15.5" x14ac:dyDescent="0.35">
      <c r="A45">
        <v>2013</v>
      </c>
      <c r="B45">
        <v>344177.61</v>
      </c>
      <c r="C45" s="3">
        <v>342148.86</v>
      </c>
      <c r="D45">
        <f t="shared" si="0"/>
        <v>0.99410551430117722</v>
      </c>
    </row>
    <row r="46" spans="1:4" ht="15.5" x14ac:dyDescent="0.35">
      <c r="A46">
        <v>2014</v>
      </c>
      <c r="B46">
        <v>356903.74</v>
      </c>
      <c r="C46" s="3">
        <v>351034.03</v>
      </c>
      <c r="D46">
        <f t="shared" si="0"/>
        <v>0.98355380080914823</v>
      </c>
    </row>
    <row r="47" spans="1:4" ht="15.5" x14ac:dyDescent="0.35">
      <c r="A47">
        <v>2015</v>
      </c>
      <c r="B47">
        <v>373103.91</v>
      </c>
      <c r="C47" s="3">
        <v>366481.23</v>
      </c>
      <c r="D47">
        <f t="shared" si="0"/>
        <v>0.98224977057999741</v>
      </c>
    </row>
    <row r="48" spans="1:4" x14ac:dyDescent="0.35">
      <c r="A48">
        <v>2016</v>
      </c>
      <c r="B48">
        <v>397487.56</v>
      </c>
      <c r="C48">
        <f>B48*$D$47</f>
        <v>390432.06461840298</v>
      </c>
    </row>
    <row r="49" spans="1:3" x14ac:dyDescent="0.35">
      <c r="A49">
        <v>2017</v>
      </c>
      <c r="B49">
        <v>403292.93</v>
      </c>
      <c r="C49">
        <f t="shared" ref="C49:C56" si="1">B49*$D$47</f>
        <v>396134.38796903496</v>
      </c>
    </row>
    <row r="50" spans="1:3" x14ac:dyDescent="0.35">
      <c r="A50">
        <v>2018</v>
      </c>
      <c r="B50">
        <v>420839.12</v>
      </c>
      <c r="C50">
        <f t="shared" si="1"/>
        <v>413369.12907108798</v>
      </c>
    </row>
    <row r="51" spans="1:3" x14ac:dyDescent="0.35">
      <c r="A51">
        <v>2019</v>
      </c>
      <c r="B51">
        <v>440736.99</v>
      </c>
      <c r="C51">
        <f t="shared" si="1"/>
        <v>432913.8073136186</v>
      </c>
    </row>
    <row r="52" spans="1:3" x14ac:dyDescent="0.35">
      <c r="A52">
        <v>2020</v>
      </c>
      <c r="B52">
        <v>452577.87</v>
      </c>
      <c r="C52">
        <f t="shared" si="1"/>
        <v>444544.5089770839</v>
      </c>
    </row>
    <row r="53" spans="1:3" x14ac:dyDescent="0.35">
      <c r="A53">
        <v>2021</v>
      </c>
      <c r="B53">
        <v>473607.13</v>
      </c>
      <c r="C53">
        <f t="shared" si="1"/>
        <v>465200.494787551</v>
      </c>
    </row>
    <row r="54" spans="1:3" x14ac:dyDescent="0.35">
      <c r="A54">
        <v>2022</v>
      </c>
      <c r="B54">
        <v>495631.06</v>
      </c>
      <c r="C54">
        <f t="shared" si="1"/>
        <v>486833.49497732095</v>
      </c>
    </row>
    <row r="55" spans="1:3" x14ac:dyDescent="0.35">
      <c r="A55">
        <v>2023</v>
      </c>
      <c r="B55">
        <v>523395.24</v>
      </c>
      <c r="C55">
        <f t="shared" si="1"/>
        <v>514104.85441266268</v>
      </c>
    </row>
    <row r="56" spans="1:3" x14ac:dyDescent="0.35">
      <c r="A56">
        <v>2024</v>
      </c>
      <c r="B56">
        <v>541810.76</v>
      </c>
      <c r="C56">
        <f t="shared" si="1"/>
        <v>532193.49470777402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Monroy, Santiago</dc:creator>
  <cp:lastModifiedBy>Monroy, Santiago</cp:lastModifiedBy>
  <dcterms:created xsi:type="dcterms:W3CDTF">2026-02-17T20:21:30Z</dcterms:created>
  <dcterms:modified xsi:type="dcterms:W3CDTF">2026-02-18T21:08:33Z</dcterms:modified>
</cp:coreProperties>
</file>