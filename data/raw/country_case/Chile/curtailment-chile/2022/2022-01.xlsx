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Recortes-ERV\Resumen Vertimiento ERV\Desglose Mensual ERNC\2022\"/>
    </mc:Choice>
  </mc:AlternateContent>
  <xr:revisionPtr revIDLastSave="0" documentId="13_ncr:1_{4DD30FD2-F92F-4A1A-A44F-1CB8ACFDADA8}" xr6:coauthVersionLast="47" xr6:coauthVersionMax="47" xr10:uidLastSave="{00000000-0000-0000-0000-000000000000}"/>
  <bookViews>
    <workbookView xWindow="-120" yWindow="-120" windowWidth="29040" windowHeight="15960" xr2:uid="{00000000-000D-0000-FFFF-FFFF00000000}"/>
  </bookViews>
  <sheets>
    <sheet name="Resumen-Mensual" sheetId="4" r:id="rId1"/>
    <sheet name="Resumen-DiarioHorario-Eólico" sheetId="6" r:id="rId2"/>
    <sheet name="Resumen-DiarioHorario-Solar" sheetId="8" r:id="rId3"/>
    <sheet name="Acumulado-Anual-Eólico" sheetId="10" r:id="rId4"/>
    <sheet name="Acumulado-Anual-Solar" sheetId="11" r:id="rId5"/>
  </sheets>
  <definedNames>
    <definedName name="_xlnm.Print_Area" localSheetId="3">'Acumulado-Anual-Eólico'!$A$1:$AM$402</definedName>
    <definedName name="_xlnm.Print_Area" localSheetId="4">'Acumulado-Anual-Solar'!$A$1:$AM$402</definedName>
    <definedName name="_xlnm.Print_Area" localSheetId="1">'Resumen-DiarioHorario-Eólico'!$A$1:$AF$1695</definedName>
    <definedName name="_xlnm.Print_Area" localSheetId="2">'Resumen-DiarioHorario-Solar'!$A$1:$AF$1711</definedName>
    <definedName name="_xlnm.Print_Area" localSheetId="0">'Resumen-Mensual'!$A$1:$AM$686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4" l="1"/>
  <c r="C7" i="4"/>
  <c r="C9" i="4" s="1"/>
  <c r="E7" i="4" l="1"/>
  <c r="E9" i="4" s="1"/>
  <c r="E8" i="4"/>
  <c r="AJ11" i="10" l="1"/>
  <c r="AJ12" i="11"/>
  <c r="AJ11" i="11"/>
  <c r="AJ54" i="11" l="1"/>
  <c r="AI10" i="11"/>
  <c r="AI10" i="10"/>
  <c r="AC8" i="8"/>
  <c r="AC8" i="6"/>
  <c r="E24" i="4" s="1"/>
  <c r="F9" i="1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AJ59" i="11"/>
  <c r="AJ58" i="11"/>
  <c r="AJ57" i="11"/>
  <c r="AJ56" i="11"/>
  <c r="AJ55" i="11"/>
  <c r="U10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V10" i="11"/>
  <c r="AJ19" i="11"/>
  <c r="AJ18" i="11"/>
  <c r="AJ17" i="11"/>
  <c r="AJ16" i="11"/>
  <c r="AJ15" i="11"/>
  <c r="AJ14" i="11"/>
  <c r="AJ13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0" i="10"/>
  <c r="AJ29" i="10"/>
  <c r="AJ28" i="10"/>
  <c r="AJ27" i="10"/>
  <c r="AE10" i="10"/>
  <c r="O10" i="10"/>
  <c r="AD10" i="10"/>
  <c r="N10" i="10"/>
  <c r="AJ24" i="10"/>
  <c r="AB10" i="10"/>
  <c r="AJ23" i="10"/>
  <c r="AA10" i="10"/>
  <c r="AJ22" i="10"/>
  <c r="Z10" i="10"/>
  <c r="AJ21" i="10"/>
  <c r="Y10" i="10"/>
  <c r="AJ20" i="10"/>
  <c r="X10" i="10"/>
  <c r="H10" i="10"/>
  <c r="W10" i="10"/>
  <c r="G10" i="10"/>
  <c r="V10" i="10"/>
  <c r="F10" i="10"/>
  <c r="U10" i="10"/>
  <c r="AJ16" i="10"/>
  <c r="T10" i="10"/>
  <c r="AJ14" i="10"/>
  <c r="AH10" i="10"/>
  <c r="AJ13" i="10"/>
  <c r="AG10" i="10"/>
  <c r="AJ12" i="10"/>
  <c r="AF10" i="10"/>
  <c r="P10" i="10"/>
  <c r="AB1707" i="8"/>
  <c r="AA1707" i="8"/>
  <c r="Z1707" i="8"/>
  <c r="Y1707" i="8"/>
  <c r="X1707" i="8"/>
  <c r="W1707" i="8"/>
  <c r="V1707" i="8"/>
  <c r="U1707" i="8"/>
  <c r="T1707" i="8"/>
  <c r="S1707" i="8"/>
  <c r="R1707" i="8"/>
  <c r="Q1707" i="8"/>
  <c r="P1707" i="8"/>
  <c r="O1707" i="8"/>
  <c r="N1707" i="8"/>
  <c r="M1707" i="8"/>
  <c r="L1707" i="8"/>
  <c r="K1707" i="8"/>
  <c r="J1707" i="8"/>
  <c r="I1707" i="8"/>
  <c r="H1707" i="8"/>
  <c r="G1707" i="8"/>
  <c r="F1707" i="8"/>
  <c r="E1707" i="8"/>
  <c r="AC1706" i="8"/>
  <c r="AI116" i="4" s="1"/>
  <c r="AC1705" i="8"/>
  <c r="AI115" i="4" s="1"/>
  <c r="AC1704" i="8"/>
  <c r="AI114" i="4" s="1"/>
  <c r="AC1703" i="8"/>
  <c r="AI113" i="4" s="1"/>
  <c r="AC1702" i="8"/>
  <c r="AI112" i="4" s="1"/>
  <c r="AC1701" i="8"/>
  <c r="AI111" i="4" s="1"/>
  <c r="AC1700" i="8"/>
  <c r="AI110" i="4" s="1"/>
  <c r="AC1699" i="8"/>
  <c r="AI109" i="4" s="1"/>
  <c r="AC1698" i="8"/>
  <c r="AI108" i="4" s="1"/>
  <c r="AC1697" i="8"/>
  <c r="AI107" i="4" s="1"/>
  <c r="AC1696" i="8"/>
  <c r="AI106" i="4" s="1"/>
  <c r="AC1695" i="8"/>
  <c r="AI105" i="4" s="1"/>
  <c r="AC1694" i="8"/>
  <c r="AI104" i="4" s="1"/>
  <c r="AC1693" i="8"/>
  <c r="AI103" i="4" s="1"/>
  <c r="AC1692" i="8"/>
  <c r="AI102" i="4" s="1"/>
  <c r="AC1691" i="8"/>
  <c r="AI101" i="4" s="1"/>
  <c r="AC1690" i="8"/>
  <c r="AI100" i="4" s="1"/>
  <c r="AC1689" i="8"/>
  <c r="AI99" i="4" s="1"/>
  <c r="AC1688" i="8"/>
  <c r="AI98" i="4" s="1"/>
  <c r="AC1687" i="8"/>
  <c r="AI97" i="4" s="1"/>
  <c r="AC1686" i="8"/>
  <c r="AI96" i="4" s="1"/>
  <c r="AC1685" i="8"/>
  <c r="AI95" i="4" s="1"/>
  <c r="AC1684" i="8"/>
  <c r="AI94" i="4" s="1"/>
  <c r="AC1683" i="8"/>
  <c r="AI93" i="4" s="1"/>
  <c r="AC1682" i="8"/>
  <c r="AI92" i="4" s="1"/>
  <c r="AC1681" i="8"/>
  <c r="AI91" i="4" s="1"/>
  <c r="AC1680" i="8"/>
  <c r="AI90" i="4" s="1"/>
  <c r="AC1679" i="8"/>
  <c r="AI89" i="4" s="1"/>
  <c r="AC1678" i="8"/>
  <c r="AI88" i="4" s="1"/>
  <c r="AC1677" i="8"/>
  <c r="AI87" i="4" s="1"/>
  <c r="AC1676" i="8"/>
  <c r="AI86" i="4" s="1"/>
  <c r="AC1675" i="8"/>
  <c r="AI85" i="4" s="1"/>
  <c r="AC1674" i="8"/>
  <c r="AI84" i="4" s="1"/>
  <c r="AC1673" i="8"/>
  <c r="AI83" i="4" s="1"/>
  <c r="AC1672" i="8"/>
  <c r="AI82" i="4" s="1"/>
  <c r="AC1671" i="8"/>
  <c r="AI81" i="4" s="1"/>
  <c r="AC1670" i="8"/>
  <c r="AI80" i="4" s="1"/>
  <c r="AC1669" i="8"/>
  <c r="AI79" i="4" s="1"/>
  <c r="AC1668" i="8"/>
  <c r="AI78" i="4" s="1"/>
  <c r="AC1667" i="8"/>
  <c r="AI77" i="4" s="1"/>
  <c r="AC1666" i="8"/>
  <c r="AI76" i="4" s="1"/>
  <c r="AC1665" i="8"/>
  <c r="AI75" i="4" s="1"/>
  <c r="AC1664" i="8"/>
  <c r="AI74" i="4" s="1"/>
  <c r="AC1663" i="8"/>
  <c r="AI73" i="4" s="1"/>
  <c r="AC1662" i="8"/>
  <c r="AI72" i="4" s="1"/>
  <c r="AC1661" i="8"/>
  <c r="AI71" i="4" s="1"/>
  <c r="AC1660" i="8"/>
  <c r="AI70" i="4" s="1"/>
  <c r="AC1659" i="8"/>
  <c r="AI69" i="4" s="1"/>
  <c r="AC1658" i="8"/>
  <c r="AI68" i="4" s="1"/>
  <c r="AB1652" i="8"/>
  <c r="AA1652" i="8"/>
  <c r="Z1652" i="8"/>
  <c r="Y1652" i="8"/>
  <c r="X1652" i="8"/>
  <c r="W1652" i="8"/>
  <c r="V1652" i="8"/>
  <c r="U1652" i="8"/>
  <c r="T1652" i="8"/>
  <c r="S1652" i="8"/>
  <c r="R1652" i="8"/>
  <c r="Q1652" i="8"/>
  <c r="P1652" i="8"/>
  <c r="O1652" i="8"/>
  <c r="N1652" i="8"/>
  <c r="M1652" i="8"/>
  <c r="L1652" i="8"/>
  <c r="K1652" i="8"/>
  <c r="J1652" i="8"/>
  <c r="I1652" i="8"/>
  <c r="H1652" i="8"/>
  <c r="G1652" i="8"/>
  <c r="F1652" i="8"/>
  <c r="E1652" i="8"/>
  <c r="AC1651" i="8"/>
  <c r="AH116" i="4" s="1"/>
  <c r="AC1650" i="8"/>
  <c r="AH115" i="4" s="1"/>
  <c r="AC1649" i="8"/>
  <c r="AH114" i="4" s="1"/>
  <c r="AC1648" i="8"/>
  <c r="AH113" i="4" s="1"/>
  <c r="AC1647" i="8"/>
  <c r="AH112" i="4" s="1"/>
  <c r="AC1646" i="8"/>
  <c r="AH111" i="4" s="1"/>
  <c r="AC1645" i="8"/>
  <c r="AH110" i="4" s="1"/>
  <c r="AC1644" i="8"/>
  <c r="AH109" i="4" s="1"/>
  <c r="AC1643" i="8"/>
  <c r="AH108" i="4" s="1"/>
  <c r="AC1642" i="8"/>
  <c r="AH107" i="4" s="1"/>
  <c r="AC1641" i="8"/>
  <c r="AH106" i="4" s="1"/>
  <c r="AC1640" i="8"/>
  <c r="AH105" i="4" s="1"/>
  <c r="AC1639" i="8"/>
  <c r="AH104" i="4" s="1"/>
  <c r="AC1638" i="8"/>
  <c r="AH103" i="4" s="1"/>
  <c r="AC1637" i="8"/>
  <c r="AH102" i="4" s="1"/>
  <c r="AC1636" i="8"/>
  <c r="AH101" i="4" s="1"/>
  <c r="AC1635" i="8"/>
  <c r="AH100" i="4" s="1"/>
  <c r="AC1634" i="8"/>
  <c r="AH99" i="4" s="1"/>
  <c r="AC1633" i="8"/>
  <c r="AH98" i="4" s="1"/>
  <c r="AC1632" i="8"/>
  <c r="AH97" i="4" s="1"/>
  <c r="AC1631" i="8"/>
  <c r="AH96" i="4" s="1"/>
  <c r="AC1630" i="8"/>
  <c r="AH95" i="4" s="1"/>
  <c r="AC1629" i="8"/>
  <c r="AH94" i="4" s="1"/>
  <c r="AC1628" i="8"/>
  <c r="AH93" i="4" s="1"/>
  <c r="AC1627" i="8"/>
  <c r="AH92" i="4" s="1"/>
  <c r="AC1626" i="8"/>
  <c r="AH91" i="4" s="1"/>
  <c r="AC1625" i="8"/>
  <c r="AH90" i="4" s="1"/>
  <c r="AC1624" i="8"/>
  <c r="AH89" i="4" s="1"/>
  <c r="AC1623" i="8"/>
  <c r="AH88" i="4" s="1"/>
  <c r="AC1622" i="8"/>
  <c r="AH87" i="4" s="1"/>
  <c r="AC1621" i="8"/>
  <c r="AH86" i="4" s="1"/>
  <c r="AC1620" i="8"/>
  <c r="AH85" i="4" s="1"/>
  <c r="AC1619" i="8"/>
  <c r="AH84" i="4" s="1"/>
  <c r="AC1618" i="8"/>
  <c r="AH83" i="4" s="1"/>
  <c r="AC1617" i="8"/>
  <c r="AH82" i="4" s="1"/>
  <c r="AC1616" i="8"/>
  <c r="AH81" i="4" s="1"/>
  <c r="AC1615" i="8"/>
  <c r="AH80" i="4" s="1"/>
  <c r="AC1614" i="8"/>
  <c r="AH79" i="4" s="1"/>
  <c r="AC1613" i="8"/>
  <c r="AH78" i="4" s="1"/>
  <c r="AC1612" i="8"/>
  <c r="AH77" i="4" s="1"/>
  <c r="AC1611" i="8"/>
  <c r="AH76" i="4" s="1"/>
  <c r="AC1610" i="8"/>
  <c r="AH75" i="4" s="1"/>
  <c r="AC1609" i="8"/>
  <c r="AH74" i="4" s="1"/>
  <c r="AC1608" i="8"/>
  <c r="AH73" i="4" s="1"/>
  <c r="AC1607" i="8"/>
  <c r="AH72" i="4" s="1"/>
  <c r="AC1606" i="8"/>
  <c r="AH71" i="4" s="1"/>
  <c r="AC1605" i="8"/>
  <c r="AH70" i="4" s="1"/>
  <c r="AC1604" i="8"/>
  <c r="AH69" i="4" s="1"/>
  <c r="AC1603" i="8"/>
  <c r="AH68" i="4" s="1"/>
  <c r="AB1597" i="8"/>
  <c r="AA1597" i="8"/>
  <c r="Z1597" i="8"/>
  <c r="Y1597" i="8"/>
  <c r="X1597" i="8"/>
  <c r="W1597" i="8"/>
  <c r="V1597" i="8"/>
  <c r="U1597" i="8"/>
  <c r="T1597" i="8"/>
  <c r="S1597" i="8"/>
  <c r="R1597" i="8"/>
  <c r="Q1597" i="8"/>
  <c r="P1597" i="8"/>
  <c r="O1597" i="8"/>
  <c r="N1597" i="8"/>
  <c r="M1597" i="8"/>
  <c r="L1597" i="8"/>
  <c r="K1597" i="8"/>
  <c r="J1597" i="8"/>
  <c r="I1597" i="8"/>
  <c r="H1597" i="8"/>
  <c r="G1597" i="8"/>
  <c r="F1597" i="8"/>
  <c r="E1597" i="8"/>
  <c r="AC1596" i="8"/>
  <c r="AG116" i="4" s="1"/>
  <c r="AC1595" i="8"/>
  <c r="AG115" i="4" s="1"/>
  <c r="AC1594" i="8"/>
  <c r="AG114" i="4" s="1"/>
  <c r="AC1593" i="8"/>
  <c r="AG113" i="4" s="1"/>
  <c r="AC1592" i="8"/>
  <c r="AG112" i="4" s="1"/>
  <c r="AC1591" i="8"/>
  <c r="AG111" i="4" s="1"/>
  <c r="AC1590" i="8"/>
  <c r="AG110" i="4" s="1"/>
  <c r="AC1589" i="8"/>
  <c r="AG109" i="4" s="1"/>
  <c r="AC1588" i="8"/>
  <c r="AG108" i="4" s="1"/>
  <c r="AC1587" i="8"/>
  <c r="AG107" i="4" s="1"/>
  <c r="AC1586" i="8"/>
  <c r="AG106" i="4" s="1"/>
  <c r="AC1585" i="8"/>
  <c r="AG105" i="4" s="1"/>
  <c r="AC1584" i="8"/>
  <c r="AG104" i="4" s="1"/>
  <c r="AC1583" i="8"/>
  <c r="AG103" i="4" s="1"/>
  <c r="AC1582" i="8"/>
  <c r="AG102" i="4" s="1"/>
  <c r="AC1581" i="8"/>
  <c r="AG101" i="4" s="1"/>
  <c r="AC1580" i="8"/>
  <c r="AG100" i="4" s="1"/>
  <c r="AC1579" i="8"/>
  <c r="AG99" i="4" s="1"/>
  <c r="AC1578" i="8"/>
  <c r="AG98" i="4" s="1"/>
  <c r="AC1577" i="8"/>
  <c r="AG97" i="4" s="1"/>
  <c r="AC1576" i="8"/>
  <c r="AG96" i="4" s="1"/>
  <c r="AC1575" i="8"/>
  <c r="AG95" i="4" s="1"/>
  <c r="AC1574" i="8"/>
  <c r="AG94" i="4" s="1"/>
  <c r="AC1573" i="8"/>
  <c r="AG93" i="4" s="1"/>
  <c r="AC1572" i="8"/>
  <c r="AG92" i="4" s="1"/>
  <c r="AC1571" i="8"/>
  <c r="AG91" i="4" s="1"/>
  <c r="AC1570" i="8"/>
  <c r="AG90" i="4" s="1"/>
  <c r="AC1569" i="8"/>
  <c r="AG89" i="4" s="1"/>
  <c r="AC1568" i="8"/>
  <c r="AG88" i="4" s="1"/>
  <c r="AC1567" i="8"/>
  <c r="AG87" i="4" s="1"/>
  <c r="AC1566" i="8"/>
  <c r="AG86" i="4" s="1"/>
  <c r="AC1565" i="8"/>
  <c r="AG85" i="4" s="1"/>
  <c r="AC1564" i="8"/>
  <c r="AG84" i="4" s="1"/>
  <c r="AC1563" i="8"/>
  <c r="AG83" i="4" s="1"/>
  <c r="AC1562" i="8"/>
  <c r="AG82" i="4" s="1"/>
  <c r="AC1561" i="8"/>
  <c r="AG81" i="4" s="1"/>
  <c r="AC1560" i="8"/>
  <c r="AG80" i="4" s="1"/>
  <c r="AC1559" i="8"/>
  <c r="AG79" i="4" s="1"/>
  <c r="AC1558" i="8"/>
  <c r="AG78" i="4" s="1"/>
  <c r="AC1557" i="8"/>
  <c r="AG77" i="4" s="1"/>
  <c r="AC1556" i="8"/>
  <c r="AG76" i="4" s="1"/>
  <c r="AC1555" i="8"/>
  <c r="AG75" i="4" s="1"/>
  <c r="AC1554" i="8"/>
  <c r="AG74" i="4" s="1"/>
  <c r="AC1553" i="8"/>
  <c r="AG73" i="4" s="1"/>
  <c r="AC1552" i="8"/>
  <c r="AG72" i="4" s="1"/>
  <c r="AC1551" i="8"/>
  <c r="AG71" i="4" s="1"/>
  <c r="AC1550" i="8"/>
  <c r="AG70" i="4" s="1"/>
  <c r="AC1549" i="8"/>
  <c r="AG69" i="4" s="1"/>
  <c r="AC1548" i="8"/>
  <c r="AG68" i="4" s="1"/>
  <c r="AB1542" i="8"/>
  <c r="AA1542" i="8"/>
  <c r="Z1542" i="8"/>
  <c r="Y1542" i="8"/>
  <c r="X1542" i="8"/>
  <c r="W1542" i="8"/>
  <c r="V1542" i="8"/>
  <c r="U1542" i="8"/>
  <c r="T1542" i="8"/>
  <c r="S1542" i="8"/>
  <c r="R1542" i="8"/>
  <c r="Q1542" i="8"/>
  <c r="P1542" i="8"/>
  <c r="O1542" i="8"/>
  <c r="N1542" i="8"/>
  <c r="M1542" i="8"/>
  <c r="L1542" i="8"/>
  <c r="K1542" i="8"/>
  <c r="J1542" i="8"/>
  <c r="I1542" i="8"/>
  <c r="H1542" i="8"/>
  <c r="G1542" i="8"/>
  <c r="F1542" i="8"/>
  <c r="E1542" i="8"/>
  <c r="AC1541" i="8"/>
  <c r="AF116" i="4" s="1"/>
  <c r="AC1540" i="8"/>
  <c r="AF115" i="4" s="1"/>
  <c r="AC1539" i="8"/>
  <c r="AF114" i="4" s="1"/>
  <c r="AC1538" i="8"/>
  <c r="AF113" i="4" s="1"/>
  <c r="AC1537" i="8"/>
  <c r="AF112" i="4" s="1"/>
  <c r="AC1536" i="8"/>
  <c r="AF111" i="4" s="1"/>
  <c r="AC1535" i="8"/>
  <c r="AF110" i="4" s="1"/>
  <c r="AC1534" i="8"/>
  <c r="AF109" i="4" s="1"/>
  <c r="AC1533" i="8"/>
  <c r="AF108" i="4" s="1"/>
  <c r="AC1532" i="8"/>
  <c r="AF107" i="4" s="1"/>
  <c r="AC1531" i="8"/>
  <c r="AF106" i="4" s="1"/>
  <c r="AC1530" i="8"/>
  <c r="AF105" i="4" s="1"/>
  <c r="AC1529" i="8"/>
  <c r="AF104" i="4" s="1"/>
  <c r="AC1528" i="8"/>
  <c r="AF103" i="4" s="1"/>
  <c r="AC1527" i="8"/>
  <c r="AF102" i="4" s="1"/>
  <c r="AC1526" i="8"/>
  <c r="AF101" i="4" s="1"/>
  <c r="AC1525" i="8"/>
  <c r="AF100" i="4" s="1"/>
  <c r="AC1524" i="8"/>
  <c r="AF99" i="4" s="1"/>
  <c r="AC1523" i="8"/>
  <c r="AF98" i="4" s="1"/>
  <c r="AC1522" i="8"/>
  <c r="AF97" i="4" s="1"/>
  <c r="AC1521" i="8"/>
  <c r="AF96" i="4" s="1"/>
  <c r="AC1520" i="8"/>
  <c r="AF95" i="4" s="1"/>
  <c r="AC1519" i="8"/>
  <c r="AF94" i="4" s="1"/>
  <c r="AC1518" i="8"/>
  <c r="AF93" i="4" s="1"/>
  <c r="AC1517" i="8"/>
  <c r="AF92" i="4" s="1"/>
  <c r="AC1516" i="8"/>
  <c r="AF91" i="4" s="1"/>
  <c r="AC1515" i="8"/>
  <c r="AF90" i="4" s="1"/>
  <c r="AC1514" i="8"/>
  <c r="AF89" i="4" s="1"/>
  <c r="AC1513" i="8"/>
  <c r="AF88" i="4" s="1"/>
  <c r="AC1512" i="8"/>
  <c r="AF87" i="4" s="1"/>
  <c r="AC1511" i="8"/>
  <c r="AF86" i="4" s="1"/>
  <c r="AC1510" i="8"/>
  <c r="AF85" i="4" s="1"/>
  <c r="AC1509" i="8"/>
  <c r="AF84" i="4" s="1"/>
  <c r="AC1508" i="8"/>
  <c r="AF83" i="4" s="1"/>
  <c r="AC1507" i="8"/>
  <c r="AF82" i="4" s="1"/>
  <c r="AC1506" i="8"/>
  <c r="AF81" i="4" s="1"/>
  <c r="AC1505" i="8"/>
  <c r="AF80" i="4" s="1"/>
  <c r="AC1504" i="8"/>
  <c r="AF79" i="4" s="1"/>
  <c r="AC1503" i="8"/>
  <c r="AF78" i="4" s="1"/>
  <c r="AC1502" i="8"/>
  <c r="AF77" i="4" s="1"/>
  <c r="AC1501" i="8"/>
  <c r="AF76" i="4" s="1"/>
  <c r="AC1500" i="8"/>
  <c r="AF75" i="4" s="1"/>
  <c r="AC1499" i="8"/>
  <c r="AF74" i="4" s="1"/>
  <c r="AC1498" i="8"/>
  <c r="AF73" i="4" s="1"/>
  <c r="AC1497" i="8"/>
  <c r="AF72" i="4" s="1"/>
  <c r="AC1496" i="8"/>
  <c r="AF71" i="4" s="1"/>
  <c r="AC1495" i="8"/>
  <c r="AF70" i="4" s="1"/>
  <c r="AC1494" i="8"/>
  <c r="AF69" i="4" s="1"/>
  <c r="AC1493" i="8"/>
  <c r="AF68" i="4" s="1"/>
  <c r="AB1487" i="8"/>
  <c r="AA1487" i="8"/>
  <c r="Z1487" i="8"/>
  <c r="Y1487" i="8"/>
  <c r="X1487" i="8"/>
  <c r="W1487" i="8"/>
  <c r="V1487" i="8"/>
  <c r="U1487" i="8"/>
  <c r="T1487" i="8"/>
  <c r="S1487" i="8"/>
  <c r="R1487" i="8"/>
  <c r="Q1487" i="8"/>
  <c r="P1487" i="8"/>
  <c r="O1487" i="8"/>
  <c r="N1487" i="8"/>
  <c r="M1487" i="8"/>
  <c r="L1487" i="8"/>
  <c r="K1487" i="8"/>
  <c r="J1487" i="8"/>
  <c r="I1487" i="8"/>
  <c r="H1487" i="8"/>
  <c r="G1487" i="8"/>
  <c r="F1487" i="8"/>
  <c r="E1487" i="8"/>
  <c r="AC1486" i="8"/>
  <c r="AE116" i="4" s="1"/>
  <c r="AC1485" i="8"/>
  <c r="AE115" i="4" s="1"/>
  <c r="AC1484" i="8"/>
  <c r="AE114" i="4" s="1"/>
  <c r="AC1483" i="8"/>
  <c r="AE113" i="4" s="1"/>
  <c r="AC1482" i="8"/>
  <c r="AE112" i="4" s="1"/>
  <c r="AC1481" i="8"/>
  <c r="AE111" i="4" s="1"/>
  <c r="AC1480" i="8"/>
  <c r="AE110" i="4" s="1"/>
  <c r="AC1479" i="8"/>
  <c r="AE109" i="4" s="1"/>
  <c r="AC1478" i="8"/>
  <c r="AE108" i="4" s="1"/>
  <c r="AC1477" i="8"/>
  <c r="AE107" i="4" s="1"/>
  <c r="AC1476" i="8"/>
  <c r="AE106" i="4" s="1"/>
  <c r="AC1475" i="8"/>
  <c r="AE105" i="4" s="1"/>
  <c r="AC1474" i="8"/>
  <c r="AE104" i="4" s="1"/>
  <c r="AC1473" i="8"/>
  <c r="AE103" i="4" s="1"/>
  <c r="AC1472" i="8"/>
  <c r="AE102" i="4" s="1"/>
  <c r="AC1471" i="8"/>
  <c r="AE101" i="4" s="1"/>
  <c r="AC1470" i="8"/>
  <c r="AE100" i="4" s="1"/>
  <c r="AC1469" i="8"/>
  <c r="AE99" i="4" s="1"/>
  <c r="AC1468" i="8"/>
  <c r="AE98" i="4" s="1"/>
  <c r="AC1467" i="8"/>
  <c r="AE97" i="4" s="1"/>
  <c r="AC1466" i="8"/>
  <c r="AE96" i="4" s="1"/>
  <c r="AC1465" i="8"/>
  <c r="AE95" i="4" s="1"/>
  <c r="AC1464" i="8"/>
  <c r="AE94" i="4" s="1"/>
  <c r="AC1463" i="8"/>
  <c r="AE93" i="4" s="1"/>
  <c r="AC1462" i="8"/>
  <c r="AE92" i="4" s="1"/>
  <c r="AC1461" i="8"/>
  <c r="AE91" i="4" s="1"/>
  <c r="AC1460" i="8"/>
  <c r="AE90" i="4" s="1"/>
  <c r="AC1459" i="8"/>
  <c r="AE89" i="4" s="1"/>
  <c r="AC1458" i="8"/>
  <c r="AE88" i="4" s="1"/>
  <c r="AC1457" i="8"/>
  <c r="AE87" i="4" s="1"/>
  <c r="AC1456" i="8"/>
  <c r="AE86" i="4" s="1"/>
  <c r="AC1455" i="8"/>
  <c r="AE85" i="4" s="1"/>
  <c r="AC1454" i="8"/>
  <c r="AE84" i="4" s="1"/>
  <c r="AC1453" i="8"/>
  <c r="AE83" i="4" s="1"/>
  <c r="AC1452" i="8"/>
  <c r="AE82" i="4" s="1"/>
  <c r="AC1451" i="8"/>
  <c r="AE81" i="4" s="1"/>
  <c r="AC1450" i="8"/>
  <c r="AE80" i="4" s="1"/>
  <c r="AC1449" i="8"/>
  <c r="AE79" i="4" s="1"/>
  <c r="AC1448" i="8"/>
  <c r="AE78" i="4" s="1"/>
  <c r="AC1447" i="8"/>
  <c r="AE77" i="4" s="1"/>
  <c r="AC1446" i="8"/>
  <c r="AE76" i="4" s="1"/>
  <c r="AC1445" i="8"/>
  <c r="AE75" i="4" s="1"/>
  <c r="AC1444" i="8"/>
  <c r="AE74" i="4" s="1"/>
  <c r="AC1443" i="8"/>
  <c r="AE73" i="4" s="1"/>
  <c r="AC1442" i="8"/>
  <c r="AE72" i="4" s="1"/>
  <c r="AC1441" i="8"/>
  <c r="AE71" i="4" s="1"/>
  <c r="AC1440" i="8"/>
  <c r="AE70" i="4" s="1"/>
  <c r="AC1439" i="8"/>
  <c r="AE69" i="4" s="1"/>
  <c r="AC1438" i="8"/>
  <c r="AE68" i="4" s="1"/>
  <c r="AB1432" i="8"/>
  <c r="AA1432" i="8"/>
  <c r="Z1432" i="8"/>
  <c r="Y1432" i="8"/>
  <c r="X1432" i="8"/>
  <c r="W1432" i="8"/>
  <c r="V1432" i="8"/>
  <c r="U1432" i="8"/>
  <c r="T1432" i="8"/>
  <c r="S1432" i="8"/>
  <c r="R1432" i="8"/>
  <c r="Q1432" i="8"/>
  <c r="P1432" i="8"/>
  <c r="O1432" i="8"/>
  <c r="N1432" i="8"/>
  <c r="M1432" i="8"/>
  <c r="L1432" i="8"/>
  <c r="K1432" i="8"/>
  <c r="J1432" i="8"/>
  <c r="I1432" i="8"/>
  <c r="H1432" i="8"/>
  <c r="G1432" i="8"/>
  <c r="F1432" i="8"/>
  <c r="E1432" i="8"/>
  <c r="AC1431" i="8"/>
  <c r="AD116" i="4" s="1"/>
  <c r="AC1430" i="8"/>
  <c r="AD115" i="4" s="1"/>
  <c r="AC1429" i="8"/>
  <c r="AD114" i="4" s="1"/>
  <c r="AC1428" i="8"/>
  <c r="AD113" i="4" s="1"/>
  <c r="AC1427" i="8"/>
  <c r="AD112" i="4" s="1"/>
  <c r="AC1426" i="8"/>
  <c r="AD111" i="4" s="1"/>
  <c r="AC1425" i="8"/>
  <c r="AD110" i="4" s="1"/>
  <c r="AC1424" i="8"/>
  <c r="AD109" i="4" s="1"/>
  <c r="AC1423" i="8"/>
  <c r="AD108" i="4" s="1"/>
  <c r="AC1422" i="8"/>
  <c r="AD107" i="4" s="1"/>
  <c r="AC1421" i="8"/>
  <c r="AD106" i="4" s="1"/>
  <c r="AC1420" i="8"/>
  <c r="AD105" i="4" s="1"/>
  <c r="AC1419" i="8"/>
  <c r="AD104" i="4" s="1"/>
  <c r="AC1418" i="8"/>
  <c r="AD103" i="4" s="1"/>
  <c r="AC1417" i="8"/>
  <c r="AD102" i="4" s="1"/>
  <c r="AC1416" i="8"/>
  <c r="AD101" i="4" s="1"/>
  <c r="AC1415" i="8"/>
  <c r="AD100" i="4" s="1"/>
  <c r="AC1414" i="8"/>
  <c r="AD99" i="4" s="1"/>
  <c r="AC1413" i="8"/>
  <c r="AD98" i="4" s="1"/>
  <c r="AC1412" i="8"/>
  <c r="AD97" i="4" s="1"/>
  <c r="AC1411" i="8"/>
  <c r="AD96" i="4" s="1"/>
  <c r="AC1410" i="8"/>
  <c r="AD95" i="4" s="1"/>
  <c r="AC1409" i="8"/>
  <c r="AD94" i="4" s="1"/>
  <c r="AC1408" i="8"/>
  <c r="AD93" i="4" s="1"/>
  <c r="AC1407" i="8"/>
  <c r="AD92" i="4" s="1"/>
  <c r="AC1406" i="8"/>
  <c r="AD91" i="4" s="1"/>
  <c r="AC1405" i="8"/>
  <c r="AD90" i="4" s="1"/>
  <c r="AC1404" i="8"/>
  <c r="AD89" i="4" s="1"/>
  <c r="AC1403" i="8"/>
  <c r="AD88" i="4" s="1"/>
  <c r="AC1402" i="8"/>
  <c r="AD87" i="4" s="1"/>
  <c r="AC1401" i="8"/>
  <c r="AD86" i="4" s="1"/>
  <c r="AC1400" i="8"/>
  <c r="AD85" i="4" s="1"/>
  <c r="AC1399" i="8"/>
  <c r="AD84" i="4" s="1"/>
  <c r="AC1398" i="8"/>
  <c r="AD83" i="4" s="1"/>
  <c r="AC1397" i="8"/>
  <c r="AD82" i="4" s="1"/>
  <c r="AC1396" i="8"/>
  <c r="AD81" i="4" s="1"/>
  <c r="AC1395" i="8"/>
  <c r="AD80" i="4" s="1"/>
  <c r="AC1394" i="8"/>
  <c r="AD79" i="4" s="1"/>
  <c r="AC1393" i="8"/>
  <c r="AD78" i="4" s="1"/>
  <c r="AC1392" i="8"/>
  <c r="AD77" i="4" s="1"/>
  <c r="AC1391" i="8"/>
  <c r="AD76" i="4" s="1"/>
  <c r="AC1390" i="8"/>
  <c r="AD75" i="4" s="1"/>
  <c r="AC1389" i="8"/>
  <c r="AD74" i="4" s="1"/>
  <c r="AC1388" i="8"/>
  <c r="AD73" i="4" s="1"/>
  <c r="AC1387" i="8"/>
  <c r="AD72" i="4" s="1"/>
  <c r="AC1386" i="8"/>
  <c r="AD71" i="4" s="1"/>
  <c r="AC1385" i="8"/>
  <c r="AD70" i="4" s="1"/>
  <c r="AC1384" i="8"/>
  <c r="AD69" i="4" s="1"/>
  <c r="AC1383" i="8"/>
  <c r="AD68" i="4" s="1"/>
  <c r="AB1377" i="8"/>
  <c r="AA1377" i="8"/>
  <c r="Z1377" i="8"/>
  <c r="Y1377" i="8"/>
  <c r="X1377" i="8"/>
  <c r="W1377" i="8"/>
  <c r="V1377" i="8"/>
  <c r="U1377" i="8"/>
  <c r="T1377" i="8"/>
  <c r="S1377" i="8"/>
  <c r="R1377" i="8"/>
  <c r="Q1377" i="8"/>
  <c r="P1377" i="8"/>
  <c r="O1377" i="8"/>
  <c r="N1377" i="8"/>
  <c r="M1377" i="8"/>
  <c r="L1377" i="8"/>
  <c r="K1377" i="8"/>
  <c r="J1377" i="8"/>
  <c r="I1377" i="8"/>
  <c r="H1377" i="8"/>
  <c r="G1377" i="8"/>
  <c r="F1377" i="8"/>
  <c r="E1377" i="8"/>
  <c r="AC1376" i="8"/>
  <c r="AC116" i="4" s="1"/>
  <c r="AC1375" i="8"/>
  <c r="AC115" i="4" s="1"/>
  <c r="AC1374" i="8"/>
  <c r="AC114" i="4" s="1"/>
  <c r="AC1373" i="8"/>
  <c r="AC113" i="4" s="1"/>
  <c r="AC1372" i="8"/>
  <c r="AC112" i="4" s="1"/>
  <c r="AC1371" i="8"/>
  <c r="AC111" i="4" s="1"/>
  <c r="AC1370" i="8"/>
  <c r="AC110" i="4" s="1"/>
  <c r="AC1369" i="8"/>
  <c r="AC109" i="4" s="1"/>
  <c r="AC1368" i="8"/>
  <c r="AC108" i="4" s="1"/>
  <c r="AC1367" i="8"/>
  <c r="AC107" i="4" s="1"/>
  <c r="AC1366" i="8"/>
  <c r="AC106" i="4" s="1"/>
  <c r="AC1365" i="8"/>
  <c r="AC105" i="4" s="1"/>
  <c r="AC1364" i="8"/>
  <c r="AC104" i="4" s="1"/>
  <c r="AC1363" i="8"/>
  <c r="AC103" i="4" s="1"/>
  <c r="AC1362" i="8"/>
  <c r="AC102" i="4" s="1"/>
  <c r="AC1361" i="8"/>
  <c r="AC101" i="4" s="1"/>
  <c r="AC1360" i="8"/>
  <c r="AC100" i="4" s="1"/>
  <c r="AC1359" i="8"/>
  <c r="AC99" i="4" s="1"/>
  <c r="AC1358" i="8"/>
  <c r="AC98" i="4" s="1"/>
  <c r="AC1357" i="8"/>
  <c r="AC97" i="4" s="1"/>
  <c r="AC1356" i="8"/>
  <c r="AC96" i="4" s="1"/>
  <c r="AC1355" i="8"/>
  <c r="AC95" i="4" s="1"/>
  <c r="AC1354" i="8"/>
  <c r="AC94" i="4" s="1"/>
  <c r="AC1353" i="8"/>
  <c r="AC93" i="4" s="1"/>
  <c r="AC1352" i="8"/>
  <c r="AC92" i="4" s="1"/>
  <c r="AC1351" i="8"/>
  <c r="AC91" i="4" s="1"/>
  <c r="AC1350" i="8"/>
  <c r="AC90" i="4" s="1"/>
  <c r="AC1349" i="8"/>
  <c r="AC89" i="4" s="1"/>
  <c r="AC1348" i="8"/>
  <c r="AC88" i="4" s="1"/>
  <c r="AC1347" i="8"/>
  <c r="AC87" i="4" s="1"/>
  <c r="AC1346" i="8"/>
  <c r="AC86" i="4" s="1"/>
  <c r="AC1345" i="8"/>
  <c r="AC85" i="4" s="1"/>
  <c r="AC1344" i="8"/>
  <c r="AC84" i="4" s="1"/>
  <c r="AC1343" i="8"/>
  <c r="AC83" i="4" s="1"/>
  <c r="AC1342" i="8"/>
  <c r="AC82" i="4" s="1"/>
  <c r="AC1341" i="8"/>
  <c r="AC81" i="4" s="1"/>
  <c r="AC1340" i="8"/>
  <c r="AC80" i="4" s="1"/>
  <c r="AC1339" i="8"/>
  <c r="AC79" i="4" s="1"/>
  <c r="AC1338" i="8"/>
  <c r="AC78" i="4" s="1"/>
  <c r="AC1337" i="8"/>
  <c r="AC77" i="4" s="1"/>
  <c r="AC1336" i="8"/>
  <c r="AC76" i="4" s="1"/>
  <c r="AC1335" i="8"/>
  <c r="AC75" i="4" s="1"/>
  <c r="AC1334" i="8"/>
  <c r="AC74" i="4" s="1"/>
  <c r="AC1333" i="8"/>
  <c r="AC73" i="4" s="1"/>
  <c r="AC1332" i="8"/>
  <c r="AC72" i="4" s="1"/>
  <c r="AC1331" i="8"/>
  <c r="AC71" i="4" s="1"/>
  <c r="AC1330" i="8"/>
  <c r="AC70" i="4" s="1"/>
  <c r="AC1329" i="8"/>
  <c r="AC69" i="4" s="1"/>
  <c r="AC1328" i="8"/>
  <c r="AC68" i="4" s="1"/>
  <c r="AB1322" i="8"/>
  <c r="AA1322" i="8"/>
  <c r="Z1322" i="8"/>
  <c r="Y1322" i="8"/>
  <c r="X1322" i="8"/>
  <c r="W1322" i="8"/>
  <c r="V1322" i="8"/>
  <c r="U1322" i="8"/>
  <c r="T1322" i="8"/>
  <c r="S1322" i="8"/>
  <c r="R1322" i="8"/>
  <c r="Q1322" i="8"/>
  <c r="P1322" i="8"/>
  <c r="O1322" i="8"/>
  <c r="N1322" i="8"/>
  <c r="M1322" i="8"/>
  <c r="L1322" i="8"/>
  <c r="K1322" i="8"/>
  <c r="J1322" i="8"/>
  <c r="I1322" i="8"/>
  <c r="H1322" i="8"/>
  <c r="G1322" i="8"/>
  <c r="F1322" i="8"/>
  <c r="E1322" i="8"/>
  <c r="AC1321" i="8"/>
  <c r="AB116" i="4" s="1"/>
  <c r="AC1320" i="8"/>
  <c r="AB115" i="4" s="1"/>
  <c r="AC1319" i="8"/>
  <c r="AB114" i="4" s="1"/>
  <c r="AC1318" i="8"/>
  <c r="AB113" i="4" s="1"/>
  <c r="AC1317" i="8"/>
  <c r="AB112" i="4" s="1"/>
  <c r="AC1316" i="8"/>
  <c r="AB111" i="4" s="1"/>
  <c r="AC1315" i="8"/>
  <c r="AB110" i="4" s="1"/>
  <c r="AC1314" i="8"/>
  <c r="AB109" i="4" s="1"/>
  <c r="AC1313" i="8"/>
  <c r="AB108" i="4" s="1"/>
  <c r="AC1312" i="8"/>
  <c r="AB107" i="4" s="1"/>
  <c r="AC1311" i="8"/>
  <c r="AB106" i="4" s="1"/>
  <c r="AC1310" i="8"/>
  <c r="AB105" i="4" s="1"/>
  <c r="AC1309" i="8"/>
  <c r="AB104" i="4" s="1"/>
  <c r="AC1308" i="8"/>
  <c r="AB103" i="4" s="1"/>
  <c r="AC1307" i="8"/>
  <c r="AB102" i="4" s="1"/>
  <c r="AC1306" i="8"/>
  <c r="AB101" i="4" s="1"/>
  <c r="AC1305" i="8"/>
  <c r="AB100" i="4" s="1"/>
  <c r="AC1304" i="8"/>
  <c r="AB99" i="4" s="1"/>
  <c r="AC1303" i="8"/>
  <c r="AB98" i="4" s="1"/>
  <c r="AC1302" i="8"/>
  <c r="AB97" i="4" s="1"/>
  <c r="AC1301" i="8"/>
  <c r="AB96" i="4" s="1"/>
  <c r="AC1300" i="8"/>
  <c r="AB95" i="4" s="1"/>
  <c r="AC1299" i="8"/>
  <c r="AB94" i="4" s="1"/>
  <c r="AC1298" i="8"/>
  <c r="AB93" i="4" s="1"/>
  <c r="AC1297" i="8"/>
  <c r="AB92" i="4" s="1"/>
  <c r="AC1296" i="8"/>
  <c r="AB91" i="4" s="1"/>
  <c r="AC1295" i="8"/>
  <c r="AB90" i="4" s="1"/>
  <c r="AC1294" i="8"/>
  <c r="AB89" i="4" s="1"/>
  <c r="AC1293" i="8"/>
  <c r="AB88" i="4" s="1"/>
  <c r="AC1292" i="8"/>
  <c r="AB87" i="4" s="1"/>
  <c r="AC1291" i="8"/>
  <c r="AB86" i="4" s="1"/>
  <c r="AC1290" i="8"/>
  <c r="AB85" i="4" s="1"/>
  <c r="AC1289" i="8"/>
  <c r="AB84" i="4" s="1"/>
  <c r="AC1288" i="8"/>
  <c r="AB83" i="4" s="1"/>
  <c r="AC1287" i="8"/>
  <c r="AB82" i="4" s="1"/>
  <c r="AC1286" i="8"/>
  <c r="AB81" i="4" s="1"/>
  <c r="AC1285" i="8"/>
  <c r="AB80" i="4" s="1"/>
  <c r="AC1284" i="8"/>
  <c r="AB79" i="4" s="1"/>
  <c r="AC1283" i="8"/>
  <c r="AB78" i="4" s="1"/>
  <c r="AC1282" i="8"/>
  <c r="AB77" i="4" s="1"/>
  <c r="AC1281" i="8"/>
  <c r="AB76" i="4" s="1"/>
  <c r="AC1280" i="8"/>
  <c r="AB75" i="4" s="1"/>
  <c r="AC1279" i="8"/>
  <c r="AB74" i="4" s="1"/>
  <c r="AC1278" i="8"/>
  <c r="AB73" i="4" s="1"/>
  <c r="AC1277" i="8"/>
  <c r="AB72" i="4" s="1"/>
  <c r="AC1276" i="8"/>
  <c r="AB71" i="4" s="1"/>
  <c r="AC1275" i="8"/>
  <c r="AB70" i="4" s="1"/>
  <c r="AC1274" i="8"/>
  <c r="AB69" i="4" s="1"/>
  <c r="AC1273" i="8"/>
  <c r="AB68" i="4" s="1"/>
  <c r="AB1267" i="8"/>
  <c r="AA1267" i="8"/>
  <c r="Z1267" i="8"/>
  <c r="Y1267" i="8"/>
  <c r="X1267" i="8"/>
  <c r="W1267" i="8"/>
  <c r="V1267" i="8"/>
  <c r="U1267" i="8"/>
  <c r="T1267" i="8"/>
  <c r="S1267" i="8"/>
  <c r="R1267" i="8"/>
  <c r="Q1267" i="8"/>
  <c r="P1267" i="8"/>
  <c r="O1267" i="8"/>
  <c r="N1267" i="8"/>
  <c r="M1267" i="8"/>
  <c r="L1267" i="8"/>
  <c r="K1267" i="8"/>
  <c r="J1267" i="8"/>
  <c r="I1267" i="8"/>
  <c r="H1267" i="8"/>
  <c r="G1267" i="8"/>
  <c r="F1267" i="8"/>
  <c r="E1267" i="8"/>
  <c r="AC1266" i="8"/>
  <c r="AA116" i="4" s="1"/>
  <c r="AC1265" i="8"/>
  <c r="AA115" i="4" s="1"/>
  <c r="AC1264" i="8"/>
  <c r="AA114" i="4" s="1"/>
  <c r="AC1263" i="8"/>
  <c r="AA113" i="4" s="1"/>
  <c r="AC1262" i="8"/>
  <c r="AA112" i="4" s="1"/>
  <c r="AC1261" i="8"/>
  <c r="AA111" i="4" s="1"/>
  <c r="AC1260" i="8"/>
  <c r="AA110" i="4" s="1"/>
  <c r="AC1259" i="8"/>
  <c r="AA109" i="4" s="1"/>
  <c r="AC1258" i="8"/>
  <c r="AA108" i="4" s="1"/>
  <c r="AC1257" i="8"/>
  <c r="AA107" i="4" s="1"/>
  <c r="AC1256" i="8"/>
  <c r="AA106" i="4" s="1"/>
  <c r="AC1255" i="8"/>
  <c r="AA105" i="4" s="1"/>
  <c r="AC1254" i="8"/>
  <c r="AA104" i="4" s="1"/>
  <c r="AC1253" i="8"/>
  <c r="AA103" i="4" s="1"/>
  <c r="AC1252" i="8"/>
  <c r="AA102" i="4" s="1"/>
  <c r="AC1251" i="8"/>
  <c r="AA101" i="4" s="1"/>
  <c r="AC1250" i="8"/>
  <c r="AA100" i="4" s="1"/>
  <c r="AC1249" i="8"/>
  <c r="AA99" i="4" s="1"/>
  <c r="AC1248" i="8"/>
  <c r="AA98" i="4" s="1"/>
  <c r="AC1247" i="8"/>
  <c r="AA97" i="4" s="1"/>
  <c r="AC1246" i="8"/>
  <c r="AA96" i="4" s="1"/>
  <c r="AC1245" i="8"/>
  <c r="AA95" i="4" s="1"/>
  <c r="AC1244" i="8"/>
  <c r="AA94" i="4" s="1"/>
  <c r="AC1243" i="8"/>
  <c r="AA93" i="4" s="1"/>
  <c r="AC1242" i="8"/>
  <c r="AA92" i="4" s="1"/>
  <c r="AC1241" i="8"/>
  <c r="AA91" i="4" s="1"/>
  <c r="AC1240" i="8"/>
  <c r="AA90" i="4" s="1"/>
  <c r="AC1239" i="8"/>
  <c r="AA89" i="4" s="1"/>
  <c r="AC1238" i="8"/>
  <c r="AA88" i="4" s="1"/>
  <c r="AC1237" i="8"/>
  <c r="AA87" i="4" s="1"/>
  <c r="AC1236" i="8"/>
  <c r="AA86" i="4" s="1"/>
  <c r="AC1235" i="8"/>
  <c r="AA85" i="4" s="1"/>
  <c r="AC1234" i="8"/>
  <c r="AA84" i="4" s="1"/>
  <c r="AC1233" i="8"/>
  <c r="AA83" i="4" s="1"/>
  <c r="AC1232" i="8"/>
  <c r="AA82" i="4" s="1"/>
  <c r="AC1231" i="8"/>
  <c r="AA81" i="4" s="1"/>
  <c r="AC1230" i="8"/>
  <c r="AA80" i="4" s="1"/>
  <c r="AC1229" i="8"/>
  <c r="AA79" i="4" s="1"/>
  <c r="AC1228" i="8"/>
  <c r="AA78" i="4" s="1"/>
  <c r="AC1227" i="8"/>
  <c r="AA77" i="4" s="1"/>
  <c r="AC1226" i="8"/>
  <c r="AA76" i="4" s="1"/>
  <c r="AC1225" i="8"/>
  <c r="AA75" i="4" s="1"/>
  <c r="AC1224" i="8"/>
  <c r="AA74" i="4" s="1"/>
  <c r="AC1223" i="8"/>
  <c r="AA73" i="4" s="1"/>
  <c r="AC1222" i="8"/>
  <c r="AA72" i="4" s="1"/>
  <c r="AC1221" i="8"/>
  <c r="AA71" i="4" s="1"/>
  <c r="AC1220" i="8"/>
  <c r="AA70" i="4" s="1"/>
  <c r="AC1219" i="8"/>
  <c r="AA69" i="4" s="1"/>
  <c r="AC1218" i="8"/>
  <c r="AA68" i="4" s="1"/>
  <c r="AB1212" i="8"/>
  <c r="AA1212" i="8"/>
  <c r="Z1212" i="8"/>
  <c r="Y1212" i="8"/>
  <c r="X1212" i="8"/>
  <c r="W1212" i="8"/>
  <c r="V1212" i="8"/>
  <c r="U1212" i="8"/>
  <c r="T1212" i="8"/>
  <c r="S1212" i="8"/>
  <c r="R1212" i="8"/>
  <c r="Q1212" i="8"/>
  <c r="P1212" i="8"/>
  <c r="O1212" i="8"/>
  <c r="N1212" i="8"/>
  <c r="M1212" i="8"/>
  <c r="L1212" i="8"/>
  <c r="K1212" i="8"/>
  <c r="J1212" i="8"/>
  <c r="I1212" i="8"/>
  <c r="H1212" i="8"/>
  <c r="G1212" i="8"/>
  <c r="F1212" i="8"/>
  <c r="E1212" i="8"/>
  <c r="AC1211" i="8"/>
  <c r="Z116" i="4" s="1"/>
  <c r="AC1210" i="8"/>
  <c r="Z115" i="4" s="1"/>
  <c r="AC1209" i="8"/>
  <c r="Z114" i="4" s="1"/>
  <c r="AC1208" i="8"/>
  <c r="Z113" i="4" s="1"/>
  <c r="AC1207" i="8"/>
  <c r="Z112" i="4" s="1"/>
  <c r="AC1206" i="8"/>
  <c r="Z111" i="4" s="1"/>
  <c r="AC1205" i="8"/>
  <c r="Z110" i="4" s="1"/>
  <c r="AC1204" i="8"/>
  <c r="Z109" i="4" s="1"/>
  <c r="AC1203" i="8"/>
  <c r="Z108" i="4" s="1"/>
  <c r="AC1202" i="8"/>
  <c r="Z107" i="4" s="1"/>
  <c r="AC1201" i="8"/>
  <c r="Z106" i="4" s="1"/>
  <c r="AC1200" i="8"/>
  <c r="Z105" i="4" s="1"/>
  <c r="AC1199" i="8"/>
  <c r="Z104" i="4" s="1"/>
  <c r="AC1198" i="8"/>
  <c r="Z103" i="4" s="1"/>
  <c r="AC1197" i="8"/>
  <c r="Z102" i="4" s="1"/>
  <c r="AC1196" i="8"/>
  <c r="Z101" i="4" s="1"/>
  <c r="AC1195" i="8"/>
  <c r="Z100" i="4" s="1"/>
  <c r="AC1194" i="8"/>
  <c r="Z99" i="4" s="1"/>
  <c r="AC1193" i="8"/>
  <c r="Z98" i="4" s="1"/>
  <c r="AC1192" i="8"/>
  <c r="Z97" i="4" s="1"/>
  <c r="AC1191" i="8"/>
  <c r="Z96" i="4" s="1"/>
  <c r="AC1190" i="8"/>
  <c r="Z95" i="4" s="1"/>
  <c r="AC1189" i="8"/>
  <c r="Z94" i="4" s="1"/>
  <c r="AC1188" i="8"/>
  <c r="Z93" i="4" s="1"/>
  <c r="AC1187" i="8"/>
  <c r="Z92" i="4" s="1"/>
  <c r="AC1186" i="8"/>
  <c r="Z91" i="4" s="1"/>
  <c r="AC1185" i="8"/>
  <c r="Z90" i="4" s="1"/>
  <c r="AC1184" i="8"/>
  <c r="Z89" i="4" s="1"/>
  <c r="AC1183" i="8"/>
  <c r="Z88" i="4" s="1"/>
  <c r="AC1182" i="8"/>
  <c r="Z87" i="4" s="1"/>
  <c r="AC1181" i="8"/>
  <c r="Z86" i="4" s="1"/>
  <c r="AC1180" i="8"/>
  <c r="Z85" i="4" s="1"/>
  <c r="AC1179" i="8"/>
  <c r="Z84" i="4" s="1"/>
  <c r="AC1178" i="8"/>
  <c r="Z83" i="4" s="1"/>
  <c r="AC1177" i="8"/>
  <c r="Z82" i="4" s="1"/>
  <c r="AC1176" i="8"/>
  <c r="Z81" i="4" s="1"/>
  <c r="AC1175" i="8"/>
  <c r="Z80" i="4" s="1"/>
  <c r="AC1174" i="8"/>
  <c r="Z79" i="4" s="1"/>
  <c r="AC1173" i="8"/>
  <c r="Z78" i="4" s="1"/>
  <c r="AC1172" i="8"/>
  <c r="Z77" i="4" s="1"/>
  <c r="AC1171" i="8"/>
  <c r="Z76" i="4" s="1"/>
  <c r="AC1170" i="8"/>
  <c r="Z75" i="4" s="1"/>
  <c r="AC1169" i="8"/>
  <c r="Z74" i="4" s="1"/>
  <c r="AC1168" i="8"/>
  <c r="Z73" i="4" s="1"/>
  <c r="AC1167" i="8"/>
  <c r="Z72" i="4" s="1"/>
  <c r="AC1166" i="8"/>
  <c r="Z71" i="4" s="1"/>
  <c r="AC1165" i="8"/>
  <c r="Z70" i="4" s="1"/>
  <c r="AC1164" i="8"/>
  <c r="Z69" i="4" s="1"/>
  <c r="AC1163" i="8"/>
  <c r="Z68" i="4" s="1"/>
  <c r="AB1157" i="8"/>
  <c r="AA1157" i="8"/>
  <c r="Z1157" i="8"/>
  <c r="Y1157" i="8"/>
  <c r="X1157" i="8"/>
  <c r="W1157" i="8"/>
  <c r="V1157" i="8"/>
  <c r="U1157" i="8"/>
  <c r="T1157" i="8"/>
  <c r="S1157" i="8"/>
  <c r="R1157" i="8"/>
  <c r="Q1157" i="8"/>
  <c r="P1157" i="8"/>
  <c r="O1157" i="8"/>
  <c r="N1157" i="8"/>
  <c r="M1157" i="8"/>
  <c r="L1157" i="8"/>
  <c r="K1157" i="8"/>
  <c r="J1157" i="8"/>
  <c r="I1157" i="8"/>
  <c r="H1157" i="8"/>
  <c r="G1157" i="8"/>
  <c r="F1157" i="8"/>
  <c r="E1157" i="8"/>
  <c r="AC1156" i="8"/>
  <c r="Y116" i="4" s="1"/>
  <c r="AC1155" i="8"/>
  <c r="Y115" i="4" s="1"/>
  <c r="AC1154" i="8"/>
  <c r="Y114" i="4" s="1"/>
  <c r="AC1153" i="8"/>
  <c r="Y113" i="4" s="1"/>
  <c r="AC1152" i="8"/>
  <c r="Y112" i="4" s="1"/>
  <c r="AC1151" i="8"/>
  <c r="Y111" i="4" s="1"/>
  <c r="AC1150" i="8"/>
  <c r="Y110" i="4" s="1"/>
  <c r="AC1149" i="8"/>
  <c r="Y109" i="4" s="1"/>
  <c r="AC1148" i="8"/>
  <c r="Y108" i="4" s="1"/>
  <c r="AC1147" i="8"/>
  <c r="Y107" i="4" s="1"/>
  <c r="AC1146" i="8"/>
  <c r="Y106" i="4" s="1"/>
  <c r="AC1145" i="8"/>
  <c r="Y105" i="4" s="1"/>
  <c r="AC1144" i="8"/>
  <c r="Y104" i="4" s="1"/>
  <c r="AC1143" i="8"/>
  <c r="Y103" i="4" s="1"/>
  <c r="AC1142" i="8"/>
  <c r="Y102" i="4" s="1"/>
  <c r="AC1141" i="8"/>
  <c r="Y101" i="4" s="1"/>
  <c r="AC1140" i="8"/>
  <c r="Y100" i="4" s="1"/>
  <c r="AC1139" i="8"/>
  <c r="Y99" i="4" s="1"/>
  <c r="AC1138" i="8"/>
  <c r="Y98" i="4" s="1"/>
  <c r="AC1137" i="8"/>
  <c r="Y97" i="4" s="1"/>
  <c r="AC1136" i="8"/>
  <c r="Y96" i="4" s="1"/>
  <c r="AC1135" i="8"/>
  <c r="Y95" i="4" s="1"/>
  <c r="AC1134" i="8"/>
  <c r="Y94" i="4" s="1"/>
  <c r="AC1133" i="8"/>
  <c r="Y93" i="4" s="1"/>
  <c r="AC1132" i="8"/>
  <c r="Y92" i="4" s="1"/>
  <c r="AC1131" i="8"/>
  <c r="Y91" i="4" s="1"/>
  <c r="AC1130" i="8"/>
  <c r="Y90" i="4" s="1"/>
  <c r="AC1129" i="8"/>
  <c r="Y89" i="4" s="1"/>
  <c r="AC1128" i="8"/>
  <c r="Y88" i="4" s="1"/>
  <c r="AC1127" i="8"/>
  <c r="Y87" i="4" s="1"/>
  <c r="AC1126" i="8"/>
  <c r="Y86" i="4" s="1"/>
  <c r="AC1125" i="8"/>
  <c r="Y85" i="4" s="1"/>
  <c r="AC1124" i="8"/>
  <c r="Y84" i="4" s="1"/>
  <c r="AC1123" i="8"/>
  <c r="Y83" i="4" s="1"/>
  <c r="AC1122" i="8"/>
  <c r="Y82" i="4" s="1"/>
  <c r="AC1121" i="8"/>
  <c r="Y81" i="4" s="1"/>
  <c r="AC1120" i="8"/>
  <c r="Y80" i="4" s="1"/>
  <c r="AC1119" i="8"/>
  <c r="Y79" i="4" s="1"/>
  <c r="AC1118" i="8"/>
  <c r="Y78" i="4" s="1"/>
  <c r="AC1117" i="8"/>
  <c r="Y77" i="4" s="1"/>
  <c r="AC1116" i="8"/>
  <c r="Y76" i="4" s="1"/>
  <c r="AC1115" i="8"/>
  <c r="Y75" i="4" s="1"/>
  <c r="AC1114" i="8"/>
  <c r="Y74" i="4" s="1"/>
  <c r="AC1113" i="8"/>
  <c r="Y73" i="4" s="1"/>
  <c r="AC1112" i="8"/>
  <c r="Y72" i="4" s="1"/>
  <c r="AC1111" i="8"/>
  <c r="Y71" i="4" s="1"/>
  <c r="AC1110" i="8"/>
  <c r="Y70" i="4" s="1"/>
  <c r="AC1109" i="8"/>
  <c r="Y69" i="4" s="1"/>
  <c r="AC1108" i="8"/>
  <c r="Y68" i="4" s="1"/>
  <c r="AB1102" i="8"/>
  <c r="AA1102" i="8"/>
  <c r="Z1102" i="8"/>
  <c r="Y1102" i="8"/>
  <c r="X1102" i="8"/>
  <c r="W1102" i="8"/>
  <c r="V1102" i="8"/>
  <c r="U1102" i="8"/>
  <c r="T1102" i="8"/>
  <c r="S1102" i="8"/>
  <c r="R1102" i="8"/>
  <c r="Q1102" i="8"/>
  <c r="P1102" i="8"/>
  <c r="O1102" i="8"/>
  <c r="N1102" i="8"/>
  <c r="M1102" i="8"/>
  <c r="L1102" i="8"/>
  <c r="K1102" i="8"/>
  <c r="J1102" i="8"/>
  <c r="I1102" i="8"/>
  <c r="H1102" i="8"/>
  <c r="G1102" i="8"/>
  <c r="F1102" i="8"/>
  <c r="E1102" i="8"/>
  <c r="AC1101" i="8"/>
  <c r="X116" i="4" s="1"/>
  <c r="AC1100" i="8"/>
  <c r="X115" i="4" s="1"/>
  <c r="AC1099" i="8"/>
  <c r="X114" i="4" s="1"/>
  <c r="AC1098" i="8"/>
  <c r="X113" i="4" s="1"/>
  <c r="AC1097" i="8"/>
  <c r="X112" i="4" s="1"/>
  <c r="AC1096" i="8"/>
  <c r="X111" i="4" s="1"/>
  <c r="AC1095" i="8"/>
  <c r="X110" i="4" s="1"/>
  <c r="AC1094" i="8"/>
  <c r="X109" i="4" s="1"/>
  <c r="AC1093" i="8"/>
  <c r="X108" i="4" s="1"/>
  <c r="AC1092" i="8"/>
  <c r="X107" i="4" s="1"/>
  <c r="AC1091" i="8"/>
  <c r="X106" i="4" s="1"/>
  <c r="AC1090" i="8"/>
  <c r="X105" i="4" s="1"/>
  <c r="AC1089" i="8"/>
  <c r="X104" i="4" s="1"/>
  <c r="AC1088" i="8"/>
  <c r="X103" i="4" s="1"/>
  <c r="AC1087" i="8"/>
  <c r="X102" i="4" s="1"/>
  <c r="AC1086" i="8"/>
  <c r="X101" i="4" s="1"/>
  <c r="AC1085" i="8"/>
  <c r="X100" i="4" s="1"/>
  <c r="AC1084" i="8"/>
  <c r="X99" i="4" s="1"/>
  <c r="AC1083" i="8"/>
  <c r="X98" i="4" s="1"/>
  <c r="AC1082" i="8"/>
  <c r="X97" i="4" s="1"/>
  <c r="AC1081" i="8"/>
  <c r="X96" i="4" s="1"/>
  <c r="AC1080" i="8"/>
  <c r="X95" i="4" s="1"/>
  <c r="AC1079" i="8"/>
  <c r="X94" i="4" s="1"/>
  <c r="AC1078" i="8"/>
  <c r="X93" i="4" s="1"/>
  <c r="AC1077" i="8"/>
  <c r="X92" i="4" s="1"/>
  <c r="AC1076" i="8"/>
  <c r="X91" i="4" s="1"/>
  <c r="AC1075" i="8"/>
  <c r="X90" i="4" s="1"/>
  <c r="AC1074" i="8"/>
  <c r="X89" i="4" s="1"/>
  <c r="AC1073" i="8"/>
  <c r="X88" i="4" s="1"/>
  <c r="AC1072" i="8"/>
  <c r="X87" i="4" s="1"/>
  <c r="AC1071" i="8"/>
  <c r="X86" i="4" s="1"/>
  <c r="AC1070" i="8"/>
  <c r="X85" i="4" s="1"/>
  <c r="AC1069" i="8"/>
  <c r="X84" i="4" s="1"/>
  <c r="AC1068" i="8"/>
  <c r="X83" i="4" s="1"/>
  <c r="AC1067" i="8"/>
  <c r="X82" i="4" s="1"/>
  <c r="AC1066" i="8"/>
  <c r="X81" i="4" s="1"/>
  <c r="AC1065" i="8"/>
  <c r="X80" i="4" s="1"/>
  <c r="AC1064" i="8"/>
  <c r="X79" i="4" s="1"/>
  <c r="AC1063" i="8"/>
  <c r="X78" i="4" s="1"/>
  <c r="AC1062" i="8"/>
  <c r="X77" i="4" s="1"/>
  <c r="AC1061" i="8"/>
  <c r="X76" i="4" s="1"/>
  <c r="AC1060" i="8"/>
  <c r="X75" i="4" s="1"/>
  <c r="AC1059" i="8"/>
  <c r="X74" i="4" s="1"/>
  <c r="AC1058" i="8"/>
  <c r="X73" i="4" s="1"/>
  <c r="AC1057" i="8"/>
  <c r="X72" i="4" s="1"/>
  <c r="AC1056" i="8"/>
  <c r="X71" i="4" s="1"/>
  <c r="AC1055" i="8"/>
  <c r="X70" i="4" s="1"/>
  <c r="AC1054" i="8"/>
  <c r="X69" i="4" s="1"/>
  <c r="AC1053" i="8"/>
  <c r="X68" i="4" s="1"/>
  <c r="AB1047" i="8"/>
  <c r="AA1047" i="8"/>
  <c r="Z1047" i="8"/>
  <c r="Y1047" i="8"/>
  <c r="X1047" i="8"/>
  <c r="W1047" i="8"/>
  <c r="V1047" i="8"/>
  <c r="U1047" i="8"/>
  <c r="T1047" i="8"/>
  <c r="S1047" i="8"/>
  <c r="R1047" i="8"/>
  <c r="Q1047" i="8"/>
  <c r="P1047" i="8"/>
  <c r="O1047" i="8"/>
  <c r="N1047" i="8"/>
  <c r="M1047" i="8"/>
  <c r="L1047" i="8"/>
  <c r="K1047" i="8"/>
  <c r="J1047" i="8"/>
  <c r="I1047" i="8"/>
  <c r="H1047" i="8"/>
  <c r="G1047" i="8"/>
  <c r="F1047" i="8"/>
  <c r="E1047" i="8"/>
  <c r="AC1046" i="8"/>
  <c r="W116" i="4" s="1"/>
  <c r="AC1045" i="8"/>
  <c r="W115" i="4" s="1"/>
  <c r="AC1044" i="8"/>
  <c r="W114" i="4" s="1"/>
  <c r="AC1043" i="8"/>
  <c r="W113" i="4" s="1"/>
  <c r="AC1042" i="8"/>
  <c r="W112" i="4" s="1"/>
  <c r="AC1041" i="8"/>
  <c r="W111" i="4" s="1"/>
  <c r="AC1040" i="8"/>
  <c r="W110" i="4" s="1"/>
  <c r="AC1039" i="8"/>
  <c r="W109" i="4" s="1"/>
  <c r="AC1038" i="8"/>
  <c r="W108" i="4" s="1"/>
  <c r="AC1037" i="8"/>
  <c r="W107" i="4" s="1"/>
  <c r="AC1036" i="8"/>
  <c r="W106" i="4" s="1"/>
  <c r="AC1035" i="8"/>
  <c r="W105" i="4" s="1"/>
  <c r="AC1034" i="8"/>
  <c r="W104" i="4" s="1"/>
  <c r="AC1033" i="8"/>
  <c r="W103" i="4" s="1"/>
  <c r="AC1032" i="8"/>
  <c r="W102" i="4" s="1"/>
  <c r="AC1031" i="8"/>
  <c r="W101" i="4" s="1"/>
  <c r="AC1030" i="8"/>
  <c r="W100" i="4" s="1"/>
  <c r="AC1029" i="8"/>
  <c r="W99" i="4" s="1"/>
  <c r="AC1028" i="8"/>
  <c r="W98" i="4" s="1"/>
  <c r="AC1027" i="8"/>
  <c r="W97" i="4" s="1"/>
  <c r="AC1026" i="8"/>
  <c r="W96" i="4" s="1"/>
  <c r="AC1025" i="8"/>
  <c r="W95" i="4" s="1"/>
  <c r="AC1024" i="8"/>
  <c r="W94" i="4" s="1"/>
  <c r="AC1023" i="8"/>
  <c r="W93" i="4" s="1"/>
  <c r="AC1022" i="8"/>
  <c r="W92" i="4" s="1"/>
  <c r="AC1021" i="8"/>
  <c r="W91" i="4" s="1"/>
  <c r="AC1020" i="8"/>
  <c r="W90" i="4" s="1"/>
  <c r="AC1019" i="8"/>
  <c r="W89" i="4" s="1"/>
  <c r="AC1018" i="8"/>
  <c r="W88" i="4" s="1"/>
  <c r="AC1017" i="8"/>
  <c r="W87" i="4" s="1"/>
  <c r="AC1016" i="8"/>
  <c r="W86" i="4" s="1"/>
  <c r="AC1015" i="8"/>
  <c r="W85" i="4" s="1"/>
  <c r="AC1014" i="8"/>
  <c r="W84" i="4" s="1"/>
  <c r="AC1013" i="8"/>
  <c r="W83" i="4" s="1"/>
  <c r="AC1012" i="8"/>
  <c r="W82" i="4" s="1"/>
  <c r="AC1011" i="8"/>
  <c r="W81" i="4" s="1"/>
  <c r="AC1010" i="8"/>
  <c r="W80" i="4" s="1"/>
  <c r="AC1009" i="8"/>
  <c r="W79" i="4" s="1"/>
  <c r="AC1008" i="8"/>
  <c r="W78" i="4" s="1"/>
  <c r="AC1007" i="8"/>
  <c r="W77" i="4" s="1"/>
  <c r="AC1006" i="8"/>
  <c r="W76" i="4" s="1"/>
  <c r="AC1005" i="8"/>
  <c r="W75" i="4" s="1"/>
  <c r="AC1004" i="8"/>
  <c r="W74" i="4" s="1"/>
  <c r="AC1003" i="8"/>
  <c r="W73" i="4" s="1"/>
  <c r="AC1002" i="8"/>
  <c r="W72" i="4" s="1"/>
  <c r="AC1001" i="8"/>
  <c r="W71" i="4" s="1"/>
  <c r="AC1000" i="8"/>
  <c r="W70" i="4" s="1"/>
  <c r="AC999" i="8"/>
  <c r="W69" i="4" s="1"/>
  <c r="AC998" i="8"/>
  <c r="W68" i="4" s="1"/>
  <c r="AB992" i="8"/>
  <c r="AA992" i="8"/>
  <c r="Z992" i="8"/>
  <c r="Y992" i="8"/>
  <c r="X992" i="8"/>
  <c r="W992" i="8"/>
  <c r="V992" i="8"/>
  <c r="U992" i="8"/>
  <c r="T992" i="8"/>
  <c r="S992" i="8"/>
  <c r="R992" i="8"/>
  <c r="Q992" i="8"/>
  <c r="P992" i="8"/>
  <c r="O992" i="8"/>
  <c r="N992" i="8"/>
  <c r="M992" i="8"/>
  <c r="L992" i="8"/>
  <c r="K992" i="8"/>
  <c r="J992" i="8"/>
  <c r="I992" i="8"/>
  <c r="H992" i="8"/>
  <c r="G992" i="8"/>
  <c r="F992" i="8"/>
  <c r="E992" i="8"/>
  <c r="AC991" i="8"/>
  <c r="V116" i="4" s="1"/>
  <c r="AC990" i="8"/>
  <c r="V115" i="4" s="1"/>
  <c r="AC989" i="8"/>
  <c r="V114" i="4" s="1"/>
  <c r="AC988" i="8"/>
  <c r="V113" i="4" s="1"/>
  <c r="AC987" i="8"/>
  <c r="V112" i="4" s="1"/>
  <c r="AC986" i="8"/>
  <c r="V111" i="4" s="1"/>
  <c r="AC985" i="8"/>
  <c r="V110" i="4" s="1"/>
  <c r="AC984" i="8"/>
  <c r="V109" i="4" s="1"/>
  <c r="AC983" i="8"/>
  <c r="V108" i="4" s="1"/>
  <c r="AC982" i="8"/>
  <c r="V107" i="4" s="1"/>
  <c r="AC981" i="8"/>
  <c r="V106" i="4" s="1"/>
  <c r="AC980" i="8"/>
  <c r="V105" i="4" s="1"/>
  <c r="AC979" i="8"/>
  <c r="V104" i="4" s="1"/>
  <c r="AC978" i="8"/>
  <c r="V103" i="4" s="1"/>
  <c r="AC977" i="8"/>
  <c r="V102" i="4" s="1"/>
  <c r="AC976" i="8"/>
  <c r="V101" i="4" s="1"/>
  <c r="AC975" i="8"/>
  <c r="V100" i="4" s="1"/>
  <c r="AC974" i="8"/>
  <c r="V99" i="4" s="1"/>
  <c r="AC973" i="8"/>
  <c r="V98" i="4" s="1"/>
  <c r="AC972" i="8"/>
  <c r="V97" i="4" s="1"/>
  <c r="AC971" i="8"/>
  <c r="V96" i="4" s="1"/>
  <c r="AC970" i="8"/>
  <c r="V95" i="4" s="1"/>
  <c r="AC969" i="8"/>
  <c r="V94" i="4" s="1"/>
  <c r="AC968" i="8"/>
  <c r="V93" i="4" s="1"/>
  <c r="AC967" i="8"/>
  <c r="V92" i="4" s="1"/>
  <c r="AC966" i="8"/>
  <c r="V91" i="4" s="1"/>
  <c r="AC965" i="8"/>
  <c r="V90" i="4" s="1"/>
  <c r="AC964" i="8"/>
  <c r="V89" i="4" s="1"/>
  <c r="AC963" i="8"/>
  <c r="V88" i="4" s="1"/>
  <c r="AC962" i="8"/>
  <c r="V87" i="4" s="1"/>
  <c r="AC961" i="8"/>
  <c r="V86" i="4" s="1"/>
  <c r="AC960" i="8"/>
  <c r="V85" i="4" s="1"/>
  <c r="AC959" i="8"/>
  <c r="V84" i="4" s="1"/>
  <c r="AC958" i="8"/>
  <c r="V83" i="4" s="1"/>
  <c r="AC957" i="8"/>
  <c r="V82" i="4" s="1"/>
  <c r="AC956" i="8"/>
  <c r="V81" i="4" s="1"/>
  <c r="AC955" i="8"/>
  <c r="V80" i="4" s="1"/>
  <c r="AC954" i="8"/>
  <c r="V79" i="4" s="1"/>
  <c r="AC953" i="8"/>
  <c r="V78" i="4" s="1"/>
  <c r="AC952" i="8"/>
  <c r="V77" i="4" s="1"/>
  <c r="AC951" i="8"/>
  <c r="V76" i="4" s="1"/>
  <c r="AC950" i="8"/>
  <c r="V75" i="4" s="1"/>
  <c r="AC949" i="8"/>
  <c r="V74" i="4" s="1"/>
  <c r="AC948" i="8"/>
  <c r="V73" i="4" s="1"/>
  <c r="AC947" i="8"/>
  <c r="V72" i="4" s="1"/>
  <c r="AC946" i="8"/>
  <c r="V71" i="4" s="1"/>
  <c r="AC945" i="8"/>
  <c r="V70" i="4" s="1"/>
  <c r="AC944" i="8"/>
  <c r="V69" i="4" s="1"/>
  <c r="AC943" i="8"/>
  <c r="V68" i="4" s="1"/>
  <c r="AB937" i="8"/>
  <c r="AA937" i="8"/>
  <c r="Z937" i="8"/>
  <c r="Y937" i="8"/>
  <c r="X937" i="8"/>
  <c r="W937" i="8"/>
  <c r="V937" i="8"/>
  <c r="U937" i="8"/>
  <c r="T937" i="8"/>
  <c r="S937" i="8"/>
  <c r="R937" i="8"/>
  <c r="Q937" i="8"/>
  <c r="P937" i="8"/>
  <c r="O937" i="8"/>
  <c r="N937" i="8"/>
  <c r="M937" i="8"/>
  <c r="L937" i="8"/>
  <c r="K937" i="8"/>
  <c r="J937" i="8"/>
  <c r="I937" i="8"/>
  <c r="H937" i="8"/>
  <c r="G937" i="8"/>
  <c r="F937" i="8"/>
  <c r="E937" i="8"/>
  <c r="AC936" i="8"/>
  <c r="U116" i="4" s="1"/>
  <c r="AC935" i="8"/>
  <c r="U115" i="4" s="1"/>
  <c r="AC934" i="8"/>
  <c r="U114" i="4" s="1"/>
  <c r="AC933" i="8"/>
  <c r="U113" i="4" s="1"/>
  <c r="AC932" i="8"/>
  <c r="U112" i="4" s="1"/>
  <c r="AC931" i="8"/>
  <c r="U111" i="4" s="1"/>
  <c r="AC930" i="8"/>
  <c r="U110" i="4" s="1"/>
  <c r="AC929" i="8"/>
  <c r="U109" i="4" s="1"/>
  <c r="AC928" i="8"/>
  <c r="U108" i="4" s="1"/>
  <c r="AC927" i="8"/>
  <c r="U107" i="4" s="1"/>
  <c r="AC926" i="8"/>
  <c r="U106" i="4" s="1"/>
  <c r="AC925" i="8"/>
  <c r="U105" i="4" s="1"/>
  <c r="AC924" i="8"/>
  <c r="U104" i="4" s="1"/>
  <c r="AC923" i="8"/>
  <c r="U103" i="4" s="1"/>
  <c r="AC922" i="8"/>
  <c r="U102" i="4" s="1"/>
  <c r="AC921" i="8"/>
  <c r="U101" i="4" s="1"/>
  <c r="AC920" i="8"/>
  <c r="U100" i="4" s="1"/>
  <c r="AC919" i="8"/>
  <c r="U99" i="4" s="1"/>
  <c r="AC918" i="8"/>
  <c r="U98" i="4" s="1"/>
  <c r="AC917" i="8"/>
  <c r="U97" i="4" s="1"/>
  <c r="AC916" i="8"/>
  <c r="U96" i="4" s="1"/>
  <c r="AC915" i="8"/>
  <c r="U95" i="4" s="1"/>
  <c r="AC914" i="8"/>
  <c r="U94" i="4" s="1"/>
  <c r="AC913" i="8"/>
  <c r="U93" i="4" s="1"/>
  <c r="AC912" i="8"/>
  <c r="U92" i="4" s="1"/>
  <c r="AC911" i="8"/>
  <c r="U91" i="4" s="1"/>
  <c r="AC910" i="8"/>
  <c r="U90" i="4" s="1"/>
  <c r="AC909" i="8"/>
  <c r="U89" i="4" s="1"/>
  <c r="AC908" i="8"/>
  <c r="U88" i="4" s="1"/>
  <c r="AC907" i="8"/>
  <c r="U87" i="4" s="1"/>
  <c r="AC906" i="8"/>
  <c r="U86" i="4" s="1"/>
  <c r="AC905" i="8"/>
  <c r="U85" i="4" s="1"/>
  <c r="AC904" i="8"/>
  <c r="U84" i="4" s="1"/>
  <c r="AC903" i="8"/>
  <c r="U83" i="4" s="1"/>
  <c r="AC902" i="8"/>
  <c r="U82" i="4" s="1"/>
  <c r="AC901" i="8"/>
  <c r="U81" i="4" s="1"/>
  <c r="AC900" i="8"/>
  <c r="U80" i="4" s="1"/>
  <c r="AC899" i="8"/>
  <c r="U79" i="4" s="1"/>
  <c r="AC898" i="8"/>
  <c r="U78" i="4" s="1"/>
  <c r="AC897" i="8"/>
  <c r="U77" i="4" s="1"/>
  <c r="AC896" i="8"/>
  <c r="U76" i="4" s="1"/>
  <c r="AC895" i="8"/>
  <c r="U75" i="4" s="1"/>
  <c r="AC894" i="8"/>
  <c r="U74" i="4" s="1"/>
  <c r="AC893" i="8"/>
  <c r="U73" i="4" s="1"/>
  <c r="AC892" i="8"/>
  <c r="U72" i="4" s="1"/>
  <c r="AC891" i="8"/>
  <c r="U71" i="4" s="1"/>
  <c r="AC890" i="8"/>
  <c r="U70" i="4" s="1"/>
  <c r="AC889" i="8"/>
  <c r="U69" i="4" s="1"/>
  <c r="AC888" i="8"/>
  <c r="U68" i="4" s="1"/>
  <c r="AB882" i="8"/>
  <c r="AA882" i="8"/>
  <c r="Z882" i="8"/>
  <c r="Y882" i="8"/>
  <c r="X882" i="8"/>
  <c r="W882" i="8"/>
  <c r="V882" i="8"/>
  <c r="U882" i="8"/>
  <c r="T882" i="8"/>
  <c r="S882" i="8"/>
  <c r="R882" i="8"/>
  <c r="Q882" i="8"/>
  <c r="P882" i="8"/>
  <c r="O882" i="8"/>
  <c r="N882" i="8"/>
  <c r="M882" i="8"/>
  <c r="L882" i="8"/>
  <c r="K882" i="8"/>
  <c r="J882" i="8"/>
  <c r="I882" i="8"/>
  <c r="H882" i="8"/>
  <c r="G882" i="8"/>
  <c r="F882" i="8"/>
  <c r="E882" i="8"/>
  <c r="AC881" i="8"/>
  <c r="T116" i="4" s="1"/>
  <c r="AC880" i="8"/>
  <c r="T115" i="4" s="1"/>
  <c r="AC879" i="8"/>
  <c r="T114" i="4" s="1"/>
  <c r="AC878" i="8"/>
  <c r="T113" i="4" s="1"/>
  <c r="AC877" i="8"/>
  <c r="T112" i="4" s="1"/>
  <c r="AC876" i="8"/>
  <c r="T111" i="4" s="1"/>
  <c r="AC875" i="8"/>
  <c r="T110" i="4" s="1"/>
  <c r="AC874" i="8"/>
  <c r="T109" i="4" s="1"/>
  <c r="AC873" i="8"/>
  <c r="T108" i="4" s="1"/>
  <c r="AC872" i="8"/>
  <c r="T107" i="4" s="1"/>
  <c r="AC871" i="8"/>
  <c r="T106" i="4" s="1"/>
  <c r="AC870" i="8"/>
  <c r="T105" i="4" s="1"/>
  <c r="AC869" i="8"/>
  <c r="T104" i="4" s="1"/>
  <c r="AC868" i="8"/>
  <c r="T103" i="4" s="1"/>
  <c r="AC867" i="8"/>
  <c r="T102" i="4" s="1"/>
  <c r="AC866" i="8"/>
  <c r="T101" i="4" s="1"/>
  <c r="AC865" i="8"/>
  <c r="T100" i="4" s="1"/>
  <c r="AC864" i="8"/>
  <c r="T99" i="4" s="1"/>
  <c r="AC863" i="8"/>
  <c r="T98" i="4" s="1"/>
  <c r="AC862" i="8"/>
  <c r="T97" i="4" s="1"/>
  <c r="AC861" i="8"/>
  <c r="T96" i="4" s="1"/>
  <c r="AC860" i="8"/>
  <c r="T95" i="4" s="1"/>
  <c r="AC859" i="8"/>
  <c r="T94" i="4" s="1"/>
  <c r="AC858" i="8"/>
  <c r="T93" i="4" s="1"/>
  <c r="AC857" i="8"/>
  <c r="T92" i="4" s="1"/>
  <c r="AC856" i="8"/>
  <c r="T91" i="4" s="1"/>
  <c r="AC855" i="8"/>
  <c r="T90" i="4" s="1"/>
  <c r="AC854" i="8"/>
  <c r="T89" i="4" s="1"/>
  <c r="AC853" i="8"/>
  <c r="T88" i="4" s="1"/>
  <c r="AC852" i="8"/>
  <c r="T87" i="4" s="1"/>
  <c r="AC851" i="8"/>
  <c r="T86" i="4" s="1"/>
  <c r="AC850" i="8"/>
  <c r="T85" i="4" s="1"/>
  <c r="AC849" i="8"/>
  <c r="T84" i="4" s="1"/>
  <c r="AC848" i="8"/>
  <c r="T83" i="4" s="1"/>
  <c r="AC847" i="8"/>
  <c r="T82" i="4" s="1"/>
  <c r="AC846" i="8"/>
  <c r="T81" i="4" s="1"/>
  <c r="AC845" i="8"/>
  <c r="T80" i="4" s="1"/>
  <c r="AC844" i="8"/>
  <c r="T79" i="4" s="1"/>
  <c r="AC843" i="8"/>
  <c r="T78" i="4" s="1"/>
  <c r="AC842" i="8"/>
  <c r="T77" i="4" s="1"/>
  <c r="AC841" i="8"/>
  <c r="T76" i="4" s="1"/>
  <c r="AC840" i="8"/>
  <c r="T75" i="4" s="1"/>
  <c r="AC839" i="8"/>
  <c r="T74" i="4" s="1"/>
  <c r="AC838" i="8"/>
  <c r="T73" i="4" s="1"/>
  <c r="AC837" i="8"/>
  <c r="T72" i="4" s="1"/>
  <c r="AC836" i="8"/>
  <c r="T71" i="4" s="1"/>
  <c r="AC835" i="8"/>
  <c r="T70" i="4" s="1"/>
  <c r="AC834" i="8"/>
  <c r="T69" i="4" s="1"/>
  <c r="AC833" i="8"/>
  <c r="T68" i="4" s="1"/>
  <c r="AB827" i="8"/>
  <c r="AA827" i="8"/>
  <c r="Z827" i="8"/>
  <c r="Y827" i="8"/>
  <c r="X827" i="8"/>
  <c r="W827" i="8"/>
  <c r="V827" i="8"/>
  <c r="U827" i="8"/>
  <c r="T827" i="8"/>
  <c r="S827" i="8"/>
  <c r="R827" i="8"/>
  <c r="Q827" i="8"/>
  <c r="P827" i="8"/>
  <c r="O827" i="8"/>
  <c r="N827" i="8"/>
  <c r="M827" i="8"/>
  <c r="L827" i="8"/>
  <c r="K827" i="8"/>
  <c r="J827" i="8"/>
  <c r="I827" i="8"/>
  <c r="H827" i="8"/>
  <c r="G827" i="8"/>
  <c r="F827" i="8"/>
  <c r="E827" i="8"/>
  <c r="AC826" i="8"/>
  <c r="S116" i="4" s="1"/>
  <c r="AC825" i="8"/>
  <c r="S115" i="4" s="1"/>
  <c r="AC824" i="8"/>
  <c r="S114" i="4" s="1"/>
  <c r="AC823" i="8"/>
  <c r="S113" i="4" s="1"/>
  <c r="AC822" i="8"/>
  <c r="S112" i="4" s="1"/>
  <c r="AC821" i="8"/>
  <c r="S111" i="4" s="1"/>
  <c r="AC820" i="8"/>
  <c r="S110" i="4" s="1"/>
  <c r="AC819" i="8"/>
  <c r="S109" i="4" s="1"/>
  <c r="AC818" i="8"/>
  <c r="S108" i="4" s="1"/>
  <c r="AC817" i="8"/>
  <c r="S107" i="4" s="1"/>
  <c r="AC816" i="8"/>
  <c r="S106" i="4" s="1"/>
  <c r="AC815" i="8"/>
  <c r="S105" i="4" s="1"/>
  <c r="AC814" i="8"/>
  <c r="S104" i="4" s="1"/>
  <c r="AC813" i="8"/>
  <c r="S103" i="4" s="1"/>
  <c r="AC812" i="8"/>
  <c r="S102" i="4" s="1"/>
  <c r="AC811" i="8"/>
  <c r="S101" i="4" s="1"/>
  <c r="AC810" i="8"/>
  <c r="S100" i="4" s="1"/>
  <c r="AC809" i="8"/>
  <c r="S99" i="4" s="1"/>
  <c r="AC808" i="8"/>
  <c r="S98" i="4" s="1"/>
  <c r="AC807" i="8"/>
  <c r="S97" i="4" s="1"/>
  <c r="AC806" i="8"/>
  <c r="S96" i="4" s="1"/>
  <c r="AC805" i="8"/>
  <c r="S95" i="4" s="1"/>
  <c r="AC804" i="8"/>
  <c r="S94" i="4" s="1"/>
  <c r="AC803" i="8"/>
  <c r="S93" i="4" s="1"/>
  <c r="AC802" i="8"/>
  <c r="S92" i="4" s="1"/>
  <c r="AC801" i="8"/>
  <c r="S91" i="4" s="1"/>
  <c r="AC800" i="8"/>
  <c r="S90" i="4" s="1"/>
  <c r="AC799" i="8"/>
  <c r="S89" i="4" s="1"/>
  <c r="AC798" i="8"/>
  <c r="S88" i="4" s="1"/>
  <c r="AC797" i="8"/>
  <c r="S87" i="4" s="1"/>
  <c r="AC796" i="8"/>
  <c r="S86" i="4" s="1"/>
  <c r="AC795" i="8"/>
  <c r="S85" i="4" s="1"/>
  <c r="AC794" i="8"/>
  <c r="S84" i="4" s="1"/>
  <c r="AC793" i="8"/>
  <c r="S83" i="4" s="1"/>
  <c r="AC792" i="8"/>
  <c r="S82" i="4" s="1"/>
  <c r="AC791" i="8"/>
  <c r="S81" i="4" s="1"/>
  <c r="AC790" i="8"/>
  <c r="S80" i="4" s="1"/>
  <c r="AC789" i="8"/>
  <c r="S79" i="4" s="1"/>
  <c r="AC788" i="8"/>
  <c r="S78" i="4" s="1"/>
  <c r="AC787" i="8"/>
  <c r="S77" i="4" s="1"/>
  <c r="AC786" i="8"/>
  <c r="S76" i="4" s="1"/>
  <c r="AC785" i="8"/>
  <c r="S75" i="4" s="1"/>
  <c r="AC784" i="8"/>
  <c r="S74" i="4" s="1"/>
  <c r="AC783" i="8"/>
  <c r="S73" i="4" s="1"/>
  <c r="AC782" i="8"/>
  <c r="S72" i="4" s="1"/>
  <c r="AC781" i="8"/>
  <c r="S71" i="4" s="1"/>
  <c r="AC780" i="8"/>
  <c r="S70" i="4" s="1"/>
  <c r="AC779" i="8"/>
  <c r="S69" i="4" s="1"/>
  <c r="AC778" i="8"/>
  <c r="S68" i="4" s="1"/>
  <c r="AB772" i="8"/>
  <c r="AA772" i="8"/>
  <c r="Z772" i="8"/>
  <c r="Y772" i="8"/>
  <c r="X772" i="8"/>
  <c r="W772" i="8"/>
  <c r="V772" i="8"/>
  <c r="U772" i="8"/>
  <c r="T772" i="8"/>
  <c r="S772" i="8"/>
  <c r="R772" i="8"/>
  <c r="Q772" i="8"/>
  <c r="P772" i="8"/>
  <c r="O772" i="8"/>
  <c r="N772" i="8"/>
  <c r="M772" i="8"/>
  <c r="L772" i="8"/>
  <c r="K772" i="8"/>
  <c r="J772" i="8"/>
  <c r="I772" i="8"/>
  <c r="H772" i="8"/>
  <c r="G772" i="8"/>
  <c r="F772" i="8"/>
  <c r="E772" i="8"/>
  <c r="AC771" i="8"/>
  <c r="R116" i="4" s="1"/>
  <c r="AC770" i="8"/>
  <c r="R115" i="4" s="1"/>
  <c r="AC769" i="8"/>
  <c r="R114" i="4" s="1"/>
  <c r="AC768" i="8"/>
  <c r="R113" i="4" s="1"/>
  <c r="AC767" i="8"/>
  <c r="R112" i="4" s="1"/>
  <c r="AC766" i="8"/>
  <c r="R111" i="4" s="1"/>
  <c r="AC765" i="8"/>
  <c r="R110" i="4" s="1"/>
  <c r="AC764" i="8"/>
  <c r="R109" i="4" s="1"/>
  <c r="AC763" i="8"/>
  <c r="R108" i="4" s="1"/>
  <c r="AC762" i="8"/>
  <c r="R107" i="4" s="1"/>
  <c r="AC761" i="8"/>
  <c r="R106" i="4" s="1"/>
  <c r="AC760" i="8"/>
  <c r="R105" i="4" s="1"/>
  <c r="AC759" i="8"/>
  <c r="R104" i="4" s="1"/>
  <c r="AC758" i="8"/>
  <c r="R103" i="4" s="1"/>
  <c r="AC757" i="8"/>
  <c r="R102" i="4" s="1"/>
  <c r="AC756" i="8"/>
  <c r="R101" i="4" s="1"/>
  <c r="AC755" i="8"/>
  <c r="R100" i="4" s="1"/>
  <c r="AC754" i="8"/>
  <c r="R99" i="4" s="1"/>
  <c r="AC753" i="8"/>
  <c r="R98" i="4" s="1"/>
  <c r="AC752" i="8"/>
  <c r="R97" i="4" s="1"/>
  <c r="AC751" i="8"/>
  <c r="R96" i="4" s="1"/>
  <c r="AC750" i="8"/>
  <c r="R95" i="4" s="1"/>
  <c r="AC749" i="8"/>
  <c r="R94" i="4" s="1"/>
  <c r="AC748" i="8"/>
  <c r="R93" i="4" s="1"/>
  <c r="AC747" i="8"/>
  <c r="R92" i="4" s="1"/>
  <c r="AC746" i="8"/>
  <c r="R91" i="4" s="1"/>
  <c r="AC745" i="8"/>
  <c r="R90" i="4" s="1"/>
  <c r="AC744" i="8"/>
  <c r="R89" i="4" s="1"/>
  <c r="AC743" i="8"/>
  <c r="R88" i="4" s="1"/>
  <c r="AC742" i="8"/>
  <c r="R87" i="4" s="1"/>
  <c r="AC741" i="8"/>
  <c r="R86" i="4" s="1"/>
  <c r="AC740" i="8"/>
  <c r="R85" i="4" s="1"/>
  <c r="AC739" i="8"/>
  <c r="R84" i="4" s="1"/>
  <c r="AC738" i="8"/>
  <c r="R83" i="4" s="1"/>
  <c r="AC737" i="8"/>
  <c r="R82" i="4" s="1"/>
  <c r="AC736" i="8"/>
  <c r="R81" i="4" s="1"/>
  <c r="AC735" i="8"/>
  <c r="R80" i="4" s="1"/>
  <c r="AC734" i="8"/>
  <c r="R79" i="4" s="1"/>
  <c r="AC733" i="8"/>
  <c r="R78" i="4" s="1"/>
  <c r="AC732" i="8"/>
  <c r="R77" i="4" s="1"/>
  <c r="AC731" i="8"/>
  <c r="R76" i="4" s="1"/>
  <c r="AC730" i="8"/>
  <c r="R75" i="4" s="1"/>
  <c r="AC729" i="8"/>
  <c r="R74" i="4" s="1"/>
  <c r="AC728" i="8"/>
  <c r="R73" i="4" s="1"/>
  <c r="AC727" i="8"/>
  <c r="R72" i="4" s="1"/>
  <c r="AC726" i="8"/>
  <c r="R71" i="4" s="1"/>
  <c r="AC725" i="8"/>
  <c r="R70" i="4" s="1"/>
  <c r="AC724" i="8"/>
  <c r="R69" i="4" s="1"/>
  <c r="AC723" i="8"/>
  <c r="R68" i="4" s="1"/>
  <c r="AB717" i="8"/>
  <c r="AA717" i="8"/>
  <c r="Z717" i="8"/>
  <c r="Y717" i="8"/>
  <c r="X717" i="8"/>
  <c r="W717" i="8"/>
  <c r="V717" i="8"/>
  <c r="U717" i="8"/>
  <c r="T717" i="8"/>
  <c r="S717" i="8"/>
  <c r="R717" i="8"/>
  <c r="Q717" i="8"/>
  <c r="P717" i="8"/>
  <c r="O717" i="8"/>
  <c r="N717" i="8"/>
  <c r="M717" i="8"/>
  <c r="L717" i="8"/>
  <c r="K717" i="8"/>
  <c r="J717" i="8"/>
  <c r="I717" i="8"/>
  <c r="H717" i="8"/>
  <c r="G717" i="8"/>
  <c r="F717" i="8"/>
  <c r="E717" i="8"/>
  <c r="AC716" i="8"/>
  <c r="Q116" i="4" s="1"/>
  <c r="AC715" i="8"/>
  <c r="Q115" i="4" s="1"/>
  <c r="AC714" i="8"/>
  <c r="Q114" i="4" s="1"/>
  <c r="AC713" i="8"/>
  <c r="Q113" i="4" s="1"/>
  <c r="AC712" i="8"/>
  <c r="Q112" i="4" s="1"/>
  <c r="AC711" i="8"/>
  <c r="Q111" i="4" s="1"/>
  <c r="AC710" i="8"/>
  <c r="Q110" i="4" s="1"/>
  <c r="AC709" i="8"/>
  <c r="Q109" i="4" s="1"/>
  <c r="AC708" i="8"/>
  <c r="Q108" i="4" s="1"/>
  <c r="AC707" i="8"/>
  <c r="Q107" i="4" s="1"/>
  <c r="AC706" i="8"/>
  <c r="Q106" i="4" s="1"/>
  <c r="AC705" i="8"/>
  <c r="Q105" i="4" s="1"/>
  <c r="AC704" i="8"/>
  <c r="Q104" i="4" s="1"/>
  <c r="AC703" i="8"/>
  <c r="Q103" i="4" s="1"/>
  <c r="AC702" i="8"/>
  <c r="Q102" i="4" s="1"/>
  <c r="AC701" i="8"/>
  <c r="Q101" i="4" s="1"/>
  <c r="AC700" i="8"/>
  <c r="Q100" i="4" s="1"/>
  <c r="AC699" i="8"/>
  <c r="Q99" i="4" s="1"/>
  <c r="AC698" i="8"/>
  <c r="Q98" i="4" s="1"/>
  <c r="AC697" i="8"/>
  <c r="Q97" i="4" s="1"/>
  <c r="AC696" i="8"/>
  <c r="Q96" i="4" s="1"/>
  <c r="AC695" i="8"/>
  <c r="Q95" i="4" s="1"/>
  <c r="AC694" i="8"/>
  <c r="Q94" i="4" s="1"/>
  <c r="AC693" i="8"/>
  <c r="Q93" i="4" s="1"/>
  <c r="AC692" i="8"/>
  <c r="Q92" i="4" s="1"/>
  <c r="AC691" i="8"/>
  <c r="Q91" i="4" s="1"/>
  <c r="AC690" i="8"/>
  <c r="Q90" i="4" s="1"/>
  <c r="AC689" i="8"/>
  <c r="Q89" i="4" s="1"/>
  <c r="AC688" i="8"/>
  <c r="Q88" i="4" s="1"/>
  <c r="AC687" i="8"/>
  <c r="Q87" i="4" s="1"/>
  <c r="AC686" i="8"/>
  <c r="Q86" i="4" s="1"/>
  <c r="AC685" i="8"/>
  <c r="Q85" i="4" s="1"/>
  <c r="AC684" i="8"/>
  <c r="Q84" i="4" s="1"/>
  <c r="AC683" i="8"/>
  <c r="Q83" i="4" s="1"/>
  <c r="AC682" i="8"/>
  <c r="Q82" i="4" s="1"/>
  <c r="AC681" i="8"/>
  <c r="Q81" i="4" s="1"/>
  <c r="AC680" i="8"/>
  <c r="Q80" i="4" s="1"/>
  <c r="AC679" i="8"/>
  <c r="Q79" i="4" s="1"/>
  <c r="AC678" i="8"/>
  <c r="Q78" i="4" s="1"/>
  <c r="AC677" i="8"/>
  <c r="Q77" i="4" s="1"/>
  <c r="AC676" i="8"/>
  <c r="Q76" i="4" s="1"/>
  <c r="AC675" i="8"/>
  <c r="Q75" i="4" s="1"/>
  <c r="AC674" i="8"/>
  <c r="Q74" i="4" s="1"/>
  <c r="AC673" i="8"/>
  <c r="Q73" i="4" s="1"/>
  <c r="AC672" i="8"/>
  <c r="Q72" i="4" s="1"/>
  <c r="AC671" i="8"/>
  <c r="Q71" i="4" s="1"/>
  <c r="AC670" i="8"/>
  <c r="Q70" i="4" s="1"/>
  <c r="AC669" i="8"/>
  <c r="Q69" i="4" s="1"/>
  <c r="AC668" i="8"/>
  <c r="Q68" i="4" s="1"/>
  <c r="AB662" i="8"/>
  <c r="AA662" i="8"/>
  <c r="Z662" i="8"/>
  <c r="Y662" i="8"/>
  <c r="X662" i="8"/>
  <c r="W662" i="8"/>
  <c r="V662" i="8"/>
  <c r="U662" i="8"/>
  <c r="T662" i="8"/>
  <c r="S662" i="8"/>
  <c r="R662" i="8"/>
  <c r="Q662" i="8"/>
  <c r="P662" i="8"/>
  <c r="O662" i="8"/>
  <c r="N662" i="8"/>
  <c r="M662" i="8"/>
  <c r="L662" i="8"/>
  <c r="K662" i="8"/>
  <c r="J662" i="8"/>
  <c r="I662" i="8"/>
  <c r="H662" i="8"/>
  <c r="G662" i="8"/>
  <c r="F662" i="8"/>
  <c r="E662" i="8"/>
  <c r="AC661" i="8"/>
  <c r="P116" i="4" s="1"/>
  <c r="AC660" i="8"/>
  <c r="P115" i="4" s="1"/>
  <c r="AC659" i="8"/>
  <c r="P114" i="4" s="1"/>
  <c r="AC658" i="8"/>
  <c r="P113" i="4" s="1"/>
  <c r="AC657" i="8"/>
  <c r="P112" i="4" s="1"/>
  <c r="AC656" i="8"/>
  <c r="P111" i="4" s="1"/>
  <c r="AC655" i="8"/>
  <c r="P110" i="4" s="1"/>
  <c r="AC654" i="8"/>
  <c r="P109" i="4" s="1"/>
  <c r="AC653" i="8"/>
  <c r="P108" i="4" s="1"/>
  <c r="AC652" i="8"/>
  <c r="P107" i="4" s="1"/>
  <c r="AC651" i="8"/>
  <c r="P106" i="4" s="1"/>
  <c r="AC650" i="8"/>
  <c r="P105" i="4" s="1"/>
  <c r="AC649" i="8"/>
  <c r="P104" i="4" s="1"/>
  <c r="AC648" i="8"/>
  <c r="P103" i="4" s="1"/>
  <c r="AC647" i="8"/>
  <c r="P102" i="4" s="1"/>
  <c r="AC646" i="8"/>
  <c r="P101" i="4" s="1"/>
  <c r="AC645" i="8"/>
  <c r="P100" i="4" s="1"/>
  <c r="AC644" i="8"/>
  <c r="P99" i="4" s="1"/>
  <c r="AC643" i="8"/>
  <c r="P98" i="4" s="1"/>
  <c r="AC642" i="8"/>
  <c r="P97" i="4" s="1"/>
  <c r="AC641" i="8"/>
  <c r="P96" i="4" s="1"/>
  <c r="AC640" i="8"/>
  <c r="P95" i="4" s="1"/>
  <c r="AC639" i="8"/>
  <c r="P94" i="4" s="1"/>
  <c r="AC638" i="8"/>
  <c r="P93" i="4" s="1"/>
  <c r="AC637" i="8"/>
  <c r="P92" i="4" s="1"/>
  <c r="AC636" i="8"/>
  <c r="P91" i="4" s="1"/>
  <c r="AC635" i="8"/>
  <c r="P90" i="4" s="1"/>
  <c r="AC634" i="8"/>
  <c r="P89" i="4" s="1"/>
  <c r="AC633" i="8"/>
  <c r="P88" i="4" s="1"/>
  <c r="AC632" i="8"/>
  <c r="P87" i="4" s="1"/>
  <c r="AC631" i="8"/>
  <c r="P86" i="4" s="1"/>
  <c r="AC630" i="8"/>
  <c r="P85" i="4" s="1"/>
  <c r="AC629" i="8"/>
  <c r="P84" i="4" s="1"/>
  <c r="AC628" i="8"/>
  <c r="P83" i="4" s="1"/>
  <c r="AC627" i="8"/>
  <c r="P82" i="4" s="1"/>
  <c r="AC626" i="8"/>
  <c r="P81" i="4" s="1"/>
  <c r="AC625" i="8"/>
  <c r="P80" i="4" s="1"/>
  <c r="AC624" i="8"/>
  <c r="P79" i="4" s="1"/>
  <c r="AC623" i="8"/>
  <c r="P78" i="4" s="1"/>
  <c r="AC622" i="8"/>
  <c r="P77" i="4" s="1"/>
  <c r="AC621" i="8"/>
  <c r="P76" i="4" s="1"/>
  <c r="AC620" i="8"/>
  <c r="P75" i="4" s="1"/>
  <c r="AC619" i="8"/>
  <c r="P74" i="4" s="1"/>
  <c r="AC618" i="8"/>
  <c r="P73" i="4" s="1"/>
  <c r="AC617" i="8"/>
  <c r="P72" i="4" s="1"/>
  <c r="AC616" i="8"/>
  <c r="P71" i="4" s="1"/>
  <c r="AC615" i="8"/>
  <c r="P70" i="4" s="1"/>
  <c r="AC614" i="8"/>
  <c r="P69" i="4" s="1"/>
  <c r="AC613" i="8"/>
  <c r="P68" i="4" s="1"/>
  <c r="AB607" i="8"/>
  <c r="AA607" i="8"/>
  <c r="Z607" i="8"/>
  <c r="Y607" i="8"/>
  <c r="X607" i="8"/>
  <c r="W607" i="8"/>
  <c r="V607" i="8"/>
  <c r="U607" i="8"/>
  <c r="T607" i="8"/>
  <c r="S607" i="8"/>
  <c r="R607" i="8"/>
  <c r="Q607" i="8"/>
  <c r="P607" i="8"/>
  <c r="O607" i="8"/>
  <c r="N607" i="8"/>
  <c r="M607" i="8"/>
  <c r="L607" i="8"/>
  <c r="K607" i="8"/>
  <c r="J607" i="8"/>
  <c r="I607" i="8"/>
  <c r="H607" i="8"/>
  <c r="G607" i="8"/>
  <c r="F607" i="8"/>
  <c r="E607" i="8"/>
  <c r="AC606" i="8"/>
  <c r="O116" i="4" s="1"/>
  <c r="AC605" i="8"/>
  <c r="O115" i="4" s="1"/>
  <c r="AC604" i="8"/>
  <c r="O114" i="4" s="1"/>
  <c r="AC603" i="8"/>
  <c r="O113" i="4" s="1"/>
  <c r="AC602" i="8"/>
  <c r="O112" i="4" s="1"/>
  <c r="AC601" i="8"/>
  <c r="O111" i="4" s="1"/>
  <c r="AC600" i="8"/>
  <c r="O110" i="4" s="1"/>
  <c r="AC599" i="8"/>
  <c r="O109" i="4" s="1"/>
  <c r="AC598" i="8"/>
  <c r="O108" i="4" s="1"/>
  <c r="AC597" i="8"/>
  <c r="O107" i="4" s="1"/>
  <c r="AC596" i="8"/>
  <c r="O106" i="4" s="1"/>
  <c r="AC595" i="8"/>
  <c r="O105" i="4" s="1"/>
  <c r="AC594" i="8"/>
  <c r="O104" i="4" s="1"/>
  <c r="AC593" i="8"/>
  <c r="O103" i="4" s="1"/>
  <c r="AC592" i="8"/>
  <c r="O102" i="4" s="1"/>
  <c r="AC591" i="8"/>
  <c r="O101" i="4" s="1"/>
  <c r="AC590" i="8"/>
  <c r="O100" i="4" s="1"/>
  <c r="AC589" i="8"/>
  <c r="O99" i="4" s="1"/>
  <c r="AC588" i="8"/>
  <c r="O98" i="4" s="1"/>
  <c r="AC587" i="8"/>
  <c r="O97" i="4" s="1"/>
  <c r="AC586" i="8"/>
  <c r="O96" i="4" s="1"/>
  <c r="AC585" i="8"/>
  <c r="O95" i="4" s="1"/>
  <c r="AC584" i="8"/>
  <c r="O94" i="4" s="1"/>
  <c r="AC583" i="8"/>
  <c r="O93" i="4" s="1"/>
  <c r="AC582" i="8"/>
  <c r="O92" i="4" s="1"/>
  <c r="AC581" i="8"/>
  <c r="O91" i="4" s="1"/>
  <c r="AC580" i="8"/>
  <c r="O90" i="4" s="1"/>
  <c r="AC579" i="8"/>
  <c r="O89" i="4" s="1"/>
  <c r="AC578" i="8"/>
  <c r="O88" i="4" s="1"/>
  <c r="AC577" i="8"/>
  <c r="O87" i="4" s="1"/>
  <c r="AC576" i="8"/>
  <c r="O86" i="4" s="1"/>
  <c r="AC575" i="8"/>
  <c r="O85" i="4" s="1"/>
  <c r="AC574" i="8"/>
  <c r="O84" i="4" s="1"/>
  <c r="AC573" i="8"/>
  <c r="O83" i="4" s="1"/>
  <c r="AC572" i="8"/>
  <c r="O82" i="4" s="1"/>
  <c r="AC571" i="8"/>
  <c r="O81" i="4" s="1"/>
  <c r="AC570" i="8"/>
  <c r="O80" i="4" s="1"/>
  <c r="AC569" i="8"/>
  <c r="O79" i="4" s="1"/>
  <c r="AC568" i="8"/>
  <c r="O78" i="4" s="1"/>
  <c r="AC567" i="8"/>
  <c r="O77" i="4" s="1"/>
  <c r="AC566" i="8"/>
  <c r="O76" i="4" s="1"/>
  <c r="AC565" i="8"/>
  <c r="O75" i="4" s="1"/>
  <c r="AC564" i="8"/>
  <c r="O74" i="4" s="1"/>
  <c r="AC563" i="8"/>
  <c r="O73" i="4" s="1"/>
  <c r="AC562" i="8"/>
  <c r="O72" i="4" s="1"/>
  <c r="AC561" i="8"/>
  <c r="O71" i="4" s="1"/>
  <c r="AC560" i="8"/>
  <c r="O70" i="4" s="1"/>
  <c r="AC559" i="8"/>
  <c r="O69" i="4" s="1"/>
  <c r="AC558" i="8"/>
  <c r="O68" i="4" s="1"/>
  <c r="AB552" i="8"/>
  <c r="AA552" i="8"/>
  <c r="Z552" i="8"/>
  <c r="Y552" i="8"/>
  <c r="X552" i="8"/>
  <c r="W552" i="8"/>
  <c r="V552" i="8"/>
  <c r="U552" i="8"/>
  <c r="T552" i="8"/>
  <c r="S552" i="8"/>
  <c r="R552" i="8"/>
  <c r="Q552" i="8"/>
  <c r="P552" i="8"/>
  <c r="O552" i="8"/>
  <c r="N552" i="8"/>
  <c r="M552" i="8"/>
  <c r="L552" i="8"/>
  <c r="K552" i="8"/>
  <c r="J552" i="8"/>
  <c r="I552" i="8"/>
  <c r="H552" i="8"/>
  <c r="G552" i="8"/>
  <c r="F552" i="8"/>
  <c r="E552" i="8"/>
  <c r="AC551" i="8"/>
  <c r="N116" i="4" s="1"/>
  <c r="AC550" i="8"/>
  <c r="N115" i="4" s="1"/>
  <c r="AC549" i="8"/>
  <c r="N114" i="4" s="1"/>
  <c r="AC548" i="8"/>
  <c r="N113" i="4" s="1"/>
  <c r="AC547" i="8"/>
  <c r="N112" i="4" s="1"/>
  <c r="AC546" i="8"/>
  <c r="N111" i="4" s="1"/>
  <c r="AC545" i="8"/>
  <c r="N110" i="4" s="1"/>
  <c r="AC544" i="8"/>
  <c r="N109" i="4" s="1"/>
  <c r="AC543" i="8"/>
  <c r="N108" i="4" s="1"/>
  <c r="AC542" i="8"/>
  <c r="N107" i="4" s="1"/>
  <c r="AC541" i="8"/>
  <c r="N106" i="4" s="1"/>
  <c r="AC540" i="8"/>
  <c r="N105" i="4" s="1"/>
  <c r="AC539" i="8"/>
  <c r="N104" i="4" s="1"/>
  <c r="AC538" i="8"/>
  <c r="N103" i="4" s="1"/>
  <c r="AC537" i="8"/>
  <c r="N102" i="4" s="1"/>
  <c r="AC536" i="8"/>
  <c r="N101" i="4" s="1"/>
  <c r="AC535" i="8"/>
  <c r="N100" i="4" s="1"/>
  <c r="AC534" i="8"/>
  <c r="N99" i="4" s="1"/>
  <c r="AC533" i="8"/>
  <c r="N98" i="4" s="1"/>
  <c r="AC532" i="8"/>
  <c r="N97" i="4" s="1"/>
  <c r="AC531" i="8"/>
  <c r="N96" i="4" s="1"/>
  <c r="AC530" i="8"/>
  <c r="N95" i="4" s="1"/>
  <c r="AC529" i="8"/>
  <c r="N94" i="4" s="1"/>
  <c r="AC528" i="8"/>
  <c r="N93" i="4" s="1"/>
  <c r="AC527" i="8"/>
  <c r="N92" i="4" s="1"/>
  <c r="AC526" i="8"/>
  <c r="N91" i="4" s="1"/>
  <c r="AC525" i="8"/>
  <c r="N90" i="4" s="1"/>
  <c r="AC524" i="8"/>
  <c r="N89" i="4" s="1"/>
  <c r="AC523" i="8"/>
  <c r="N88" i="4" s="1"/>
  <c r="AC522" i="8"/>
  <c r="N87" i="4" s="1"/>
  <c r="AC521" i="8"/>
  <c r="N86" i="4" s="1"/>
  <c r="AC520" i="8"/>
  <c r="N85" i="4" s="1"/>
  <c r="AC519" i="8"/>
  <c r="N84" i="4" s="1"/>
  <c r="AC518" i="8"/>
  <c r="N83" i="4" s="1"/>
  <c r="AC517" i="8"/>
  <c r="N82" i="4" s="1"/>
  <c r="AC516" i="8"/>
  <c r="N81" i="4" s="1"/>
  <c r="AC515" i="8"/>
  <c r="N80" i="4" s="1"/>
  <c r="AC514" i="8"/>
  <c r="N79" i="4" s="1"/>
  <c r="AC513" i="8"/>
  <c r="N78" i="4" s="1"/>
  <c r="AC512" i="8"/>
  <c r="N77" i="4" s="1"/>
  <c r="AC511" i="8"/>
  <c r="N76" i="4" s="1"/>
  <c r="AC510" i="8"/>
  <c r="N75" i="4" s="1"/>
  <c r="AC509" i="8"/>
  <c r="N74" i="4" s="1"/>
  <c r="AC508" i="8"/>
  <c r="N73" i="4" s="1"/>
  <c r="AC507" i="8"/>
  <c r="N72" i="4" s="1"/>
  <c r="AC506" i="8"/>
  <c r="N71" i="4" s="1"/>
  <c r="AC505" i="8"/>
  <c r="N70" i="4" s="1"/>
  <c r="AC504" i="8"/>
  <c r="N69" i="4" s="1"/>
  <c r="AC503" i="8"/>
  <c r="N68" i="4" s="1"/>
  <c r="AB497" i="8"/>
  <c r="AA497" i="8"/>
  <c r="Z497" i="8"/>
  <c r="Y497" i="8"/>
  <c r="X497" i="8"/>
  <c r="W497" i="8"/>
  <c r="V497" i="8"/>
  <c r="U497" i="8"/>
  <c r="T497" i="8"/>
  <c r="S497" i="8"/>
  <c r="R497" i="8"/>
  <c r="Q497" i="8"/>
  <c r="P497" i="8"/>
  <c r="O497" i="8"/>
  <c r="N497" i="8"/>
  <c r="M497" i="8"/>
  <c r="L497" i="8"/>
  <c r="K497" i="8"/>
  <c r="J497" i="8"/>
  <c r="I497" i="8"/>
  <c r="H497" i="8"/>
  <c r="G497" i="8"/>
  <c r="F497" i="8"/>
  <c r="E497" i="8"/>
  <c r="AC496" i="8"/>
  <c r="M116" i="4" s="1"/>
  <c r="AC495" i="8"/>
  <c r="M115" i="4" s="1"/>
  <c r="AC494" i="8"/>
  <c r="M114" i="4" s="1"/>
  <c r="AC493" i="8"/>
  <c r="M113" i="4" s="1"/>
  <c r="AC492" i="8"/>
  <c r="M112" i="4" s="1"/>
  <c r="AC491" i="8"/>
  <c r="M111" i="4" s="1"/>
  <c r="AC490" i="8"/>
  <c r="M110" i="4" s="1"/>
  <c r="AC489" i="8"/>
  <c r="M109" i="4" s="1"/>
  <c r="AC488" i="8"/>
  <c r="M108" i="4" s="1"/>
  <c r="AC487" i="8"/>
  <c r="M107" i="4" s="1"/>
  <c r="AC486" i="8"/>
  <c r="M106" i="4" s="1"/>
  <c r="AC485" i="8"/>
  <c r="M105" i="4" s="1"/>
  <c r="AC484" i="8"/>
  <c r="M104" i="4" s="1"/>
  <c r="AC483" i="8"/>
  <c r="M103" i="4" s="1"/>
  <c r="AC482" i="8"/>
  <c r="M102" i="4" s="1"/>
  <c r="AC481" i="8"/>
  <c r="M101" i="4" s="1"/>
  <c r="AC480" i="8"/>
  <c r="M100" i="4" s="1"/>
  <c r="AC479" i="8"/>
  <c r="M99" i="4" s="1"/>
  <c r="AC478" i="8"/>
  <c r="M98" i="4" s="1"/>
  <c r="AC477" i="8"/>
  <c r="M97" i="4" s="1"/>
  <c r="AC476" i="8"/>
  <c r="M96" i="4" s="1"/>
  <c r="AC475" i="8"/>
  <c r="M95" i="4" s="1"/>
  <c r="AC474" i="8"/>
  <c r="M94" i="4" s="1"/>
  <c r="AC473" i="8"/>
  <c r="M93" i="4" s="1"/>
  <c r="AC472" i="8"/>
  <c r="M92" i="4" s="1"/>
  <c r="AC471" i="8"/>
  <c r="M91" i="4" s="1"/>
  <c r="AC470" i="8"/>
  <c r="M90" i="4" s="1"/>
  <c r="AC469" i="8"/>
  <c r="M89" i="4" s="1"/>
  <c r="AC468" i="8"/>
  <c r="M88" i="4" s="1"/>
  <c r="AC467" i="8"/>
  <c r="M87" i="4" s="1"/>
  <c r="AC466" i="8"/>
  <c r="M86" i="4" s="1"/>
  <c r="AC465" i="8"/>
  <c r="M85" i="4" s="1"/>
  <c r="AC464" i="8"/>
  <c r="M84" i="4" s="1"/>
  <c r="AC463" i="8"/>
  <c r="M83" i="4" s="1"/>
  <c r="AC462" i="8"/>
  <c r="M82" i="4" s="1"/>
  <c r="AC461" i="8"/>
  <c r="M81" i="4" s="1"/>
  <c r="AC460" i="8"/>
  <c r="M80" i="4" s="1"/>
  <c r="AC459" i="8"/>
  <c r="M79" i="4" s="1"/>
  <c r="AC458" i="8"/>
  <c r="M78" i="4" s="1"/>
  <c r="AC457" i="8"/>
  <c r="M77" i="4" s="1"/>
  <c r="AC456" i="8"/>
  <c r="M76" i="4" s="1"/>
  <c r="AC455" i="8"/>
  <c r="M75" i="4" s="1"/>
  <c r="AC454" i="8"/>
  <c r="M74" i="4" s="1"/>
  <c r="AC453" i="8"/>
  <c r="M73" i="4" s="1"/>
  <c r="AC452" i="8"/>
  <c r="M72" i="4" s="1"/>
  <c r="AC451" i="8"/>
  <c r="M71" i="4" s="1"/>
  <c r="AC450" i="8"/>
  <c r="M70" i="4" s="1"/>
  <c r="AC449" i="8"/>
  <c r="M69" i="4" s="1"/>
  <c r="AC448" i="8"/>
  <c r="M68" i="4" s="1"/>
  <c r="AB442" i="8"/>
  <c r="AA442" i="8"/>
  <c r="Z442" i="8"/>
  <c r="Y442" i="8"/>
  <c r="X442" i="8"/>
  <c r="W442" i="8"/>
  <c r="V442" i="8"/>
  <c r="U442" i="8"/>
  <c r="T442" i="8"/>
  <c r="S442" i="8"/>
  <c r="R442" i="8"/>
  <c r="Q442" i="8"/>
  <c r="P442" i="8"/>
  <c r="O442" i="8"/>
  <c r="N442" i="8"/>
  <c r="M442" i="8"/>
  <c r="L442" i="8"/>
  <c r="K442" i="8"/>
  <c r="J442" i="8"/>
  <c r="I442" i="8"/>
  <c r="H442" i="8"/>
  <c r="G442" i="8"/>
  <c r="F442" i="8"/>
  <c r="E442" i="8"/>
  <c r="AC441" i="8"/>
  <c r="L116" i="4" s="1"/>
  <c r="AC440" i="8"/>
  <c r="L115" i="4" s="1"/>
  <c r="AC439" i="8"/>
  <c r="L114" i="4" s="1"/>
  <c r="AC438" i="8"/>
  <c r="L113" i="4" s="1"/>
  <c r="AC437" i="8"/>
  <c r="L112" i="4" s="1"/>
  <c r="AC436" i="8"/>
  <c r="L111" i="4" s="1"/>
  <c r="AC435" i="8"/>
  <c r="L110" i="4" s="1"/>
  <c r="AC434" i="8"/>
  <c r="L109" i="4" s="1"/>
  <c r="AC433" i="8"/>
  <c r="L108" i="4" s="1"/>
  <c r="AC432" i="8"/>
  <c r="L107" i="4" s="1"/>
  <c r="AC431" i="8"/>
  <c r="L106" i="4" s="1"/>
  <c r="AC430" i="8"/>
  <c r="L105" i="4" s="1"/>
  <c r="AC429" i="8"/>
  <c r="L104" i="4" s="1"/>
  <c r="AC428" i="8"/>
  <c r="L103" i="4" s="1"/>
  <c r="AC427" i="8"/>
  <c r="L102" i="4" s="1"/>
  <c r="AC426" i="8"/>
  <c r="L101" i="4" s="1"/>
  <c r="AC425" i="8"/>
  <c r="L100" i="4" s="1"/>
  <c r="AC424" i="8"/>
  <c r="L99" i="4" s="1"/>
  <c r="AC423" i="8"/>
  <c r="L98" i="4" s="1"/>
  <c r="AC422" i="8"/>
  <c r="L97" i="4" s="1"/>
  <c r="AC421" i="8"/>
  <c r="L96" i="4" s="1"/>
  <c r="AC420" i="8"/>
  <c r="L95" i="4" s="1"/>
  <c r="AC419" i="8"/>
  <c r="L94" i="4" s="1"/>
  <c r="AC418" i="8"/>
  <c r="L93" i="4" s="1"/>
  <c r="AC417" i="8"/>
  <c r="L92" i="4" s="1"/>
  <c r="AC416" i="8"/>
  <c r="L91" i="4" s="1"/>
  <c r="AC415" i="8"/>
  <c r="L90" i="4" s="1"/>
  <c r="AC414" i="8"/>
  <c r="L89" i="4" s="1"/>
  <c r="AC413" i="8"/>
  <c r="L88" i="4" s="1"/>
  <c r="AC412" i="8"/>
  <c r="L87" i="4" s="1"/>
  <c r="AC411" i="8"/>
  <c r="L86" i="4" s="1"/>
  <c r="AC410" i="8"/>
  <c r="L85" i="4" s="1"/>
  <c r="AC409" i="8"/>
  <c r="L84" i="4" s="1"/>
  <c r="AC408" i="8"/>
  <c r="L83" i="4" s="1"/>
  <c r="AC407" i="8"/>
  <c r="L82" i="4" s="1"/>
  <c r="AC406" i="8"/>
  <c r="L81" i="4" s="1"/>
  <c r="AC405" i="8"/>
  <c r="L80" i="4" s="1"/>
  <c r="AC404" i="8"/>
  <c r="L79" i="4" s="1"/>
  <c r="AC403" i="8"/>
  <c r="L78" i="4" s="1"/>
  <c r="AC402" i="8"/>
  <c r="L77" i="4" s="1"/>
  <c r="AC401" i="8"/>
  <c r="L76" i="4" s="1"/>
  <c r="AC400" i="8"/>
  <c r="L75" i="4" s="1"/>
  <c r="AC399" i="8"/>
  <c r="L74" i="4" s="1"/>
  <c r="AC398" i="8"/>
  <c r="L73" i="4" s="1"/>
  <c r="AC397" i="8"/>
  <c r="L72" i="4" s="1"/>
  <c r="AC396" i="8"/>
  <c r="L71" i="4" s="1"/>
  <c r="AC395" i="8"/>
  <c r="L70" i="4" s="1"/>
  <c r="AC394" i="8"/>
  <c r="L69" i="4" s="1"/>
  <c r="AC393" i="8"/>
  <c r="L68" i="4" s="1"/>
  <c r="AB387" i="8"/>
  <c r="AA387" i="8"/>
  <c r="Z387" i="8"/>
  <c r="Y387" i="8"/>
  <c r="X387" i="8"/>
  <c r="W387" i="8"/>
  <c r="V387" i="8"/>
  <c r="U387" i="8"/>
  <c r="T387" i="8"/>
  <c r="S387" i="8"/>
  <c r="R387" i="8"/>
  <c r="Q387" i="8"/>
  <c r="P387" i="8"/>
  <c r="O387" i="8"/>
  <c r="N387" i="8"/>
  <c r="M387" i="8"/>
  <c r="L387" i="8"/>
  <c r="K387" i="8"/>
  <c r="J387" i="8"/>
  <c r="I387" i="8"/>
  <c r="H387" i="8"/>
  <c r="G387" i="8"/>
  <c r="F387" i="8"/>
  <c r="E387" i="8"/>
  <c r="AC386" i="8"/>
  <c r="K116" i="4" s="1"/>
  <c r="AC385" i="8"/>
  <c r="K115" i="4" s="1"/>
  <c r="AC384" i="8"/>
  <c r="K114" i="4" s="1"/>
  <c r="AC383" i="8"/>
  <c r="K113" i="4" s="1"/>
  <c r="AC382" i="8"/>
  <c r="K112" i="4" s="1"/>
  <c r="AC381" i="8"/>
  <c r="K111" i="4" s="1"/>
  <c r="AC380" i="8"/>
  <c r="K110" i="4" s="1"/>
  <c r="AC379" i="8"/>
  <c r="K109" i="4" s="1"/>
  <c r="AC378" i="8"/>
  <c r="K108" i="4" s="1"/>
  <c r="AC377" i="8"/>
  <c r="K107" i="4" s="1"/>
  <c r="AC376" i="8"/>
  <c r="K106" i="4" s="1"/>
  <c r="AC375" i="8"/>
  <c r="K105" i="4" s="1"/>
  <c r="AC374" i="8"/>
  <c r="K104" i="4" s="1"/>
  <c r="AC373" i="8"/>
  <c r="K103" i="4" s="1"/>
  <c r="AC372" i="8"/>
  <c r="K102" i="4" s="1"/>
  <c r="AC371" i="8"/>
  <c r="K101" i="4" s="1"/>
  <c r="AC370" i="8"/>
  <c r="K100" i="4" s="1"/>
  <c r="AC369" i="8"/>
  <c r="K99" i="4" s="1"/>
  <c r="AC368" i="8"/>
  <c r="K98" i="4" s="1"/>
  <c r="AC367" i="8"/>
  <c r="K97" i="4" s="1"/>
  <c r="AC366" i="8"/>
  <c r="K96" i="4" s="1"/>
  <c r="AC365" i="8"/>
  <c r="K95" i="4" s="1"/>
  <c r="AC364" i="8"/>
  <c r="K94" i="4" s="1"/>
  <c r="AC363" i="8"/>
  <c r="K93" i="4" s="1"/>
  <c r="AC362" i="8"/>
  <c r="K92" i="4" s="1"/>
  <c r="AC361" i="8"/>
  <c r="K91" i="4" s="1"/>
  <c r="AC360" i="8"/>
  <c r="K90" i="4" s="1"/>
  <c r="AC359" i="8"/>
  <c r="K89" i="4" s="1"/>
  <c r="AC358" i="8"/>
  <c r="K88" i="4" s="1"/>
  <c r="AC357" i="8"/>
  <c r="K87" i="4" s="1"/>
  <c r="AC356" i="8"/>
  <c r="K86" i="4" s="1"/>
  <c r="AC355" i="8"/>
  <c r="K85" i="4" s="1"/>
  <c r="AC354" i="8"/>
  <c r="K84" i="4" s="1"/>
  <c r="AC353" i="8"/>
  <c r="K83" i="4" s="1"/>
  <c r="AC352" i="8"/>
  <c r="K82" i="4" s="1"/>
  <c r="AC351" i="8"/>
  <c r="K81" i="4" s="1"/>
  <c r="AC350" i="8"/>
  <c r="K80" i="4" s="1"/>
  <c r="AC349" i="8"/>
  <c r="K79" i="4" s="1"/>
  <c r="AC348" i="8"/>
  <c r="K78" i="4" s="1"/>
  <c r="AC347" i="8"/>
  <c r="K77" i="4" s="1"/>
  <c r="AC346" i="8"/>
  <c r="K76" i="4" s="1"/>
  <c r="AC345" i="8"/>
  <c r="K75" i="4" s="1"/>
  <c r="AC344" i="8"/>
  <c r="K74" i="4" s="1"/>
  <c r="AC343" i="8"/>
  <c r="K73" i="4" s="1"/>
  <c r="AC342" i="8"/>
  <c r="K72" i="4" s="1"/>
  <c r="AC341" i="8"/>
  <c r="K71" i="4" s="1"/>
  <c r="AC340" i="8"/>
  <c r="K70" i="4" s="1"/>
  <c r="AC339" i="8"/>
  <c r="K69" i="4" s="1"/>
  <c r="AC338" i="8"/>
  <c r="K68" i="4" s="1"/>
  <c r="AB332" i="8"/>
  <c r="AA332" i="8"/>
  <c r="Z332" i="8"/>
  <c r="Y332" i="8"/>
  <c r="X332" i="8"/>
  <c r="W332" i="8"/>
  <c r="V332" i="8"/>
  <c r="U332" i="8"/>
  <c r="T332" i="8"/>
  <c r="S332" i="8"/>
  <c r="R332" i="8"/>
  <c r="Q332" i="8"/>
  <c r="P332" i="8"/>
  <c r="O332" i="8"/>
  <c r="N332" i="8"/>
  <c r="M332" i="8"/>
  <c r="L332" i="8"/>
  <c r="K332" i="8"/>
  <c r="J332" i="8"/>
  <c r="I332" i="8"/>
  <c r="H332" i="8"/>
  <c r="G332" i="8"/>
  <c r="F332" i="8"/>
  <c r="E332" i="8"/>
  <c r="AC331" i="8"/>
  <c r="J116" i="4" s="1"/>
  <c r="AC330" i="8"/>
  <c r="J115" i="4" s="1"/>
  <c r="AC329" i="8"/>
  <c r="J114" i="4" s="1"/>
  <c r="AC328" i="8"/>
  <c r="J113" i="4" s="1"/>
  <c r="AC327" i="8"/>
  <c r="J112" i="4" s="1"/>
  <c r="AC326" i="8"/>
  <c r="J111" i="4" s="1"/>
  <c r="AC325" i="8"/>
  <c r="J110" i="4" s="1"/>
  <c r="AC324" i="8"/>
  <c r="J109" i="4" s="1"/>
  <c r="AC323" i="8"/>
  <c r="J108" i="4" s="1"/>
  <c r="AC322" i="8"/>
  <c r="J107" i="4" s="1"/>
  <c r="AC321" i="8"/>
  <c r="J106" i="4" s="1"/>
  <c r="AC320" i="8"/>
  <c r="J105" i="4" s="1"/>
  <c r="AC319" i="8"/>
  <c r="J104" i="4" s="1"/>
  <c r="AC318" i="8"/>
  <c r="J103" i="4" s="1"/>
  <c r="AC317" i="8"/>
  <c r="J102" i="4" s="1"/>
  <c r="AC316" i="8"/>
  <c r="J101" i="4" s="1"/>
  <c r="AC315" i="8"/>
  <c r="J100" i="4" s="1"/>
  <c r="AC314" i="8"/>
  <c r="J99" i="4" s="1"/>
  <c r="AC313" i="8"/>
  <c r="J98" i="4" s="1"/>
  <c r="AC312" i="8"/>
  <c r="J97" i="4" s="1"/>
  <c r="AC311" i="8"/>
  <c r="J96" i="4" s="1"/>
  <c r="AC310" i="8"/>
  <c r="J95" i="4" s="1"/>
  <c r="AC309" i="8"/>
  <c r="J94" i="4" s="1"/>
  <c r="AC308" i="8"/>
  <c r="J93" i="4" s="1"/>
  <c r="AC307" i="8"/>
  <c r="J92" i="4" s="1"/>
  <c r="AC306" i="8"/>
  <c r="J91" i="4" s="1"/>
  <c r="AC305" i="8"/>
  <c r="J90" i="4" s="1"/>
  <c r="AC304" i="8"/>
  <c r="J89" i="4" s="1"/>
  <c r="AC303" i="8"/>
  <c r="J88" i="4" s="1"/>
  <c r="AC302" i="8"/>
  <c r="J87" i="4" s="1"/>
  <c r="AC301" i="8"/>
  <c r="J86" i="4" s="1"/>
  <c r="AC300" i="8"/>
  <c r="J85" i="4" s="1"/>
  <c r="AC299" i="8"/>
  <c r="J84" i="4" s="1"/>
  <c r="AC298" i="8"/>
  <c r="J83" i="4" s="1"/>
  <c r="AC297" i="8"/>
  <c r="J82" i="4" s="1"/>
  <c r="AC296" i="8"/>
  <c r="J81" i="4" s="1"/>
  <c r="AC295" i="8"/>
  <c r="J80" i="4" s="1"/>
  <c r="AC294" i="8"/>
  <c r="J79" i="4" s="1"/>
  <c r="AC293" i="8"/>
  <c r="J78" i="4" s="1"/>
  <c r="AC292" i="8"/>
  <c r="J77" i="4" s="1"/>
  <c r="AC291" i="8"/>
  <c r="J76" i="4" s="1"/>
  <c r="AC290" i="8"/>
  <c r="J75" i="4" s="1"/>
  <c r="AC289" i="8"/>
  <c r="J74" i="4" s="1"/>
  <c r="AC288" i="8"/>
  <c r="J73" i="4" s="1"/>
  <c r="AC287" i="8"/>
  <c r="J72" i="4" s="1"/>
  <c r="AC286" i="8"/>
  <c r="J71" i="4" s="1"/>
  <c r="AC285" i="8"/>
  <c r="J70" i="4" s="1"/>
  <c r="AC284" i="8"/>
  <c r="J69" i="4" s="1"/>
  <c r="AC283" i="8"/>
  <c r="J68" i="4" s="1"/>
  <c r="AB277" i="8"/>
  <c r="AC276" i="8"/>
  <c r="I116" i="4" s="1"/>
  <c r="AA277" i="8"/>
  <c r="Z277" i="8"/>
  <c r="Y277" i="8"/>
  <c r="X277" i="8"/>
  <c r="W277" i="8"/>
  <c r="V277" i="8"/>
  <c r="U277" i="8"/>
  <c r="T277" i="8"/>
  <c r="S277" i="8"/>
  <c r="R277" i="8"/>
  <c r="Q277" i="8"/>
  <c r="P277" i="8"/>
  <c r="O277" i="8"/>
  <c r="N277" i="8"/>
  <c r="M277" i="8"/>
  <c r="L277" i="8"/>
  <c r="K277" i="8"/>
  <c r="J277" i="8"/>
  <c r="I277" i="8"/>
  <c r="H277" i="8"/>
  <c r="G277" i="8"/>
  <c r="F277" i="8"/>
  <c r="E277" i="8"/>
  <c r="AC275" i="8"/>
  <c r="I115" i="4" s="1"/>
  <c r="AC274" i="8"/>
  <c r="I114" i="4" s="1"/>
  <c r="AC273" i="8"/>
  <c r="I113" i="4" s="1"/>
  <c r="AC272" i="8"/>
  <c r="I112" i="4" s="1"/>
  <c r="AC271" i="8"/>
  <c r="I111" i="4" s="1"/>
  <c r="AC270" i="8"/>
  <c r="I110" i="4" s="1"/>
  <c r="AC269" i="8"/>
  <c r="I109" i="4" s="1"/>
  <c r="AC268" i="8"/>
  <c r="I108" i="4" s="1"/>
  <c r="AC267" i="8"/>
  <c r="I107" i="4" s="1"/>
  <c r="AC266" i="8"/>
  <c r="I106" i="4" s="1"/>
  <c r="AC265" i="8"/>
  <c r="I105" i="4" s="1"/>
  <c r="AC264" i="8"/>
  <c r="I104" i="4" s="1"/>
  <c r="AC263" i="8"/>
  <c r="I103" i="4" s="1"/>
  <c r="AC262" i="8"/>
  <c r="I102" i="4" s="1"/>
  <c r="AC261" i="8"/>
  <c r="I101" i="4" s="1"/>
  <c r="AC260" i="8"/>
  <c r="I100" i="4" s="1"/>
  <c r="AC259" i="8"/>
  <c r="I99" i="4" s="1"/>
  <c r="AC258" i="8"/>
  <c r="I98" i="4" s="1"/>
  <c r="AC257" i="8"/>
  <c r="I97" i="4" s="1"/>
  <c r="AC256" i="8"/>
  <c r="I96" i="4" s="1"/>
  <c r="AC255" i="8"/>
  <c r="I95" i="4" s="1"/>
  <c r="AC254" i="8"/>
  <c r="I94" i="4" s="1"/>
  <c r="AC253" i="8"/>
  <c r="I93" i="4" s="1"/>
  <c r="AC252" i="8"/>
  <c r="I92" i="4" s="1"/>
  <c r="AC251" i="8"/>
  <c r="I91" i="4" s="1"/>
  <c r="AC250" i="8"/>
  <c r="I90" i="4" s="1"/>
  <c r="AC249" i="8"/>
  <c r="I89" i="4" s="1"/>
  <c r="AC248" i="8"/>
  <c r="I88" i="4" s="1"/>
  <c r="AC247" i="8"/>
  <c r="I87" i="4" s="1"/>
  <c r="AC246" i="8"/>
  <c r="I86" i="4" s="1"/>
  <c r="AC245" i="8"/>
  <c r="I85" i="4" s="1"/>
  <c r="AC244" i="8"/>
  <c r="I84" i="4" s="1"/>
  <c r="AC243" i="8"/>
  <c r="I83" i="4" s="1"/>
  <c r="AC242" i="8"/>
  <c r="I82" i="4" s="1"/>
  <c r="AC241" i="8"/>
  <c r="I81" i="4" s="1"/>
  <c r="AC240" i="8"/>
  <c r="I80" i="4" s="1"/>
  <c r="AC239" i="8"/>
  <c r="I79" i="4" s="1"/>
  <c r="AC238" i="8"/>
  <c r="I78" i="4" s="1"/>
  <c r="AC237" i="8"/>
  <c r="I77" i="4" s="1"/>
  <c r="AC236" i="8"/>
  <c r="I76" i="4" s="1"/>
  <c r="AC235" i="8"/>
  <c r="I75" i="4" s="1"/>
  <c r="AC234" i="8"/>
  <c r="I74" i="4" s="1"/>
  <c r="AC233" i="8"/>
  <c r="I73" i="4" s="1"/>
  <c r="AC232" i="8"/>
  <c r="I72" i="4" s="1"/>
  <c r="AC231" i="8"/>
  <c r="I71" i="4" s="1"/>
  <c r="AC230" i="8"/>
  <c r="I70" i="4" s="1"/>
  <c r="AC229" i="8"/>
  <c r="I69" i="4" s="1"/>
  <c r="AC228" i="8"/>
  <c r="I68" i="4" s="1"/>
  <c r="AB222" i="8"/>
  <c r="AA222" i="8"/>
  <c r="Z222" i="8"/>
  <c r="Y222" i="8"/>
  <c r="X222" i="8"/>
  <c r="W222" i="8"/>
  <c r="V222" i="8"/>
  <c r="U222" i="8"/>
  <c r="T222" i="8"/>
  <c r="S222" i="8"/>
  <c r="R222" i="8"/>
  <c r="Q222" i="8"/>
  <c r="P222" i="8"/>
  <c r="O222" i="8"/>
  <c r="N222" i="8"/>
  <c r="M222" i="8"/>
  <c r="L222" i="8"/>
  <c r="K222" i="8"/>
  <c r="J222" i="8"/>
  <c r="I222" i="8"/>
  <c r="H222" i="8"/>
  <c r="G222" i="8"/>
  <c r="F222" i="8"/>
  <c r="E222" i="8"/>
  <c r="AC221" i="8"/>
  <c r="H116" i="4" s="1"/>
  <c r="AC220" i="8"/>
  <c r="H115" i="4" s="1"/>
  <c r="AC219" i="8"/>
  <c r="H114" i="4" s="1"/>
  <c r="AC218" i="8"/>
  <c r="H113" i="4" s="1"/>
  <c r="AC217" i="8"/>
  <c r="H112" i="4" s="1"/>
  <c r="AC216" i="8"/>
  <c r="H111" i="4" s="1"/>
  <c r="AC215" i="8"/>
  <c r="H110" i="4" s="1"/>
  <c r="AC214" i="8"/>
  <c r="H109" i="4" s="1"/>
  <c r="AC213" i="8"/>
  <c r="H108" i="4" s="1"/>
  <c r="AC212" i="8"/>
  <c r="H107" i="4" s="1"/>
  <c r="AC211" i="8"/>
  <c r="H106" i="4" s="1"/>
  <c r="AC210" i="8"/>
  <c r="H105" i="4" s="1"/>
  <c r="AC209" i="8"/>
  <c r="H104" i="4" s="1"/>
  <c r="AC208" i="8"/>
  <c r="H103" i="4" s="1"/>
  <c r="AC207" i="8"/>
  <c r="H102" i="4" s="1"/>
  <c r="AC206" i="8"/>
  <c r="H101" i="4" s="1"/>
  <c r="AC205" i="8"/>
  <c r="H100" i="4" s="1"/>
  <c r="AC204" i="8"/>
  <c r="H99" i="4" s="1"/>
  <c r="AC203" i="8"/>
  <c r="H98" i="4" s="1"/>
  <c r="AC202" i="8"/>
  <c r="H97" i="4" s="1"/>
  <c r="AC201" i="8"/>
  <c r="H96" i="4" s="1"/>
  <c r="AC200" i="8"/>
  <c r="H95" i="4" s="1"/>
  <c r="AC199" i="8"/>
  <c r="H94" i="4" s="1"/>
  <c r="AC198" i="8"/>
  <c r="H93" i="4" s="1"/>
  <c r="AC197" i="8"/>
  <c r="H92" i="4" s="1"/>
  <c r="AC196" i="8"/>
  <c r="H91" i="4" s="1"/>
  <c r="AC195" i="8"/>
  <c r="H90" i="4" s="1"/>
  <c r="AC194" i="8"/>
  <c r="H89" i="4" s="1"/>
  <c r="AC193" i="8"/>
  <c r="H88" i="4" s="1"/>
  <c r="AC192" i="8"/>
  <c r="H87" i="4" s="1"/>
  <c r="AC191" i="8"/>
  <c r="H86" i="4" s="1"/>
  <c r="AC190" i="8"/>
  <c r="H85" i="4" s="1"/>
  <c r="AC189" i="8"/>
  <c r="H84" i="4" s="1"/>
  <c r="AC188" i="8"/>
  <c r="H83" i="4" s="1"/>
  <c r="AC187" i="8"/>
  <c r="H82" i="4" s="1"/>
  <c r="AC186" i="8"/>
  <c r="H81" i="4" s="1"/>
  <c r="AC185" i="8"/>
  <c r="H80" i="4" s="1"/>
  <c r="AC184" i="8"/>
  <c r="H79" i="4" s="1"/>
  <c r="AC183" i="8"/>
  <c r="H78" i="4" s="1"/>
  <c r="AC182" i="8"/>
  <c r="H77" i="4" s="1"/>
  <c r="AC181" i="8"/>
  <c r="H76" i="4" s="1"/>
  <c r="AC180" i="8"/>
  <c r="H75" i="4" s="1"/>
  <c r="AC179" i="8"/>
  <c r="H74" i="4" s="1"/>
  <c r="AC178" i="8"/>
  <c r="H73" i="4" s="1"/>
  <c r="AC177" i="8"/>
  <c r="H72" i="4" s="1"/>
  <c r="AC176" i="8"/>
  <c r="H71" i="4" s="1"/>
  <c r="AC175" i="8"/>
  <c r="H70" i="4" s="1"/>
  <c r="AC174" i="8"/>
  <c r="H69" i="4" s="1"/>
  <c r="AC173" i="8"/>
  <c r="H68" i="4" s="1"/>
  <c r="E167" i="8"/>
  <c r="AB167" i="8"/>
  <c r="AA167" i="8"/>
  <c r="Z167" i="8"/>
  <c r="Y167" i="8"/>
  <c r="X167" i="8"/>
  <c r="W167" i="8"/>
  <c r="V167" i="8"/>
  <c r="U167" i="8"/>
  <c r="T167" i="8"/>
  <c r="S167" i="8"/>
  <c r="R167" i="8"/>
  <c r="Q167" i="8"/>
  <c r="P167" i="8"/>
  <c r="O167" i="8"/>
  <c r="N167" i="8"/>
  <c r="M167" i="8"/>
  <c r="L167" i="8"/>
  <c r="K167" i="8"/>
  <c r="J167" i="8"/>
  <c r="I167" i="8"/>
  <c r="H167" i="8"/>
  <c r="G167" i="8"/>
  <c r="F167" i="8"/>
  <c r="AC166" i="8"/>
  <c r="G116" i="4" s="1"/>
  <c r="AC165" i="8"/>
  <c r="G115" i="4" s="1"/>
  <c r="AC164" i="8"/>
  <c r="G114" i="4" s="1"/>
  <c r="AC163" i="8"/>
  <c r="G113" i="4" s="1"/>
  <c r="AC162" i="8"/>
  <c r="G112" i="4" s="1"/>
  <c r="AC161" i="8"/>
  <c r="G111" i="4" s="1"/>
  <c r="AC160" i="8"/>
  <c r="G110" i="4" s="1"/>
  <c r="AC159" i="8"/>
  <c r="G109" i="4" s="1"/>
  <c r="AC158" i="8"/>
  <c r="G108" i="4" s="1"/>
  <c r="AC157" i="8"/>
  <c r="G107" i="4" s="1"/>
  <c r="AC156" i="8"/>
  <c r="G106" i="4" s="1"/>
  <c r="AC155" i="8"/>
  <c r="G105" i="4" s="1"/>
  <c r="AC154" i="8"/>
  <c r="G104" i="4" s="1"/>
  <c r="AC153" i="8"/>
  <c r="G103" i="4" s="1"/>
  <c r="AC152" i="8"/>
  <c r="G102" i="4" s="1"/>
  <c r="AC151" i="8"/>
  <c r="G101" i="4" s="1"/>
  <c r="AC150" i="8"/>
  <c r="G100" i="4" s="1"/>
  <c r="AC149" i="8"/>
  <c r="G99" i="4" s="1"/>
  <c r="AC148" i="8"/>
  <c r="G98" i="4" s="1"/>
  <c r="AC147" i="8"/>
  <c r="G97" i="4" s="1"/>
  <c r="AC146" i="8"/>
  <c r="G96" i="4" s="1"/>
  <c r="AC145" i="8"/>
  <c r="G95" i="4" s="1"/>
  <c r="AC144" i="8"/>
  <c r="G94" i="4" s="1"/>
  <c r="AC143" i="8"/>
  <c r="G93" i="4" s="1"/>
  <c r="AC142" i="8"/>
  <c r="G92" i="4" s="1"/>
  <c r="AC141" i="8"/>
  <c r="G91" i="4" s="1"/>
  <c r="AC140" i="8"/>
  <c r="G90" i="4" s="1"/>
  <c r="AC139" i="8"/>
  <c r="G89" i="4" s="1"/>
  <c r="AC138" i="8"/>
  <c r="G88" i="4" s="1"/>
  <c r="AC137" i="8"/>
  <c r="G87" i="4" s="1"/>
  <c r="AC136" i="8"/>
  <c r="G86" i="4" s="1"/>
  <c r="AC135" i="8"/>
  <c r="G85" i="4" s="1"/>
  <c r="AC134" i="8"/>
  <c r="G84" i="4" s="1"/>
  <c r="AC133" i="8"/>
  <c r="G83" i="4" s="1"/>
  <c r="AC132" i="8"/>
  <c r="G82" i="4" s="1"/>
  <c r="AC131" i="8"/>
  <c r="G81" i="4" s="1"/>
  <c r="AC130" i="8"/>
  <c r="G80" i="4" s="1"/>
  <c r="AC129" i="8"/>
  <c r="G79" i="4" s="1"/>
  <c r="AC128" i="8"/>
  <c r="G78" i="4" s="1"/>
  <c r="AC127" i="8"/>
  <c r="G77" i="4" s="1"/>
  <c r="AC126" i="8"/>
  <c r="G76" i="4" s="1"/>
  <c r="AC125" i="8"/>
  <c r="G75" i="4" s="1"/>
  <c r="AC124" i="8"/>
  <c r="G74" i="4" s="1"/>
  <c r="AC123" i="8"/>
  <c r="G73" i="4" s="1"/>
  <c r="AC122" i="8"/>
  <c r="G72" i="4" s="1"/>
  <c r="AC121" i="8"/>
  <c r="G71" i="4" s="1"/>
  <c r="AC120" i="8"/>
  <c r="G70" i="4" s="1"/>
  <c r="AC119" i="8"/>
  <c r="G69" i="4" s="1"/>
  <c r="AC118" i="8"/>
  <c r="G68" i="4" s="1"/>
  <c r="E45" i="6"/>
  <c r="AB112" i="8"/>
  <c r="AA112" i="8"/>
  <c r="Z112" i="8"/>
  <c r="Y112" i="8"/>
  <c r="X112" i="8"/>
  <c r="W112" i="8"/>
  <c r="V112" i="8"/>
  <c r="U112" i="8"/>
  <c r="T112" i="8"/>
  <c r="S112" i="8"/>
  <c r="R112" i="8"/>
  <c r="Q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AC111" i="8"/>
  <c r="F116" i="4" s="1"/>
  <c r="AC110" i="8"/>
  <c r="F115" i="4" s="1"/>
  <c r="AC109" i="8"/>
  <c r="F114" i="4" s="1"/>
  <c r="AC108" i="8"/>
  <c r="F113" i="4" s="1"/>
  <c r="AC107" i="8"/>
  <c r="F112" i="4" s="1"/>
  <c r="AC106" i="8"/>
  <c r="F111" i="4" s="1"/>
  <c r="AC105" i="8"/>
  <c r="F110" i="4" s="1"/>
  <c r="AC104" i="8"/>
  <c r="F109" i="4" s="1"/>
  <c r="AC103" i="8"/>
  <c r="F108" i="4" s="1"/>
  <c r="AC102" i="8"/>
  <c r="F107" i="4" s="1"/>
  <c r="AC101" i="8"/>
  <c r="F106" i="4" s="1"/>
  <c r="AC100" i="8"/>
  <c r="F105" i="4" s="1"/>
  <c r="AC99" i="8"/>
  <c r="F104" i="4" s="1"/>
  <c r="AC98" i="8"/>
  <c r="F103" i="4" s="1"/>
  <c r="AC97" i="8"/>
  <c r="F102" i="4" s="1"/>
  <c r="AC96" i="8"/>
  <c r="F101" i="4" s="1"/>
  <c r="AC95" i="8"/>
  <c r="F100" i="4" s="1"/>
  <c r="AC94" i="8"/>
  <c r="F99" i="4" s="1"/>
  <c r="AC93" i="8"/>
  <c r="F98" i="4" s="1"/>
  <c r="AC92" i="8"/>
  <c r="F97" i="4" s="1"/>
  <c r="AC91" i="8"/>
  <c r="F96" i="4" s="1"/>
  <c r="AC90" i="8"/>
  <c r="F95" i="4" s="1"/>
  <c r="AC89" i="8"/>
  <c r="F94" i="4" s="1"/>
  <c r="AC88" i="8"/>
  <c r="F93" i="4" s="1"/>
  <c r="AC87" i="8"/>
  <c r="F92" i="4" s="1"/>
  <c r="AC86" i="8"/>
  <c r="F91" i="4" s="1"/>
  <c r="AC85" i="8"/>
  <c r="F90" i="4" s="1"/>
  <c r="AC84" i="8"/>
  <c r="F89" i="4" s="1"/>
  <c r="AC83" i="8"/>
  <c r="F88" i="4" s="1"/>
  <c r="AC82" i="8"/>
  <c r="F87" i="4" s="1"/>
  <c r="AC81" i="8"/>
  <c r="F86" i="4" s="1"/>
  <c r="AC80" i="8"/>
  <c r="F85" i="4" s="1"/>
  <c r="AC79" i="8"/>
  <c r="F84" i="4" s="1"/>
  <c r="AC78" i="8"/>
  <c r="F83" i="4" s="1"/>
  <c r="AC77" i="8"/>
  <c r="F82" i="4" s="1"/>
  <c r="AC76" i="8"/>
  <c r="F81" i="4" s="1"/>
  <c r="AC75" i="8"/>
  <c r="F80" i="4" s="1"/>
  <c r="AC74" i="8"/>
  <c r="F79" i="4" s="1"/>
  <c r="AC73" i="8"/>
  <c r="F78" i="4" s="1"/>
  <c r="AC72" i="8"/>
  <c r="F77" i="4" s="1"/>
  <c r="AC71" i="8"/>
  <c r="F76" i="4" s="1"/>
  <c r="AC70" i="8"/>
  <c r="F75" i="4" s="1"/>
  <c r="AC69" i="8"/>
  <c r="F74" i="4" s="1"/>
  <c r="AC68" i="8"/>
  <c r="F73" i="4" s="1"/>
  <c r="AC67" i="8"/>
  <c r="F72" i="4" s="1"/>
  <c r="AC66" i="8"/>
  <c r="F71" i="4" s="1"/>
  <c r="AC65" i="8"/>
  <c r="F70" i="4" s="1"/>
  <c r="AC64" i="8"/>
  <c r="AC63" i="8"/>
  <c r="F68" i="4" s="1"/>
  <c r="B5" i="8"/>
  <c r="B5" i="6"/>
  <c r="E57" i="8"/>
  <c r="AC56" i="8"/>
  <c r="E116" i="4" s="1"/>
  <c r="AC55" i="8"/>
  <c r="E115" i="4" s="1"/>
  <c r="AC54" i="8"/>
  <c r="E114" i="4" s="1"/>
  <c r="AC53" i="8"/>
  <c r="E113" i="4" s="1"/>
  <c r="AC52" i="8"/>
  <c r="E112" i="4" s="1"/>
  <c r="AC51" i="8"/>
  <c r="E111" i="4" s="1"/>
  <c r="AC50" i="8"/>
  <c r="E110" i="4" s="1"/>
  <c r="AC49" i="8"/>
  <c r="E109" i="4" s="1"/>
  <c r="AC48" i="8"/>
  <c r="E108" i="4" s="1"/>
  <c r="AC47" i="8"/>
  <c r="E107" i="4" s="1"/>
  <c r="AC46" i="8"/>
  <c r="E106" i="4" s="1"/>
  <c r="AC45" i="8"/>
  <c r="E105" i="4" s="1"/>
  <c r="AC44" i="8"/>
  <c r="E104" i="4" s="1"/>
  <c r="AC43" i="8"/>
  <c r="E103" i="4" s="1"/>
  <c r="AC42" i="8"/>
  <c r="E102" i="4" s="1"/>
  <c r="AC41" i="8"/>
  <c r="E101" i="4" s="1"/>
  <c r="M10" i="10"/>
  <c r="AC10" i="10"/>
  <c r="E10" i="10"/>
  <c r="AB1334" i="6"/>
  <c r="AA1334" i="6"/>
  <c r="Z1334" i="6"/>
  <c r="Y1334" i="6"/>
  <c r="X1334" i="6"/>
  <c r="W1334" i="6"/>
  <c r="V1334" i="6"/>
  <c r="U1334" i="6"/>
  <c r="T1334" i="6"/>
  <c r="S1334" i="6"/>
  <c r="R1334" i="6"/>
  <c r="Q1334" i="6"/>
  <c r="P1334" i="6"/>
  <c r="O1334" i="6"/>
  <c r="N1334" i="6"/>
  <c r="M1334" i="6"/>
  <c r="L1334" i="6"/>
  <c r="K1334" i="6"/>
  <c r="J1334" i="6"/>
  <c r="I1334" i="6"/>
  <c r="H1334" i="6"/>
  <c r="G1334" i="6"/>
  <c r="F1334" i="6"/>
  <c r="E1334" i="6"/>
  <c r="AC1333" i="6"/>
  <c r="AI60" i="4" s="1"/>
  <c r="AC1332" i="6"/>
  <c r="AI59" i="4" s="1"/>
  <c r="AC1331" i="6"/>
  <c r="AI58" i="4" s="1"/>
  <c r="AC1330" i="6"/>
  <c r="AI57" i="4" s="1"/>
  <c r="AC1329" i="6"/>
  <c r="AI56" i="4" s="1"/>
  <c r="AC1328" i="6"/>
  <c r="AI55" i="4" s="1"/>
  <c r="AC1327" i="6"/>
  <c r="AI54" i="4" s="1"/>
  <c r="AC1326" i="6"/>
  <c r="AI53" i="4" s="1"/>
  <c r="AC1325" i="6"/>
  <c r="AI52" i="4" s="1"/>
  <c r="AC1324" i="6"/>
  <c r="AI51" i="4" s="1"/>
  <c r="AC1323" i="6"/>
  <c r="AI50" i="4" s="1"/>
  <c r="AC1322" i="6"/>
  <c r="AI49" i="4" s="1"/>
  <c r="AC1321" i="6"/>
  <c r="AI48" i="4" s="1"/>
  <c r="AC1320" i="6"/>
  <c r="AI47" i="4" s="1"/>
  <c r="AC1319" i="6"/>
  <c r="AI46" i="4" s="1"/>
  <c r="AC1318" i="6"/>
  <c r="AI45" i="4" s="1"/>
  <c r="AC1317" i="6"/>
  <c r="AI44" i="4" s="1"/>
  <c r="AC1316" i="6"/>
  <c r="AI43" i="4" s="1"/>
  <c r="AC1315" i="6"/>
  <c r="AI42" i="4" s="1"/>
  <c r="AC1314" i="6"/>
  <c r="AI41" i="4" s="1"/>
  <c r="AC1313" i="6"/>
  <c r="AI40" i="4" s="1"/>
  <c r="AC1312" i="6"/>
  <c r="AI39" i="4" s="1"/>
  <c r="AC1311" i="6"/>
  <c r="AI38" i="4" s="1"/>
  <c r="AC1310" i="6"/>
  <c r="AI37" i="4" s="1"/>
  <c r="AC1309" i="6"/>
  <c r="AI36" i="4" s="1"/>
  <c r="AC1308" i="6"/>
  <c r="AI35" i="4" s="1"/>
  <c r="AC1307" i="6"/>
  <c r="AI34" i="4" s="1"/>
  <c r="AC1306" i="6"/>
  <c r="AI33" i="4" s="1"/>
  <c r="AC1305" i="6"/>
  <c r="AI32" i="4" s="1"/>
  <c r="AC1304" i="6"/>
  <c r="AI31" i="4" s="1"/>
  <c r="AC1303" i="6"/>
  <c r="AI30" i="4" s="1"/>
  <c r="AC1302" i="6"/>
  <c r="AI29" i="4" s="1"/>
  <c r="AC1301" i="6"/>
  <c r="AI28" i="4" s="1"/>
  <c r="AC1300" i="6"/>
  <c r="AI27" i="4" s="1"/>
  <c r="AC1299" i="6"/>
  <c r="AI26" i="4" s="1"/>
  <c r="AC1298" i="6"/>
  <c r="AI25" i="4" s="1"/>
  <c r="AC1297" i="6"/>
  <c r="AI24" i="4" s="1"/>
  <c r="AB1291" i="6"/>
  <c r="AA1291" i="6"/>
  <c r="Z1291" i="6"/>
  <c r="Y1291" i="6"/>
  <c r="X1291" i="6"/>
  <c r="W1291" i="6"/>
  <c r="V1291" i="6"/>
  <c r="U1291" i="6"/>
  <c r="T1291" i="6"/>
  <c r="S1291" i="6"/>
  <c r="R1291" i="6"/>
  <c r="Q1291" i="6"/>
  <c r="P1291" i="6"/>
  <c r="O1291" i="6"/>
  <c r="N1291" i="6"/>
  <c r="M1291" i="6"/>
  <c r="L1291" i="6"/>
  <c r="K1291" i="6"/>
  <c r="J1291" i="6"/>
  <c r="I1291" i="6"/>
  <c r="H1291" i="6"/>
  <c r="G1291" i="6"/>
  <c r="F1291" i="6"/>
  <c r="E1291" i="6"/>
  <c r="AC1290" i="6"/>
  <c r="AH60" i="4" s="1"/>
  <c r="AC1289" i="6"/>
  <c r="AH59" i="4" s="1"/>
  <c r="AC1288" i="6"/>
  <c r="AH58" i="4" s="1"/>
  <c r="AC1287" i="6"/>
  <c r="AH57" i="4" s="1"/>
  <c r="AC1286" i="6"/>
  <c r="AH56" i="4" s="1"/>
  <c r="AC1285" i="6"/>
  <c r="AH55" i="4" s="1"/>
  <c r="AC1284" i="6"/>
  <c r="AH54" i="4" s="1"/>
  <c r="AC1283" i="6"/>
  <c r="AH53" i="4" s="1"/>
  <c r="AC1282" i="6"/>
  <c r="AH52" i="4" s="1"/>
  <c r="AC1281" i="6"/>
  <c r="AH51" i="4" s="1"/>
  <c r="AC1280" i="6"/>
  <c r="AH50" i="4" s="1"/>
  <c r="AC1279" i="6"/>
  <c r="AH49" i="4" s="1"/>
  <c r="AC1278" i="6"/>
  <c r="AH48" i="4" s="1"/>
  <c r="AC1277" i="6"/>
  <c r="AH47" i="4" s="1"/>
  <c r="AC1276" i="6"/>
  <c r="AH46" i="4" s="1"/>
  <c r="AC1275" i="6"/>
  <c r="AH45" i="4" s="1"/>
  <c r="AC1274" i="6"/>
  <c r="AH44" i="4" s="1"/>
  <c r="AC1273" i="6"/>
  <c r="AH43" i="4" s="1"/>
  <c r="AC1272" i="6"/>
  <c r="AH42" i="4" s="1"/>
  <c r="AC1271" i="6"/>
  <c r="AH41" i="4" s="1"/>
  <c r="AC1270" i="6"/>
  <c r="AH40" i="4" s="1"/>
  <c r="AC1269" i="6"/>
  <c r="AH39" i="4" s="1"/>
  <c r="AC1268" i="6"/>
  <c r="AH38" i="4" s="1"/>
  <c r="AC1267" i="6"/>
  <c r="AH37" i="4" s="1"/>
  <c r="AC1266" i="6"/>
  <c r="AH36" i="4" s="1"/>
  <c r="AC1265" i="6"/>
  <c r="AH35" i="4" s="1"/>
  <c r="AC1264" i="6"/>
  <c r="AH34" i="4" s="1"/>
  <c r="AC1263" i="6"/>
  <c r="AH33" i="4" s="1"/>
  <c r="AC1262" i="6"/>
  <c r="AH32" i="4" s="1"/>
  <c r="AC1261" i="6"/>
  <c r="AH31" i="4" s="1"/>
  <c r="AC1260" i="6"/>
  <c r="AH30" i="4" s="1"/>
  <c r="AC1259" i="6"/>
  <c r="AH29" i="4" s="1"/>
  <c r="AC1258" i="6"/>
  <c r="AH28" i="4" s="1"/>
  <c r="AC1257" i="6"/>
  <c r="AH27" i="4" s="1"/>
  <c r="AC1256" i="6"/>
  <c r="AH26" i="4" s="1"/>
  <c r="AC1255" i="6"/>
  <c r="AH25" i="4" s="1"/>
  <c r="AC1254" i="6"/>
  <c r="AH24" i="4" s="1"/>
  <c r="AB1248" i="6"/>
  <c r="AA1248" i="6"/>
  <c r="Z1248" i="6"/>
  <c r="Y1248" i="6"/>
  <c r="X1248" i="6"/>
  <c r="W1248" i="6"/>
  <c r="V1248" i="6"/>
  <c r="U1248" i="6"/>
  <c r="T1248" i="6"/>
  <c r="S1248" i="6"/>
  <c r="R1248" i="6"/>
  <c r="Q1248" i="6"/>
  <c r="P1248" i="6"/>
  <c r="O1248" i="6"/>
  <c r="N1248" i="6"/>
  <c r="M1248" i="6"/>
  <c r="L1248" i="6"/>
  <c r="K1248" i="6"/>
  <c r="J1248" i="6"/>
  <c r="I1248" i="6"/>
  <c r="H1248" i="6"/>
  <c r="G1248" i="6"/>
  <c r="F1248" i="6"/>
  <c r="E1248" i="6"/>
  <c r="AC1247" i="6"/>
  <c r="AG60" i="4" s="1"/>
  <c r="AC1246" i="6"/>
  <c r="AG59" i="4" s="1"/>
  <c r="AC1245" i="6"/>
  <c r="AG58" i="4" s="1"/>
  <c r="AC1244" i="6"/>
  <c r="AG57" i="4" s="1"/>
  <c r="AC1243" i="6"/>
  <c r="AG56" i="4" s="1"/>
  <c r="AC1242" i="6"/>
  <c r="AG55" i="4" s="1"/>
  <c r="AC1241" i="6"/>
  <c r="AG54" i="4" s="1"/>
  <c r="AC1240" i="6"/>
  <c r="AG53" i="4" s="1"/>
  <c r="AC1239" i="6"/>
  <c r="AG52" i="4" s="1"/>
  <c r="AC1238" i="6"/>
  <c r="AG51" i="4" s="1"/>
  <c r="AC1237" i="6"/>
  <c r="AG50" i="4" s="1"/>
  <c r="AC1236" i="6"/>
  <c r="AG49" i="4" s="1"/>
  <c r="AC1235" i="6"/>
  <c r="AG48" i="4" s="1"/>
  <c r="AC1234" i="6"/>
  <c r="AG47" i="4" s="1"/>
  <c r="AC1233" i="6"/>
  <c r="AG46" i="4" s="1"/>
  <c r="AC1232" i="6"/>
  <c r="AG45" i="4" s="1"/>
  <c r="AC1231" i="6"/>
  <c r="AG44" i="4" s="1"/>
  <c r="AC1230" i="6"/>
  <c r="AG43" i="4" s="1"/>
  <c r="AC1229" i="6"/>
  <c r="AG42" i="4" s="1"/>
  <c r="AC1228" i="6"/>
  <c r="AG41" i="4" s="1"/>
  <c r="AC1227" i="6"/>
  <c r="AG40" i="4" s="1"/>
  <c r="AC1226" i="6"/>
  <c r="AG39" i="4" s="1"/>
  <c r="AC1225" i="6"/>
  <c r="AG38" i="4" s="1"/>
  <c r="AC1224" i="6"/>
  <c r="AG37" i="4" s="1"/>
  <c r="AC1223" i="6"/>
  <c r="AG36" i="4" s="1"/>
  <c r="AC1222" i="6"/>
  <c r="AG35" i="4" s="1"/>
  <c r="AC1221" i="6"/>
  <c r="AG34" i="4" s="1"/>
  <c r="AC1220" i="6"/>
  <c r="AG33" i="4" s="1"/>
  <c r="AC1219" i="6"/>
  <c r="AG32" i="4" s="1"/>
  <c r="AC1218" i="6"/>
  <c r="AG31" i="4" s="1"/>
  <c r="AC1217" i="6"/>
  <c r="AG30" i="4" s="1"/>
  <c r="AC1216" i="6"/>
  <c r="AG29" i="4" s="1"/>
  <c r="AC1215" i="6"/>
  <c r="AG28" i="4" s="1"/>
  <c r="AC1214" i="6"/>
  <c r="AG27" i="4" s="1"/>
  <c r="AC1213" i="6"/>
  <c r="AG26" i="4" s="1"/>
  <c r="AC1212" i="6"/>
  <c r="AG25" i="4" s="1"/>
  <c r="AC1211" i="6"/>
  <c r="AG24" i="4" s="1"/>
  <c r="AB1205" i="6"/>
  <c r="AA1205" i="6"/>
  <c r="Z1205" i="6"/>
  <c r="Y1205" i="6"/>
  <c r="X1205" i="6"/>
  <c r="W1205" i="6"/>
  <c r="V1205" i="6"/>
  <c r="U1205" i="6"/>
  <c r="T1205" i="6"/>
  <c r="S1205" i="6"/>
  <c r="R1205" i="6"/>
  <c r="Q1205" i="6"/>
  <c r="P1205" i="6"/>
  <c r="O1205" i="6"/>
  <c r="N1205" i="6"/>
  <c r="M1205" i="6"/>
  <c r="L1205" i="6"/>
  <c r="K1205" i="6"/>
  <c r="J1205" i="6"/>
  <c r="I1205" i="6"/>
  <c r="H1205" i="6"/>
  <c r="G1205" i="6"/>
  <c r="F1205" i="6"/>
  <c r="E1205" i="6"/>
  <c r="AC1204" i="6"/>
  <c r="AF60" i="4" s="1"/>
  <c r="AC1203" i="6"/>
  <c r="AF59" i="4" s="1"/>
  <c r="AC1202" i="6"/>
  <c r="AF58" i="4" s="1"/>
  <c r="AC1201" i="6"/>
  <c r="AF57" i="4" s="1"/>
  <c r="AC1200" i="6"/>
  <c r="AF56" i="4" s="1"/>
  <c r="AC1199" i="6"/>
  <c r="AF55" i="4" s="1"/>
  <c r="AC1198" i="6"/>
  <c r="AF54" i="4" s="1"/>
  <c r="AC1197" i="6"/>
  <c r="AF53" i="4" s="1"/>
  <c r="AC1196" i="6"/>
  <c r="AF52" i="4" s="1"/>
  <c r="AC1195" i="6"/>
  <c r="AF51" i="4" s="1"/>
  <c r="AC1194" i="6"/>
  <c r="AF50" i="4" s="1"/>
  <c r="AC1193" i="6"/>
  <c r="AF49" i="4" s="1"/>
  <c r="AC1192" i="6"/>
  <c r="AF48" i="4" s="1"/>
  <c r="AC1191" i="6"/>
  <c r="AF47" i="4" s="1"/>
  <c r="AC1190" i="6"/>
  <c r="AF46" i="4" s="1"/>
  <c r="AC1189" i="6"/>
  <c r="AF45" i="4" s="1"/>
  <c r="AC1188" i="6"/>
  <c r="AF44" i="4" s="1"/>
  <c r="AC1187" i="6"/>
  <c r="AF43" i="4" s="1"/>
  <c r="AC1186" i="6"/>
  <c r="AF42" i="4" s="1"/>
  <c r="AC1185" i="6"/>
  <c r="AF41" i="4" s="1"/>
  <c r="AC1184" i="6"/>
  <c r="AF40" i="4" s="1"/>
  <c r="AC1183" i="6"/>
  <c r="AF39" i="4" s="1"/>
  <c r="AC1182" i="6"/>
  <c r="AF38" i="4" s="1"/>
  <c r="AC1181" i="6"/>
  <c r="AF37" i="4" s="1"/>
  <c r="AC1180" i="6"/>
  <c r="AF36" i="4" s="1"/>
  <c r="AC1179" i="6"/>
  <c r="AF35" i="4" s="1"/>
  <c r="AC1178" i="6"/>
  <c r="AF34" i="4" s="1"/>
  <c r="AC1177" i="6"/>
  <c r="AF33" i="4" s="1"/>
  <c r="AC1176" i="6"/>
  <c r="AF32" i="4" s="1"/>
  <c r="AC1175" i="6"/>
  <c r="AF31" i="4" s="1"/>
  <c r="AC1174" i="6"/>
  <c r="AF30" i="4" s="1"/>
  <c r="AC1173" i="6"/>
  <c r="AF29" i="4" s="1"/>
  <c r="AC1172" i="6"/>
  <c r="AF28" i="4" s="1"/>
  <c r="AC1171" i="6"/>
  <c r="AF27" i="4" s="1"/>
  <c r="AC1170" i="6"/>
  <c r="AF26" i="4" s="1"/>
  <c r="AC1169" i="6"/>
  <c r="AF25" i="4" s="1"/>
  <c r="AC1168" i="6"/>
  <c r="AF24" i="4" s="1"/>
  <c r="AB1163" i="6"/>
  <c r="AA1163" i="6"/>
  <c r="Z1163" i="6"/>
  <c r="Y1163" i="6"/>
  <c r="X1163" i="6"/>
  <c r="W1163" i="6"/>
  <c r="V1163" i="6"/>
  <c r="U1163" i="6"/>
  <c r="T1163" i="6"/>
  <c r="S1163" i="6"/>
  <c r="R1163" i="6"/>
  <c r="Q1163" i="6"/>
  <c r="P1163" i="6"/>
  <c r="O1163" i="6"/>
  <c r="N1163" i="6"/>
  <c r="M1163" i="6"/>
  <c r="L1163" i="6"/>
  <c r="K1163" i="6"/>
  <c r="J1163" i="6"/>
  <c r="I1163" i="6"/>
  <c r="H1163" i="6"/>
  <c r="G1163" i="6"/>
  <c r="F1163" i="6"/>
  <c r="E1163" i="6"/>
  <c r="AC1162" i="6"/>
  <c r="AE60" i="4" s="1"/>
  <c r="AC1161" i="6"/>
  <c r="AE59" i="4" s="1"/>
  <c r="AC1160" i="6"/>
  <c r="AE58" i="4" s="1"/>
  <c r="AC1159" i="6"/>
  <c r="AE57" i="4" s="1"/>
  <c r="AC1158" i="6"/>
  <c r="AE56" i="4" s="1"/>
  <c r="AC1157" i="6"/>
  <c r="AE55" i="4" s="1"/>
  <c r="AC1156" i="6"/>
  <c r="AE54" i="4" s="1"/>
  <c r="AC1155" i="6"/>
  <c r="AE53" i="4" s="1"/>
  <c r="AC1154" i="6"/>
  <c r="AE52" i="4" s="1"/>
  <c r="AC1153" i="6"/>
  <c r="AE51" i="4" s="1"/>
  <c r="AC1152" i="6"/>
  <c r="AE50" i="4" s="1"/>
  <c r="AC1151" i="6"/>
  <c r="AE49" i="4" s="1"/>
  <c r="AC1150" i="6"/>
  <c r="AE48" i="4" s="1"/>
  <c r="AC1149" i="6"/>
  <c r="AE47" i="4" s="1"/>
  <c r="AC1148" i="6"/>
  <c r="AE46" i="4" s="1"/>
  <c r="AC1147" i="6"/>
  <c r="AE45" i="4" s="1"/>
  <c r="AC1146" i="6"/>
  <c r="AE44" i="4" s="1"/>
  <c r="AC1145" i="6"/>
  <c r="AE43" i="4" s="1"/>
  <c r="AC1144" i="6"/>
  <c r="AE42" i="4" s="1"/>
  <c r="AC1143" i="6"/>
  <c r="AE41" i="4" s="1"/>
  <c r="AC1142" i="6"/>
  <c r="AE40" i="4" s="1"/>
  <c r="AC1141" i="6"/>
  <c r="AE39" i="4" s="1"/>
  <c r="AC1140" i="6"/>
  <c r="AE38" i="4" s="1"/>
  <c r="AC1139" i="6"/>
  <c r="AE37" i="4" s="1"/>
  <c r="AC1138" i="6"/>
  <c r="AE36" i="4" s="1"/>
  <c r="AC1137" i="6"/>
  <c r="AE35" i="4" s="1"/>
  <c r="AC1136" i="6"/>
  <c r="AE34" i="4" s="1"/>
  <c r="AC1135" i="6"/>
  <c r="AE33" i="4" s="1"/>
  <c r="AC1134" i="6"/>
  <c r="AE32" i="4" s="1"/>
  <c r="AC1133" i="6"/>
  <c r="AE31" i="4" s="1"/>
  <c r="AC1132" i="6"/>
  <c r="AE30" i="4" s="1"/>
  <c r="AC1131" i="6"/>
  <c r="AE29" i="4" s="1"/>
  <c r="AC1130" i="6"/>
  <c r="AE28" i="4" s="1"/>
  <c r="AC1129" i="6"/>
  <c r="AE27" i="4" s="1"/>
  <c r="AC1128" i="6"/>
  <c r="AE26" i="4" s="1"/>
  <c r="AC1127" i="6"/>
  <c r="AE25" i="4" s="1"/>
  <c r="AC1126" i="6"/>
  <c r="AE24" i="4" s="1"/>
  <c r="AB1120" i="6"/>
  <c r="AA1120" i="6"/>
  <c r="Z1120" i="6"/>
  <c r="Y1120" i="6"/>
  <c r="X1120" i="6"/>
  <c r="W1120" i="6"/>
  <c r="V1120" i="6"/>
  <c r="U1120" i="6"/>
  <c r="T1120" i="6"/>
  <c r="S1120" i="6"/>
  <c r="R1120" i="6"/>
  <c r="Q1120" i="6"/>
  <c r="P1120" i="6"/>
  <c r="O1120" i="6"/>
  <c r="N1120" i="6"/>
  <c r="M1120" i="6"/>
  <c r="L1120" i="6"/>
  <c r="K1120" i="6"/>
  <c r="J1120" i="6"/>
  <c r="I1120" i="6"/>
  <c r="H1120" i="6"/>
  <c r="G1120" i="6"/>
  <c r="F1120" i="6"/>
  <c r="E1120" i="6"/>
  <c r="AC1119" i="6"/>
  <c r="AD60" i="4" s="1"/>
  <c r="AC1118" i="6"/>
  <c r="AD59" i="4" s="1"/>
  <c r="AC1117" i="6"/>
  <c r="AD58" i="4" s="1"/>
  <c r="AC1116" i="6"/>
  <c r="AD57" i="4" s="1"/>
  <c r="AC1115" i="6"/>
  <c r="AD56" i="4" s="1"/>
  <c r="AC1114" i="6"/>
  <c r="AD55" i="4" s="1"/>
  <c r="AC1113" i="6"/>
  <c r="AD54" i="4" s="1"/>
  <c r="AC1112" i="6"/>
  <c r="AD53" i="4" s="1"/>
  <c r="AC1111" i="6"/>
  <c r="AD52" i="4" s="1"/>
  <c r="AC1110" i="6"/>
  <c r="AD51" i="4" s="1"/>
  <c r="AC1109" i="6"/>
  <c r="AD50" i="4" s="1"/>
  <c r="AC1108" i="6"/>
  <c r="AD49" i="4" s="1"/>
  <c r="AC1107" i="6"/>
  <c r="AD48" i="4" s="1"/>
  <c r="AC1106" i="6"/>
  <c r="AD47" i="4" s="1"/>
  <c r="AC1105" i="6"/>
  <c r="AD46" i="4" s="1"/>
  <c r="AC1104" i="6"/>
  <c r="AD45" i="4" s="1"/>
  <c r="AC1103" i="6"/>
  <c r="AD44" i="4" s="1"/>
  <c r="AC1102" i="6"/>
  <c r="AD43" i="4" s="1"/>
  <c r="AC1101" i="6"/>
  <c r="AD42" i="4" s="1"/>
  <c r="AC1100" i="6"/>
  <c r="AD41" i="4" s="1"/>
  <c r="AC1099" i="6"/>
  <c r="AD40" i="4" s="1"/>
  <c r="AC1098" i="6"/>
  <c r="AD39" i="4" s="1"/>
  <c r="AC1097" i="6"/>
  <c r="AD38" i="4" s="1"/>
  <c r="AC1096" i="6"/>
  <c r="AD37" i="4" s="1"/>
  <c r="AC1095" i="6"/>
  <c r="AD36" i="4" s="1"/>
  <c r="AC1094" i="6"/>
  <c r="AD35" i="4" s="1"/>
  <c r="AC1093" i="6"/>
  <c r="AD34" i="4" s="1"/>
  <c r="AC1092" i="6"/>
  <c r="AD33" i="4" s="1"/>
  <c r="AC1091" i="6"/>
  <c r="AD32" i="4" s="1"/>
  <c r="AC1090" i="6"/>
  <c r="AD31" i="4" s="1"/>
  <c r="AC1089" i="6"/>
  <c r="AD30" i="4" s="1"/>
  <c r="AC1088" i="6"/>
  <c r="AD29" i="4" s="1"/>
  <c r="AC1087" i="6"/>
  <c r="AD28" i="4" s="1"/>
  <c r="AC1086" i="6"/>
  <c r="AD27" i="4" s="1"/>
  <c r="AC1085" i="6"/>
  <c r="AD26" i="4" s="1"/>
  <c r="AC1084" i="6"/>
  <c r="AD25" i="4" s="1"/>
  <c r="AC1083" i="6"/>
  <c r="AD24" i="4" s="1"/>
  <c r="AB1077" i="6"/>
  <c r="AA1077" i="6"/>
  <c r="Z1077" i="6"/>
  <c r="Y1077" i="6"/>
  <c r="X1077" i="6"/>
  <c r="W1077" i="6"/>
  <c r="V1077" i="6"/>
  <c r="U1077" i="6"/>
  <c r="T1077" i="6"/>
  <c r="S1077" i="6"/>
  <c r="R1077" i="6"/>
  <c r="Q1077" i="6"/>
  <c r="P1077" i="6"/>
  <c r="O1077" i="6"/>
  <c r="N1077" i="6"/>
  <c r="M1077" i="6"/>
  <c r="L1077" i="6"/>
  <c r="K1077" i="6"/>
  <c r="J1077" i="6"/>
  <c r="I1077" i="6"/>
  <c r="H1077" i="6"/>
  <c r="G1077" i="6"/>
  <c r="F1077" i="6"/>
  <c r="E1077" i="6"/>
  <c r="AC1076" i="6"/>
  <c r="AC60" i="4" s="1"/>
  <c r="AC1075" i="6"/>
  <c r="AC59" i="4" s="1"/>
  <c r="AC1074" i="6"/>
  <c r="AC58" i="4" s="1"/>
  <c r="AC1073" i="6"/>
  <c r="AC57" i="4" s="1"/>
  <c r="AC1072" i="6"/>
  <c r="AC56" i="4" s="1"/>
  <c r="AC1071" i="6"/>
  <c r="AC55" i="4" s="1"/>
  <c r="AC1070" i="6"/>
  <c r="AC54" i="4" s="1"/>
  <c r="AC1069" i="6"/>
  <c r="AC53" i="4" s="1"/>
  <c r="AC1068" i="6"/>
  <c r="AC52" i="4" s="1"/>
  <c r="AC1067" i="6"/>
  <c r="AC51" i="4" s="1"/>
  <c r="AC1066" i="6"/>
  <c r="AC50" i="4" s="1"/>
  <c r="AC1065" i="6"/>
  <c r="AC49" i="4" s="1"/>
  <c r="AC1064" i="6"/>
  <c r="AC48" i="4" s="1"/>
  <c r="AC1063" i="6"/>
  <c r="AC47" i="4" s="1"/>
  <c r="AC1062" i="6"/>
  <c r="AC46" i="4" s="1"/>
  <c r="AC1061" i="6"/>
  <c r="AC45" i="4" s="1"/>
  <c r="AC1060" i="6"/>
  <c r="AC44" i="4" s="1"/>
  <c r="AC1059" i="6"/>
  <c r="AC43" i="4" s="1"/>
  <c r="AC1058" i="6"/>
  <c r="AC42" i="4" s="1"/>
  <c r="AC1057" i="6"/>
  <c r="AC41" i="4" s="1"/>
  <c r="AC1056" i="6"/>
  <c r="AC40" i="4" s="1"/>
  <c r="AC1055" i="6"/>
  <c r="AC39" i="4" s="1"/>
  <c r="AC1054" i="6"/>
  <c r="AC38" i="4" s="1"/>
  <c r="AC1053" i="6"/>
  <c r="AC37" i="4" s="1"/>
  <c r="AC1052" i="6"/>
  <c r="AC36" i="4" s="1"/>
  <c r="AC1051" i="6"/>
  <c r="AC35" i="4" s="1"/>
  <c r="AC1050" i="6"/>
  <c r="AC34" i="4" s="1"/>
  <c r="AC1049" i="6"/>
  <c r="AC33" i="4" s="1"/>
  <c r="AC1048" i="6"/>
  <c r="AC32" i="4" s="1"/>
  <c r="AC1047" i="6"/>
  <c r="AC31" i="4" s="1"/>
  <c r="AC1046" i="6"/>
  <c r="AC30" i="4" s="1"/>
  <c r="AC1045" i="6"/>
  <c r="AC29" i="4" s="1"/>
  <c r="AC1044" i="6"/>
  <c r="AC28" i="4" s="1"/>
  <c r="AC1043" i="6"/>
  <c r="AC27" i="4" s="1"/>
  <c r="AC1042" i="6"/>
  <c r="AC26" i="4" s="1"/>
  <c r="AC1041" i="6"/>
  <c r="AC25" i="4" s="1"/>
  <c r="AC1040" i="6"/>
  <c r="AC24" i="4" s="1"/>
  <c r="AB1034" i="6"/>
  <c r="AA1034" i="6"/>
  <c r="Z1034" i="6"/>
  <c r="Y1034" i="6"/>
  <c r="X1034" i="6"/>
  <c r="W1034" i="6"/>
  <c r="V1034" i="6"/>
  <c r="U1034" i="6"/>
  <c r="T1034" i="6"/>
  <c r="S1034" i="6"/>
  <c r="R1034" i="6"/>
  <c r="Q1034" i="6"/>
  <c r="P1034" i="6"/>
  <c r="O1034" i="6"/>
  <c r="N1034" i="6"/>
  <c r="M1034" i="6"/>
  <c r="L1034" i="6"/>
  <c r="K1034" i="6"/>
  <c r="J1034" i="6"/>
  <c r="I1034" i="6"/>
  <c r="H1034" i="6"/>
  <c r="G1034" i="6"/>
  <c r="F1034" i="6"/>
  <c r="E1034" i="6"/>
  <c r="AC1033" i="6"/>
  <c r="AB60" i="4" s="1"/>
  <c r="AC1032" i="6"/>
  <c r="AB59" i="4" s="1"/>
  <c r="AC1031" i="6"/>
  <c r="AB58" i="4" s="1"/>
  <c r="AC1030" i="6"/>
  <c r="AB57" i="4" s="1"/>
  <c r="AC1029" i="6"/>
  <c r="AB56" i="4" s="1"/>
  <c r="AC1028" i="6"/>
  <c r="AB55" i="4" s="1"/>
  <c r="AC1027" i="6"/>
  <c r="AB54" i="4" s="1"/>
  <c r="AC1026" i="6"/>
  <c r="AB53" i="4" s="1"/>
  <c r="AC1025" i="6"/>
  <c r="AB52" i="4" s="1"/>
  <c r="AC1024" i="6"/>
  <c r="AB51" i="4" s="1"/>
  <c r="AC1023" i="6"/>
  <c r="AB50" i="4" s="1"/>
  <c r="AC1022" i="6"/>
  <c r="AB49" i="4" s="1"/>
  <c r="AC1021" i="6"/>
  <c r="AB48" i="4" s="1"/>
  <c r="AC1020" i="6"/>
  <c r="AB47" i="4" s="1"/>
  <c r="AC1019" i="6"/>
  <c r="AB46" i="4" s="1"/>
  <c r="AC1018" i="6"/>
  <c r="AB45" i="4" s="1"/>
  <c r="AC1017" i="6"/>
  <c r="AB44" i="4" s="1"/>
  <c r="AC1016" i="6"/>
  <c r="AB43" i="4" s="1"/>
  <c r="AC1015" i="6"/>
  <c r="AB42" i="4" s="1"/>
  <c r="AC1014" i="6"/>
  <c r="AB41" i="4" s="1"/>
  <c r="AC1013" i="6"/>
  <c r="AB40" i="4" s="1"/>
  <c r="AC1012" i="6"/>
  <c r="AB39" i="4" s="1"/>
  <c r="AC1011" i="6"/>
  <c r="AB38" i="4" s="1"/>
  <c r="AC1010" i="6"/>
  <c r="AB37" i="4" s="1"/>
  <c r="AC1009" i="6"/>
  <c r="AB36" i="4" s="1"/>
  <c r="AC1008" i="6"/>
  <c r="AB35" i="4" s="1"/>
  <c r="AC1007" i="6"/>
  <c r="AB34" i="4" s="1"/>
  <c r="AC1006" i="6"/>
  <c r="AB33" i="4" s="1"/>
  <c r="AC1005" i="6"/>
  <c r="AB32" i="4" s="1"/>
  <c r="AC1004" i="6"/>
  <c r="AB31" i="4" s="1"/>
  <c r="AC1003" i="6"/>
  <c r="AB30" i="4" s="1"/>
  <c r="AC1002" i="6"/>
  <c r="AB29" i="4" s="1"/>
  <c r="AC1001" i="6"/>
  <c r="AB28" i="4" s="1"/>
  <c r="AC1000" i="6"/>
  <c r="AB27" i="4" s="1"/>
  <c r="AC999" i="6"/>
  <c r="AB26" i="4" s="1"/>
  <c r="AC998" i="6"/>
  <c r="AB25" i="4" s="1"/>
  <c r="AC997" i="6"/>
  <c r="AB24" i="4" s="1"/>
  <c r="AB991" i="6"/>
  <c r="AA991" i="6"/>
  <c r="Z991" i="6"/>
  <c r="Y991" i="6"/>
  <c r="X991" i="6"/>
  <c r="W991" i="6"/>
  <c r="V991" i="6"/>
  <c r="U991" i="6"/>
  <c r="T991" i="6"/>
  <c r="S991" i="6"/>
  <c r="R991" i="6"/>
  <c r="Q991" i="6"/>
  <c r="P991" i="6"/>
  <c r="O991" i="6"/>
  <c r="N991" i="6"/>
  <c r="M991" i="6"/>
  <c r="L991" i="6"/>
  <c r="K991" i="6"/>
  <c r="J991" i="6"/>
  <c r="I991" i="6"/>
  <c r="H991" i="6"/>
  <c r="G991" i="6"/>
  <c r="F991" i="6"/>
  <c r="E991" i="6"/>
  <c r="AC990" i="6"/>
  <c r="AA60" i="4" s="1"/>
  <c r="AC989" i="6"/>
  <c r="AA59" i="4" s="1"/>
  <c r="AC988" i="6"/>
  <c r="AA58" i="4" s="1"/>
  <c r="AC987" i="6"/>
  <c r="AA57" i="4" s="1"/>
  <c r="AC986" i="6"/>
  <c r="AA56" i="4" s="1"/>
  <c r="AC985" i="6"/>
  <c r="AA55" i="4" s="1"/>
  <c r="AC984" i="6"/>
  <c r="AA54" i="4" s="1"/>
  <c r="AC983" i="6"/>
  <c r="AA53" i="4" s="1"/>
  <c r="AC982" i="6"/>
  <c r="AA52" i="4" s="1"/>
  <c r="AC981" i="6"/>
  <c r="AA51" i="4" s="1"/>
  <c r="AC980" i="6"/>
  <c r="AA50" i="4" s="1"/>
  <c r="AC979" i="6"/>
  <c r="AA49" i="4" s="1"/>
  <c r="AC978" i="6"/>
  <c r="AA48" i="4" s="1"/>
  <c r="AC977" i="6"/>
  <c r="AA47" i="4" s="1"/>
  <c r="AC976" i="6"/>
  <c r="AA46" i="4" s="1"/>
  <c r="AC975" i="6"/>
  <c r="AA45" i="4" s="1"/>
  <c r="AC974" i="6"/>
  <c r="AA44" i="4" s="1"/>
  <c r="AC973" i="6"/>
  <c r="AA43" i="4" s="1"/>
  <c r="AC972" i="6"/>
  <c r="AA42" i="4" s="1"/>
  <c r="AC971" i="6"/>
  <c r="AA41" i="4" s="1"/>
  <c r="AC970" i="6"/>
  <c r="AA40" i="4" s="1"/>
  <c r="AC969" i="6"/>
  <c r="AA39" i="4" s="1"/>
  <c r="AC968" i="6"/>
  <c r="AA38" i="4" s="1"/>
  <c r="AC967" i="6"/>
  <c r="AA37" i="4" s="1"/>
  <c r="AC966" i="6"/>
  <c r="AA36" i="4" s="1"/>
  <c r="AC965" i="6"/>
  <c r="AA35" i="4" s="1"/>
  <c r="AC964" i="6"/>
  <c r="AA34" i="4" s="1"/>
  <c r="AC963" i="6"/>
  <c r="AA33" i="4" s="1"/>
  <c r="AC962" i="6"/>
  <c r="AA32" i="4" s="1"/>
  <c r="AC961" i="6"/>
  <c r="AA31" i="4" s="1"/>
  <c r="AC960" i="6"/>
  <c r="AA30" i="4" s="1"/>
  <c r="AC959" i="6"/>
  <c r="AA29" i="4" s="1"/>
  <c r="AC958" i="6"/>
  <c r="AA28" i="4" s="1"/>
  <c r="AC957" i="6"/>
  <c r="AA27" i="4" s="1"/>
  <c r="AC956" i="6"/>
  <c r="AA26" i="4" s="1"/>
  <c r="AC955" i="6"/>
  <c r="AA25" i="4" s="1"/>
  <c r="AC954" i="6"/>
  <c r="AA24" i="4" s="1"/>
  <c r="AB948" i="6"/>
  <c r="AA948" i="6"/>
  <c r="Z948" i="6"/>
  <c r="Y948" i="6"/>
  <c r="X948" i="6"/>
  <c r="W948" i="6"/>
  <c r="V948" i="6"/>
  <c r="U948" i="6"/>
  <c r="T948" i="6"/>
  <c r="S948" i="6"/>
  <c r="R948" i="6"/>
  <c r="Q948" i="6"/>
  <c r="P948" i="6"/>
  <c r="O948" i="6"/>
  <c r="N948" i="6"/>
  <c r="M948" i="6"/>
  <c r="L948" i="6"/>
  <c r="K948" i="6"/>
  <c r="J948" i="6"/>
  <c r="I948" i="6"/>
  <c r="H948" i="6"/>
  <c r="G948" i="6"/>
  <c r="F948" i="6"/>
  <c r="E948" i="6"/>
  <c r="AC947" i="6"/>
  <c r="Z60" i="4" s="1"/>
  <c r="AC946" i="6"/>
  <c r="Z59" i="4" s="1"/>
  <c r="AC945" i="6"/>
  <c r="Z58" i="4" s="1"/>
  <c r="AC944" i="6"/>
  <c r="Z57" i="4" s="1"/>
  <c r="AC943" i="6"/>
  <c r="Z56" i="4" s="1"/>
  <c r="AC942" i="6"/>
  <c r="Z55" i="4" s="1"/>
  <c r="AC941" i="6"/>
  <c r="Z54" i="4" s="1"/>
  <c r="AC940" i="6"/>
  <c r="Z53" i="4" s="1"/>
  <c r="AC939" i="6"/>
  <c r="Z52" i="4" s="1"/>
  <c r="AC938" i="6"/>
  <c r="Z51" i="4" s="1"/>
  <c r="AC937" i="6"/>
  <c r="Z50" i="4" s="1"/>
  <c r="AC936" i="6"/>
  <c r="Z49" i="4" s="1"/>
  <c r="AC935" i="6"/>
  <c r="Z48" i="4" s="1"/>
  <c r="AC934" i="6"/>
  <c r="Z47" i="4" s="1"/>
  <c r="AC933" i="6"/>
  <c r="Z46" i="4" s="1"/>
  <c r="AC932" i="6"/>
  <c r="Z45" i="4" s="1"/>
  <c r="AC931" i="6"/>
  <c r="Z44" i="4" s="1"/>
  <c r="AC930" i="6"/>
  <c r="Z43" i="4" s="1"/>
  <c r="AC929" i="6"/>
  <c r="Z42" i="4" s="1"/>
  <c r="AC928" i="6"/>
  <c r="Z41" i="4" s="1"/>
  <c r="AC927" i="6"/>
  <c r="Z40" i="4" s="1"/>
  <c r="AC926" i="6"/>
  <c r="Z39" i="4" s="1"/>
  <c r="AC925" i="6"/>
  <c r="Z38" i="4" s="1"/>
  <c r="AC924" i="6"/>
  <c r="Z37" i="4" s="1"/>
  <c r="AC923" i="6"/>
  <c r="Z36" i="4" s="1"/>
  <c r="AC922" i="6"/>
  <c r="Z35" i="4" s="1"/>
  <c r="AC921" i="6"/>
  <c r="Z34" i="4" s="1"/>
  <c r="AC920" i="6"/>
  <c r="Z33" i="4" s="1"/>
  <c r="AC919" i="6"/>
  <c r="Z32" i="4" s="1"/>
  <c r="AC918" i="6"/>
  <c r="Z31" i="4" s="1"/>
  <c r="AC917" i="6"/>
  <c r="Z30" i="4" s="1"/>
  <c r="AC916" i="6"/>
  <c r="Z29" i="4" s="1"/>
  <c r="AC915" i="6"/>
  <c r="Z28" i="4" s="1"/>
  <c r="AC914" i="6"/>
  <c r="Z27" i="4" s="1"/>
  <c r="AC913" i="6"/>
  <c r="Z26" i="4" s="1"/>
  <c r="AC912" i="6"/>
  <c r="Z25" i="4" s="1"/>
  <c r="AC911" i="6"/>
  <c r="Z24" i="4" s="1"/>
  <c r="AB905" i="6"/>
  <c r="AA905" i="6"/>
  <c r="Z905" i="6"/>
  <c r="Y905" i="6"/>
  <c r="X905" i="6"/>
  <c r="W905" i="6"/>
  <c r="V905" i="6"/>
  <c r="U905" i="6"/>
  <c r="T905" i="6"/>
  <c r="S905" i="6"/>
  <c r="R905" i="6"/>
  <c r="Q905" i="6"/>
  <c r="P905" i="6"/>
  <c r="O905" i="6"/>
  <c r="N905" i="6"/>
  <c r="M905" i="6"/>
  <c r="L905" i="6"/>
  <c r="K905" i="6"/>
  <c r="J905" i="6"/>
  <c r="I905" i="6"/>
  <c r="H905" i="6"/>
  <c r="G905" i="6"/>
  <c r="F905" i="6"/>
  <c r="E905" i="6"/>
  <c r="AC904" i="6"/>
  <c r="Y60" i="4" s="1"/>
  <c r="AC903" i="6"/>
  <c r="Y59" i="4" s="1"/>
  <c r="AC902" i="6"/>
  <c r="Y58" i="4" s="1"/>
  <c r="AC901" i="6"/>
  <c r="Y57" i="4" s="1"/>
  <c r="AC900" i="6"/>
  <c r="Y56" i="4" s="1"/>
  <c r="AC899" i="6"/>
  <c r="Y55" i="4" s="1"/>
  <c r="AC898" i="6"/>
  <c r="Y54" i="4" s="1"/>
  <c r="AC897" i="6"/>
  <c r="Y53" i="4" s="1"/>
  <c r="AC896" i="6"/>
  <c r="Y52" i="4" s="1"/>
  <c r="AC895" i="6"/>
  <c r="Y51" i="4" s="1"/>
  <c r="AC894" i="6"/>
  <c r="Y50" i="4" s="1"/>
  <c r="AC893" i="6"/>
  <c r="Y49" i="4" s="1"/>
  <c r="AC892" i="6"/>
  <c r="Y48" i="4" s="1"/>
  <c r="AC891" i="6"/>
  <c r="Y47" i="4" s="1"/>
  <c r="AC890" i="6"/>
  <c r="Y46" i="4" s="1"/>
  <c r="AC889" i="6"/>
  <c r="Y45" i="4" s="1"/>
  <c r="AC888" i="6"/>
  <c r="Y44" i="4" s="1"/>
  <c r="AC887" i="6"/>
  <c r="Y43" i="4" s="1"/>
  <c r="AC886" i="6"/>
  <c r="Y42" i="4" s="1"/>
  <c r="AC885" i="6"/>
  <c r="Y41" i="4" s="1"/>
  <c r="AC884" i="6"/>
  <c r="Y40" i="4" s="1"/>
  <c r="AC883" i="6"/>
  <c r="Y39" i="4" s="1"/>
  <c r="AC882" i="6"/>
  <c r="Y38" i="4" s="1"/>
  <c r="AC881" i="6"/>
  <c r="Y37" i="4" s="1"/>
  <c r="AC880" i="6"/>
  <c r="Y36" i="4" s="1"/>
  <c r="AC879" i="6"/>
  <c r="Y35" i="4" s="1"/>
  <c r="AC878" i="6"/>
  <c r="Y34" i="4" s="1"/>
  <c r="AC877" i="6"/>
  <c r="Y33" i="4" s="1"/>
  <c r="AC876" i="6"/>
  <c r="Y32" i="4" s="1"/>
  <c r="AC875" i="6"/>
  <c r="Y31" i="4" s="1"/>
  <c r="AC874" i="6"/>
  <c r="Y30" i="4" s="1"/>
  <c r="AC873" i="6"/>
  <c r="Y29" i="4" s="1"/>
  <c r="AC872" i="6"/>
  <c r="Y28" i="4" s="1"/>
  <c r="AC871" i="6"/>
  <c r="Y27" i="4" s="1"/>
  <c r="AC870" i="6"/>
  <c r="Y26" i="4" s="1"/>
  <c r="AC869" i="6"/>
  <c r="Y25" i="4" s="1"/>
  <c r="AC868" i="6"/>
  <c r="Y24" i="4" s="1"/>
  <c r="AB862" i="6"/>
  <c r="AA862" i="6"/>
  <c r="Z862" i="6"/>
  <c r="Y862" i="6"/>
  <c r="X862" i="6"/>
  <c r="W862" i="6"/>
  <c r="V862" i="6"/>
  <c r="U862" i="6"/>
  <c r="T862" i="6"/>
  <c r="S862" i="6"/>
  <c r="R862" i="6"/>
  <c r="Q862" i="6"/>
  <c r="P862" i="6"/>
  <c r="O862" i="6"/>
  <c r="N862" i="6"/>
  <c r="M862" i="6"/>
  <c r="L862" i="6"/>
  <c r="K862" i="6"/>
  <c r="J862" i="6"/>
  <c r="I862" i="6"/>
  <c r="H862" i="6"/>
  <c r="G862" i="6"/>
  <c r="F862" i="6"/>
  <c r="E862" i="6"/>
  <c r="AC861" i="6"/>
  <c r="X60" i="4" s="1"/>
  <c r="AC860" i="6"/>
  <c r="X59" i="4" s="1"/>
  <c r="AC859" i="6"/>
  <c r="X58" i="4" s="1"/>
  <c r="AC858" i="6"/>
  <c r="X57" i="4" s="1"/>
  <c r="AC857" i="6"/>
  <c r="X56" i="4" s="1"/>
  <c r="AC856" i="6"/>
  <c r="X55" i="4" s="1"/>
  <c r="AC855" i="6"/>
  <c r="X54" i="4" s="1"/>
  <c r="AC854" i="6"/>
  <c r="X53" i="4" s="1"/>
  <c r="AC853" i="6"/>
  <c r="X52" i="4" s="1"/>
  <c r="AC852" i="6"/>
  <c r="X51" i="4" s="1"/>
  <c r="AC851" i="6"/>
  <c r="X50" i="4" s="1"/>
  <c r="AC850" i="6"/>
  <c r="X49" i="4" s="1"/>
  <c r="AC849" i="6"/>
  <c r="X48" i="4" s="1"/>
  <c r="AC848" i="6"/>
  <c r="X47" i="4" s="1"/>
  <c r="AC847" i="6"/>
  <c r="X46" i="4" s="1"/>
  <c r="AC846" i="6"/>
  <c r="X45" i="4" s="1"/>
  <c r="AC845" i="6"/>
  <c r="X44" i="4" s="1"/>
  <c r="AC844" i="6"/>
  <c r="X43" i="4" s="1"/>
  <c r="AC843" i="6"/>
  <c r="X42" i="4" s="1"/>
  <c r="AC842" i="6"/>
  <c r="X41" i="4" s="1"/>
  <c r="AC841" i="6"/>
  <c r="X40" i="4" s="1"/>
  <c r="AC840" i="6"/>
  <c r="X39" i="4" s="1"/>
  <c r="AC839" i="6"/>
  <c r="X38" i="4" s="1"/>
  <c r="AC838" i="6"/>
  <c r="X37" i="4" s="1"/>
  <c r="AC837" i="6"/>
  <c r="X36" i="4" s="1"/>
  <c r="AC836" i="6"/>
  <c r="X35" i="4" s="1"/>
  <c r="AC835" i="6"/>
  <c r="X34" i="4" s="1"/>
  <c r="AC834" i="6"/>
  <c r="X33" i="4" s="1"/>
  <c r="AC833" i="6"/>
  <c r="X32" i="4" s="1"/>
  <c r="AC832" i="6"/>
  <c r="X31" i="4" s="1"/>
  <c r="AC831" i="6"/>
  <c r="X30" i="4" s="1"/>
  <c r="AC830" i="6"/>
  <c r="X29" i="4" s="1"/>
  <c r="AC829" i="6"/>
  <c r="X28" i="4" s="1"/>
  <c r="AC828" i="6"/>
  <c r="X27" i="4" s="1"/>
  <c r="AC827" i="6"/>
  <c r="X26" i="4" s="1"/>
  <c r="AC826" i="6"/>
  <c r="X25" i="4" s="1"/>
  <c r="AC825" i="6"/>
  <c r="X24" i="4" s="1"/>
  <c r="AB819" i="6"/>
  <c r="AA819" i="6"/>
  <c r="Z819" i="6"/>
  <c r="Y819" i="6"/>
  <c r="X819" i="6"/>
  <c r="W819" i="6"/>
  <c r="V819" i="6"/>
  <c r="U819" i="6"/>
  <c r="T819" i="6"/>
  <c r="S819" i="6"/>
  <c r="R819" i="6"/>
  <c r="Q819" i="6"/>
  <c r="P819" i="6"/>
  <c r="O819" i="6"/>
  <c r="N819" i="6"/>
  <c r="M819" i="6"/>
  <c r="L819" i="6"/>
  <c r="K819" i="6"/>
  <c r="J819" i="6"/>
  <c r="I819" i="6"/>
  <c r="H819" i="6"/>
  <c r="G819" i="6"/>
  <c r="F819" i="6"/>
  <c r="E819" i="6"/>
  <c r="AC818" i="6"/>
  <c r="W60" i="4" s="1"/>
  <c r="AC817" i="6"/>
  <c r="W59" i="4" s="1"/>
  <c r="AC816" i="6"/>
  <c r="W58" i="4" s="1"/>
  <c r="AC815" i="6"/>
  <c r="W57" i="4" s="1"/>
  <c r="AC814" i="6"/>
  <c r="W56" i="4" s="1"/>
  <c r="AC813" i="6"/>
  <c r="W55" i="4" s="1"/>
  <c r="AC812" i="6"/>
  <c r="W54" i="4" s="1"/>
  <c r="AC811" i="6"/>
  <c r="W53" i="4" s="1"/>
  <c r="AC810" i="6"/>
  <c r="W52" i="4" s="1"/>
  <c r="AC809" i="6"/>
  <c r="W51" i="4" s="1"/>
  <c r="AC808" i="6"/>
  <c r="W50" i="4" s="1"/>
  <c r="AC807" i="6"/>
  <c r="W49" i="4" s="1"/>
  <c r="AC806" i="6"/>
  <c r="W48" i="4" s="1"/>
  <c r="AC805" i="6"/>
  <c r="W47" i="4" s="1"/>
  <c r="AC804" i="6"/>
  <c r="W46" i="4" s="1"/>
  <c r="AC803" i="6"/>
  <c r="W45" i="4" s="1"/>
  <c r="AC802" i="6"/>
  <c r="W44" i="4" s="1"/>
  <c r="AC801" i="6"/>
  <c r="W43" i="4" s="1"/>
  <c r="AC800" i="6"/>
  <c r="W42" i="4" s="1"/>
  <c r="AC799" i="6"/>
  <c r="W41" i="4" s="1"/>
  <c r="AC798" i="6"/>
  <c r="W40" i="4" s="1"/>
  <c r="AC797" i="6"/>
  <c r="W39" i="4" s="1"/>
  <c r="AC796" i="6"/>
  <c r="W38" i="4" s="1"/>
  <c r="AC795" i="6"/>
  <c r="W37" i="4" s="1"/>
  <c r="AC794" i="6"/>
  <c r="W36" i="4" s="1"/>
  <c r="AC793" i="6"/>
  <c r="W35" i="4" s="1"/>
  <c r="AC792" i="6"/>
  <c r="W34" i="4" s="1"/>
  <c r="AC791" i="6"/>
  <c r="W33" i="4" s="1"/>
  <c r="AC790" i="6"/>
  <c r="W32" i="4" s="1"/>
  <c r="AC789" i="6"/>
  <c r="W31" i="4" s="1"/>
  <c r="AC788" i="6"/>
  <c r="W30" i="4" s="1"/>
  <c r="AC787" i="6"/>
  <c r="W29" i="4" s="1"/>
  <c r="AC786" i="6"/>
  <c r="W28" i="4" s="1"/>
  <c r="AC785" i="6"/>
  <c r="W27" i="4" s="1"/>
  <c r="AC784" i="6"/>
  <c r="W26" i="4" s="1"/>
  <c r="AC783" i="6"/>
  <c r="W25" i="4" s="1"/>
  <c r="AC782" i="6"/>
  <c r="W24" i="4" s="1"/>
  <c r="AB776" i="6"/>
  <c r="AA776" i="6"/>
  <c r="Z776" i="6"/>
  <c r="Y776" i="6"/>
  <c r="X776" i="6"/>
  <c r="W776" i="6"/>
  <c r="V776" i="6"/>
  <c r="U776" i="6"/>
  <c r="T776" i="6"/>
  <c r="S776" i="6"/>
  <c r="R776" i="6"/>
  <c r="Q776" i="6"/>
  <c r="P776" i="6"/>
  <c r="O776" i="6"/>
  <c r="N776" i="6"/>
  <c r="M776" i="6"/>
  <c r="L776" i="6"/>
  <c r="K776" i="6"/>
  <c r="J776" i="6"/>
  <c r="I776" i="6"/>
  <c r="H776" i="6"/>
  <c r="G776" i="6"/>
  <c r="F776" i="6"/>
  <c r="E776" i="6"/>
  <c r="AC775" i="6"/>
  <c r="V60" i="4" s="1"/>
  <c r="AC774" i="6"/>
  <c r="V59" i="4" s="1"/>
  <c r="AC773" i="6"/>
  <c r="V58" i="4" s="1"/>
  <c r="AC772" i="6"/>
  <c r="V57" i="4" s="1"/>
  <c r="AC771" i="6"/>
  <c r="V56" i="4" s="1"/>
  <c r="AC770" i="6"/>
  <c r="V55" i="4" s="1"/>
  <c r="AC769" i="6"/>
  <c r="V54" i="4" s="1"/>
  <c r="AC768" i="6"/>
  <c r="V53" i="4" s="1"/>
  <c r="AC767" i="6"/>
  <c r="V52" i="4" s="1"/>
  <c r="AC766" i="6"/>
  <c r="V51" i="4" s="1"/>
  <c r="AC765" i="6"/>
  <c r="V50" i="4" s="1"/>
  <c r="AC764" i="6"/>
  <c r="V49" i="4" s="1"/>
  <c r="AC763" i="6"/>
  <c r="V48" i="4" s="1"/>
  <c r="AC762" i="6"/>
  <c r="V47" i="4" s="1"/>
  <c r="AC761" i="6"/>
  <c r="V46" i="4" s="1"/>
  <c r="AC760" i="6"/>
  <c r="V45" i="4" s="1"/>
  <c r="AC759" i="6"/>
  <c r="V44" i="4" s="1"/>
  <c r="AC758" i="6"/>
  <c r="V43" i="4" s="1"/>
  <c r="AC757" i="6"/>
  <c r="V42" i="4" s="1"/>
  <c r="AC756" i="6"/>
  <c r="V41" i="4" s="1"/>
  <c r="AC755" i="6"/>
  <c r="V40" i="4" s="1"/>
  <c r="AC754" i="6"/>
  <c r="V39" i="4" s="1"/>
  <c r="AC753" i="6"/>
  <c r="V38" i="4" s="1"/>
  <c r="AC752" i="6"/>
  <c r="V37" i="4" s="1"/>
  <c r="AC751" i="6"/>
  <c r="V36" i="4" s="1"/>
  <c r="AC750" i="6"/>
  <c r="V35" i="4" s="1"/>
  <c r="AC749" i="6"/>
  <c r="V34" i="4" s="1"/>
  <c r="AC748" i="6"/>
  <c r="V33" i="4" s="1"/>
  <c r="AC747" i="6"/>
  <c r="V32" i="4" s="1"/>
  <c r="AC746" i="6"/>
  <c r="V31" i="4" s="1"/>
  <c r="AC745" i="6"/>
  <c r="V30" i="4" s="1"/>
  <c r="AC744" i="6"/>
  <c r="V29" i="4" s="1"/>
  <c r="AC743" i="6"/>
  <c r="V28" i="4" s="1"/>
  <c r="AC742" i="6"/>
  <c r="V27" i="4" s="1"/>
  <c r="AC741" i="6"/>
  <c r="V26" i="4" s="1"/>
  <c r="AC740" i="6"/>
  <c r="V25" i="4" s="1"/>
  <c r="AC739" i="6"/>
  <c r="V24" i="4" s="1"/>
  <c r="AB733" i="6"/>
  <c r="AA733" i="6"/>
  <c r="Z733" i="6"/>
  <c r="Y733" i="6"/>
  <c r="X733" i="6"/>
  <c r="W733" i="6"/>
  <c r="V733" i="6"/>
  <c r="U733" i="6"/>
  <c r="T733" i="6"/>
  <c r="S733" i="6"/>
  <c r="R733" i="6"/>
  <c r="Q733" i="6"/>
  <c r="P733" i="6"/>
  <c r="O733" i="6"/>
  <c r="N733" i="6"/>
  <c r="M733" i="6"/>
  <c r="L733" i="6"/>
  <c r="K733" i="6"/>
  <c r="J733" i="6"/>
  <c r="I733" i="6"/>
  <c r="H733" i="6"/>
  <c r="G733" i="6"/>
  <c r="F733" i="6"/>
  <c r="E733" i="6"/>
  <c r="AC732" i="6"/>
  <c r="U60" i="4" s="1"/>
  <c r="AC731" i="6"/>
  <c r="U59" i="4" s="1"/>
  <c r="AC730" i="6"/>
  <c r="U58" i="4" s="1"/>
  <c r="AC729" i="6"/>
  <c r="U57" i="4" s="1"/>
  <c r="AC728" i="6"/>
  <c r="U56" i="4" s="1"/>
  <c r="AC727" i="6"/>
  <c r="U55" i="4" s="1"/>
  <c r="AC726" i="6"/>
  <c r="U54" i="4" s="1"/>
  <c r="AC725" i="6"/>
  <c r="U53" i="4" s="1"/>
  <c r="AC724" i="6"/>
  <c r="U52" i="4" s="1"/>
  <c r="AC723" i="6"/>
  <c r="U51" i="4" s="1"/>
  <c r="AC722" i="6"/>
  <c r="U50" i="4" s="1"/>
  <c r="AC721" i="6"/>
  <c r="U49" i="4" s="1"/>
  <c r="AC720" i="6"/>
  <c r="U48" i="4" s="1"/>
  <c r="AC719" i="6"/>
  <c r="U47" i="4" s="1"/>
  <c r="AC718" i="6"/>
  <c r="U46" i="4" s="1"/>
  <c r="AC717" i="6"/>
  <c r="U45" i="4" s="1"/>
  <c r="AC716" i="6"/>
  <c r="U44" i="4" s="1"/>
  <c r="AC715" i="6"/>
  <c r="U43" i="4" s="1"/>
  <c r="AC714" i="6"/>
  <c r="U42" i="4" s="1"/>
  <c r="AC713" i="6"/>
  <c r="U41" i="4" s="1"/>
  <c r="AC712" i="6"/>
  <c r="U40" i="4" s="1"/>
  <c r="AC711" i="6"/>
  <c r="U39" i="4" s="1"/>
  <c r="AC710" i="6"/>
  <c r="U38" i="4" s="1"/>
  <c r="AC709" i="6"/>
  <c r="U37" i="4" s="1"/>
  <c r="AC708" i="6"/>
  <c r="U36" i="4" s="1"/>
  <c r="AC707" i="6"/>
  <c r="U35" i="4" s="1"/>
  <c r="AC706" i="6"/>
  <c r="U34" i="4" s="1"/>
  <c r="AC705" i="6"/>
  <c r="U33" i="4" s="1"/>
  <c r="AC704" i="6"/>
  <c r="U32" i="4" s="1"/>
  <c r="AC703" i="6"/>
  <c r="U31" i="4" s="1"/>
  <c r="AC702" i="6"/>
  <c r="U30" i="4" s="1"/>
  <c r="AC701" i="6"/>
  <c r="U29" i="4" s="1"/>
  <c r="AC700" i="6"/>
  <c r="U28" i="4" s="1"/>
  <c r="AC699" i="6"/>
  <c r="U27" i="4" s="1"/>
  <c r="AC698" i="6"/>
  <c r="U26" i="4" s="1"/>
  <c r="AC697" i="6"/>
  <c r="U25" i="4" s="1"/>
  <c r="AC696" i="6"/>
  <c r="U24" i="4" s="1"/>
  <c r="AB690" i="6"/>
  <c r="AA690" i="6"/>
  <c r="Z690" i="6"/>
  <c r="Y690" i="6"/>
  <c r="X690" i="6"/>
  <c r="W690" i="6"/>
  <c r="V690" i="6"/>
  <c r="U690" i="6"/>
  <c r="T690" i="6"/>
  <c r="S690" i="6"/>
  <c r="R690" i="6"/>
  <c r="Q690" i="6"/>
  <c r="P690" i="6"/>
  <c r="O690" i="6"/>
  <c r="N690" i="6"/>
  <c r="M690" i="6"/>
  <c r="L690" i="6"/>
  <c r="K690" i="6"/>
  <c r="J690" i="6"/>
  <c r="I690" i="6"/>
  <c r="H690" i="6"/>
  <c r="G690" i="6"/>
  <c r="F690" i="6"/>
  <c r="E690" i="6"/>
  <c r="AC689" i="6"/>
  <c r="T60" i="4" s="1"/>
  <c r="AC688" i="6"/>
  <c r="T59" i="4" s="1"/>
  <c r="AC687" i="6"/>
  <c r="T58" i="4" s="1"/>
  <c r="AC686" i="6"/>
  <c r="T57" i="4" s="1"/>
  <c r="AC685" i="6"/>
  <c r="T56" i="4" s="1"/>
  <c r="AC684" i="6"/>
  <c r="T55" i="4" s="1"/>
  <c r="AC683" i="6"/>
  <c r="T54" i="4" s="1"/>
  <c r="AC682" i="6"/>
  <c r="T53" i="4" s="1"/>
  <c r="AC681" i="6"/>
  <c r="T52" i="4" s="1"/>
  <c r="AC680" i="6"/>
  <c r="T51" i="4" s="1"/>
  <c r="AC679" i="6"/>
  <c r="T50" i="4" s="1"/>
  <c r="AC678" i="6"/>
  <c r="T49" i="4" s="1"/>
  <c r="AC677" i="6"/>
  <c r="T48" i="4" s="1"/>
  <c r="AC676" i="6"/>
  <c r="T47" i="4" s="1"/>
  <c r="AC675" i="6"/>
  <c r="T46" i="4" s="1"/>
  <c r="AC674" i="6"/>
  <c r="T45" i="4" s="1"/>
  <c r="AC673" i="6"/>
  <c r="T44" i="4" s="1"/>
  <c r="AC672" i="6"/>
  <c r="T43" i="4" s="1"/>
  <c r="AC671" i="6"/>
  <c r="T42" i="4" s="1"/>
  <c r="AC670" i="6"/>
  <c r="T41" i="4" s="1"/>
  <c r="AC669" i="6"/>
  <c r="T40" i="4" s="1"/>
  <c r="AC668" i="6"/>
  <c r="T39" i="4" s="1"/>
  <c r="AC667" i="6"/>
  <c r="T38" i="4" s="1"/>
  <c r="AC666" i="6"/>
  <c r="T37" i="4" s="1"/>
  <c r="AC665" i="6"/>
  <c r="T36" i="4" s="1"/>
  <c r="AC664" i="6"/>
  <c r="T35" i="4" s="1"/>
  <c r="AC663" i="6"/>
  <c r="T34" i="4" s="1"/>
  <c r="AC662" i="6"/>
  <c r="T33" i="4" s="1"/>
  <c r="AC661" i="6"/>
  <c r="T32" i="4" s="1"/>
  <c r="AC660" i="6"/>
  <c r="T31" i="4" s="1"/>
  <c r="AC659" i="6"/>
  <c r="T30" i="4" s="1"/>
  <c r="AC658" i="6"/>
  <c r="T29" i="4" s="1"/>
  <c r="AC657" i="6"/>
  <c r="T28" i="4" s="1"/>
  <c r="AC656" i="6"/>
  <c r="T27" i="4" s="1"/>
  <c r="AC655" i="6"/>
  <c r="T26" i="4" s="1"/>
  <c r="AC654" i="6"/>
  <c r="T25" i="4" s="1"/>
  <c r="AC653" i="6"/>
  <c r="T24" i="4" s="1"/>
  <c r="AB647" i="6"/>
  <c r="AA647" i="6"/>
  <c r="Z647" i="6"/>
  <c r="Y647" i="6"/>
  <c r="X647" i="6"/>
  <c r="W647" i="6"/>
  <c r="V647" i="6"/>
  <c r="U647" i="6"/>
  <c r="T647" i="6"/>
  <c r="S647" i="6"/>
  <c r="R647" i="6"/>
  <c r="Q647" i="6"/>
  <c r="P647" i="6"/>
  <c r="O647" i="6"/>
  <c r="N647" i="6"/>
  <c r="M647" i="6"/>
  <c r="L647" i="6"/>
  <c r="K647" i="6"/>
  <c r="J647" i="6"/>
  <c r="I647" i="6"/>
  <c r="H647" i="6"/>
  <c r="G647" i="6"/>
  <c r="F647" i="6"/>
  <c r="E647" i="6"/>
  <c r="AC646" i="6"/>
  <c r="S60" i="4" s="1"/>
  <c r="AC645" i="6"/>
  <c r="S59" i="4" s="1"/>
  <c r="AC644" i="6"/>
  <c r="S58" i="4" s="1"/>
  <c r="AC643" i="6"/>
  <c r="S57" i="4" s="1"/>
  <c r="AC642" i="6"/>
  <c r="S56" i="4" s="1"/>
  <c r="AC641" i="6"/>
  <c r="S55" i="4" s="1"/>
  <c r="AC640" i="6"/>
  <c r="S54" i="4" s="1"/>
  <c r="AC639" i="6"/>
  <c r="S53" i="4" s="1"/>
  <c r="AC638" i="6"/>
  <c r="S52" i="4" s="1"/>
  <c r="AC637" i="6"/>
  <c r="S51" i="4" s="1"/>
  <c r="AC636" i="6"/>
  <c r="S50" i="4" s="1"/>
  <c r="AC635" i="6"/>
  <c r="S49" i="4" s="1"/>
  <c r="AC634" i="6"/>
  <c r="S48" i="4" s="1"/>
  <c r="AC633" i="6"/>
  <c r="S47" i="4" s="1"/>
  <c r="AC632" i="6"/>
  <c r="S46" i="4" s="1"/>
  <c r="AC631" i="6"/>
  <c r="S45" i="4" s="1"/>
  <c r="AC630" i="6"/>
  <c r="S44" i="4" s="1"/>
  <c r="AC629" i="6"/>
  <c r="S43" i="4" s="1"/>
  <c r="AC628" i="6"/>
  <c r="S42" i="4" s="1"/>
  <c r="AC627" i="6"/>
  <c r="S41" i="4" s="1"/>
  <c r="AC626" i="6"/>
  <c r="S40" i="4" s="1"/>
  <c r="AC625" i="6"/>
  <c r="S39" i="4" s="1"/>
  <c r="AC624" i="6"/>
  <c r="S38" i="4" s="1"/>
  <c r="AC623" i="6"/>
  <c r="S37" i="4" s="1"/>
  <c r="AC622" i="6"/>
  <c r="S36" i="4" s="1"/>
  <c r="AC621" i="6"/>
  <c r="S35" i="4" s="1"/>
  <c r="AC620" i="6"/>
  <c r="S34" i="4" s="1"/>
  <c r="AC619" i="6"/>
  <c r="S33" i="4" s="1"/>
  <c r="AC618" i="6"/>
  <c r="S32" i="4" s="1"/>
  <c r="AC617" i="6"/>
  <c r="S31" i="4" s="1"/>
  <c r="AC616" i="6"/>
  <c r="S30" i="4" s="1"/>
  <c r="AC615" i="6"/>
  <c r="S29" i="4" s="1"/>
  <c r="AC614" i="6"/>
  <c r="S28" i="4" s="1"/>
  <c r="AC613" i="6"/>
  <c r="S27" i="4" s="1"/>
  <c r="AC612" i="6"/>
  <c r="S26" i="4" s="1"/>
  <c r="AC611" i="6"/>
  <c r="S25" i="4" s="1"/>
  <c r="AC610" i="6"/>
  <c r="S24" i="4" s="1"/>
  <c r="AB604" i="6"/>
  <c r="AA604" i="6"/>
  <c r="Z604" i="6"/>
  <c r="Y604" i="6"/>
  <c r="X604" i="6"/>
  <c r="W604" i="6"/>
  <c r="V604" i="6"/>
  <c r="U604" i="6"/>
  <c r="T604" i="6"/>
  <c r="S604" i="6"/>
  <c r="R604" i="6"/>
  <c r="Q604" i="6"/>
  <c r="P604" i="6"/>
  <c r="O604" i="6"/>
  <c r="N604" i="6"/>
  <c r="M604" i="6"/>
  <c r="L604" i="6"/>
  <c r="K604" i="6"/>
  <c r="J604" i="6"/>
  <c r="I604" i="6"/>
  <c r="H604" i="6"/>
  <c r="G604" i="6"/>
  <c r="F604" i="6"/>
  <c r="E604" i="6"/>
  <c r="AC603" i="6"/>
  <c r="R60" i="4" s="1"/>
  <c r="AC602" i="6"/>
  <c r="R59" i="4" s="1"/>
  <c r="AC601" i="6"/>
  <c r="R58" i="4" s="1"/>
  <c r="AC600" i="6"/>
  <c r="R57" i="4" s="1"/>
  <c r="AC599" i="6"/>
  <c r="R56" i="4" s="1"/>
  <c r="AC598" i="6"/>
  <c r="R55" i="4" s="1"/>
  <c r="AC597" i="6"/>
  <c r="R54" i="4" s="1"/>
  <c r="AC596" i="6"/>
  <c r="R53" i="4" s="1"/>
  <c r="AC595" i="6"/>
  <c r="R52" i="4" s="1"/>
  <c r="AC594" i="6"/>
  <c r="R51" i="4" s="1"/>
  <c r="AC593" i="6"/>
  <c r="R50" i="4" s="1"/>
  <c r="AC592" i="6"/>
  <c r="R49" i="4" s="1"/>
  <c r="AC591" i="6"/>
  <c r="R48" i="4" s="1"/>
  <c r="AC590" i="6"/>
  <c r="R47" i="4" s="1"/>
  <c r="AC589" i="6"/>
  <c r="R46" i="4" s="1"/>
  <c r="AC588" i="6"/>
  <c r="R45" i="4" s="1"/>
  <c r="AC587" i="6"/>
  <c r="R44" i="4" s="1"/>
  <c r="AC586" i="6"/>
  <c r="R43" i="4" s="1"/>
  <c r="AC585" i="6"/>
  <c r="R42" i="4" s="1"/>
  <c r="AC584" i="6"/>
  <c r="R41" i="4" s="1"/>
  <c r="AC583" i="6"/>
  <c r="R40" i="4" s="1"/>
  <c r="AC582" i="6"/>
  <c r="R39" i="4" s="1"/>
  <c r="AC581" i="6"/>
  <c r="R38" i="4" s="1"/>
  <c r="AC580" i="6"/>
  <c r="R37" i="4" s="1"/>
  <c r="AC579" i="6"/>
  <c r="R36" i="4" s="1"/>
  <c r="AC578" i="6"/>
  <c r="R35" i="4" s="1"/>
  <c r="AC577" i="6"/>
  <c r="R34" i="4" s="1"/>
  <c r="AC576" i="6"/>
  <c r="R33" i="4" s="1"/>
  <c r="AC575" i="6"/>
  <c r="R32" i="4" s="1"/>
  <c r="AC574" i="6"/>
  <c r="R31" i="4" s="1"/>
  <c r="AC573" i="6"/>
  <c r="R30" i="4" s="1"/>
  <c r="AC572" i="6"/>
  <c r="R29" i="4" s="1"/>
  <c r="AC571" i="6"/>
  <c r="R28" i="4" s="1"/>
  <c r="AC570" i="6"/>
  <c r="R27" i="4" s="1"/>
  <c r="AC569" i="6"/>
  <c r="R26" i="4" s="1"/>
  <c r="AC568" i="6"/>
  <c r="R25" i="4" s="1"/>
  <c r="AC567" i="6"/>
  <c r="R24" i="4" s="1"/>
  <c r="AB561" i="6"/>
  <c r="AA561" i="6"/>
  <c r="Z561" i="6"/>
  <c r="Y561" i="6"/>
  <c r="X561" i="6"/>
  <c r="W561" i="6"/>
  <c r="V561" i="6"/>
  <c r="U561" i="6"/>
  <c r="T561" i="6"/>
  <c r="S561" i="6"/>
  <c r="R561" i="6"/>
  <c r="Q561" i="6"/>
  <c r="P561" i="6"/>
  <c r="O561" i="6"/>
  <c r="N561" i="6"/>
  <c r="M561" i="6"/>
  <c r="L561" i="6"/>
  <c r="K561" i="6"/>
  <c r="J561" i="6"/>
  <c r="I561" i="6"/>
  <c r="H561" i="6"/>
  <c r="G561" i="6"/>
  <c r="F561" i="6"/>
  <c r="E561" i="6"/>
  <c r="AC560" i="6"/>
  <c r="Q60" i="4" s="1"/>
  <c r="AC559" i="6"/>
  <c r="Q59" i="4" s="1"/>
  <c r="AC558" i="6"/>
  <c r="Q58" i="4" s="1"/>
  <c r="AC557" i="6"/>
  <c r="Q57" i="4" s="1"/>
  <c r="AC556" i="6"/>
  <c r="Q56" i="4" s="1"/>
  <c r="AC555" i="6"/>
  <c r="Q55" i="4" s="1"/>
  <c r="AC554" i="6"/>
  <c r="Q54" i="4" s="1"/>
  <c r="AC553" i="6"/>
  <c r="Q53" i="4" s="1"/>
  <c r="AC552" i="6"/>
  <c r="Q52" i="4" s="1"/>
  <c r="AC551" i="6"/>
  <c r="Q51" i="4" s="1"/>
  <c r="AC550" i="6"/>
  <c r="Q50" i="4" s="1"/>
  <c r="AC549" i="6"/>
  <c r="Q49" i="4" s="1"/>
  <c r="AC548" i="6"/>
  <c r="Q48" i="4" s="1"/>
  <c r="AC547" i="6"/>
  <c r="Q47" i="4" s="1"/>
  <c r="AC546" i="6"/>
  <c r="Q46" i="4" s="1"/>
  <c r="AC545" i="6"/>
  <c r="Q45" i="4" s="1"/>
  <c r="AC544" i="6"/>
  <c r="Q44" i="4" s="1"/>
  <c r="AC543" i="6"/>
  <c r="Q43" i="4" s="1"/>
  <c r="AC542" i="6"/>
  <c r="Q42" i="4" s="1"/>
  <c r="AC541" i="6"/>
  <c r="Q41" i="4" s="1"/>
  <c r="AC540" i="6"/>
  <c r="Q40" i="4" s="1"/>
  <c r="AC539" i="6"/>
  <c r="Q39" i="4" s="1"/>
  <c r="AC538" i="6"/>
  <c r="Q38" i="4" s="1"/>
  <c r="AC537" i="6"/>
  <c r="Q37" i="4" s="1"/>
  <c r="AC536" i="6"/>
  <c r="Q36" i="4" s="1"/>
  <c r="AC535" i="6"/>
  <c r="Q35" i="4" s="1"/>
  <c r="AC534" i="6"/>
  <c r="Q34" i="4" s="1"/>
  <c r="AC533" i="6"/>
  <c r="Q33" i="4" s="1"/>
  <c r="AC532" i="6"/>
  <c r="Q32" i="4" s="1"/>
  <c r="AC531" i="6"/>
  <c r="Q31" i="4" s="1"/>
  <c r="AC530" i="6"/>
  <c r="Q30" i="4" s="1"/>
  <c r="AC529" i="6"/>
  <c r="Q29" i="4" s="1"/>
  <c r="AC528" i="6"/>
  <c r="Q28" i="4" s="1"/>
  <c r="AC527" i="6"/>
  <c r="Q27" i="4" s="1"/>
  <c r="AC526" i="6"/>
  <c r="Q26" i="4" s="1"/>
  <c r="AC525" i="6"/>
  <c r="Q25" i="4" s="1"/>
  <c r="AC524" i="6"/>
  <c r="Q24" i="4" s="1"/>
  <c r="AB518" i="6"/>
  <c r="AA518" i="6"/>
  <c r="Z518" i="6"/>
  <c r="Y518" i="6"/>
  <c r="X518" i="6"/>
  <c r="W518" i="6"/>
  <c r="V518" i="6"/>
  <c r="U518" i="6"/>
  <c r="T518" i="6"/>
  <c r="S518" i="6"/>
  <c r="R518" i="6"/>
  <c r="Q518" i="6"/>
  <c r="P518" i="6"/>
  <c r="O518" i="6"/>
  <c r="N518" i="6"/>
  <c r="M518" i="6"/>
  <c r="L518" i="6"/>
  <c r="K518" i="6"/>
  <c r="J518" i="6"/>
  <c r="I518" i="6"/>
  <c r="H518" i="6"/>
  <c r="G518" i="6"/>
  <c r="F518" i="6"/>
  <c r="E518" i="6"/>
  <c r="AC517" i="6"/>
  <c r="P60" i="4" s="1"/>
  <c r="AC516" i="6"/>
  <c r="P59" i="4" s="1"/>
  <c r="AC515" i="6"/>
  <c r="P58" i="4" s="1"/>
  <c r="AC514" i="6"/>
  <c r="P57" i="4" s="1"/>
  <c r="AC513" i="6"/>
  <c r="P56" i="4" s="1"/>
  <c r="AC512" i="6"/>
  <c r="P55" i="4" s="1"/>
  <c r="AC511" i="6"/>
  <c r="P54" i="4" s="1"/>
  <c r="AC510" i="6"/>
  <c r="P53" i="4" s="1"/>
  <c r="AC509" i="6"/>
  <c r="P52" i="4" s="1"/>
  <c r="AC508" i="6"/>
  <c r="P51" i="4" s="1"/>
  <c r="AC507" i="6"/>
  <c r="P50" i="4" s="1"/>
  <c r="AC506" i="6"/>
  <c r="P49" i="4" s="1"/>
  <c r="AC505" i="6"/>
  <c r="P48" i="4" s="1"/>
  <c r="AC504" i="6"/>
  <c r="P47" i="4" s="1"/>
  <c r="AC503" i="6"/>
  <c r="P46" i="4" s="1"/>
  <c r="AC502" i="6"/>
  <c r="P45" i="4" s="1"/>
  <c r="AC501" i="6"/>
  <c r="P44" i="4" s="1"/>
  <c r="AC500" i="6"/>
  <c r="P43" i="4" s="1"/>
  <c r="AC499" i="6"/>
  <c r="P42" i="4" s="1"/>
  <c r="AC498" i="6"/>
  <c r="P41" i="4" s="1"/>
  <c r="AC497" i="6"/>
  <c r="P40" i="4" s="1"/>
  <c r="AC496" i="6"/>
  <c r="P39" i="4" s="1"/>
  <c r="AC495" i="6"/>
  <c r="P38" i="4" s="1"/>
  <c r="AC494" i="6"/>
  <c r="P37" i="4" s="1"/>
  <c r="AC493" i="6"/>
  <c r="P36" i="4" s="1"/>
  <c r="AC492" i="6"/>
  <c r="P35" i="4" s="1"/>
  <c r="AC491" i="6"/>
  <c r="P34" i="4" s="1"/>
  <c r="AC490" i="6"/>
  <c r="P33" i="4" s="1"/>
  <c r="AC489" i="6"/>
  <c r="P32" i="4" s="1"/>
  <c r="AC488" i="6"/>
  <c r="P31" i="4" s="1"/>
  <c r="AC487" i="6"/>
  <c r="P30" i="4" s="1"/>
  <c r="AC486" i="6"/>
  <c r="P29" i="4" s="1"/>
  <c r="AC485" i="6"/>
  <c r="P28" i="4" s="1"/>
  <c r="AC484" i="6"/>
  <c r="P27" i="4" s="1"/>
  <c r="AC483" i="6"/>
  <c r="P26" i="4" s="1"/>
  <c r="AC482" i="6"/>
  <c r="P25" i="4" s="1"/>
  <c r="AC481" i="6"/>
  <c r="P24" i="4" s="1"/>
  <c r="AB475" i="6"/>
  <c r="AA475" i="6"/>
  <c r="Z475" i="6"/>
  <c r="Y475" i="6"/>
  <c r="X475" i="6"/>
  <c r="W475" i="6"/>
  <c r="V475" i="6"/>
  <c r="U475" i="6"/>
  <c r="T475" i="6"/>
  <c r="S475" i="6"/>
  <c r="R475" i="6"/>
  <c r="Q475" i="6"/>
  <c r="P475" i="6"/>
  <c r="O475" i="6"/>
  <c r="N475" i="6"/>
  <c r="M475" i="6"/>
  <c r="L475" i="6"/>
  <c r="K475" i="6"/>
  <c r="J475" i="6"/>
  <c r="I475" i="6"/>
  <c r="H475" i="6"/>
  <c r="G475" i="6"/>
  <c r="F475" i="6"/>
  <c r="E475" i="6"/>
  <c r="AC474" i="6"/>
  <c r="O60" i="4" s="1"/>
  <c r="AC473" i="6"/>
  <c r="O59" i="4" s="1"/>
  <c r="AC472" i="6"/>
  <c r="O58" i="4" s="1"/>
  <c r="AC471" i="6"/>
  <c r="O57" i="4" s="1"/>
  <c r="AC470" i="6"/>
  <c r="O56" i="4" s="1"/>
  <c r="AC469" i="6"/>
  <c r="O55" i="4" s="1"/>
  <c r="AC468" i="6"/>
  <c r="O54" i="4" s="1"/>
  <c r="AC467" i="6"/>
  <c r="O53" i="4" s="1"/>
  <c r="AC466" i="6"/>
  <c r="O52" i="4" s="1"/>
  <c r="AC465" i="6"/>
  <c r="O51" i="4" s="1"/>
  <c r="AC464" i="6"/>
  <c r="O50" i="4" s="1"/>
  <c r="AC463" i="6"/>
  <c r="O49" i="4" s="1"/>
  <c r="AC462" i="6"/>
  <c r="O48" i="4" s="1"/>
  <c r="AC461" i="6"/>
  <c r="O47" i="4" s="1"/>
  <c r="AC460" i="6"/>
  <c r="O46" i="4" s="1"/>
  <c r="AC459" i="6"/>
  <c r="O45" i="4" s="1"/>
  <c r="AC458" i="6"/>
  <c r="O44" i="4" s="1"/>
  <c r="AC457" i="6"/>
  <c r="O43" i="4" s="1"/>
  <c r="AC456" i="6"/>
  <c r="O42" i="4" s="1"/>
  <c r="AC455" i="6"/>
  <c r="O41" i="4" s="1"/>
  <c r="AC454" i="6"/>
  <c r="O40" i="4" s="1"/>
  <c r="AC453" i="6"/>
  <c r="O39" i="4" s="1"/>
  <c r="AC452" i="6"/>
  <c r="O38" i="4" s="1"/>
  <c r="AC451" i="6"/>
  <c r="O37" i="4" s="1"/>
  <c r="AC450" i="6"/>
  <c r="O36" i="4" s="1"/>
  <c r="AC449" i="6"/>
  <c r="O35" i="4" s="1"/>
  <c r="AC448" i="6"/>
  <c r="O34" i="4" s="1"/>
  <c r="AC447" i="6"/>
  <c r="O33" i="4" s="1"/>
  <c r="AC446" i="6"/>
  <c r="O32" i="4" s="1"/>
  <c r="AC445" i="6"/>
  <c r="O31" i="4" s="1"/>
  <c r="AC444" i="6"/>
  <c r="O30" i="4" s="1"/>
  <c r="AC443" i="6"/>
  <c r="O29" i="4" s="1"/>
  <c r="AC442" i="6"/>
  <c r="O28" i="4" s="1"/>
  <c r="AC441" i="6"/>
  <c r="O27" i="4" s="1"/>
  <c r="AC440" i="6"/>
  <c r="O26" i="4" s="1"/>
  <c r="AC439" i="6"/>
  <c r="O25" i="4" s="1"/>
  <c r="AC438" i="6"/>
  <c r="O24" i="4" s="1"/>
  <c r="AB432" i="6"/>
  <c r="AA432" i="6"/>
  <c r="Z432" i="6"/>
  <c r="Y432" i="6"/>
  <c r="X432" i="6"/>
  <c r="W432" i="6"/>
  <c r="V432" i="6"/>
  <c r="U432" i="6"/>
  <c r="T432" i="6"/>
  <c r="S432" i="6"/>
  <c r="R432" i="6"/>
  <c r="Q432" i="6"/>
  <c r="P432" i="6"/>
  <c r="O432" i="6"/>
  <c r="N432" i="6"/>
  <c r="M432" i="6"/>
  <c r="L432" i="6"/>
  <c r="K432" i="6"/>
  <c r="J432" i="6"/>
  <c r="I432" i="6"/>
  <c r="H432" i="6"/>
  <c r="G432" i="6"/>
  <c r="F432" i="6"/>
  <c r="E432" i="6"/>
  <c r="AC431" i="6"/>
  <c r="N60" i="4" s="1"/>
  <c r="AC430" i="6"/>
  <c r="N59" i="4" s="1"/>
  <c r="AC429" i="6"/>
  <c r="N58" i="4" s="1"/>
  <c r="AC428" i="6"/>
  <c r="N57" i="4" s="1"/>
  <c r="AC427" i="6"/>
  <c r="N56" i="4" s="1"/>
  <c r="AC426" i="6"/>
  <c r="N55" i="4" s="1"/>
  <c r="AC425" i="6"/>
  <c r="N54" i="4" s="1"/>
  <c r="AC424" i="6"/>
  <c r="N53" i="4" s="1"/>
  <c r="AC423" i="6"/>
  <c r="N52" i="4" s="1"/>
  <c r="AC422" i="6"/>
  <c r="N51" i="4" s="1"/>
  <c r="AC421" i="6"/>
  <c r="N50" i="4" s="1"/>
  <c r="AC420" i="6"/>
  <c r="N49" i="4" s="1"/>
  <c r="AC419" i="6"/>
  <c r="N48" i="4" s="1"/>
  <c r="AC418" i="6"/>
  <c r="N47" i="4" s="1"/>
  <c r="AC417" i="6"/>
  <c r="N46" i="4" s="1"/>
  <c r="AC416" i="6"/>
  <c r="N45" i="4" s="1"/>
  <c r="AC415" i="6"/>
  <c r="N44" i="4" s="1"/>
  <c r="AC414" i="6"/>
  <c r="N43" i="4" s="1"/>
  <c r="AC413" i="6"/>
  <c r="N42" i="4" s="1"/>
  <c r="AC412" i="6"/>
  <c r="N41" i="4" s="1"/>
  <c r="AC411" i="6"/>
  <c r="N40" i="4" s="1"/>
  <c r="AC410" i="6"/>
  <c r="N39" i="4" s="1"/>
  <c r="AC409" i="6"/>
  <c r="N38" i="4" s="1"/>
  <c r="AC408" i="6"/>
  <c r="N37" i="4" s="1"/>
  <c r="AC407" i="6"/>
  <c r="N36" i="4" s="1"/>
  <c r="AC406" i="6"/>
  <c r="N35" i="4" s="1"/>
  <c r="AC405" i="6"/>
  <c r="N34" i="4" s="1"/>
  <c r="AC404" i="6"/>
  <c r="N33" i="4" s="1"/>
  <c r="AC403" i="6"/>
  <c r="N32" i="4" s="1"/>
  <c r="AC402" i="6"/>
  <c r="N31" i="4" s="1"/>
  <c r="AC401" i="6"/>
  <c r="N30" i="4" s="1"/>
  <c r="AC400" i="6"/>
  <c r="N29" i="4" s="1"/>
  <c r="AC399" i="6"/>
  <c r="N28" i="4" s="1"/>
  <c r="AC398" i="6"/>
  <c r="N27" i="4" s="1"/>
  <c r="AC397" i="6"/>
  <c r="N26" i="4" s="1"/>
  <c r="AC396" i="6"/>
  <c r="N25" i="4" s="1"/>
  <c r="AC395" i="6"/>
  <c r="N24" i="4" s="1"/>
  <c r="AB389" i="6"/>
  <c r="AA389" i="6"/>
  <c r="Z389" i="6"/>
  <c r="Y389" i="6"/>
  <c r="X389" i="6"/>
  <c r="W389" i="6"/>
  <c r="V389" i="6"/>
  <c r="U389" i="6"/>
  <c r="T389" i="6"/>
  <c r="S389" i="6"/>
  <c r="R389" i="6"/>
  <c r="Q389" i="6"/>
  <c r="P389" i="6"/>
  <c r="O389" i="6"/>
  <c r="N389" i="6"/>
  <c r="M389" i="6"/>
  <c r="L389" i="6"/>
  <c r="K389" i="6"/>
  <c r="J389" i="6"/>
  <c r="I389" i="6"/>
  <c r="H389" i="6"/>
  <c r="G389" i="6"/>
  <c r="F389" i="6"/>
  <c r="E389" i="6"/>
  <c r="AC388" i="6"/>
  <c r="M60" i="4" s="1"/>
  <c r="AC387" i="6"/>
  <c r="M59" i="4" s="1"/>
  <c r="AC386" i="6"/>
  <c r="M58" i="4" s="1"/>
  <c r="AC385" i="6"/>
  <c r="M57" i="4" s="1"/>
  <c r="AC384" i="6"/>
  <c r="M56" i="4" s="1"/>
  <c r="AC383" i="6"/>
  <c r="M55" i="4" s="1"/>
  <c r="AC382" i="6"/>
  <c r="M54" i="4" s="1"/>
  <c r="AC381" i="6"/>
  <c r="M53" i="4" s="1"/>
  <c r="AC380" i="6"/>
  <c r="M52" i="4" s="1"/>
  <c r="AC379" i="6"/>
  <c r="M51" i="4" s="1"/>
  <c r="AC378" i="6"/>
  <c r="M50" i="4" s="1"/>
  <c r="AC377" i="6"/>
  <c r="M49" i="4" s="1"/>
  <c r="AC376" i="6"/>
  <c r="M48" i="4" s="1"/>
  <c r="AC375" i="6"/>
  <c r="M47" i="4" s="1"/>
  <c r="AC374" i="6"/>
  <c r="M46" i="4" s="1"/>
  <c r="AC373" i="6"/>
  <c r="M45" i="4" s="1"/>
  <c r="AC372" i="6"/>
  <c r="M44" i="4" s="1"/>
  <c r="AC371" i="6"/>
  <c r="M43" i="4" s="1"/>
  <c r="AC370" i="6"/>
  <c r="M42" i="4" s="1"/>
  <c r="AC369" i="6"/>
  <c r="M41" i="4" s="1"/>
  <c r="AC368" i="6"/>
  <c r="M40" i="4" s="1"/>
  <c r="AC367" i="6"/>
  <c r="M39" i="4" s="1"/>
  <c r="AC366" i="6"/>
  <c r="M38" i="4" s="1"/>
  <c r="AC365" i="6"/>
  <c r="M37" i="4" s="1"/>
  <c r="AC364" i="6"/>
  <c r="M36" i="4" s="1"/>
  <c r="AC363" i="6"/>
  <c r="M35" i="4" s="1"/>
  <c r="AC362" i="6"/>
  <c r="M34" i="4" s="1"/>
  <c r="AC361" i="6"/>
  <c r="M33" i="4" s="1"/>
  <c r="AC360" i="6"/>
  <c r="M32" i="4" s="1"/>
  <c r="AC359" i="6"/>
  <c r="M31" i="4" s="1"/>
  <c r="AC358" i="6"/>
  <c r="M30" i="4" s="1"/>
  <c r="AC357" i="6"/>
  <c r="M29" i="4" s="1"/>
  <c r="AC356" i="6"/>
  <c r="M28" i="4" s="1"/>
  <c r="AC355" i="6"/>
  <c r="M27" i="4" s="1"/>
  <c r="AC354" i="6"/>
  <c r="M26" i="4" s="1"/>
  <c r="AC353" i="6"/>
  <c r="M25" i="4" s="1"/>
  <c r="AC352" i="6"/>
  <c r="M24" i="4" s="1"/>
  <c r="AB346" i="6"/>
  <c r="AA346" i="6"/>
  <c r="Z346" i="6"/>
  <c r="Y346" i="6"/>
  <c r="X346" i="6"/>
  <c r="W346" i="6"/>
  <c r="V346" i="6"/>
  <c r="U346" i="6"/>
  <c r="T346" i="6"/>
  <c r="S346" i="6"/>
  <c r="R346" i="6"/>
  <c r="Q346" i="6"/>
  <c r="P346" i="6"/>
  <c r="O346" i="6"/>
  <c r="N346" i="6"/>
  <c r="M346" i="6"/>
  <c r="L346" i="6"/>
  <c r="K346" i="6"/>
  <c r="J346" i="6"/>
  <c r="I346" i="6"/>
  <c r="H346" i="6"/>
  <c r="G346" i="6"/>
  <c r="F346" i="6"/>
  <c r="E346" i="6"/>
  <c r="AC345" i="6"/>
  <c r="L60" i="4" s="1"/>
  <c r="AC344" i="6"/>
  <c r="L59" i="4" s="1"/>
  <c r="AC343" i="6"/>
  <c r="L58" i="4" s="1"/>
  <c r="AC342" i="6"/>
  <c r="L57" i="4" s="1"/>
  <c r="AC341" i="6"/>
  <c r="L56" i="4" s="1"/>
  <c r="AC340" i="6"/>
  <c r="L55" i="4" s="1"/>
  <c r="AC339" i="6"/>
  <c r="L54" i="4" s="1"/>
  <c r="AC338" i="6"/>
  <c r="L53" i="4" s="1"/>
  <c r="AC337" i="6"/>
  <c r="L52" i="4" s="1"/>
  <c r="AC336" i="6"/>
  <c r="L51" i="4" s="1"/>
  <c r="AC335" i="6"/>
  <c r="L50" i="4" s="1"/>
  <c r="AC334" i="6"/>
  <c r="L49" i="4" s="1"/>
  <c r="AC333" i="6"/>
  <c r="L48" i="4" s="1"/>
  <c r="AC332" i="6"/>
  <c r="L47" i="4" s="1"/>
  <c r="AC331" i="6"/>
  <c r="L46" i="4" s="1"/>
  <c r="AC330" i="6"/>
  <c r="L45" i="4" s="1"/>
  <c r="AC329" i="6"/>
  <c r="L44" i="4" s="1"/>
  <c r="AC328" i="6"/>
  <c r="L43" i="4" s="1"/>
  <c r="AC327" i="6"/>
  <c r="L42" i="4" s="1"/>
  <c r="AC326" i="6"/>
  <c r="L41" i="4" s="1"/>
  <c r="AC325" i="6"/>
  <c r="L40" i="4" s="1"/>
  <c r="AC324" i="6"/>
  <c r="L39" i="4" s="1"/>
  <c r="AC323" i="6"/>
  <c r="L38" i="4" s="1"/>
  <c r="AC322" i="6"/>
  <c r="L37" i="4" s="1"/>
  <c r="AC321" i="6"/>
  <c r="L36" i="4" s="1"/>
  <c r="AC320" i="6"/>
  <c r="L35" i="4" s="1"/>
  <c r="AC319" i="6"/>
  <c r="L34" i="4" s="1"/>
  <c r="AC318" i="6"/>
  <c r="L33" i="4" s="1"/>
  <c r="AC317" i="6"/>
  <c r="L32" i="4" s="1"/>
  <c r="AC316" i="6"/>
  <c r="L31" i="4" s="1"/>
  <c r="AC315" i="6"/>
  <c r="L30" i="4" s="1"/>
  <c r="AC314" i="6"/>
  <c r="L29" i="4" s="1"/>
  <c r="AC313" i="6"/>
  <c r="L28" i="4" s="1"/>
  <c r="AC312" i="6"/>
  <c r="L27" i="4" s="1"/>
  <c r="AC311" i="6"/>
  <c r="L26" i="4" s="1"/>
  <c r="AC310" i="6"/>
  <c r="L25" i="4" s="1"/>
  <c r="AC309" i="6"/>
  <c r="L24" i="4" s="1"/>
  <c r="AB303" i="6"/>
  <c r="AA303" i="6"/>
  <c r="Z303" i="6"/>
  <c r="Y303" i="6"/>
  <c r="X303" i="6"/>
  <c r="W303" i="6"/>
  <c r="V303" i="6"/>
  <c r="U303" i="6"/>
  <c r="T303" i="6"/>
  <c r="S303" i="6"/>
  <c r="R303" i="6"/>
  <c r="Q303" i="6"/>
  <c r="P303" i="6"/>
  <c r="O303" i="6"/>
  <c r="N303" i="6"/>
  <c r="M303" i="6"/>
  <c r="L303" i="6"/>
  <c r="K303" i="6"/>
  <c r="J303" i="6"/>
  <c r="I303" i="6"/>
  <c r="H303" i="6"/>
  <c r="G303" i="6"/>
  <c r="F303" i="6"/>
  <c r="E303" i="6"/>
  <c r="AC302" i="6"/>
  <c r="K60" i="4" s="1"/>
  <c r="AC301" i="6"/>
  <c r="K59" i="4" s="1"/>
  <c r="AC300" i="6"/>
  <c r="K58" i="4" s="1"/>
  <c r="AC299" i="6"/>
  <c r="K57" i="4" s="1"/>
  <c r="AC298" i="6"/>
  <c r="K56" i="4" s="1"/>
  <c r="AC297" i="6"/>
  <c r="K55" i="4" s="1"/>
  <c r="AC296" i="6"/>
  <c r="K54" i="4" s="1"/>
  <c r="AC295" i="6"/>
  <c r="K53" i="4" s="1"/>
  <c r="AC294" i="6"/>
  <c r="K52" i="4" s="1"/>
  <c r="AC293" i="6"/>
  <c r="K51" i="4" s="1"/>
  <c r="AC292" i="6"/>
  <c r="K50" i="4" s="1"/>
  <c r="AC291" i="6"/>
  <c r="K49" i="4" s="1"/>
  <c r="AC290" i="6"/>
  <c r="K48" i="4" s="1"/>
  <c r="AC289" i="6"/>
  <c r="K47" i="4" s="1"/>
  <c r="AC288" i="6"/>
  <c r="K46" i="4" s="1"/>
  <c r="AC287" i="6"/>
  <c r="K45" i="4" s="1"/>
  <c r="AC286" i="6"/>
  <c r="K44" i="4" s="1"/>
  <c r="AC285" i="6"/>
  <c r="K43" i="4" s="1"/>
  <c r="AC284" i="6"/>
  <c r="K42" i="4" s="1"/>
  <c r="AC283" i="6"/>
  <c r="K41" i="4" s="1"/>
  <c r="AC282" i="6"/>
  <c r="K40" i="4" s="1"/>
  <c r="AC281" i="6"/>
  <c r="K39" i="4" s="1"/>
  <c r="AC280" i="6"/>
  <c r="K38" i="4" s="1"/>
  <c r="AC279" i="6"/>
  <c r="K37" i="4" s="1"/>
  <c r="AC278" i="6"/>
  <c r="K36" i="4" s="1"/>
  <c r="AC277" i="6"/>
  <c r="K35" i="4" s="1"/>
  <c r="AC276" i="6"/>
  <c r="K34" i="4" s="1"/>
  <c r="AC275" i="6"/>
  <c r="K33" i="4" s="1"/>
  <c r="AC274" i="6"/>
  <c r="K32" i="4" s="1"/>
  <c r="AC273" i="6"/>
  <c r="K31" i="4" s="1"/>
  <c r="AC272" i="6"/>
  <c r="K30" i="4" s="1"/>
  <c r="AC271" i="6"/>
  <c r="K29" i="4" s="1"/>
  <c r="AC270" i="6"/>
  <c r="K28" i="4" s="1"/>
  <c r="AC269" i="6"/>
  <c r="K27" i="4" s="1"/>
  <c r="AC268" i="6"/>
  <c r="K26" i="4" s="1"/>
  <c r="AC267" i="6"/>
  <c r="K25" i="4" s="1"/>
  <c r="AC266" i="6"/>
  <c r="K24" i="4" s="1"/>
  <c r="AB260" i="6"/>
  <c r="AA260" i="6"/>
  <c r="Z260" i="6"/>
  <c r="Y260" i="6"/>
  <c r="X260" i="6"/>
  <c r="W260" i="6"/>
  <c r="V260" i="6"/>
  <c r="U260" i="6"/>
  <c r="T260" i="6"/>
  <c r="S260" i="6"/>
  <c r="R260" i="6"/>
  <c r="Q260" i="6"/>
  <c r="P260" i="6"/>
  <c r="O260" i="6"/>
  <c r="N260" i="6"/>
  <c r="M260" i="6"/>
  <c r="L260" i="6"/>
  <c r="K260" i="6"/>
  <c r="J260" i="6"/>
  <c r="I260" i="6"/>
  <c r="H260" i="6"/>
  <c r="G260" i="6"/>
  <c r="F260" i="6"/>
  <c r="E260" i="6"/>
  <c r="AC259" i="6"/>
  <c r="J60" i="4" s="1"/>
  <c r="AC258" i="6"/>
  <c r="J59" i="4" s="1"/>
  <c r="AC257" i="6"/>
  <c r="J58" i="4" s="1"/>
  <c r="AC256" i="6"/>
  <c r="J57" i="4" s="1"/>
  <c r="AC255" i="6"/>
  <c r="J56" i="4" s="1"/>
  <c r="AC254" i="6"/>
  <c r="J55" i="4" s="1"/>
  <c r="AC253" i="6"/>
  <c r="J54" i="4" s="1"/>
  <c r="AC252" i="6"/>
  <c r="J53" i="4" s="1"/>
  <c r="AC251" i="6"/>
  <c r="J52" i="4" s="1"/>
  <c r="AC250" i="6"/>
  <c r="J51" i="4" s="1"/>
  <c r="AC249" i="6"/>
  <c r="J50" i="4" s="1"/>
  <c r="AC248" i="6"/>
  <c r="J49" i="4" s="1"/>
  <c r="AC247" i="6"/>
  <c r="J48" i="4" s="1"/>
  <c r="AC246" i="6"/>
  <c r="J47" i="4" s="1"/>
  <c r="AC245" i="6"/>
  <c r="J46" i="4" s="1"/>
  <c r="AC244" i="6"/>
  <c r="J45" i="4" s="1"/>
  <c r="AC243" i="6"/>
  <c r="J44" i="4" s="1"/>
  <c r="AC242" i="6"/>
  <c r="J43" i="4" s="1"/>
  <c r="AC241" i="6"/>
  <c r="J42" i="4" s="1"/>
  <c r="AC240" i="6"/>
  <c r="J41" i="4" s="1"/>
  <c r="AC239" i="6"/>
  <c r="J40" i="4" s="1"/>
  <c r="AC238" i="6"/>
  <c r="J39" i="4" s="1"/>
  <c r="AC237" i="6"/>
  <c r="J38" i="4" s="1"/>
  <c r="AC236" i="6"/>
  <c r="J37" i="4" s="1"/>
  <c r="AC235" i="6"/>
  <c r="J36" i="4" s="1"/>
  <c r="AC234" i="6"/>
  <c r="J35" i="4" s="1"/>
  <c r="AC233" i="6"/>
  <c r="J34" i="4" s="1"/>
  <c r="AC232" i="6"/>
  <c r="J33" i="4" s="1"/>
  <c r="AC231" i="6"/>
  <c r="J32" i="4" s="1"/>
  <c r="AC230" i="6"/>
  <c r="J31" i="4" s="1"/>
  <c r="AC229" i="6"/>
  <c r="J30" i="4" s="1"/>
  <c r="AC228" i="6"/>
  <c r="J29" i="4" s="1"/>
  <c r="AC227" i="6"/>
  <c r="J28" i="4" s="1"/>
  <c r="AC226" i="6"/>
  <c r="J27" i="4" s="1"/>
  <c r="AC225" i="6"/>
  <c r="J26" i="4" s="1"/>
  <c r="AC224" i="6"/>
  <c r="J25" i="4" s="1"/>
  <c r="AC223" i="6"/>
  <c r="J24" i="4" s="1"/>
  <c r="AB217" i="6"/>
  <c r="AA217" i="6"/>
  <c r="Z217" i="6"/>
  <c r="Y217" i="6"/>
  <c r="X217" i="6"/>
  <c r="W217" i="6"/>
  <c r="V217" i="6"/>
  <c r="U217" i="6"/>
  <c r="T217" i="6"/>
  <c r="S217" i="6"/>
  <c r="R217" i="6"/>
  <c r="Q217" i="6"/>
  <c r="P217" i="6"/>
  <c r="O217" i="6"/>
  <c r="N217" i="6"/>
  <c r="M217" i="6"/>
  <c r="L217" i="6"/>
  <c r="K217" i="6"/>
  <c r="J217" i="6"/>
  <c r="I217" i="6"/>
  <c r="H217" i="6"/>
  <c r="G217" i="6"/>
  <c r="F217" i="6"/>
  <c r="E217" i="6"/>
  <c r="AC216" i="6"/>
  <c r="I60" i="4" s="1"/>
  <c r="AC215" i="6"/>
  <c r="I59" i="4" s="1"/>
  <c r="AC214" i="6"/>
  <c r="I58" i="4" s="1"/>
  <c r="AC213" i="6"/>
  <c r="I57" i="4" s="1"/>
  <c r="AC212" i="6"/>
  <c r="I56" i="4" s="1"/>
  <c r="AC211" i="6"/>
  <c r="I55" i="4" s="1"/>
  <c r="AC210" i="6"/>
  <c r="I54" i="4" s="1"/>
  <c r="AC209" i="6"/>
  <c r="I53" i="4" s="1"/>
  <c r="AC208" i="6"/>
  <c r="I52" i="4" s="1"/>
  <c r="AC207" i="6"/>
  <c r="I51" i="4" s="1"/>
  <c r="AC206" i="6"/>
  <c r="I50" i="4" s="1"/>
  <c r="AC205" i="6"/>
  <c r="I49" i="4" s="1"/>
  <c r="AC204" i="6"/>
  <c r="I48" i="4" s="1"/>
  <c r="AC203" i="6"/>
  <c r="I47" i="4" s="1"/>
  <c r="AC202" i="6"/>
  <c r="I46" i="4" s="1"/>
  <c r="AC201" i="6"/>
  <c r="I45" i="4" s="1"/>
  <c r="AC200" i="6"/>
  <c r="I44" i="4" s="1"/>
  <c r="AC199" i="6"/>
  <c r="I43" i="4" s="1"/>
  <c r="AC198" i="6"/>
  <c r="I42" i="4" s="1"/>
  <c r="AC197" i="6"/>
  <c r="I41" i="4" s="1"/>
  <c r="AC196" i="6"/>
  <c r="I40" i="4" s="1"/>
  <c r="AC195" i="6"/>
  <c r="I39" i="4" s="1"/>
  <c r="AC194" i="6"/>
  <c r="I38" i="4" s="1"/>
  <c r="AC193" i="6"/>
  <c r="I37" i="4" s="1"/>
  <c r="AC192" i="6"/>
  <c r="I36" i="4" s="1"/>
  <c r="AC191" i="6"/>
  <c r="I35" i="4" s="1"/>
  <c r="AC190" i="6"/>
  <c r="I34" i="4" s="1"/>
  <c r="AC189" i="6"/>
  <c r="I33" i="4" s="1"/>
  <c r="AC188" i="6"/>
  <c r="I32" i="4" s="1"/>
  <c r="AC187" i="6"/>
  <c r="I31" i="4" s="1"/>
  <c r="AC186" i="6"/>
  <c r="I30" i="4" s="1"/>
  <c r="AC185" i="6"/>
  <c r="I29" i="4" s="1"/>
  <c r="AC184" i="6"/>
  <c r="I28" i="4" s="1"/>
  <c r="AC183" i="6"/>
  <c r="I27" i="4" s="1"/>
  <c r="AC182" i="6"/>
  <c r="I26" i="4" s="1"/>
  <c r="AC181" i="6"/>
  <c r="I25" i="4" s="1"/>
  <c r="AC180" i="6"/>
  <c r="I24" i="4" s="1"/>
  <c r="AB174" i="6"/>
  <c r="AA174" i="6"/>
  <c r="Z174" i="6"/>
  <c r="Y174" i="6"/>
  <c r="X174" i="6"/>
  <c r="W174" i="6"/>
  <c r="V174" i="6"/>
  <c r="U174" i="6"/>
  <c r="T174" i="6"/>
  <c r="S174" i="6"/>
  <c r="R174" i="6"/>
  <c r="Q174" i="6"/>
  <c r="P174" i="6"/>
  <c r="O174" i="6"/>
  <c r="N174" i="6"/>
  <c r="M174" i="6"/>
  <c r="L174" i="6"/>
  <c r="K174" i="6"/>
  <c r="J174" i="6"/>
  <c r="I174" i="6"/>
  <c r="H174" i="6"/>
  <c r="G174" i="6"/>
  <c r="F174" i="6"/>
  <c r="E174" i="6"/>
  <c r="AC173" i="6"/>
  <c r="H60" i="4" s="1"/>
  <c r="AC172" i="6"/>
  <c r="H59" i="4" s="1"/>
  <c r="AC171" i="6"/>
  <c r="H58" i="4" s="1"/>
  <c r="AC170" i="6"/>
  <c r="H57" i="4" s="1"/>
  <c r="AC169" i="6"/>
  <c r="H56" i="4" s="1"/>
  <c r="AC168" i="6"/>
  <c r="H55" i="4" s="1"/>
  <c r="AC167" i="6"/>
  <c r="H54" i="4" s="1"/>
  <c r="AC166" i="6"/>
  <c r="H53" i="4" s="1"/>
  <c r="AC165" i="6"/>
  <c r="H52" i="4" s="1"/>
  <c r="AC164" i="6"/>
  <c r="H51" i="4" s="1"/>
  <c r="AC163" i="6"/>
  <c r="H50" i="4" s="1"/>
  <c r="AC162" i="6"/>
  <c r="H49" i="4" s="1"/>
  <c r="AC161" i="6"/>
  <c r="H48" i="4" s="1"/>
  <c r="AC160" i="6"/>
  <c r="H47" i="4" s="1"/>
  <c r="AC159" i="6"/>
  <c r="H46" i="4" s="1"/>
  <c r="AC158" i="6"/>
  <c r="H45" i="4" s="1"/>
  <c r="AC157" i="6"/>
  <c r="H44" i="4" s="1"/>
  <c r="AC156" i="6"/>
  <c r="H43" i="4" s="1"/>
  <c r="AC155" i="6"/>
  <c r="H42" i="4" s="1"/>
  <c r="AC154" i="6"/>
  <c r="H41" i="4" s="1"/>
  <c r="AC153" i="6"/>
  <c r="H40" i="4" s="1"/>
  <c r="AC152" i="6"/>
  <c r="H39" i="4" s="1"/>
  <c r="AC151" i="6"/>
  <c r="H38" i="4" s="1"/>
  <c r="AC150" i="6"/>
  <c r="H37" i="4" s="1"/>
  <c r="AC149" i="6"/>
  <c r="H36" i="4" s="1"/>
  <c r="AC148" i="6"/>
  <c r="H35" i="4" s="1"/>
  <c r="AC147" i="6"/>
  <c r="H34" i="4" s="1"/>
  <c r="AC146" i="6"/>
  <c r="H33" i="4" s="1"/>
  <c r="AC145" i="6"/>
  <c r="H32" i="4" s="1"/>
  <c r="AC144" i="6"/>
  <c r="H31" i="4" s="1"/>
  <c r="AC143" i="6"/>
  <c r="H30" i="4" s="1"/>
  <c r="AC142" i="6"/>
  <c r="H29" i="4" s="1"/>
  <c r="AC141" i="6"/>
  <c r="H28" i="4" s="1"/>
  <c r="AC140" i="6"/>
  <c r="H27" i="4" s="1"/>
  <c r="AC139" i="6"/>
  <c r="H26" i="4" s="1"/>
  <c r="AC138" i="6"/>
  <c r="H25" i="4" s="1"/>
  <c r="AC137" i="6"/>
  <c r="H24" i="4" s="1"/>
  <c r="AB131" i="6"/>
  <c r="AA131" i="6"/>
  <c r="Z131" i="6"/>
  <c r="Y131" i="6"/>
  <c r="X131" i="6"/>
  <c r="W131" i="6"/>
  <c r="V131" i="6"/>
  <c r="U131" i="6"/>
  <c r="T131" i="6"/>
  <c r="S131" i="6"/>
  <c r="R131" i="6"/>
  <c r="Q131" i="6"/>
  <c r="P131" i="6"/>
  <c r="O131" i="6"/>
  <c r="N131" i="6"/>
  <c r="M131" i="6"/>
  <c r="L131" i="6"/>
  <c r="K131" i="6"/>
  <c r="J131" i="6"/>
  <c r="I131" i="6"/>
  <c r="H131" i="6"/>
  <c r="G131" i="6"/>
  <c r="F131" i="6"/>
  <c r="E131" i="6"/>
  <c r="AC130" i="6"/>
  <c r="G60" i="4" s="1"/>
  <c r="AC129" i="6"/>
  <c r="G59" i="4" s="1"/>
  <c r="AC128" i="6"/>
  <c r="G58" i="4" s="1"/>
  <c r="AC127" i="6"/>
  <c r="G57" i="4" s="1"/>
  <c r="AC126" i="6"/>
  <c r="G56" i="4" s="1"/>
  <c r="AC125" i="6"/>
  <c r="G55" i="4" s="1"/>
  <c r="AC124" i="6"/>
  <c r="G54" i="4" s="1"/>
  <c r="AC123" i="6"/>
  <c r="G53" i="4" s="1"/>
  <c r="AC122" i="6"/>
  <c r="G52" i="4" s="1"/>
  <c r="AC121" i="6"/>
  <c r="G51" i="4" s="1"/>
  <c r="AC120" i="6"/>
  <c r="G50" i="4" s="1"/>
  <c r="AC119" i="6"/>
  <c r="G49" i="4" s="1"/>
  <c r="AC118" i="6"/>
  <c r="G48" i="4" s="1"/>
  <c r="AC117" i="6"/>
  <c r="G47" i="4" s="1"/>
  <c r="AC116" i="6"/>
  <c r="G46" i="4" s="1"/>
  <c r="AC115" i="6"/>
  <c r="G45" i="4" s="1"/>
  <c r="AC114" i="6"/>
  <c r="G44" i="4" s="1"/>
  <c r="AC113" i="6"/>
  <c r="G43" i="4" s="1"/>
  <c r="AC112" i="6"/>
  <c r="G42" i="4" s="1"/>
  <c r="AC111" i="6"/>
  <c r="G41" i="4" s="1"/>
  <c r="AC110" i="6"/>
  <c r="G40" i="4" s="1"/>
  <c r="AC109" i="6"/>
  <c r="G39" i="4" s="1"/>
  <c r="AC108" i="6"/>
  <c r="G38" i="4" s="1"/>
  <c r="AC107" i="6"/>
  <c r="G37" i="4" s="1"/>
  <c r="AC106" i="6"/>
  <c r="G36" i="4" s="1"/>
  <c r="AC105" i="6"/>
  <c r="G35" i="4" s="1"/>
  <c r="AC104" i="6"/>
  <c r="G34" i="4" s="1"/>
  <c r="AC103" i="6"/>
  <c r="G33" i="4" s="1"/>
  <c r="AC102" i="6"/>
  <c r="G32" i="4" s="1"/>
  <c r="AC101" i="6"/>
  <c r="G31" i="4" s="1"/>
  <c r="AC100" i="6"/>
  <c r="G30" i="4" s="1"/>
  <c r="AC99" i="6"/>
  <c r="G29" i="4" s="1"/>
  <c r="AC98" i="6"/>
  <c r="G28" i="4" s="1"/>
  <c r="AC97" i="6"/>
  <c r="G27" i="4" s="1"/>
  <c r="AC96" i="6"/>
  <c r="G26" i="4" s="1"/>
  <c r="AC95" i="6"/>
  <c r="G25" i="4" s="1"/>
  <c r="AC94" i="6"/>
  <c r="G24" i="4" s="1"/>
  <c r="AB88" i="6"/>
  <c r="AA88" i="6"/>
  <c r="Z88" i="6"/>
  <c r="Y88" i="6"/>
  <c r="X88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AC87" i="6"/>
  <c r="F60" i="4" s="1"/>
  <c r="AC86" i="6"/>
  <c r="F59" i="4" s="1"/>
  <c r="AC85" i="6"/>
  <c r="F58" i="4" s="1"/>
  <c r="AC84" i="6"/>
  <c r="F57" i="4" s="1"/>
  <c r="AC83" i="6"/>
  <c r="F56" i="4" s="1"/>
  <c r="AC82" i="6"/>
  <c r="F55" i="4" s="1"/>
  <c r="AC81" i="6"/>
  <c r="F54" i="4" s="1"/>
  <c r="AC80" i="6"/>
  <c r="F53" i="4" s="1"/>
  <c r="AC79" i="6"/>
  <c r="F52" i="4" s="1"/>
  <c r="AC78" i="6"/>
  <c r="F51" i="4" s="1"/>
  <c r="AC77" i="6"/>
  <c r="F50" i="4" s="1"/>
  <c r="AC76" i="6"/>
  <c r="F49" i="4" s="1"/>
  <c r="AC75" i="6"/>
  <c r="F48" i="4" s="1"/>
  <c r="AC74" i="6"/>
  <c r="F47" i="4" s="1"/>
  <c r="AC73" i="6"/>
  <c r="F46" i="4" s="1"/>
  <c r="AC72" i="6"/>
  <c r="F45" i="4" s="1"/>
  <c r="AC71" i="6"/>
  <c r="F44" i="4" s="1"/>
  <c r="AC70" i="6"/>
  <c r="F43" i="4" s="1"/>
  <c r="AC69" i="6"/>
  <c r="F42" i="4" s="1"/>
  <c r="AC68" i="6"/>
  <c r="F41" i="4" s="1"/>
  <c r="AC67" i="6"/>
  <c r="F40" i="4" s="1"/>
  <c r="AC66" i="6"/>
  <c r="F39" i="4" s="1"/>
  <c r="AC65" i="6"/>
  <c r="F38" i="4" s="1"/>
  <c r="AC64" i="6"/>
  <c r="F37" i="4" s="1"/>
  <c r="AC63" i="6"/>
  <c r="F36" i="4" s="1"/>
  <c r="AC62" i="6"/>
  <c r="F35" i="4" s="1"/>
  <c r="AC61" i="6"/>
  <c r="F34" i="4" s="1"/>
  <c r="AC60" i="6"/>
  <c r="F33" i="4" s="1"/>
  <c r="AC59" i="6"/>
  <c r="F32" i="4" s="1"/>
  <c r="AC58" i="6"/>
  <c r="F31" i="4" s="1"/>
  <c r="AC57" i="6"/>
  <c r="F30" i="4" s="1"/>
  <c r="AC56" i="6"/>
  <c r="F29" i="4" s="1"/>
  <c r="AC55" i="6"/>
  <c r="F28" i="4" s="1"/>
  <c r="AC54" i="6"/>
  <c r="F27" i="4" s="1"/>
  <c r="AC53" i="6"/>
  <c r="F26" i="4" s="1"/>
  <c r="AC52" i="6"/>
  <c r="F25" i="4" s="1"/>
  <c r="AC51" i="6"/>
  <c r="F24" i="4" s="1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4" i="6"/>
  <c r="E60" i="4" s="1"/>
  <c r="AC43" i="6"/>
  <c r="E59" i="4" s="1"/>
  <c r="AJ31" i="10"/>
  <c r="AJ15" i="10"/>
  <c r="F9" i="10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AC40" i="8"/>
  <c r="E100" i="4" s="1"/>
  <c r="AC39" i="8"/>
  <c r="E99" i="4" s="1"/>
  <c r="AC38" i="8"/>
  <c r="E98" i="4" s="1"/>
  <c r="AC37" i="8"/>
  <c r="E97" i="4" s="1"/>
  <c r="AC36" i="8"/>
  <c r="E96" i="4" s="1"/>
  <c r="AC35" i="8"/>
  <c r="E95" i="4" s="1"/>
  <c r="AC34" i="8"/>
  <c r="E94" i="4" s="1"/>
  <c r="AC33" i="8"/>
  <c r="E93" i="4" s="1"/>
  <c r="AC32" i="8"/>
  <c r="E92" i="4" s="1"/>
  <c r="AC31" i="8"/>
  <c r="E91" i="4" s="1"/>
  <c r="AC30" i="8"/>
  <c r="E90" i="4" s="1"/>
  <c r="AC29" i="8"/>
  <c r="E89" i="4" s="1"/>
  <c r="AC28" i="8"/>
  <c r="E88" i="4" s="1"/>
  <c r="AC27" i="8"/>
  <c r="E87" i="4" s="1"/>
  <c r="AC26" i="8"/>
  <c r="E86" i="4" s="1"/>
  <c r="AC25" i="8"/>
  <c r="E85" i="4" s="1"/>
  <c r="AC24" i="8"/>
  <c r="E84" i="4" s="1"/>
  <c r="AC23" i="8"/>
  <c r="E83" i="4" s="1"/>
  <c r="AC22" i="8"/>
  <c r="E82" i="4" s="1"/>
  <c r="AC21" i="8"/>
  <c r="E81" i="4" s="1"/>
  <c r="AC20" i="8"/>
  <c r="E80" i="4" s="1"/>
  <c r="AC19" i="8"/>
  <c r="E79" i="4" s="1"/>
  <c r="AC18" i="8"/>
  <c r="E78" i="4" s="1"/>
  <c r="AC17" i="8"/>
  <c r="E77" i="4" s="1"/>
  <c r="AC16" i="8"/>
  <c r="E76" i="4" s="1"/>
  <c r="AC15" i="8"/>
  <c r="E75" i="4" s="1"/>
  <c r="AC14" i="8"/>
  <c r="E74" i="4" s="1"/>
  <c r="AC13" i="8"/>
  <c r="E73" i="4" s="1"/>
  <c r="AC12" i="8"/>
  <c r="E72" i="4" s="1"/>
  <c r="AC11" i="8"/>
  <c r="E71" i="4" s="1"/>
  <c r="AC10" i="8"/>
  <c r="E70" i="4" s="1"/>
  <c r="AC9" i="8"/>
  <c r="E69" i="4" s="1"/>
  <c r="E68" i="4"/>
  <c r="AC42" i="6"/>
  <c r="E58" i="4" s="1"/>
  <c r="AC41" i="6"/>
  <c r="E57" i="4" s="1"/>
  <c r="AC40" i="6"/>
  <c r="E56" i="4" s="1"/>
  <c r="AC39" i="6"/>
  <c r="E55" i="4" s="1"/>
  <c r="AC38" i="6"/>
  <c r="E54" i="4" s="1"/>
  <c r="AC37" i="6"/>
  <c r="E53" i="4" s="1"/>
  <c r="AC36" i="6"/>
  <c r="E52" i="4" s="1"/>
  <c r="AC35" i="6"/>
  <c r="E51" i="4" s="1"/>
  <c r="AC34" i="6"/>
  <c r="E50" i="4" s="1"/>
  <c r="AC33" i="6"/>
  <c r="E49" i="4" s="1"/>
  <c r="AC32" i="6"/>
  <c r="E48" i="4" s="1"/>
  <c r="AC31" i="6"/>
  <c r="E47" i="4" s="1"/>
  <c r="AC30" i="6"/>
  <c r="E46" i="4" s="1"/>
  <c r="AC29" i="6"/>
  <c r="E45" i="4" s="1"/>
  <c r="AC28" i="6"/>
  <c r="E44" i="4" s="1"/>
  <c r="AC27" i="6"/>
  <c r="E43" i="4" s="1"/>
  <c r="AC26" i="6"/>
  <c r="E42" i="4" s="1"/>
  <c r="AC25" i="6"/>
  <c r="E41" i="4" s="1"/>
  <c r="AC24" i="6"/>
  <c r="E40" i="4" s="1"/>
  <c r="AC23" i="6"/>
  <c r="E39" i="4" s="1"/>
  <c r="AC22" i="6"/>
  <c r="E38" i="4" s="1"/>
  <c r="AC21" i="6"/>
  <c r="E37" i="4" s="1"/>
  <c r="AC20" i="6"/>
  <c r="E36" i="4" s="1"/>
  <c r="AC19" i="6"/>
  <c r="E35" i="4" s="1"/>
  <c r="AC18" i="6"/>
  <c r="E34" i="4" s="1"/>
  <c r="AC17" i="6"/>
  <c r="E33" i="4" s="1"/>
  <c r="AC16" i="6"/>
  <c r="E32" i="4" s="1"/>
  <c r="AC15" i="6"/>
  <c r="E31" i="4" s="1"/>
  <c r="AC14" i="6"/>
  <c r="E30" i="4" s="1"/>
  <c r="AC13" i="6"/>
  <c r="E29" i="4" s="1"/>
  <c r="AC12" i="6"/>
  <c r="E28" i="4" s="1"/>
  <c r="AC11" i="6"/>
  <c r="E27" i="4" s="1"/>
  <c r="AC10" i="6"/>
  <c r="E26" i="4" s="1"/>
  <c r="AC9" i="6"/>
  <c r="E25" i="4" s="1"/>
  <c r="AJ13" i="4"/>
  <c r="AJ12" i="4"/>
  <c r="AG13" i="4"/>
  <c r="AG12" i="4"/>
  <c r="AD13" i="4"/>
  <c r="AD12" i="4"/>
  <c r="AA13" i="4"/>
  <c r="AA12" i="4"/>
  <c r="X13" i="4"/>
  <c r="X12" i="4"/>
  <c r="U13" i="4"/>
  <c r="U12" i="4"/>
  <c r="R13" i="4"/>
  <c r="R12" i="4"/>
  <c r="O13" i="4"/>
  <c r="O12" i="4"/>
  <c r="L13" i="4"/>
  <c r="L12" i="4"/>
  <c r="I13" i="4"/>
  <c r="I12" i="4"/>
  <c r="F13" i="4"/>
  <c r="F12" i="4"/>
  <c r="F22" i="4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B521" i="6" s="1"/>
  <c r="E66" i="4"/>
  <c r="AF67" i="4" l="1"/>
  <c r="AC67" i="4"/>
  <c r="AJ10" i="11"/>
  <c r="C13" i="4" s="1"/>
  <c r="B170" i="8"/>
  <c r="B478" i="6"/>
  <c r="B91" i="6"/>
  <c r="B500" i="8"/>
  <c r="B335" i="8"/>
  <c r="B349" i="6"/>
  <c r="N67" i="4"/>
  <c r="G67" i="4"/>
  <c r="M67" i="4"/>
  <c r="B60" i="8"/>
  <c r="B115" i="8"/>
  <c r="B306" i="6"/>
  <c r="B445" i="8"/>
  <c r="B610" i="8"/>
  <c r="V67" i="4"/>
  <c r="W67" i="4"/>
  <c r="AI67" i="4"/>
  <c r="B390" i="8"/>
  <c r="AC112" i="8"/>
  <c r="R67" i="4"/>
  <c r="S67" i="4"/>
  <c r="AE23" i="4"/>
  <c r="R22" i="4"/>
  <c r="B665" i="8"/>
  <c r="AF23" i="4"/>
  <c r="AI23" i="4"/>
  <c r="Q67" i="4"/>
  <c r="G23" i="4"/>
  <c r="T23" i="4"/>
  <c r="L67" i="4"/>
  <c r="AH23" i="4"/>
  <c r="B177" i="6"/>
  <c r="B225" i="8"/>
  <c r="B220" i="6"/>
  <c r="O67" i="4"/>
  <c r="P67" i="4"/>
  <c r="B48" i="6"/>
  <c r="AC277" i="8"/>
  <c r="B435" i="6"/>
  <c r="O23" i="4"/>
  <c r="Y67" i="4"/>
  <c r="AG23" i="4"/>
  <c r="U67" i="4"/>
  <c r="B134" i="6"/>
  <c r="B280" i="8"/>
  <c r="B263" i="6"/>
  <c r="B392" i="6"/>
  <c r="B555" i="8"/>
  <c r="Z67" i="4"/>
  <c r="T67" i="4"/>
  <c r="X67" i="4"/>
  <c r="AH67" i="4"/>
  <c r="AA67" i="4"/>
  <c r="AB67" i="4"/>
  <c r="AG67" i="4"/>
  <c r="K67" i="4"/>
  <c r="J67" i="4"/>
  <c r="I67" i="4"/>
  <c r="AJ24" i="4"/>
  <c r="H67" i="4"/>
  <c r="AC88" i="6"/>
  <c r="AJ94" i="4"/>
  <c r="AJ95" i="4"/>
  <c r="F69" i="4"/>
  <c r="F67" i="4" s="1"/>
  <c r="AJ96" i="4"/>
  <c r="AJ97" i="4"/>
  <c r="AJ68" i="4"/>
  <c r="AJ107" i="4"/>
  <c r="AC57" i="8"/>
  <c r="AC45" i="6"/>
  <c r="L10" i="10"/>
  <c r="AJ17" i="10"/>
  <c r="K10" i="10"/>
  <c r="AJ18" i="10"/>
  <c r="J10" i="10"/>
  <c r="AJ19" i="10"/>
  <c r="I10" i="10"/>
  <c r="AJ25" i="10"/>
  <c r="S10" i="10"/>
  <c r="AJ26" i="10"/>
  <c r="R10" i="10"/>
  <c r="Q10" i="10"/>
  <c r="AC1707" i="8"/>
  <c r="AC1652" i="8"/>
  <c r="AC1597" i="8"/>
  <c r="AC1542" i="8"/>
  <c r="AE67" i="4"/>
  <c r="AD67" i="4"/>
  <c r="AC1487" i="8"/>
  <c r="N23" i="4"/>
  <c r="M23" i="4"/>
  <c r="AC23" i="4"/>
  <c r="R23" i="4"/>
  <c r="W23" i="4"/>
  <c r="X23" i="4"/>
  <c r="AB23" i="4"/>
  <c r="AJ47" i="4"/>
  <c r="L23" i="4"/>
  <c r="Q23" i="4"/>
  <c r="F23" i="4"/>
  <c r="V23" i="4"/>
  <c r="AA23" i="4"/>
  <c r="K23" i="4"/>
  <c r="P23" i="4"/>
  <c r="U23" i="4"/>
  <c r="Z23" i="4"/>
  <c r="I23" i="4"/>
  <c r="AD23" i="4"/>
  <c r="S23" i="4"/>
  <c r="Y23" i="4"/>
  <c r="AC1432" i="8"/>
  <c r="AC1377" i="8"/>
  <c r="AC1322" i="8"/>
  <c r="AC1267" i="8"/>
  <c r="AJ110" i="4"/>
  <c r="AC1212" i="8"/>
  <c r="AC1157" i="8"/>
  <c r="AC1102" i="8"/>
  <c r="AC1047" i="8"/>
  <c r="AC992" i="8"/>
  <c r="AC937" i="8"/>
  <c r="AC882" i="8"/>
  <c r="AJ25" i="4"/>
  <c r="AC827" i="8"/>
  <c r="AC772" i="8"/>
  <c r="AJ49" i="4"/>
  <c r="AC717" i="8"/>
  <c r="AJ114" i="4"/>
  <c r="AC662" i="8"/>
  <c r="AC607" i="8"/>
  <c r="AC552" i="8"/>
  <c r="AJ43" i="4"/>
  <c r="AJ54" i="4"/>
  <c r="AJ38" i="4"/>
  <c r="AC497" i="8"/>
  <c r="AJ99" i="4"/>
  <c r="AJ46" i="4"/>
  <c r="AC442" i="8"/>
  <c r="AJ48" i="4"/>
  <c r="AC387" i="8"/>
  <c r="AJ111" i="4"/>
  <c r="AJ112" i="4"/>
  <c r="AJ109" i="4"/>
  <c r="AJ50" i="4"/>
  <c r="J23" i="4"/>
  <c r="AC332" i="8"/>
  <c r="AJ98" i="4"/>
  <c r="AJ45" i="4"/>
  <c r="AJ106" i="4"/>
  <c r="AJ41" i="4"/>
  <c r="AJ52" i="4"/>
  <c r="H23" i="4"/>
  <c r="AJ60" i="4"/>
  <c r="AJ44" i="4"/>
  <c r="AC222" i="8"/>
  <c r="AJ116" i="4"/>
  <c r="AJ105" i="4"/>
  <c r="AJ108" i="4"/>
  <c r="AJ53" i="4"/>
  <c r="AJ37" i="4"/>
  <c r="AJ51" i="4"/>
  <c r="AJ59" i="4"/>
  <c r="AC167" i="8"/>
  <c r="AJ113" i="4"/>
  <c r="AJ93" i="4"/>
  <c r="AJ115" i="4"/>
  <c r="AJ102" i="4"/>
  <c r="AJ103" i="4"/>
  <c r="AJ104" i="4"/>
  <c r="AJ100" i="4"/>
  <c r="AJ101" i="4"/>
  <c r="AJ58" i="4"/>
  <c r="AJ42" i="4"/>
  <c r="AJ57" i="4"/>
  <c r="AJ56" i="4"/>
  <c r="AJ40" i="4"/>
  <c r="AJ55" i="4"/>
  <c r="AJ39" i="4"/>
  <c r="E67" i="4"/>
  <c r="E23" i="4"/>
  <c r="AC905" i="6"/>
  <c r="AC1291" i="6"/>
  <c r="AC217" i="6"/>
  <c r="AC1120" i="6"/>
  <c r="AC647" i="6"/>
  <c r="AC432" i="6"/>
  <c r="AC862" i="6"/>
  <c r="AC174" i="6"/>
  <c r="AC690" i="6"/>
  <c r="AC1077" i="6"/>
  <c r="AC604" i="6"/>
  <c r="AC131" i="6"/>
  <c r="AC561" i="6"/>
  <c r="AC776" i="6"/>
  <c r="AC1334" i="6"/>
  <c r="AC389" i="6"/>
  <c r="AC303" i="6"/>
  <c r="AC518" i="6"/>
  <c r="AC1205" i="6"/>
  <c r="AC819" i="6"/>
  <c r="AC991" i="6"/>
  <c r="AC346" i="6"/>
  <c r="AC733" i="6"/>
  <c r="AC948" i="6"/>
  <c r="AC1034" i="6"/>
  <c r="AC1163" i="6"/>
  <c r="AC1248" i="6"/>
  <c r="AC260" i="6"/>
  <c r="AC475" i="6"/>
  <c r="I14" i="4"/>
  <c r="AG14" i="4"/>
  <c r="L14" i="4"/>
  <c r="AJ14" i="4"/>
  <c r="O14" i="4"/>
  <c r="R14" i="4"/>
  <c r="U14" i="4"/>
  <c r="F14" i="4"/>
  <c r="AD14" i="4"/>
  <c r="X14" i="4"/>
  <c r="AA14" i="4"/>
  <c r="AJ10" i="10" l="1"/>
  <c r="C12" i="4" s="1"/>
  <c r="S22" i="4"/>
  <c r="B720" i="8"/>
  <c r="B564" i="6"/>
  <c r="T22" i="4" l="1"/>
  <c r="B775" i="8"/>
  <c r="B607" i="6"/>
  <c r="O66" i="4"/>
  <c r="U22" i="4" l="1"/>
  <c r="U66" i="4" s="1"/>
  <c r="B650" i="6"/>
  <c r="B830" i="8"/>
  <c r="F66" i="4"/>
  <c r="G66" i="4"/>
  <c r="H66" i="4"/>
  <c r="I66" i="4"/>
  <c r="J66" i="4"/>
  <c r="K66" i="4"/>
  <c r="L66" i="4"/>
  <c r="M66" i="4"/>
  <c r="N66" i="4"/>
  <c r="P66" i="4"/>
  <c r="Q66" i="4"/>
  <c r="R66" i="4"/>
  <c r="S66" i="4"/>
  <c r="T66" i="4"/>
  <c r="V22" i="4" l="1"/>
  <c r="B885" i="8"/>
  <c r="B693" i="6"/>
  <c r="AJ85" i="4"/>
  <c r="W22" i="4" l="1"/>
  <c r="B940" i="8"/>
  <c r="B736" i="6"/>
  <c r="V66" i="4"/>
  <c r="AJ27" i="4"/>
  <c r="AJ92" i="4"/>
  <c r="X22" i="4" l="1"/>
  <c r="B995" i="8"/>
  <c r="B779" i="6"/>
  <c r="W66" i="4"/>
  <c r="AJ82" i="4"/>
  <c r="AJ83" i="4"/>
  <c r="AJ84" i="4"/>
  <c r="AJ86" i="4"/>
  <c r="AJ87" i="4"/>
  <c r="AJ88" i="4"/>
  <c r="AJ89" i="4"/>
  <c r="AJ90" i="4"/>
  <c r="AJ91" i="4"/>
  <c r="AJ81" i="4"/>
  <c r="Y22" i="4" l="1"/>
  <c r="B822" i="6"/>
  <c r="B1050" i="8"/>
  <c r="X66" i="4"/>
  <c r="AJ36" i="4"/>
  <c r="Z22" i="4" l="1"/>
  <c r="B1105" i="8"/>
  <c r="B865" i="6"/>
  <c r="Y66" i="4"/>
  <c r="AJ80" i="4"/>
  <c r="AJ79" i="4"/>
  <c r="AJ78" i="4"/>
  <c r="AJ77" i="4"/>
  <c r="AJ76" i="4"/>
  <c r="AJ75" i="4"/>
  <c r="AJ74" i="4"/>
  <c r="AJ73" i="4"/>
  <c r="AJ72" i="4"/>
  <c r="AJ71" i="4"/>
  <c r="AJ70" i="4"/>
  <c r="AJ69" i="4"/>
  <c r="AJ26" i="4"/>
  <c r="AJ28" i="4"/>
  <c r="AJ29" i="4"/>
  <c r="AJ30" i="4"/>
  <c r="AJ31" i="4"/>
  <c r="AJ32" i="4"/>
  <c r="AJ33" i="4"/>
  <c r="AJ34" i="4"/>
  <c r="AJ35" i="4"/>
  <c r="AA22" i="4" l="1"/>
  <c r="B1160" i="8"/>
  <c r="B908" i="6"/>
  <c r="Z66" i="4"/>
  <c r="AJ67" i="4"/>
  <c r="AJ23" i="4"/>
  <c r="C14" i="4"/>
  <c r="AB22" i="4" l="1"/>
  <c r="B1215" i="8"/>
  <c r="B951" i="6"/>
  <c r="AA66" i="4"/>
  <c r="AL13" i="4"/>
  <c r="Z13" i="4"/>
  <c r="AF12" i="4"/>
  <c r="E12" i="4"/>
  <c r="N12" i="4"/>
  <c r="K12" i="4"/>
  <c r="AL12" i="4"/>
  <c r="H13" i="4"/>
  <c r="AC13" i="4"/>
  <c r="E13" i="4"/>
  <c r="N13" i="4"/>
  <c r="AI12" i="4"/>
  <c r="AI13" i="4"/>
  <c r="H12" i="4"/>
  <c r="Q13" i="4"/>
  <c r="T13" i="4"/>
  <c r="Z12" i="4"/>
  <c r="AC12" i="4"/>
  <c r="Q12" i="4"/>
  <c r="W13" i="4"/>
  <c r="T12" i="4"/>
  <c r="K13" i="4"/>
  <c r="W12" i="4"/>
  <c r="AF13" i="4"/>
  <c r="AC22" i="4" l="1"/>
  <c r="B994" i="6"/>
  <c r="B1270" i="8"/>
  <c r="AB66" i="4"/>
  <c r="W14" i="4"/>
  <c r="Z14" i="4"/>
  <c r="H14" i="4"/>
  <c r="K14" i="4"/>
  <c r="AL14" i="4"/>
  <c r="AI14" i="4"/>
  <c r="T14" i="4"/>
  <c r="N14" i="4"/>
  <c r="E14" i="4"/>
  <c r="AF14" i="4"/>
  <c r="AC14" i="4"/>
  <c r="Q14" i="4"/>
  <c r="AD22" i="4" l="1"/>
  <c r="B1325" i="8"/>
  <c r="B1037" i="6"/>
  <c r="AC66" i="4"/>
  <c r="AE22" i="4" l="1"/>
  <c r="B1380" i="8"/>
  <c r="B1080" i="6"/>
  <c r="AD66" i="4"/>
  <c r="AF22" i="4" l="1"/>
  <c r="B1435" i="8"/>
  <c r="B1123" i="6"/>
  <c r="AE66" i="4"/>
  <c r="AG22" i="4" l="1"/>
  <c r="B1490" i="8"/>
  <c r="B1165" i="6"/>
  <c r="AF66" i="4"/>
  <c r="AH22" i="4" l="1"/>
  <c r="B1545" i="8"/>
  <c r="B1208" i="6"/>
  <c r="AG66" i="4"/>
  <c r="AI22" i="4" l="1"/>
  <c r="B1251" i="6"/>
  <c r="B1600" i="8"/>
  <c r="AH66" i="4"/>
  <c r="B1655" i="8" l="1"/>
  <c r="B1294" i="6"/>
  <c r="AI66" i="4"/>
</calcChain>
</file>

<file path=xl/sharedStrings.xml><?xml version="1.0" encoding="utf-8"?>
<sst xmlns="http://schemas.openxmlformats.org/spreadsheetml/2006/main" count="3056" uniqueCount="105">
  <si>
    <t>Solar</t>
  </si>
  <si>
    <t>Eólica</t>
  </si>
  <si>
    <t>Total</t>
  </si>
  <si>
    <t>Central  /  Día</t>
  </si>
  <si>
    <t>PE-TCHAMMA</t>
  </si>
  <si>
    <t>PE-SIERRAGORDA</t>
  </si>
  <si>
    <t>PE-VALLEDELOSVIENTOS</t>
  </si>
  <si>
    <t>PE-CALAMA</t>
  </si>
  <si>
    <t>PE-TALTAL</t>
  </si>
  <si>
    <t>PE-SARCO</t>
  </si>
  <si>
    <t>PE-CABOLEONES-1</t>
  </si>
  <si>
    <t>PE-CABOLEONES-2</t>
  </si>
  <si>
    <t>PE-CABOLEONES-3</t>
  </si>
  <si>
    <t>PE-SANJUAN</t>
  </si>
  <si>
    <t>PE-PUNTACOLORADA</t>
  </si>
  <si>
    <t>PE-ELARRAYAN</t>
  </si>
  <si>
    <t>PE-TALINAYPONIENTE</t>
  </si>
  <si>
    <t>PE-TALINAYORIENTE</t>
  </si>
  <si>
    <t>PE-PUNTASIERRA</t>
  </si>
  <si>
    <t>PE-LOSCURUROS</t>
  </si>
  <si>
    <t>PE-MONTEREDONDO</t>
  </si>
  <si>
    <t>PE-PUNTAPALMERAS</t>
  </si>
  <si>
    <t>PE-CANELA</t>
  </si>
  <si>
    <t>PE-CANELA-2</t>
  </si>
  <si>
    <t>PE-TOTORAL</t>
  </si>
  <si>
    <t>PE-LAESTRELLA</t>
  </si>
  <si>
    <t>PE-NEGRETE</t>
  </si>
  <si>
    <t>PE-LOSOLMOS</t>
  </si>
  <si>
    <t>PE-RENAICO</t>
  </si>
  <si>
    <t>PE-MALLECOSUR</t>
  </si>
  <si>
    <t>PE-SANGABRIEL</t>
  </si>
  <si>
    <t>PE-LAFLOR</t>
  </si>
  <si>
    <t>PE-TOLPANSUR</t>
  </si>
  <si>
    <t>PE-LOSBUENOSAIRES</t>
  </si>
  <si>
    <t>PE-LAESPERANZA</t>
  </si>
  <si>
    <t>PE-AURORA</t>
  </si>
  <si>
    <t>PE-SANPEDRO</t>
  </si>
  <si>
    <t>PFV-POZOALMONTE-2</t>
  </si>
  <si>
    <t>PFV-POZOALMONTE-3</t>
  </si>
  <si>
    <t>PFV-LAHUAYCA-2</t>
  </si>
  <si>
    <t>PFV-SANTAISABEL</t>
  </si>
  <si>
    <t>PFV-HUATACONDO</t>
  </si>
  <si>
    <t>PFV-ATACAMASOLAR-2</t>
  </si>
  <si>
    <t>PFV-NUEVOQUILLAGUA</t>
  </si>
  <si>
    <t>PFV-GRANJA</t>
  </si>
  <si>
    <t>PFV-USYA</t>
  </si>
  <si>
    <t>PFV-SANPEDRO-GPG</t>
  </si>
  <si>
    <t>PFV-JAMA-1</t>
  </si>
  <si>
    <t>PFV-JAMA-2</t>
  </si>
  <si>
    <t>PFV-SOLDELDESIERTO</t>
  </si>
  <si>
    <t>PFV-MARIAELENA</t>
  </si>
  <si>
    <t>PFV-FINISTERRAE</t>
  </si>
  <si>
    <t>PFV-AZABACHE</t>
  </si>
  <si>
    <t>PFV-TAMAYA</t>
  </si>
  <si>
    <t>PFV-CERRODOMINADOR</t>
  </si>
  <si>
    <t>PFV-BOLERO-1</t>
  </si>
  <si>
    <t>PFV-URIBESOLAR</t>
  </si>
  <si>
    <t>PFV-ANDES</t>
  </si>
  <si>
    <t>PFV-ANDES2A</t>
  </si>
  <si>
    <t>PFV-LALACKAMA</t>
  </si>
  <si>
    <t>PFV-PAMPASOLARNORTE</t>
  </si>
  <si>
    <t>PFV-CONEJO</t>
  </si>
  <si>
    <t>PFV-ALMEYDA</t>
  </si>
  <si>
    <t>PFV-MALGARIDA</t>
  </si>
  <si>
    <t>PFV-JAVIERA</t>
  </si>
  <si>
    <t>PFV-CHANARES</t>
  </si>
  <si>
    <t>PFV-SALVADOR</t>
  </si>
  <si>
    <t>PFV-DIEGODEALMAGRO</t>
  </si>
  <si>
    <t>PFV-CAMPOSDELSOL</t>
  </si>
  <si>
    <t>PFV-CARRERAPINTO</t>
  </si>
  <si>
    <t>PFV-LUZDELNORTE</t>
  </si>
  <si>
    <t>PFV-LLANODELLAMPOS</t>
  </si>
  <si>
    <t>PFV-SANANDRES</t>
  </si>
  <si>
    <t>PFV-RIOESCONDIDO</t>
  </si>
  <si>
    <t>PFV-LOSLOROS</t>
  </si>
  <si>
    <t>PFV-ELROMERO</t>
  </si>
  <si>
    <t>PFV-ELPELICANO</t>
  </si>
  <si>
    <t>PFV-LAHUELLA</t>
  </si>
  <si>
    <t>PFV-DONACARMEN</t>
  </si>
  <si>
    <t>PFV-SANTIAGOSOLAR</t>
  </si>
  <si>
    <t>PFV-QUILAPILUN</t>
  </si>
  <si>
    <t>Central/Hora</t>
  </si>
  <si>
    <t>CURTAILMENTS EÓLICAS POR CENTRALES EN FORMA DIARIA/HORARIA</t>
  </si>
  <si>
    <t>CURTAILMENTS  SOLAR POR CENTRALES EN FORMA DIARIA/HORARIA</t>
  </si>
  <si>
    <t xml:space="preserve">Desglose diario/mensual aumulado de curtailments de energía Eólica </t>
  </si>
  <si>
    <t>Desglose diario/mensual aumulado de curtailments de energía Solar.</t>
  </si>
  <si>
    <t>RESUMEN DE CURTAILMENTS CENTRALES EÓLICAS Y SOLARES CORRESPONDIENTE A ENERO 2022 (MWh)</t>
  </si>
  <si>
    <t>RESUMEN DE CURTAILMENTS ACUMULADO DE CENTRALES EÓLICAS CORRESPONDIENTE AL AÑO 2022 (MWh)</t>
  </si>
  <si>
    <t>RESUMEN DE CURTAILMENTS ACUMULADO DE CENTRALES SOLARES CORRESPONDIENTE AL AÑO 2022 (MWh)</t>
  </si>
  <si>
    <t>PE-CUEL</t>
  </si>
  <si>
    <t>PE-ALENA</t>
  </si>
  <si>
    <t>PE-CERROTIGRE *</t>
  </si>
  <si>
    <t>PE-MALLECONORTE *</t>
  </si>
  <si>
    <t>PFV-PUERTOSECO</t>
  </si>
  <si>
    <t>PFV-DOMEYKO *</t>
  </si>
  <si>
    <t>PFV-SOLDELILA *</t>
  </si>
  <si>
    <t>PFV-SOLDELOSANDES *</t>
  </si>
  <si>
    <t>PFV-LACRUZSOLAR *</t>
  </si>
  <si>
    <t>* Centrales en Pruebas de Puesta en Servicio.</t>
  </si>
  <si>
    <t>Los datos son obtenidos desde SCADA por tanto pueden diferir de acuerdo a lo informado por el Coordinado</t>
  </si>
  <si>
    <t>DESGLOSE DIARIO DE CURTAILMENTS DE ENERGÍA EÓLICA</t>
  </si>
  <si>
    <t>RESUMEN DE CURTAILMENTS ACUMULADO DE CENTRALES EÓLICAS Y SOLARES CORRESPONDIENTE AL AÑO 2022 (GWh)</t>
  </si>
  <si>
    <t>DESGLOSE DIARIO DE CURTAILMENTS DE ENERGÍA SOLAR</t>
  </si>
  <si>
    <t>Resumen Anual / Mensual (GWh)</t>
  </si>
  <si>
    <t>Acumulado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</si>
</sst>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&quot;$&quot;* #,##0.00_ ;_ &quot;$&quot;* \-#,##0.00_ ;_ &quot;$&quot;* &quot;-&quot;??_ ;_ @_ "/>
    <numFmt numFmtId="165" formatCode="_ * #,##0.00_ ;_ * \-#,##0.00_ ;_ * &quot;-&quot;??_ ;_ @_ "/>
    <numFmt numFmtId="166" formatCode="_-&quot;$&quot;\ * #,##0.00_-;\-&quot;$&quot;\ * #,##0.00_-;_-&quot;$&quot;\ * &quot;-&quot;??_-;_-@_-"/>
    <numFmt numFmtId="167" formatCode="0.0"/>
    <numFmt numFmtId="168" formatCode="dd/mm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indexed="64"/>
      </top>
      <bottom style="thin">
        <color theme="0" tint="-0.14996795556505021"/>
      </bottom>
      <diagonal/>
    </border>
    <border>
      <left style="slantDashDot">
        <color theme="0" tint="-0.14990691854609822"/>
      </left>
      <right/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1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8" fillId="0" borderId="0"/>
    <xf numFmtId="0" fontId="1" fillId="8" borderId="8" applyNumberFormat="0" applyFont="0" applyAlignment="0" applyProtection="0"/>
    <xf numFmtId="0" fontId="19" fillId="0" borderId="0"/>
    <xf numFmtId="0" fontId="18" fillId="0" borderId="0"/>
    <xf numFmtId="0" fontId="1" fillId="0" borderId="0"/>
    <xf numFmtId="0" fontId="1" fillId="0" borderId="0"/>
    <xf numFmtId="9" fontId="19" fillId="0" borderId="0" applyFont="0" applyFill="0" applyBorder="0" applyAlignment="0" applyProtection="0"/>
    <xf numFmtId="0" fontId="13" fillId="7" borderId="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</cellStyleXfs>
  <cellXfs count="260">
    <xf numFmtId="0" fontId="0" fillId="0" borderId="0" xfId="0"/>
    <xf numFmtId="167" fontId="22" fillId="34" borderId="0" xfId="0" applyNumberFormat="1" applyFont="1" applyFill="1"/>
    <xf numFmtId="167" fontId="23" fillId="34" borderId="0" xfId="47" applyNumberFormat="1" applyFont="1" applyFill="1"/>
    <xf numFmtId="167" fontId="22" fillId="33" borderId="0" xfId="0" applyNumberFormat="1" applyFont="1" applyFill="1"/>
    <xf numFmtId="0" fontId="22" fillId="33" borderId="0" xfId="0" applyFont="1" applyFill="1"/>
    <xf numFmtId="0" fontId="23" fillId="34" borderId="0" xfId="47" applyFont="1" applyFill="1"/>
    <xf numFmtId="0" fontId="24" fillId="33" borderId="0" xfId="47" applyFont="1" applyFill="1"/>
    <xf numFmtId="0" fontId="23" fillId="34" borderId="0" xfId="47" applyFont="1" applyFill="1" applyAlignment="1">
      <alignment horizontal="left" vertical="center"/>
    </xf>
    <xf numFmtId="16" fontId="25" fillId="33" borderId="0" xfId="0" applyNumberFormat="1" applyFont="1" applyFill="1" applyAlignment="1">
      <alignment horizontal="left" vertical="center"/>
    </xf>
    <xf numFmtId="0" fontId="24" fillId="33" borderId="10" xfId="47" applyFont="1" applyFill="1" applyBorder="1" applyAlignment="1">
      <alignment horizontal="left" vertical="center" wrapText="1"/>
    </xf>
    <xf numFmtId="0" fontId="22" fillId="33" borderId="10" xfId="0" applyFont="1" applyFill="1" applyBorder="1"/>
    <xf numFmtId="1" fontId="24" fillId="36" borderId="10" xfId="47" applyNumberFormat="1" applyFont="1" applyFill="1" applyBorder="1" applyAlignment="1">
      <alignment horizontal="center" vertical="center"/>
    </xf>
    <xf numFmtId="0" fontId="22" fillId="33" borderId="0" xfId="0" applyFont="1" applyFill="1" applyBorder="1"/>
    <xf numFmtId="0" fontId="21" fillId="33" borderId="0" xfId="47" applyFont="1" applyFill="1" applyAlignment="1">
      <alignment horizontal="left" vertical="center"/>
    </xf>
    <xf numFmtId="0" fontId="24" fillId="35" borderId="14" xfId="47" applyFont="1" applyFill="1" applyBorder="1" applyAlignment="1"/>
    <xf numFmtId="167" fontId="24" fillId="35" borderId="14" xfId="47" applyNumberFormat="1" applyFont="1" applyFill="1" applyBorder="1" applyAlignment="1">
      <alignment horizontal="center"/>
    </xf>
    <xf numFmtId="0" fontId="21" fillId="33" borderId="0" xfId="47" applyFont="1" applyFill="1" applyBorder="1"/>
    <xf numFmtId="167" fontId="24" fillId="33" borderId="0" xfId="47" applyNumberFormat="1" applyFont="1" applyFill="1" applyBorder="1" applyAlignment="1">
      <alignment horizontal="center" vertical="center"/>
    </xf>
    <xf numFmtId="167" fontId="21" fillId="33" borderId="0" xfId="47" applyNumberFormat="1" applyFont="1" applyFill="1" applyBorder="1" applyAlignment="1">
      <alignment horizontal="center" vertical="center"/>
    </xf>
    <xf numFmtId="167" fontId="22" fillId="33" borderId="0" xfId="0" applyNumberFormat="1" applyFont="1" applyFill="1" applyBorder="1"/>
    <xf numFmtId="167" fontId="21" fillId="36" borderId="12" xfId="47" applyNumberFormat="1" applyFont="1" applyFill="1" applyBorder="1" applyAlignment="1">
      <alignment horizontal="center" vertical="center"/>
    </xf>
    <xf numFmtId="167" fontId="21" fillId="33" borderId="11" xfId="47" applyNumberFormat="1" applyFont="1" applyFill="1" applyBorder="1" applyAlignment="1">
      <alignment horizontal="center" vertical="center"/>
    </xf>
    <xf numFmtId="0" fontId="23" fillId="33" borderId="0" xfId="47" applyFont="1" applyFill="1" applyAlignment="1">
      <alignment horizontal="left" vertical="center"/>
    </xf>
    <xf numFmtId="167" fontId="23" fillId="33" borderId="0" xfId="47" applyNumberFormat="1" applyFont="1" applyFill="1"/>
    <xf numFmtId="0" fontId="21" fillId="33" borderId="0" xfId="47" applyFont="1" applyFill="1" applyAlignment="1">
      <alignment horizontal="left"/>
    </xf>
    <xf numFmtId="0" fontId="21" fillId="33" borderId="0" xfId="47" applyFont="1" applyFill="1" applyBorder="1" applyAlignment="1">
      <alignment horizontal="left"/>
    </xf>
    <xf numFmtId="9" fontId="24" fillId="35" borderId="11" xfId="1" applyFont="1" applyFill="1" applyBorder="1" applyAlignment="1">
      <alignment horizontal="center"/>
    </xf>
    <xf numFmtId="9" fontId="24" fillId="35" borderId="18" xfId="1" applyFont="1" applyFill="1" applyBorder="1" applyAlignment="1">
      <alignment horizontal="center"/>
    </xf>
    <xf numFmtId="9" fontId="24" fillId="35" borderId="19" xfId="1" applyFont="1" applyFill="1" applyBorder="1" applyAlignment="1">
      <alignment horizontal="center"/>
    </xf>
    <xf numFmtId="9" fontId="24" fillId="35" borderId="15" xfId="1" applyFont="1" applyFill="1" applyBorder="1" applyAlignment="1">
      <alignment horizontal="center"/>
    </xf>
    <xf numFmtId="9" fontId="24" fillId="35" borderId="17" xfId="1" applyFont="1" applyFill="1" applyBorder="1" applyAlignment="1">
      <alignment horizontal="center"/>
    </xf>
    <xf numFmtId="9" fontId="24" fillId="35" borderId="21" xfId="1" applyFont="1" applyFill="1" applyBorder="1" applyAlignment="1">
      <alignment horizontal="center"/>
    </xf>
    <xf numFmtId="0" fontId="24" fillId="35" borderId="16" xfId="47" applyFont="1" applyFill="1" applyBorder="1" applyAlignment="1">
      <alignment horizontal="left"/>
    </xf>
    <xf numFmtId="9" fontId="24" fillId="35" borderId="16" xfId="1" applyFont="1" applyFill="1" applyBorder="1" applyAlignment="1">
      <alignment horizontal="center"/>
    </xf>
    <xf numFmtId="9" fontId="24" fillId="35" borderId="22" xfId="1" applyFont="1" applyFill="1" applyBorder="1" applyAlignment="1">
      <alignment horizontal="center"/>
    </xf>
    <xf numFmtId="9" fontId="24" fillId="35" borderId="23" xfId="1" applyFont="1" applyFill="1" applyBorder="1" applyAlignment="1">
      <alignment horizontal="center"/>
    </xf>
    <xf numFmtId="0" fontId="24" fillId="33" borderId="0" xfId="47" applyFont="1" applyFill="1" applyBorder="1" applyAlignment="1"/>
    <xf numFmtId="168" fontId="22" fillId="34" borderId="0" xfId="0" applyNumberFormat="1" applyFont="1" applyFill="1"/>
    <xf numFmtId="168" fontId="22" fillId="33" borderId="0" xfId="0" applyNumberFormat="1" applyFont="1" applyFill="1"/>
    <xf numFmtId="0" fontId="24" fillId="33" borderId="0" xfId="47" applyFont="1" applyFill="1" applyBorder="1" applyAlignment="1">
      <alignment horizontal="left" vertical="center" wrapText="1"/>
    </xf>
    <xf numFmtId="16" fontId="21" fillId="36" borderId="10" xfId="47" applyNumberFormat="1" applyFont="1" applyFill="1" applyBorder="1" applyAlignment="1">
      <alignment horizontal="center" vertical="center"/>
    </xf>
    <xf numFmtId="167" fontId="24" fillId="35" borderId="15" xfId="47" applyNumberFormat="1" applyFont="1" applyFill="1" applyBorder="1" applyAlignment="1">
      <alignment horizontal="center"/>
    </xf>
    <xf numFmtId="14" fontId="25" fillId="33" borderId="0" xfId="0" applyNumberFormat="1" applyFont="1" applyFill="1" applyBorder="1" applyAlignment="1">
      <alignment horizontal="center"/>
    </xf>
    <xf numFmtId="1" fontId="21" fillId="33" borderId="0" xfId="47" applyNumberFormat="1" applyFont="1" applyFill="1" applyBorder="1" applyAlignment="1">
      <alignment horizontal="center" vertical="center"/>
    </xf>
    <xf numFmtId="167" fontId="24" fillId="33" borderId="0" xfId="47" applyNumberFormat="1" applyFont="1" applyFill="1" applyBorder="1" applyAlignment="1">
      <alignment horizontal="center" vertical="center" wrapText="1"/>
    </xf>
    <xf numFmtId="167" fontId="21" fillId="33" borderId="0" xfId="47" applyNumberFormat="1" applyFont="1" applyFill="1" applyBorder="1"/>
    <xf numFmtId="0" fontId="24" fillId="33" borderId="0" xfId="47" applyFont="1" applyFill="1" applyBorder="1"/>
    <xf numFmtId="167" fontId="24" fillId="33" borderId="0" xfId="47" applyNumberFormat="1" applyFont="1" applyFill="1" applyBorder="1"/>
    <xf numFmtId="17" fontId="25" fillId="33" borderId="0" xfId="0" applyNumberFormat="1" applyFont="1" applyFill="1" applyAlignment="1">
      <alignment horizontal="left" vertical="center"/>
    </xf>
    <xf numFmtId="0" fontId="22" fillId="33" borderId="0" xfId="0" applyFont="1" applyFill="1"/>
    <xf numFmtId="0" fontId="23" fillId="34" borderId="0" xfId="47" applyFont="1" applyFill="1"/>
    <xf numFmtId="2" fontId="21" fillId="33" borderId="11" xfId="47" applyNumberFormat="1" applyFont="1" applyFill="1" applyBorder="1" applyAlignment="1">
      <alignment horizontal="center" vertical="center"/>
    </xf>
    <xf numFmtId="2" fontId="21" fillId="36" borderId="12" xfId="47" applyNumberFormat="1" applyFont="1" applyFill="1" applyBorder="1" applyAlignment="1">
      <alignment horizontal="center" vertic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51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0" fontId="22" fillId="33" borderId="0" xfId="0" applyFont="1" applyFill="1"/>
    <xf numFmtId="0" fontId="22" fillId="33" borderId="0" xfId="0" applyFont="1" applyFill="1"/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51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2" fontId="21" fillId="36" borderId="11" xfId="47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51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2" fontId="21" fillId="36" borderId="11" xfId="47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51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2" fontId="21" fillId="36" borderId="11" xfId="47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51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2" fontId="21" fillId="36" borderId="11" xfId="47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51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2" fontId="21" fillId="36" borderId="25" xfId="47" applyNumberFormat="1" applyFont="1" applyFill="1" applyBorder="1" applyAlignment="1">
      <alignment horizontal="center" vertical="center"/>
    </xf>
    <xf numFmtId="167" fontId="24" fillId="35" borderId="24" xfId="47" applyNumberFormat="1" applyFont="1" applyFill="1" applyBorder="1" applyAlignment="1">
      <alignment horizontal="center"/>
    </xf>
    <xf numFmtId="2" fontId="21" fillId="36" borderId="11" xfId="47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51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2" fontId="21" fillId="36" borderId="11" xfId="47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51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2" fontId="21" fillId="36" borderId="11" xfId="47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51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2" fontId="21" fillId="36" borderId="11" xfId="47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51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2" fontId="21" fillId="36" borderId="11" xfId="47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51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2" fontId="21" fillId="36" borderId="11" xfId="47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51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2" fontId="21" fillId="36" borderId="11" xfId="47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51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2" fontId="21" fillId="36" borderId="11" xfId="47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51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2" fontId="21" fillId="36" borderId="11" xfId="47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51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2" fontId="21" fillId="36" borderId="11" xfId="47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51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2" fontId="21" fillId="36" borderId="11" xfId="47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51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2" fontId="21" fillId="36" borderId="11" xfId="47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51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2" fontId="21" fillId="36" borderId="11" xfId="47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51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2" fontId="21" fillId="36" borderId="11" xfId="47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51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2" fontId="21" fillId="36" borderId="11" xfId="47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51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2" fontId="21" fillId="36" borderId="11" xfId="47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51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2" fontId="21" fillId="36" borderId="11" xfId="47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51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2" fontId="21" fillId="36" borderId="11" xfId="47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51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2" fontId="21" fillId="36" borderId="11" xfId="47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0" fontId="22" fillId="33" borderId="0" xfId="0" applyFont="1" applyFill="1"/>
    <xf numFmtId="2" fontId="21" fillId="36" borderId="11" xfId="47" applyNumberFormat="1" applyFont="1" applyFill="1" applyBorder="1" applyAlignment="1">
      <alignment horizontal="center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51" applyNumberFormat="1" applyFont="1" applyFill="1" applyBorder="1" applyAlignment="1">
      <alignment horizontal="center"/>
    </xf>
    <xf numFmtId="2" fontId="21" fillId="33" borderId="11" xfId="51" applyNumberFormat="1" applyFont="1" applyFill="1" applyBorder="1" applyAlignment="1">
      <alignment horizontal="center"/>
    </xf>
    <xf numFmtId="2" fontId="24" fillId="35" borderId="14" xfId="47" applyNumberFormat="1" applyFont="1" applyFill="1" applyBorder="1" applyAlignment="1">
      <alignment horizontal="center"/>
    </xf>
    <xf numFmtId="2" fontId="24" fillId="35" borderId="24" xfId="47" applyNumberFormat="1" applyFont="1" applyFill="1" applyBorder="1" applyAlignment="1">
      <alignment horizontal="center"/>
    </xf>
    <xf numFmtId="2" fontId="24" fillId="35" borderId="15" xfId="47" applyNumberFormat="1" applyFont="1" applyFill="1" applyBorder="1" applyAlignment="1">
      <alignment horizontal="center"/>
    </xf>
    <xf numFmtId="2" fontId="24" fillId="35" borderId="0" xfId="47" applyNumberFormat="1" applyFont="1" applyFill="1" applyAlignment="1">
      <alignment horizontal="center" vertical="center"/>
    </xf>
    <xf numFmtId="17" fontId="24" fillId="33" borderId="12" xfId="47" applyNumberFormat="1" applyFont="1" applyFill="1" applyBorder="1" applyAlignment="1">
      <alignment horizontal="left" vertical="center"/>
    </xf>
    <xf numFmtId="2" fontId="21" fillId="33" borderId="15" xfId="47" applyNumberFormat="1" applyFont="1" applyFill="1" applyBorder="1" applyAlignment="1">
      <alignment horizontal="center"/>
    </xf>
    <xf numFmtId="2" fontId="21" fillId="33" borderId="0" xfId="47" applyNumberFormat="1" applyFont="1" applyFill="1" applyBorder="1" applyAlignment="1">
      <alignment horizontal="center"/>
    </xf>
    <xf numFmtId="2" fontId="24" fillId="35" borderId="16" xfId="47" applyNumberFormat="1" applyFont="1" applyFill="1" applyBorder="1" applyAlignment="1">
      <alignment horizontal="center"/>
    </xf>
    <xf numFmtId="2" fontId="21" fillId="33" borderId="20" xfId="47" applyNumberFormat="1" applyFont="1" applyFill="1" applyBorder="1" applyAlignment="1">
      <alignment horizontal="center"/>
    </xf>
    <xf numFmtId="2" fontId="24" fillId="35" borderId="22" xfId="47" applyNumberFormat="1" applyFont="1" applyFill="1" applyBorder="1" applyAlignment="1">
      <alignment horizontal="center"/>
    </xf>
    <xf numFmtId="0" fontId="21" fillId="33" borderId="0" xfId="47" applyFont="1" applyFill="1" applyAlignment="1">
      <alignment horizontal="left" vertical="center"/>
    </xf>
    <xf numFmtId="2" fontId="21" fillId="33" borderId="17" xfId="47" applyNumberFormat="1" applyFont="1" applyFill="1" applyBorder="1" applyAlignment="1">
      <alignment horizontal="center"/>
    </xf>
    <xf numFmtId="0" fontId="24" fillId="35" borderId="26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2" fontId="24" fillId="35" borderId="14" xfId="47" applyNumberFormat="1" applyFont="1" applyFill="1" applyBorder="1" applyAlignment="1">
      <alignment horizontal="center" vertical="center"/>
    </xf>
    <xf numFmtId="0" fontId="24" fillId="35" borderId="14" xfId="47" applyFont="1" applyFill="1" applyBorder="1" applyAlignment="1">
      <alignment horizontal="left" vertical="center"/>
    </xf>
    <xf numFmtId="0" fontId="24" fillId="33" borderId="10" xfId="47" applyFont="1" applyFill="1" applyBorder="1" applyAlignment="1">
      <alignment horizontal="center" vertical="center" wrapText="1"/>
    </xf>
    <xf numFmtId="167" fontId="24" fillId="35" borderId="27" xfId="47" applyNumberFormat="1" applyFont="1" applyFill="1" applyBorder="1" applyAlignment="1">
      <alignment horizontal="center" vertical="center"/>
    </xf>
    <xf numFmtId="167" fontId="24" fillId="35" borderId="0" xfId="47" applyNumberFormat="1" applyFont="1" applyFill="1" applyBorder="1" applyAlignment="1">
      <alignment horizontal="center" vertical="center"/>
    </xf>
    <xf numFmtId="167" fontId="24" fillId="35" borderId="13" xfId="47" applyNumberFormat="1" applyFont="1" applyFill="1" applyBorder="1" applyAlignment="1">
      <alignment horizontal="center" vertical="center"/>
    </xf>
    <xf numFmtId="167" fontId="24" fillId="35" borderId="14" xfId="47" applyNumberFormat="1" applyFont="1" applyFill="1" applyBorder="1" applyAlignment="1">
      <alignment horizontal="center" vertical="center"/>
    </xf>
    <xf numFmtId="0" fontId="24" fillId="33" borderId="0" xfId="47" applyFont="1" applyFill="1" applyBorder="1" applyAlignment="1">
      <alignment horizontal="center" vertical="center" wrapText="1"/>
    </xf>
    <xf numFmtId="0" fontId="24" fillId="33" borderId="0" xfId="47" applyFont="1" applyFill="1" applyAlignment="1">
      <alignment horizontal="center" vertical="center" wrapText="1"/>
    </xf>
    <xf numFmtId="0" fontId="24" fillId="33" borderId="12" xfId="47" applyFont="1" applyFill="1" applyBorder="1" applyAlignment="1">
      <alignment horizontal="center" vertical="center" wrapText="1"/>
    </xf>
    <xf numFmtId="2" fontId="21" fillId="33" borderId="10" xfId="47" applyNumberFormat="1" applyFont="1" applyFill="1" applyBorder="1" applyAlignment="1">
      <alignment horizontal="center"/>
    </xf>
  </cellXfs>
  <cellStyles count="216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de comprobación 2" xfId="52" xr:uid="{00000000-0005-0000-0000-000015000000}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2" xfId="111" xr:uid="{00000000-0005-0000-0000-000021000000}"/>
    <cellStyle name="Millares 2 2" xfId="115" xr:uid="{00000000-0005-0000-0000-000022000000}"/>
    <cellStyle name="Millares 2 2 2" xfId="124" xr:uid="{00000000-0005-0000-0000-000023000000}"/>
    <cellStyle name="Millares 2 2 2 2" xfId="154" xr:uid="{00000000-0005-0000-0000-000024000000}"/>
    <cellStyle name="Millares 2 2 2 3" xfId="194" xr:uid="{00000000-0005-0000-0000-000025000000}"/>
    <cellStyle name="Millares 2 2 3" xfId="134" xr:uid="{00000000-0005-0000-0000-000026000000}"/>
    <cellStyle name="Millares 2 2 3 2" xfId="164" xr:uid="{00000000-0005-0000-0000-000027000000}"/>
    <cellStyle name="Millares 2 2 3 3" xfId="204" xr:uid="{00000000-0005-0000-0000-000028000000}"/>
    <cellStyle name="Millares 2 2 4" xfId="140" xr:uid="{00000000-0005-0000-0000-000029000000}"/>
    <cellStyle name="Millares 2 2 4 2" xfId="170" xr:uid="{00000000-0005-0000-0000-00002A000000}"/>
    <cellStyle name="Millares 2 2 4 3" xfId="210" xr:uid="{00000000-0005-0000-0000-00002B000000}"/>
    <cellStyle name="Millares 2 2 5" xfId="146" xr:uid="{00000000-0005-0000-0000-00002C000000}"/>
    <cellStyle name="Millares 2 2 5 2" xfId="186" xr:uid="{00000000-0005-0000-0000-00002D000000}"/>
    <cellStyle name="Millares 2 2 6" xfId="180" xr:uid="{00000000-0005-0000-0000-00002E000000}"/>
    <cellStyle name="Millares 2 3" xfId="120" xr:uid="{00000000-0005-0000-0000-00002F000000}"/>
    <cellStyle name="Millares 2 3 2" xfId="126" xr:uid="{00000000-0005-0000-0000-000030000000}"/>
    <cellStyle name="Millares 2 3 2 2" xfId="156" xr:uid="{00000000-0005-0000-0000-000031000000}"/>
    <cellStyle name="Millares 2 3 2 3" xfId="196" xr:uid="{00000000-0005-0000-0000-000032000000}"/>
    <cellStyle name="Millares 2 3 3" xfId="136" xr:uid="{00000000-0005-0000-0000-000033000000}"/>
    <cellStyle name="Millares 2 3 3 2" xfId="166" xr:uid="{00000000-0005-0000-0000-000034000000}"/>
    <cellStyle name="Millares 2 3 3 3" xfId="206" xr:uid="{00000000-0005-0000-0000-000035000000}"/>
    <cellStyle name="Millares 2 3 4" xfId="144" xr:uid="{00000000-0005-0000-0000-000036000000}"/>
    <cellStyle name="Millares 2 3 4 2" xfId="174" xr:uid="{00000000-0005-0000-0000-000037000000}"/>
    <cellStyle name="Millares 2 3 4 3" xfId="214" xr:uid="{00000000-0005-0000-0000-000038000000}"/>
    <cellStyle name="Millares 2 3 5" xfId="150" xr:uid="{00000000-0005-0000-0000-000039000000}"/>
    <cellStyle name="Millares 2 3 5 2" xfId="188" xr:uid="{00000000-0005-0000-0000-00003A000000}"/>
    <cellStyle name="Millares 2 3 6" xfId="182" xr:uid="{00000000-0005-0000-0000-00003B000000}"/>
    <cellStyle name="Millares 2 4" xfId="117" xr:uid="{00000000-0005-0000-0000-00003C000000}"/>
    <cellStyle name="Millares 2 4 2" xfId="132" xr:uid="{00000000-0005-0000-0000-00003D000000}"/>
    <cellStyle name="Millares 2 4 2 2" xfId="162" xr:uid="{00000000-0005-0000-0000-00003E000000}"/>
    <cellStyle name="Millares 2 4 2 3" xfId="202" xr:uid="{00000000-0005-0000-0000-00003F000000}"/>
    <cellStyle name="Millares 2 4 3" xfId="142" xr:uid="{00000000-0005-0000-0000-000040000000}"/>
    <cellStyle name="Millares 2 4 3 2" xfId="172" xr:uid="{00000000-0005-0000-0000-000041000000}"/>
    <cellStyle name="Millares 2 4 3 3" xfId="212" xr:uid="{00000000-0005-0000-0000-000042000000}"/>
    <cellStyle name="Millares 2 4 4" xfId="148" xr:uid="{00000000-0005-0000-0000-000043000000}"/>
    <cellStyle name="Millares 2 4 4 2" xfId="192" xr:uid="{00000000-0005-0000-0000-000044000000}"/>
    <cellStyle name="Millares 2 4 5" xfId="178" xr:uid="{00000000-0005-0000-0000-000045000000}"/>
    <cellStyle name="Millares 2 5" xfId="122" xr:uid="{00000000-0005-0000-0000-000046000000}"/>
    <cellStyle name="Millares 2 5 2" xfId="152" xr:uid="{00000000-0005-0000-0000-000047000000}"/>
    <cellStyle name="Millares 2 5 3" xfId="190" xr:uid="{00000000-0005-0000-0000-000048000000}"/>
    <cellStyle name="Millares 2 6" xfId="128" xr:uid="{00000000-0005-0000-0000-000049000000}"/>
    <cellStyle name="Millares 2 6 2" xfId="158" xr:uid="{00000000-0005-0000-0000-00004A000000}"/>
    <cellStyle name="Millares 2 6 3" xfId="198" xr:uid="{00000000-0005-0000-0000-00004B000000}"/>
    <cellStyle name="Millares 2 7" xfId="130" xr:uid="{00000000-0005-0000-0000-00004C000000}"/>
    <cellStyle name="Millares 2 7 2" xfId="160" xr:uid="{00000000-0005-0000-0000-00004D000000}"/>
    <cellStyle name="Millares 2 7 3" xfId="200" xr:uid="{00000000-0005-0000-0000-00004E000000}"/>
    <cellStyle name="Millares 2 8" xfId="138" xr:uid="{00000000-0005-0000-0000-00004F000000}"/>
    <cellStyle name="Millares 2 8 2" xfId="168" xr:uid="{00000000-0005-0000-0000-000050000000}"/>
    <cellStyle name="Millares 2 8 3" xfId="208" xr:uid="{00000000-0005-0000-0000-000051000000}"/>
    <cellStyle name="Millares 2 9" xfId="176" xr:uid="{00000000-0005-0000-0000-000052000000}"/>
    <cellStyle name="Millares 2 9 2" xfId="184" xr:uid="{00000000-0005-0000-0000-000053000000}"/>
    <cellStyle name="Moneda 2" xfId="114" xr:uid="{00000000-0005-0000-0000-000054000000}"/>
    <cellStyle name="Moneda 2 2" xfId="116" xr:uid="{00000000-0005-0000-0000-000055000000}"/>
    <cellStyle name="Moneda 2 2 2" xfId="125" xr:uid="{00000000-0005-0000-0000-000056000000}"/>
    <cellStyle name="Moneda 2 2 2 2" xfId="155" xr:uid="{00000000-0005-0000-0000-000057000000}"/>
    <cellStyle name="Moneda 2 2 2 3" xfId="195" xr:uid="{00000000-0005-0000-0000-000058000000}"/>
    <cellStyle name="Moneda 2 2 3" xfId="135" xr:uid="{00000000-0005-0000-0000-000059000000}"/>
    <cellStyle name="Moneda 2 2 3 2" xfId="165" xr:uid="{00000000-0005-0000-0000-00005A000000}"/>
    <cellStyle name="Moneda 2 2 3 3" xfId="205" xr:uid="{00000000-0005-0000-0000-00005B000000}"/>
    <cellStyle name="Moneda 2 2 4" xfId="141" xr:uid="{00000000-0005-0000-0000-00005C000000}"/>
    <cellStyle name="Moneda 2 2 4 2" xfId="171" xr:uid="{00000000-0005-0000-0000-00005D000000}"/>
    <cellStyle name="Moneda 2 2 4 3" xfId="211" xr:uid="{00000000-0005-0000-0000-00005E000000}"/>
    <cellStyle name="Moneda 2 2 5" xfId="147" xr:uid="{00000000-0005-0000-0000-00005F000000}"/>
    <cellStyle name="Moneda 2 2 5 2" xfId="187" xr:uid="{00000000-0005-0000-0000-000060000000}"/>
    <cellStyle name="Moneda 2 2 6" xfId="181" xr:uid="{00000000-0005-0000-0000-000061000000}"/>
    <cellStyle name="Moneda 2 3" xfId="121" xr:uid="{00000000-0005-0000-0000-000062000000}"/>
    <cellStyle name="Moneda 2 3 2" xfId="127" xr:uid="{00000000-0005-0000-0000-000063000000}"/>
    <cellStyle name="Moneda 2 3 2 2" xfId="157" xr:uid="{00000000-0005-0000-0000-000064000000}"/>
    <cellStyle name="Moneda 2 3 2 3" xfId="197" xr:uid="{00000000-0005-0000-0000-000065000000}"/>
    <cellStyle name="Moneda 2 3 3" xfId="137" xr:uid="{00000000-0005-0000-0000-000066000000}"/>
    <cellStyle name="Moneda 2 3 3 2" xfId="167" xr:uid="{00000000-0005-0000-0000-000067000000}"/>
    <cellStyle name="Moneda 2 3 3 3" xfId="207" xr:uid="{00000000-0005-0000-0000-000068000000}"/>
    <cellStyle name="Moneda 2 3 4" xfId="145" xr:uid="{00000000-0005-0000-0000-000069000000}"/>
    <cellStyle name="Moneda 2 3 4 2" xfId="175" xr:uid="{00000000-0005-0000-0000-00006A000000}"/>
    <cellStyle name="Moneda 2 3 4 3" xfId="215" xr:uid="{00000000-0005-0000-0000-00006B000000}"/>
    <cellStyle name="Moneda 2 3 5" xfId="151" xr:uid="{00000000-0005-0000-0000-00006C000000}"/>
    <cellStyle name="Moneda 2 3 5 2" xfId="189" xr:uid="{00000000-0005-0000-0000-00006D000000}"/>
    <cellStyle name="Moneda 2 3 6" xfId="183" xr:uid="{00000000-0005-0000-0000-00006E000000}"/>
    <cellStyle name="Moneda 2 4" xfId="118" xr:uid="{00000000-0005-0000-0000-00006F000000}"/>
    <cellStyle name="Moneda 2 4 2" xfId="133" xr:uid="{00000000-0005-0000-0000-000070000000}"/>
    <cellStyle name="Moneda 2 4 2 2" xfId="163" xr:uid="{00000000-0005-0000-0000-000071000000}"/>
    <cellStyle name="Moneda 2 4 2 3" xfId="203" xr:uid="{00000000-0005-0000-0000-000072000000}"/>
    <cellStyle name="Moneda 2 4 3" xfId="143" xr:uid="{00000000-0005-0000-0000-000073000000}"/>
    <cellStyle name="Moneda 2 4 3 2" xfId="173" xr:uid="{00000000-0005-0000-0000-000074000000}"/>
    <cellStyle name="Moneda 2 4 3 3" xfId="213" xr:uid="{00000000-0005-0000-0000-000075000000}"/>
    <cellStyle name="Moneda 2 4 4" xfId="149" xr:uid="{00000000-0005-0000-0000-000076000000}"/>
    <cellStyle name="Moneda 2 4 4 2" xfId="193" xr:uid="{00000000-0005-0000-0000-000077000000}"/>
    <cellStyle name="Moneda 2 4 5" xfId="179" xr:uid="{00000000-0005-0000-0000-000078000000}"/>
    <cellStyle name="Moneda 2 5" xfId="123" xr:uid="{00000000-0005-0000-0000-000079000000}"/>
    <cellStyle name="Moneda 2 5 2" xfId="153" xr:uid="{00000000-0005-0000-0000-00007A000000}"/>
    <cellStyle name="Moneda 2 5 3" xfId="191" xr:uid="{00000000-0005-0000-0000-00007B000000}"/>
    <cellStyle name="Moneda 2 6" xfId="129" xr:uid="{00000000-0005-0000-0000-00007C000000}"/>
    <cellStyle name="Moneda 2 6 2" xfId="159" xr:uid="{00000000-0005-0000-0000-00007D000000}"/>
    <cellStyle name="Moneda 2 6 3" xfId="199" xr:uid="{00000000-0005-0000-0000-00007E000000}"/>
    <cellStyle name="Moneda 2 7" xfId="131" xr:uid="{00000000-0005-0000-0000-00007F000000}"/>
    <cellStyle name="Moneda 2 7 2" xfId="161" xr:uid="{00000000-0005-0000-0000-000080000000}"/>
    <cellStyle name="Moneda 2 7 3" xfId="201" xr:uid="{00000000-0005-0000-0000-000081000000}"/>
    <cellStyle name="Moneda 2 8" xfId="139" xr:uid="{00000000-0005-0000-0000-000082000000}"/>
    <cellStyle name="Moneda 2 8 2" xfId="169" xr:uid="{00000000-0005-0000-0000-000083000000}"/>
    <cellStyle name="Moneda 2 8 3" xfId="209" xr:uid="{00000000-0005-0000-0000-000084000000}"/>
    <cellStyle name="Moneda 2 9" xfId="177" xr:uid="{00000000-0005-0000-0000-000085000000}"/>
    <cellStyle name="Moneda 2 9 2" xfId="185" xr:uid="{00000000-0005-0000-0000-000086000000}"/>
    <cellStyle name="Neutral" xfId="9" builtinId="28" customBuiltin="1"/>
    <cellStyle name="Normal" xfId="0" builtinId="0"/>
    <cellStyle name="Normal 10 10" xfId="91" xr:uid="{00000000-0005-0000-0000-000089000000}"/>
    <cellStyle name="Normal 10 10 2 2 2" xfId="102" xr:uid="{00000000-0005-0000-0000-00008A000000}"/>
    <cellStyle name="Normal 10 10 2 2 2 2 2 2 2" xfId="105" xr:uid="{00000000-0005-0000-0000-00008B000000}"/>
    <cellStyle name="Normal 10 2" xfId="66" xr:uid="{00000000-0005-0000-0000-00008C000000}"/>
    <cellStyle name="Normal 10 2 2" xfId="79" xr:uid="{00000000-0005-0000-0000-00008D000000}"/>
    <cellStyle name="Normal 10 22" xfId="100" xr:uid="{00000000-0005-0000-0000-00008E000000}"/>
    <cellStyle name="Normal 10 27" xfId="101" xr:uid="{00000000-0005-0000-0000-00008F000000}"/>
    <cellStyle name="Normal 10 3" xfId="69" xr:uid="{00000000-0005-0000-0000-000090000000}"/>
    <cellStyle name="Normal 10 38" xfId="107" xr:uid="{00000000-0005-0000-0000-000091000000}"/>
    <cellStyle name="Normal 10 39" xfId="109" xr:uid="{00000000-0005-0000-0000-000092000000}"/>
    <cellStyle name="Normal 10 41" xfId="104" xr:uid="{00000000-0005-0000-0000-000093000000}"/>
    <cellStyle name="Normal 10 48" xfId="110" xr:uid="{00000000-0005-0000-0000-000094000000}"/>
    <cellStyle name="Normal 10 6" xfId="85" xr:uid="{00000000-0005-0000-0000-000095000000}"/>
    <cellStyle name="Normal 10 9" xfId="89" xr:uid="{00000000-0005-0000-0000-000096000000}"/>
    <cellStyle name="Normal 18" xfId="86" xr:uid="{00000000-0005-0000-0000-000097000000}"/>
    <cellStyle name="Normal 18 3" xfId="87" xr:uid="{00000000-0005-0000-0000-000098000000}"/>
    <cellStyle name="Normal 18 4" xfId="92" xr:uid="{00000000-0005-0000-0000-000099000000}"/>
    <cellStyle name="Normal 2" xfId="44" xr:uid="{00000000-0005-0000-0000-00009A000000}"/>
    <cellStyle name="Normal 2 2" xfId="113" xr:uid="{00000000-0005-0000-0000-00009B000000}"/>
    <cellStyle name="Normal 2 2 2" xfId="48" xr:uid="{00000000-0005-0000-0000-00009C000000}"/>
    <cellStyle name="Normal 3" xfId="45" xr:uid="{00000000-0005-0000-0000-00009D000000}"/>
    <cellStyle name="Normal 3 2" xfId="54" xr:uid="{00000000-0005-0000-0000-00009E000000}"/>
    <cellStyle name="Normal 35" xfId="53" xr:uid="{00000000-0005-0000-0000-00009F000000}"/>
    <cellStyle name="Normal 36" xfId="55" xr:uid="{00000000-0005-0000-0000-0000A0000000}"/>
    <cellStyle name="Normal 37" xfId="56" xr:uid="{00000000-0005-0000-0000-0000A1000000}"/>
    <cellStyle name="Normal 38" xfId="57" xr:uid="{00000000-0005-0000-0000-0000A2000000}"/>
    <cellStyle name="Normal 39" xfId="58" xr:uid="{00000000-0005-0000-0000-0000A3000000}"/>
    <cellStyle name="Normal 4" xfId="43" xr:uid="{00000000-0005-0000-0000-0000A4000000}"/>
    <cellStyle name="Normal 4 2" xfId="49" xr:uid="{00000000-0005-0000-0000-0000A5000000}"/>
    <cellStyle name="Normal 40" xfId="59" xr:uid="{00000000-0005-0000-0000-0000A6000000}"/>
    <cellStyle name="Normal 42" xfId="60" xr:uid="{00000000-0005-0000-0000-0000A7000000}"/>
    <cellStyle name="Normal 43" xfId="61" xr:uid="{00000000-0005-0000-0000-0000A8000000}"/>
    <cellStyle name="Normal 44" xfId="62" xr:uid="{00000000-0005-0000-0000-0000A9000000}"/>
    <cellStyle name="Normal 45" xfId="63" xr:uid="{00000000-0005-0000-0000-0000AA000000}"/>
    <cellStyle name="Normal 46" xfId="64" xr:uid="{00000000-0005-0000-0000-0000AB000000}"/>
    <cellStyle name="Normal 47" xfId="65" xr:uid="{00000000-0005-0000-0000-0000AC000000}"/>
    <cellStyle name="Normal 48" xfId="67" xr:uid="{00000000-0005-0000-0000-0000AD000000}"/>
    <cellStyle name="Normal 49" xfId="68" xr:uid="{00000000-0005-0000-0000-0000AE000000}"/>
    <cellStyle name="Normal 5" xfId="47" xr:uid="{00000000-0005-0000-0000-0000AF000000}"/>
    <cellStyle name="Normal 50" xfId="73" xr:uid="{00000000-0005-0000-0000-0000B0000000}"/>
    <cellStyle name="Normal 51" xfId="70" xr:uid="{00000000-0005-0000-0000-0000B1000000}"/>
    <cellStyle name="Normal 52" xfId="71" xr:uid="{00000000-0005-0000-0000-0000B2000000}"/>
    <cellStyle name="Normal 53" xfId="72" xr:uid="{00000000-0005-0000-0000-0000B3000000}"/>
    <cellStyle name="Normal 54" xfId="74" xr:uid="{00000000-0005-0000-0000-0000B4000000}"/>
    <cellStyle name="Normal 55" xfId="75" xr:uid="{00000000-0005-0000-0000-0000B5000000}"/>
    <cellStyle name="Normal 56" xfId="76" xr:uid="{00000000-0005-0000-0000-0000B6000000}"/>
    <cellStyle name="Normal 57" xfId="77" xr:uid="{00000000-0005-0000-0000-0000B7000000}"/>
    <cellStyle name="Normal 58" xfId="78" xr:uid="{00000000-0005-0000-0000-0000B8000000}"/>
    <cellStyle name="Normal 6" xfId="50" xr:uid="{00000000-0005-0000-0000-0000B9000000}"/>
    <cellStyle name="Normal 60" xfId="81" xr:uid="{00000000-0005-0000-0000-0000BA000000}"/>
    <cellStyle name="Normal 61" xfId="82" xr:uid="{00000000-0005-0000-0000-0000BB000000}"/>
    <cellStyle name="Normal 62" xfId="83" xr:uid="{00000000-0005-0000-0000-0000BC000000}"/>
    <cellStyle name="Normal 62 14" xfId="96" xr:uid="{00000000-0005-0000-0000-0000BD000000}"/>
    <cellStyle name="Normal 62 9" xfId="94" xr:uid="{00000000-0005-0000-0000-0000BE000000}"/>
    <cellStyle name="Normal 63" xfId="84" xr:uid="{00000000-0005-0000-0000-0000BF000000}"/>
    <cellStyle name="Normal 65" xfId="88" xr:uid="{00000000-0005-0000-0000-0000C0000000}"/>
    <cellStyle name="Normal 66" xfId="90" xr:uid="{00000000-0005-0000-0000-0000C1000000}"/>
    <cellStyle name="Normal 67" xfId="93" xr:uid="{00000000-0005-0000-0000-0000C2000000}"/>
    <cellStyle name="Normal 69" xfId="95" xr:uid="{00000000-0005-0000-0000-0000C3000000}"/>
    <cellStyle name="Normal 69 2" xfId="119" xr:uid="{00000000-0005-0000-0000-0000C4000000}"/>
    <cellStyle name="Normal 7" xfId="80" xr:uid="{00000000-0005-0000-0000-0000C5000000}"/>
    <cellStyle name="Normal 70" xfId="97" xr:uid="{00000000-0005-0000-0000-0000C6000000}"/>
    <cellStyle name="Normal 71" xfId="98" xr:uid="{00000000-0005-0000-0000-0000C7000000}"/>
    <cellStyle name="Normal 71 2" xfId="99" xr:uid="{00000000-0005-0000-0000-0000C8000000}"/>
    <cellStyle name="Normal 73" xfId="106" xr:uid="{00000000-0005-0000-0000-0000C9000000}"/>
    <cellStyle name="Normal 74" xfId="108" xr:uid="{00000000-0005-0000-0000-0000CA000000}"/>
    <cellStyle name="Normal 75" xfId="103" xr:uid="{00000000-0005-0000-0000-0000CB000000}"/>
    <cellStyle name="Notas" xfId="16" builtinId="10" customBuiltin="1"/>
    <cellStyle name="Note 2" xfId="46" xr:uid="{00000000-0005-0000-0000-0000CD000000}"/>
    <cellStyle name="Porcentaje" xfId="1" builtinId="5"/>
    <cellStyle name="Porcentaje 2" xfId="112" xr:uid="{00000000-0005-0000-0000-0000CF000000}"/>
    <cellStyle name="Porcentaje 5" xfId="51" xr:uid="{00000000-0005-0000-0000-0000D0000000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1:AL686"/>
  <sheetViews>
    <sheetView tabSelected="1" view="pageBreakPreview" zoomScale="60" zoomScaleNormal="70" workbookViewId="0">
      <selection activeCell="L8" sqref="L8"/>
    </sheetView>
  </sheetViews>
  <sheetFormatPr baseColWidth="10" defaultColWidth="11.42578125" defaultRowHeight="18.75" x14ac:dyDescent="0.3"/>
  <cols>
    <col min="1" max="1" width="2.42578125" style="12" customWidth="1"/>
    <col min="2" max="2" width="32.5703125" style="12" customWidth="1"/>
    <col min="3" max="4" width="10.140625" style="19" customWidth="1"/>
    <col min="5" max="32" width="11.140625" style="19" customWidth="1"/>
    <col min="33" max="37" width="10.7109375" style="19" customWidth="1"/>
    <col min="38" max="38" width="10.7109375" style="12" customWidth="1"/>
    <col min="39" max="16384" width="11.42578125" style="12"/>
  </cols>
  <sheetData>
    <row r="1" spans="2:38" s="4" customFormat="1" x14ac:dyDescent="0.3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2:38" s="4" customFormat="1" x14ac:dyDescent="0.3">
      <c r="B2" s="7" t="s">
        <v>101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s="4" customFormat="1" x14ac:dyDescent="0.3">
      <c r="B3" s="22"/>
      <c r="C3" s="23"/>
      <c r="D3" s="23"/>
      <c r="E3" s="23"/>
      <c r="F3" s="23"/>
      <c r="G3" s="23"/>
      <c r="H3" s="23"/>
      <c r="I3" s="23"/>
      <c r="J3" s="23"/>
      <c r="K3" s="23"/>
      <c r="L3" s="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2:38" s="4" customFormat="1" ht="18.75" customHeight="1" x14ac:dyDescent="0.3">
      <c r="B4" s="22"/>
      <c r="C4" s="251" t="s">
        <v>103</v>
      </c>
      <c r="D4" s="251"/>
      <c r="E4" s="251"/>
      <c r="F4" s="251"/>
      <c r="G4" s="251"/>
      <c r="H4" s="23"/>
      <c r="I4" s="23"/>
      <c r="J4" s="23"/>
      <c r="K4" s="23"/>
      <c r="L4" s="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2:38" s="230" customFormat="1" ht="18.75" customHeight="1" x14ac:dyDescent="0.3">
      <c r="F5" s="257"/>
      <c r="G5" s="257"/>
      <c r="H5" s="23"/>
      <c r="I5" s="23"/>
      <c r="J5" s="23"/>
      <c r="K5" s="23"/>
      <c r="L5" s="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2:38" s="230" customFormat="1" ht="18.75" customHeight="1" x14ac:dyDescent="0.3">
      <c r="B6" s="22"/>
      <c r="C6" s="258" t="s">
        <v>104</v>
      </c>
      <c r="D6" s="258"/>
      <c r="E6" s="258"/>
      <c r="F6" s="257"/>
      <c r="G6" s="257"/>
      <c r="H6" s="23"/>
      <c r="I6" s="23"/>
      <c r="J6" s="23"/>
      <c r="K6" s="23"/>
      <c r="L6" s="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2:38" s="230" customFormat="1" ht="18.75" customHeight="1" x14ac:dyDescent="0.3">
      <c r="B7" s="24" t="s">
        <v>1</v>
      </c>
      <c r="C7" s="240">
        <f>SUM(C12,F12,I12,L12,O12,R12,U12,X12,AA12,AD12,AG12,AJ12)</f>
        <v>53.154253166666678</v>
      </c>
      <c r="D7" s="240"/>
      <c r="E7" s="26">
        <f>IF($C$9=0,"-",+C7/$C$9)</f>
        <v>0.55027115059635701</v>
      </c>
      <c r="F7" s="257"/>
      <c r="G7" s="257"/>
      <c r="H7" s="23"/>
      <c r="I7" s="23"/>
      <c r="J7" s="23"/>
      <c r="K7" s="23"/>
      <c r="L7" s="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2:38" s="230" customFormat="1" ht="18.75" customHeight="1" x14ac:dyDescent="0.3">
      <c r="B8" s="24" t="s">
        <v>0</v>
      </c>
      <c r="C8" s="259">
        <f>SUM(C13,F13,I13,L13,O13,R13,U13,X13,AA13,AD13,AG13,AJ13)</f>
        <v>43.442221333333357</v>
      </c>
      <c r="D8" s="259"/>
      <c r="E8" s="29">
        <f>IF($C$9=0,"-",+C8/$C$9)</f>
        <v>0.44972884940364305</v>
      </c>
      <c r="F8" s="257"/>
      <c r="G8" s="257"/>
      <c r="H8" s="23"/>
      <c r="I8" s="23"/>
      <c r="J8" s="23"/>
      <c r="K8" s="23"/>
      <c r="L8" s="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2:38" s="230" customFormat="1" ht="18.75" customHeight="1" x14ac:dyDescent="0.3">
      <c r="B9" s="32" t="s">
        <v>2</v>
      </c>
      <c r="C9" s="242">
        <f t="shared" ref="C9" si="0">SUM(C7:C8)</f>
        <v>96.596474500000028</v>
      </c>
      <c r="D9" s="242"/>
      <c r="E9" s="33">
        <f>SUM(E7:E8)</f>
        <v>1</v>
      </c>
      <c r="F9" s="257"/>
      <c r="G9" s="257"/>
      <c r="H9" s="23"/>
      <c r="I9" s="23"/>
      <c r="J9" s="23"/>
      <c r="K9" s="23"/>
      <c r="L9" s="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2:38" s="230" customFormat="1" ht="18.75" customHeight="1" x14ac:dyDescent="0.3">
      <c r="B10" s="22"/>
      <c r="C10" s="256"/>
      <c r="D10" s="256"/>
      <c r="E10" s="256"/>
      <c r="F10" s="256"/>
      <c r="G10" s="256"/>
      <c r="H10" s="23"/>
      <c r="I10" s="23"/>
      <c r="J10" s="23"/>
      <c r="K10" s="23"/>
      <c r="L10" s="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2:38" s="4" customFormat="1" x14ac:dyDescent="0.3">
      <c r="C11" s="239">
        <v>44562</v>
      </c>
      <c r="D11" s="239"/>
      <c r="E11" s="239"/>
      <c r="F11" s="239">
        <v>44593</v>
      </c>
      <c r="G11" s="239"/>
      <c r="H11" s="239"/>
      <c r="I11" s="239">
        <v>44621</v>
      </c>
      <c r="J11" s="239"/>
      <c r="K11" s="239"/>
      <c r="L11" s="239">
        <v>44652</v>
      </c>
      <c r="M11" s="239"/>
      <c r="N11" s="239"/>
      <c r="O11" s="239">
        <v>44682</v>
      </c>
      <c r="P11" s="239"/>
      <c r="Q11" s="239"/>
      <c r="R11" s="239">
        <v>44713</v>
      </c>
      <c r="S11" s="239"/>
      <c r="T11" s="239"/>
      <c r="U11" s="239">
        <v>44743</v>
      </c>
      <c r="V11" s="239"/>
      <c r="W11" s="239"/>
      <c r="X11" s="239">
        <v>44774</v>
      </c>
      <c r="Y11" s="239"/>
      <c r="Z11" s="239"/>
      <c r="AA11" s="239">
        <v>44805</v>
      </c>
      <c r="AB11" s="239"/>
      <c r="AC11" s="239"/>
      <c r="AD11" s="239">
        <v>44835</v>
      </c>
      <c r="AE11" s="239"/>
      <c r="AF11" s="239"/>
      <c r="AG11" s="239">
        <v>44866</v>
      </c>
      <c r="AH11" s="239"/>
      <c r="AI11" s="239"/>
      <c r="AJ11" s="239">
        <v>44896</v>
      </c>
      <c r="AK11" s="239"/>
      <c r="AL11" s="239"/>
    </row>
    <row r="12" spans="2:38" s="4" customFormat="1" x14ac:dyDescent="0.3">
      <c r="B12" s="25" t="s">
        <v>1</v>
      </c>
      <c r="C12" s="240">
        <f>'Acumulado-Anual-Eólico'!AJ10/1000</f>
        <v>53.154253166666678</v>
      </c>
      <c r="D12" s="240"/>
      <c r="E12" s="26">
        <f>IF($C$14=0,"-",+C12/$C$14)</f>
        <v>0.55027115059635701</v>
      </c>
      <c r="F12" s="246">
        <f>SUM(F133:U133)/1000</f>
        <v>0</v>
      </c>
      <c r="G12" s="246"/>
      <c r="H12" s="27">
        <f>IF($C$14=0,"-",+F12/$C$14)</f>
        <v>0</v>
      </c>
      <c r="I12" s="246">
        <f>SUM(I133:X133)/1000</f>
        <v>0</v>
      </c>
      <c r="J12" s="246"/>
      <c r="K12" s="27">
        <f>IF($C$14=0,"-",+I12/$C$14)</f>
        <v>0</v>
      </c>
      <c r="L12" s="246">
        <f>SUM(L133:AA133)/1000</f>
        <v>0</v>
      </c>
      <c r="M12" s="246"/>
      <c r="N12" s="27">
        <f>IF($C$14=0,"-",+L12/$C$14)</f>
        <v>0</v>
      </c>
      <c r="O12" s="246">
        <f>SUM(O133:AD133)/1000</f>
        <v>0</v>
      </c>
      <c r="P12" s="246"/>
      <c r="Q12" s="27">
        <f>IF($C$14=0,"-",+O12/$C$14)</f>
        <v>0</v>
      </c>
      <c r="R12" s="246">
        <f>SUM(R133:AG133)/1000</f>
        <v>0</v>
      </c>
      <c r="S12" s="246"/>
      <c r="T12" s="27">
        <f>IF($C$14=0,"-",+R12/$C$14)</f>
        <v>0</v>
      </c>
      <c r="U12" s="246">
        <f>SUM(U133:AJ133)/1000</f>
        <v>0</v>
      </c>
      <c r="V12" s="246"/>
      <c r="W12" s="27">
        <f>IF($C$14=0,"-",+U12/$C$14)</f>
        <v>0</v>
      </c>
      <c r="X12" s="246">
        <f>SUM(X133:AM133)/1000</f>
        <v>0</v>
      </c>
      <c r="Y12" s="246"/>
      <c r="Z12" s="27">
        <f>IF($C$14=0,"-",+X12/$C$14)</f>
        <v>0</v>
      </c>
      <c r="AA12" s="246">
        <f>SUM(AA133:AP133)/1000</f>
        <v>0</v>
      </c>
      <c r="AB12" s="246"/>
      <c r="AC12" s="27">
        <f>IF($C$14=0,"-",+AA12/$C$14)</f>
        <v>0</v>
      </c>
      <c r="AD12" s="246">
        <f>SUM(AD133:AS133)/1000</f>
        <v>0</v>
      </c>
      <c r="AE12" s="246"/>
      <c r="AF12" s="27">
        <f>IF($C$14=0,"-",+AD12/$C$14)</f>
        <v>0</v>
      </c>
      <c r="AG12" s="246">
        <f>SUM(AG133:AV133)/1000</f>
        <v>0</v>
      </c>
      <c r="AH12" s="246"/>
      <c r="AI12" s="27">
        <f>IF($C$14=0,"-",+AG12/$C$14)</f>
        <v>0</v>
      </c>
      <c r="AJ12" s="246">
        <f>SUM(AJ133:AY133)/1000</f>
        <v>0</v>
      </c>
      <c r="AK12" s="246"/>
      <c r="AL12" s="28">
        <f>IF($C$14=0,"-",+AJ12/$C$14)</f>
        <v>0</v>
      </c>
    </row>
    <row r="13" spans="2:38" s="4" customFormat="1" x14ac:dyDescent="0.3">
      <c r="B13" s="25" t="s">
        <v>0</v>
      </c>
      <c r="C13" s="241">
        <f>'Acumulado-Anual-Solar'!AJ10/1000</f>
        <v>43.442221333333357</v>
      </c>
      <c r="D13" s="241"/>
      <c r="E13" s="29">
        <f>IF($C$14=0,"-",+C13/$C$14)</f>
        <v>0.44972884940364305</v>
      </c>
      <c r="F13" s="243">
        <f>SUM(W133:AU133)/1000</f>
        <v>0</v>
      </c>
      <c r="G13" s="243"/>
      <c r="H13" s="30">
        <f>IF($C$14=0,"-",+F13/$C$14)</f>
        <v>0</v>
      </c>
      <c r="I13" s="243">
        <f>SUM(Z133:AX133)/1000</f>
        <v>0</v>
      </c>
      <c r="J13" s="243"/>
      <c r="K13" s="30">
        <f>IF($C$14=0,"-",+I13/$C$14)</f>
        <v>0</v>
      </c>
      <c r="L13" s="243">
        <f>SUM(AC133:BA133)/1000</f>
        <v>0</v>
      </c>
      <c r="M13" s="243"/>
      <c r="N13" s="30">
        <f>IF($C$14=0,"-",+L13/$C$14)</f>
        <v>0</v>
      </c>
      <c r="O13" s="243">
        <f>SUM(AF133:BD133)/1000</f>
        <v>0</v>
      </c>
      <c r="P13" s="243"/>
      <c r="Q13" s="30">
        <f>IF($C$14=0,"-",+O13/$C$14)</f>
        <v>0</v>
      </c>
      <c r="R13" s="243">
        <f>SUM(AI133:BG133)/1000</f>
        <v>0</v>
      </c>
      <c r="S13" s="243"/>
      <c r="T13" s="30">
        <f>IF($C$14=0,"-",+R13/$C$14)</f>
        <v>0</v>
      </c>
      <c r="U13" s="243">
        <f>SUM(AL133:BJ133)/1000</f>
        <v>0</v>
      </c>
      <c r="V13" s="243"/>
      <c r="W13" s="30">
        <f>IF($C$14=0,"-",+U13/$C$14)</f>
        <v>0</v>
      </c>
      <c r="X13" s="243">
        <f>SUM(AO133:BM133)/1000</f>
        <v>0</v>
      </c>
      <c r="Y13" s="243"/>
      <c r="Z13" s="30">
        <f>IF($C$14=0,"-",+X13/$C$14)</f>
        <v>0</v>
      </c>
      <c r="AA13" s="243">
        <f>SUM(AR133:BP133)/1000</f>
        <v>0</v>
      </c>
      <c r="AB13" s="243"/>
      <c r="AC13" s="30">
        <f>IF($C$14=0,"-",+AA13/$C$14)</f>
        <v>0</v>
      </c>
      <c r="AD13" s="243">
        <f>SUM(AU133:BS133)/1000</f>
        <v>0</v>
      </c>
      <c r="AE13" s="243"/>
      <c r="AF13" s="30">
        <f>IF($C$14=0,"-",+AD13/$C$14)</f>
        <v>0</v>
      </c>
      <c r="AG13" s="243">
        <f>SUM(AX133:BV133)/1000</f>
        <v>0</v>
      </c>
      <c r="AH13" s="243"/>
      <c r="AI13" s="30">
        <f>IF($C$14=0,"-",+AG13/$C$14)</f>
        <v>0</v>
      </c>
      <c r="AJ13" s="243">
        <f>SUM(BA133:BY133)/1000</f>
        <v>0</v>
      </c>
      <c r="AK13" s="243"/>
      <c r="AL13" s="31">
        <f>IF($C$14=0,"-",+AJ13/$C$14)</f>
        <v>0</v>
      </c>
    </row>
    <row r="14" spans="2:38" s="4" customFormat="1" x14ac:dyDescent="0.3">
      <c r="B14" s="32" t="s">
        <v>2</v>
      </c>
      <c r="C14" s="242">
        <f t="shared" ref="C14" si="1">SUM(C12:C13)</f>
        <v>96.596474500000028</v>
      </c>
      <c r="D14" s="242"/>
      <c r="E14" s="33">
        <f>SUM(E12:E13)</f>
        <v>1</v>
      </c>
      <c r="F14" s="244">
        <f t="shared" ref="F14" si="2">SUM(F12:F13)</f>
        <v>0</v>
      </c>
      <c r="G14" s="244"/>
      <c r="H14" s="34">
        <f>SUM(H12:H13)</f>
        <v>0</v>
      </c>
      <c r="I14" s="244">
        <f t="shared" ref="I14" si="3">SUM(I12:I13)</f>
        <v>0</v>
      </c>
      <c r="J14" s="244"/>
      <c r="K14" s="34">
        <f>SUM(K12:K13)</f>
        <v>0</v>
      </c>
      <c r="L14" s="244">
        <f t="shared" ref="L14" si="4">SUM(L12:L13)</f>
        <v>0</v>
      </c>
      <c r="M14" s="244"/>
      <c r="N14" s="34">
        <f>SUM(N12:N13)</f>
        <v>0</v>
      </c>
      <c r="O14" s="244">
        <f t="shared" ref="O14" si="5">SUM(O12:O13)</f>
        <v>0</v>
      </c>
      <c r="P14" s="244"/>
      <c r="Q14" s="34">
        <f>SUM(Q12:Q13)</f>
        <v>0</v>
      </c>
      <c r="R14" s="244">
        <f t="shared" ref="R14" si="6">SUM(R12:R13)</f>
        <v>0</v>
      </c>
      <c r="S14" s="244"/>
      <c r="T14" s="34">
        <f>SUM(T12:T13)</f>
        <v>0</v>
      </c>
      <c r="U14" s="244">
        <f t="shared" ref="U14" si="7">SUM(U12:U13)</f>
        <v>0</v>
      </c>
      <c r="V14" s="244"/>
      <c r="W14" s="34">
        <f>SUM(W12:W13)</f>
        <v>0</v>
      </c>
      <c r="X14" s="244">
        <f t="shared" ref="X14" si="8">SUM(X12:X13)</f>
        <v>0</v>
      </c>
      <c r="Y14" s="244"/>
      <c r="Z14" s="34">
        <f>SUM(Z12:Z13)</f>
        <v>0</v>
      </c>
      <c r="AA14" s="244">
        <f t="shared" ref="AA14" si="9">SUM(AA12:AA13)</f>
        <v>0</v>
      </c>
      <c r="AB14" s="244"/>
      <c r="AC14" s="34">
        <f>SUM(AC12:AC13)</f>
        <v>0</v>
      </c>
      <c r="AD14" s="244">
        <f t="shared" ref="AD14" si="10">SUM(AD12:AD13)</f>
        <v>0</v>
      </c>
      <c r="AE14" s="244"/>
      <c r="AF14" s="34">
        <f>SUM(AF12:AF13)</f>
        <v>0</v>
      </c>
      <c r="AG14" s="244">
        <f t="shared" ref="AG14" si="11">SUM(AG12:AG13)</f>
        <v>0</v>
      </c>
      <c r="AH14" s="244"/>
      <c r="AI14" s="34">
        <f>SUM(AI12:AI13)</f>
        <v>0</v>
      </c>
      <c r="AJ14" s="244">
        <f t="shared" ref="AJ14" si="12">SUM(AJ12:AJ13)</f>
        <v>0</v>
      </c>
      <c r="AK14" s="244"/>
      <c r="AL14" s="35">
        <f>SUM(AL12:AL13)</f>
        <v>0</v>
      </c>
    </row>
    <row r="15" spans="2:38" s="4" customFormat="1" x14ac:dyDescent="0.3">
      <c r="B15" s="22"/>
      <c r="C15" s="23"/>
      <c r="D15" s="23"/>
      <c r="E15" s="23"/>
      <c r="F15" s="23"/>
      <c r="G15" s="23"/>
      <c r="H15" s="23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</row>
    <row r="16" spans="2:38" s="4" customFormat="1" x14ac:dyDescent="0.3">
      <c r="B16" s="22"/>
      <c r="C16" s="23"/>
      <c r="D16" s="23"/>
      <c r="E16" s="23"/>
      <c r="F16" s="23"/>
      <c r="G16" s="23"/>
      <c r="H16" s="23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</row>
    <row r="17" spans="2:38" s="4" customFormat="1" x14ac:dyDescent="0.3">
      <c r="B17" s="7" t="s">
        <v>86</v>
      </c>
      <c r="C17" s="2"/>
      <c r="D17" s="2"/>
      <c r="E17" s="2"/>
      <c r="F17" s="2"/>
      <c r="G17" s="2"/>
      <c r="H17" s="2"/>
      <c r="I17" s="2"/>
      <c r="J17" s="2"/>
      <c r="K17" s="2"/>
      <c r="L17" s="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2:38" s="4" customFormat="1" x14ac:dyDescent="0.3">
      <c r="B18" s="22"/>
      <c r="C18" s="23"/>
      <c r="D18" s="23"/>
      <c r="E18" s="23"/>
      <c r="F18" s="23"/>
      <c r="G18" s="23"/>
      <c r="H18" s="23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</row>
    <row r="19" spans="2:38" s="4" customFormat="1" x14ac:dyDescent="0.3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2:38" s="38" customFormat="1" x14ac:dyDescent="0.3">
      <c r="B20" s="5" t="s">
        <v>100</v>
      </c>
      <c r="C20" s="2"/>
      <c r="D20" s="2"/>
      <c r="E20" s="2"/>
      <c r="F20" s="2"/>
      <c r="G20" s="2"/>
      <c r="H20" s="2"/>
      <c r="I20" s="2"/>
      <c r="J20" s="2"/>
      <c r="K20" s="2"/>
      <c r="L20" s="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37"/>
      <c r="AC20" s="37"/>
      <c r="AD20" s="37"/>
      <c r="AE20" s="37"/>
      <c r="AF20" s="37"/>
      <c r="AG20" s="37"/>
      <c r="AH20" s="37"/>
      <c r="AI20" s="37"/>
      <c r="AJ20" s="1"/>
      <c r="AK20" s="37"/>
      <c r="AL20" s="1"/>
    </row>
    <row r="21" spans="2:38" s="4" customFormat="1" x14ac:dyDescent="0.3">
      <c r="AH21" s="3"/>
      <c r="AI21" s="3"/>
      <c r="AJ21" s="3"/>
      <c r="AK21" s="3"/>
    </row>
    <row r="22" spans="2:38" s="4" customFormat="1" x14ac:dyDescent="0.3">
      <c r="B22" s="39" t="s">
        <v>3</v>
      </c>
      <c r="E22" s="40">
        <v>44562</v>
      </c>
      <c r="F22" s="40">
        <f>E22+1</f>
        <v>44563</v>
      </c>
      <c r="G22" s="40">
        <f t="shared" ref="G22:AI22" si="13">F22+1</f>
        <v>44564</v>
      </c>
      <c r="H22" s="40">
        <f t="shared" si="13"/>
        <v>44565</v>
      </c>
      <c r="I22" s="40">
        <f t="shared" si="13"/>
        <v>44566</v>
      </c>
      <c r="J22" s="40">
        <f t="shared" si="13"/>
        <v>44567</v>
      </c>
      <c r="K22" s="40">
        <f t="shared" si="13"/>
        <v>44568</v>
      </c>
      <c r="L22" s="40">
        <f t="shared" si="13"/>
        <v>44569</v>
      </c>
      <c r="M22" s="40">
        <f t="shared" si="13"/>
        <v>44570</v>
      </c>
      <c r="N22" s="40">
        <f t="shared" si="13"/>
        <v>44571</v>
      </c>
      <c r="O22" s="40">
        <f t="shared" si="13"/>
        <v>44572</v>
      </c>
      <c r="P22" s="40">
        <f t="shared" si="13"/>
        <v>44573</v>
      </c>
      <c r="Q22" s="40">
        <f t="shared" si="13"/>
        <v>44574</v>
      </c>
      <c r="R22" s="40">
        <f t="shared" si="13"/>
        <v>44575</v>
      </c>
      <c r="S22" s="40">
        <f t="shared" si="13"/>
        <v>44576</v>
      </c>
      <c r="T22" s="40">
        <f t="shared" si="13"/>
        <v>44577</v>
      </c>
      <c r="U22" s="40">
        <f t="shared" si="13"/>
        <v>44578</v>
      </c>
      <c r="V22" s="40">
        <f t="shared" si="13"/>
        <v>44579</v>
      </c>
      <c r="W22" s="40">
        <f t="shared" si="13"/>
        <v>44580</v>
      </c>
      <c r="X22" s="40">
        <f t="shared" si="13"/>
        <v>44581</v>
      </c>
      <c r="Y22" s="40">
        <f t="shared" si="13"/>
        <v>44582</v>
      </c>
      <c r="Z22" s="40">
        <f t="shared" si="13"/>
        <v>44583</v>
      </c>
      <c r="AA22" s="40">
        <f t="shared" si="13"/>
        <v>44584</v>
      </c>
      <c r="AB22" s="40">
        <f t="shared" si="13"/>
        <v>44585</v>
      </c>
      <c r="AC22" s="40">
        <f t="shared" si="13"/>
        <v>44586</v>
      </c>
      <c r="AD22" s="40">
        <f t="shared" si="13"/>
        <v>44587</v>
      </c>
      <c r="AE22" s="40">
        <f t="shared" si="13"/>
        <v>44588</v>
      </c>
      <c r="AF22" s="40">
        <f t="shared" si="13"/>
        <v>44589</v>
      </c>
      <c r="AG22" s="40">
        <f t="shared" si="13"/>
        <v>44590</v>
      </c>
      <c r="AH22" s="40">
        <f t="shared" si="13"/>
        <v>44591</v>
      </c>
      <c r="AI22" s="40">
        <f t="shared" si="13"/>
        <v>44592</v>
      </c>
      <c r="AJ22" s="247" t="s">
        <v>2</v>
      </c>
      <c r="AK22" s="248"/>
      <c r="AL22" s="248"/>
    </row>
    <row r="23" spans="2:38" s="4" customFormat="1" x14ac:dyDescent="0.3">
      <c r="B23" s="14" t="s">
        <v>2</v>
      </c>
      <c r="C23" s="14"/>
      <c r="D23" s="14"/>
      <c r="E23" s="235">
        <f>SUM(E24:E60)</f>
        <v>5534.6364999999996</v>
      </c>
      <c r="F23" s="235">
        <f t="shared" ref="F23:AH23" si="14">SUM(F24:F60)</f>
        <v>5449.3831666666665</v>
      </c>
      <c r="G23" s="235">
        <f>SUM(G24:G60)</f>
        <v>582.06316666666669</v>
      </c>
      <c r="H23" s="235">
        <f t="shared" si="14"/>
        <v>2478.4271666666668</v>
      </c>
      <c r="I23" s="235">
        <f t="shared" si="14"/>
        <v>2233.1848333333328</v>
      </c>
      <c r="J23" s="235">
        <f t="shared" si="14"/>
        <v>2271.0746666666664</v>
      </c>
      <c r="K23" s="235">
        <f t="shared" si="14"/>
        <v>457.47550000000001</v>
      </c>
      <c r="L23" s="235">
        <f t="shared" si="14"/>
        <v>99.09366666666665</v>
      </c>
      <c r="M23" s="235">
        <f t="shared" si="14"/>
        <v>322.6545000000001</v>
      </c>
      <c r="N23" s="235">
        <f t="shared" si="14"/>
        <v>20.169999999999995</v>
      </c>
      <c r="O23" s="235">
        <f t="shared" si="14"/>
        <v>924.58766666666656</v>
      </c>
      <c r="P23" s="235">
        <f t="shared" si="14"/>
        <v>1190.5189999999996</v>
      </c>
      <c r="Q23" s="235">
        <f t="shared" si="14"/>
        <v>2481.0716666666672</v>
      </c>
      <c r="R23" s="235">
        <f t="shared" si="14"/>
        <v>109.94199999999998</v>
      </c>
      <c r="S23" s="235">
        <f t="shared" si="14"/>
        <v>1928.5578333333333</v>
      </c>
      <c r="T23" s="235">
        <f t="shared" si="14"/>
        <v>3638.9326666666675</v>
      </c>
      <c r="U23" s="235">
        <f t="shared" si="14"/>
        <v>2482.8071666666665</v>
      </c>
      <c r="V23" s="235">
        <f t="shared" si="14"/>
        <v>601.26166666666666</v>
      </c>
      <c r="W23" s="235">
        <f t="shared" si="14"/>
        <v>2031.5505000000003</v>
      </c>
      <c r="X23" s="235">
        <f t="shared" si="14"/>
        <v>3166.2361666666675</v>
      </c>
      <c r="Y23" s="235">
        <f t="shared" si="14"/>
        <v>1839.3050000000003</v>
      </c>
      <c r="Z23" s="235">
        <f t="shared" si="14"/>
        <v>1018.9251666666668</v>
      </c>
      <c r="AA23" s="235">
        <f t="shared" si="14"/>
        <v>2008.2165000000002</v>
      </c>
      <c r="AB23" s="235">
        <f t="shared" si="14"/>
        <v>86.878666666666675</v>
      </c>
      <c r="AC23" s="235">
        <f t="shared" si="14"/>
        <v>104.15683333333332</v>
      </c>
      <c r="AD23" s="235">
        <f t="shared" si="14"/>
        <v>817.68333333333374</v>
      </c>
      <c r="AE23" s="235">
        <f t="shared" si="14"/>
        <v>1087.441166666667</v>
      </c>
      <c r="AF23" s="235">
        <f t="shared" si="14"/>
        <v>1706.0151666666659</v>
      </c>
      <c r="AG23" s="235">
        <f t="shared" si="14"/>
        <v>2952.0450000000001</v>
      </c>
      <c r="AH23" s="235">
        <f t="shared" si="14"/>
        <v>3457.3521666666661</v>
      </c>
      <c r="AI23" s="236">
        <f>SUM(AI24:AI60)</f>
        <v>72.604666666666674</v>
      </c>
      <c r="AJ23" s="249">
        <f>SUM(AJ24:AK60)</f>
        <v>53154.253166666676</v>
      </c>
      <c r="AK23" s="249"/>
      <c r="AL23" s="249"/>
    </row>
    <row r="24" spans="2:38" s="4" customFormat="1" x14ac:dyDescent="0.3">
      <c r="B24" s="245" t="s">
        <v>4</v>
      </c>
      <c r="C24" s="245"/>
      <c r="D24" s="245"/>
      <c r="E24" s="52">
        <f>'Resumen-DiarioHorario-Eólico'!AC8</f>
        <v>40.035666666666671</v>
      </c>
      <c r="F24" s="51">
        <f>'Resumen-DiarioHorario-Eólico'!AC51</f>
        <v>238.97183333333334</v>
      </c>
      <c r="G24" s="52">
        <f>'Resumen-DiarioHorario-Eólico'!AC94</f>
        <v>44.079500000000003</v>
      </c>
      <c r="H24" s="51">
        <f>'Resumen-DiarioHorario-Eólico'!AC137</f>
        <v>18.868333333333339</v>
      </c>
      <c r="I24" s="52">
        <f>'Resumen-DiarioHorario-Eólico'!AC180</f>
        <v>92.931333333333342</v>
      </c>
      <c r="J24" s="51">
        <f>'Resumen-DiarioHorario-Eólico'!AC223</f>
        <v>56.291833333333344</v>
      </c>
      <c r="K24" s="52">
        <f>'Resumen-DiarioHorario-Eólico'!AC266</f>
        <v>1.7064999999999986</v>
      </c>
      <c r="L24" s="51">
        <f>'Resumen-DiarioHorario-Eólico'!AC309</f>
        <v>0</v>
      </c>
      <c r="M24" s="52">
        <f>'Resumen-DiarioHorario-Eólico'!AC352</f>
        <v>0.41183333333333322</v>
      </c>
      <c r="N24" s="51">
        <f>'Resumen-DiarioHorario-Eólico'!AC395</f>
        <v>0</v>
      </c>
      <c r="O24" s="52">
        <f>'Resumen-DiarioHorario-Eólico'!AC438</f>
        <v>199.43500000000006</v>
      </c>
      <c r="P24" s="51">
        <f>'Resumen-DiarioHorario-Eólico'!AC481</f>
        <v>0</v>
      </c>
      <c r="Q24" s="52">
        <f>'Resumen-DiarioHorario-Eólico'!AC524</f>
        <v>0</v>
      </c>
      <c r="R24" s="51">
        <f>'Resumen-DiarioHorario-Eólico'!AC567</f>
        <v>0</v>
      </c>
      <c r="S24" s="52">
        <f>'Resumen-DiarioHorario-Eólico'!AC610</f>
        <v>0</v>
      </c>
      <c r="T24" s="51">
        <f>'Resumen-DiarioHorario-Eólico'!AC653</f>
        <v>98.387333333333288</v>
      </c>
      <c r="U24" s="52">
        <f>'Resumen-DiarioHorario-Eólico'!AC696</f>
        <v>7.2339999999999991</v>
      </c>
      <c r="V24" s="51">
        <f>'Resumen-DiarioHorario-Eólico'!AC739</f>
        <v>10.311500000000004</v>
      </c>
      <c r="W24" s="52">
        <f>'Resumen-DiarioHorario-Eólico'!AC782</f>
        <v>30.728666666666683</v>
      </c>
      <c r="X24" s="51">
        <f>'Resumen-DiarioHorario-Eólico'!AC825</f>
        <v>13.649833333333341</v>
      </c>
      <c r="Y24" s="52">
        <f>'Resumen-DiarioHorario-Eólico'!AC868</f>
        <v>0</v>
      </c>
      <c r="Z24" s="51">
        <f>'Resumen-DiarioHorario-Eólico'!AC911</f>
        <v>3.8051666666666666</v>
      </c>
      <c r="AA24" s="52">
        <f>'Resumen-DiarioHorario-Eólico'!AC954</f>
        <v>6.6074999999999982</v>
      </c>
      <c r="AB24" s="51">
        <f>'Resumen-DiarioHorario-Eólico'!AC997</f>
        <v>0</v>
      </c>
      <c r="AC24" s="52">
        <f>'Resumen-DiarioHorario-Eólico'!AC1040</f>
        <v>0</v>
      </c>
      <c r="AD24" s="51">
        <f>'Resumen-DiarioHorario-Eólico'!AC1083</f>
        <v>0</v>
      </c>
      <c r="AE24" s="52">
        <f>'Resumen-DiarioHorario-Eólico'!AC1126</f>
        <v>0</v>
      </c>
      <c r="AF24" s="51">
        <f>'Resumen-DiarioHorario-Eólico'!AC1168</f>
        <v>96.722166666666709</v>
      </c>
      <c r="AG24" s="52">
        <f>'Resumen-DiarioHorario-Eólico'!AC1211</f>
        <v>45.759</v>
      </c>
      <c r="AH24" s="51">
        <f>'Resumen-DiarioHorario-Eólico'!AC1254</f>
        <v>197.9975</v>
      </c>
      <c r="AI24" s="100">
        <f>'Resumen-DiarioHorario-Eólico'!AC1297</f>
        <v>0</v>
      </c>
      <c r="AJ24" s="238">
        <f>SUM(E24:AI24)</f>
        <v>1203.9345000000001</v>
      </c>
      <c r="AK24" s="238"/>
      <c r="AL24" s="238"/>
    </row>
    <row r="25" spans="2:38" s="4" customFormat="1" x14ac:dyDescent="0.3">
      <c r="B25" s="245" t="s">
        <v>5</v>
      </c>
      <c r="C25" s="245"/>
      <c r="D25" s="245"/>
      <c r="E25" s="52">
        <f>'Resumen-DiarioHorario-Eólico'!AC9</f>
        <v>375.94799999999998</v>
      </c>
      <c r="F25" s="51">
        <f>'Resumen-DiarioHorario-Eólico'!AC52</f>
        <v>243.93716666666668</v>
      </c>
      <c r="G25" s="52">
        <f>'Resumen-DiarioHorario-Eólico'!AC95</f>
        <v>90.725166666666652</v>
      </c>
      <c r="H25" s="51">
        <f>'Resumen-DiarioHorario-Eólico'!AC138</f>
        <v>340.09766666666667</v>
      </c>
      <c r="I25" s="52">
        <f>'Resumen-DiarioHorario-Eólico'!AC181</f>
        <v>397.41816666666665</v>
      </c>
      <c r="J25" s="51">
        <f>'Resumen-DiarioHorario-Eólico'!AC224</f>
        <v>367.01133333333331</v>
      </c>
      <c r="K25" s="52">
        <f>'Resumen-DiarioHorario-Eólico'!AC267</f>
        <v>141.34583333333333</v>
      </c>
      <c r="L25" s="51">
        <f>'Resumen-DiarioHorario-Eólico'!AC310</f>
        <v>0</v>
      </c>
      <c r="M25" s="52">
        <f>'Resumen-DiarioHorario-Eólico'!AC353</f>
        <v>58.505500000000012</v>
      </c>
      <c r="N25" s="51">
        <f>'Resumen-DiarioHorario-Eólico'!AC396</f>
        <v>0</v>
      </c>
      <c r="O25" s="52">
        <f>'Resumen-DiarioHorario-Eólico'!AC439</f>
        <v>137.36199999999999</v>
      </c>
      <c r="P25" s="51">
        <f>'Resumen-DiarioHorario-Eólico'!AC482</f>
        <v>211.90249999999997</v>
      </c>
      <c r="Q25" s="52">
        <f>'Resumen-DiarioHorario-Eólico'!AC525</f>
        <v>262.27633333333335</v>
      </c>
      <c r="R25" s="51">
        <f>'Resumen-DiarioHorario-Eólico'!AC568</f>
        <v>4.4561666666666664</v>
      </c>
      <c r="S25" s="52">
        <f>'Resumen-DiarioHorario-Eólico'!AC611</f>
        <v>210.32916666666665</v>
      </c>
      <c r="T25" s="51">
        <f>'Resumen-DiarioHorario-Eólico'!AC654</f>
        <v>192.63316666666671</v>
      </c>
      <c r="U25" s="52">
        <f>'Resumen-DiarioHorario-Eólico'!AC697</f>
        <v>287.89049999999997</v>
      </c>
      <c r="V25" s="51">
        <f>'Resumen-DiarioHorario-Eólico'!AC740</f>
        <v>177.4975</v>
      </c>
      <c r="W25" s="52">
        <f>'Resumen-DiarioHorario-Eólico'!AC783</f>
        <v>304.62783333333334</v>
      </c>
      <c r="X25" s="51">
        <f>'Resumen-DiarioHorario-Eólico'!AC826</f>
        <v>382.69566666666674</v>
      </c>
      <c r="Y25" s="52">
        <f>'Resumen-DiarioHorario-Eólico'!AC869</f>
        <v>344.20366666666661</v>
      </c>
      <c r="Z25" s="51">
        <f>'Resumen-DiarioHorario-Eólico'!AC912</f>
        <v>70.681166666666655</v>
      </c>
      <c r="AA25" s="52">
        <f>'Resumen-DiarioHorario-Eólico'!AC955</f>
        <v>209.16133333333332</v>
      </c>
      <c r="AB25" s="51">
        <f>'Resumen-DiarioHorario-Eólico'!AC998</f>
        <v>0</v>
      </c>
      <c r="AC25" s="52">
        <f>'Resumen-DiarioHorario-Eólico'!AC1041</f>
        <v>0</v>
      </c>
      <c r="AD25" s="51">
        <f>'Resumen-DiarioHorario-Eólico'!AC1084</f>
        <v>167.22183333333334</v>
      </c>
      <c r="AE25" s="52">
        <f>'Resumen-DiarioHorario-Eólico'!AC1127</f>
        <v>202.26900000000001</v>
      </c>
      <c r="AF25" s="51">
        <f>'Resumen-DiarioHorario-Eólico'!AC1169</f>
        <v>266.57583333333332</v>
      </c>
      <c r="AG25" s="52">
        <f>'Resumen-DiarioHorario-Eólico'!AC1212</f>
        <v>305.30850000000004</v>
      </c>
      <c r="AH25" s="51">
        <f>'Resumen-DiarioHorario-Eólico'!AC1255</f>
        <v>364.59283333333337</v>
      </c>
      <c r="AI25" s="100">
        <f>'Resumen-DiarioHorario-Eólico'!AC1298</f>
        <v>0</v>
      </c>
      <c r="AJ25" s="238">
        <f>SUM(E25:AI25)</f>
        <v>6116.6738333333333</v>
      </c>
      <c r="AK25" s="238"/>
      <c r="AL25" s="238"/>
    </row>
    <row r="26" spans="2:38" s="4" customFormat="1" x14ac:dyDescent="0.3">
      <c r="B26" s="245" t="s">
        <v>6</v>
      </c>
      <c r="C26" s="245"/>
      <c r="D26" s="245"/>
      <c r="E26" s="52">
        <f>'Resumen-DiarioHorario-Eólico'!AC10</f>
        <v>131.80999999999997</v>
      </c>
      <c r="F26" s="51">
        <f>'Resumen-DiarioHorario-Eólico'!AC53</f>
        <v>87.025166666666678</v>
      </c>
      <c r="G26" s="52">
        <f>'Resumen-DiarioHorario-Eólico'!AC96</f>
        <v>82.388666666666666</v>
      </c>
      <c r="H26" s="51">
        <f>'Resumen-DiarioHorario-Eólico'!AC139</f>
        <v>35.117500000000007</v>
      </c>
      <c r="I26" s="52">
        <f>'Resumen-DiarioHorario-Eólico'!AC182</f>
        <v>51.385666666666665</v>
      </c>
      <c r="J26" s="51">
        <f>'Resumen-DiarioHorario-Eólico'!AC225</f>
        <v>40.465500000000013</v>
      </c>
      <c r="K26" s="52">
        <f>'Resumen-DiarioHorario-Eólico'!AC268</f>
        <v>96.599333333333306</v>
      </c>
      <c r="L26" s="51">
        <f>'Resumen-DiarioHorario-Eólico'!AC311</f>
        <v>69.482166666666643</v>
      </c>
      <c r="M26" s="52">
        <f>'Resumen-DiarioHorario-Eólico'!AC354</f>
        <v>100.30949999999997</v>
      </c>
      <c r="N26" s="51">
        <f>'Resumen-DiarioHorario-Eólico'!AC397</f>
        <v>2.1120000000000014</v>
      </c>
      <c r="O26" s="52">
        <f>'Resumen-DiarioHorario-Eólico'!AC440</f>
        <v>43.519333333333343</v>
      </c>
      <c r="P26" s="51">
        <f>'Resumen-DiarioHorario-Eólico'!AC483</f>
        <v>8.8166666666667712E-2</v>
      </c>
      <c r="Q26" s="52">
        <f>'Resumen-DiarioHorario-Eólico'!AC526</f>
        <v>40.813833333333335</v>
      </c>
      <c r="R26" s="51">
        <f>'Resumen-DiarioHorario-Eólico'!AC569</f>
        <v>28.809833333333344</v>
      </c>
      <c r="S26" s="52">
        <f>'Resumen-DiarioHorario-Eólico'!AC612</f>
        <v>70.495833333333337</v>
      </c>
      <c r="T26" s="51">
        <f>'Resumen-DiarioHorario-Eólico'!AC655</f>
        <v>46.288333333333341</v>
      </c>
      <c r="U26" s="52">
        <f>'Resumen-DiarioHorario-Eólico'!AC698</f>
        <v>113.36116666666663</v>
      </c>
      <c r="V26" s="51">
        <f>'Resumen-DiarioHorario-Eólico'!AC741</f>
        <v>50.75366666666666</v>
      </c>
      <c r="W26" s="52">
        <f>'Resumen-DiarioHorario-Eólico'!AC784</f>
        <v>90.769999999999982</v>
      </c>
      <c r="X26" s="51">
        <f>'Resumen-DiarioHorario-Eólico'!AC827</f>
        <v>42.303833333333344</v>
      </c>
      <c r="Y26" s="52">
        <f>'Resumen-DiarioHorario-Eólico'!AC870</f>
        <v>44.485833333333332</v>
      </c>
      <c r="Z26" s="51">
        <f>'Resumen-DiarioHorario-Eólico'!AC913</f>
        <v>23.359000000000002</v>
      </c>
      <c r="AA26" s="52">
        <f>'Resumen-DiarioHorario-Eólico'!AC956</f>
        <v>65.467999999999989</v>
      </c>
      <c r="AB26" s="51">
        <f>'Resumen-DiarioHorario-Eólico'!AC999</f>
        <v>56.177333333333337</v>
      </c>
      <c r="AC26" s="52">
        <f>'Resumen-DiarioHorario-Eólico'!AC1042</f>
        <v>69.392833333333314</v>
      </c>
      <c r="AD26" s="51">
        <f>'Resumen-DiarioHorario-Eólico'!AC1085</f>
        <v>51.367833333333323</v>
      </c>
      <c r="AE26" s="52">
        <f>'Resumen-DiarioHorario-Eólico'!AC1128</f>
        <v>46.69116666666666</v>
      </c>
      <c r="AF26" s="51">
        <f>'Resumen-DiarioHorario-Eólico'!AC1170</f>
        <v>27.381666666666661</v>
      </c>
      <c r="AG26" s="52">
        <f>'Resumen-DiarioHorario-Eólico'!AC1213</f>
        <v>34.54933333333333</v>
      </c>
      <c r="AH26" s="51">
        <f>'Resumen-DiarioHorario-Eólico'!AC1256</f>
        <v>78.553666666666658</v>
      </c>
      <c r="AI26" s="100">
        <f>'Resumen-DiarioHorario-Eólico'!AC1299</f>
        <v>66.087500000000006</v>
      </c>
      <c r="AJ26" s="238">
        <f t="shared" ref="AJ26:AJ35" si="15">SUM(E26:AI26)</f>
        <v>1787.4136666666668</v>
      </c>
      <c r="AK26" s="238"/>
      <c r="AL26" s="238"/>
    </row>
    <row r="27" spans="2:38" s="4" customFormat="1" x14ac:dyDescent="0.3">
      <c r="B27" s="245" t="s">
        <v>91</v>
      </c>
      <c r="C27" s="245"/>
      <c r="D27" s="245"/>
      <c r="E27" s="52">
        <f>'Resumen-DiarioHorario-Eólico'!AC11</f>
        <v>0</v>
      </c>
      <c r="F27" s="51">
        <f>'Resumen-DiarioHorario-Eólico'!AC54</f>
        <v>0</v>
      </c>
      <c r="G27" s="52">
        <f>'Resumen-DiarioHorario-Eólico'!AC97</f>
        <v>0</v>
      </c>
      <c r="H27" s="51">
        <f>'Resumen-DiarioHorario-Eólico'!AC140</f>
        <v>0</v>
      </c>
      <c r="I27" s="52">
        <f>'Resumen-DiarioHorario-Eólico'!AC183</f>
        <v>0</v>
      </c>
      <c r="J27" s="51">
        <f>'Resumen-DiarioHorario-Eólico'!AC226</f>
        <v>0</v>
      </c>
      <c r="K27" s="52">
        <f>'Resumen-DiarioHorario-Eólico'!AC269</f>
        <v>0</v>
      </c>
      <c r="L27" s="51">
        <f>'Resumen-DiarioHorario-Eólico'!AC312</f>
        <v>0</v>
      </c>
      <c r="M27" s="52">
        <f>'Resumen-DiarioHorario-Eólico'!AC355</f>
        <v>0</v>
      </c>
      <c r="N27" s="51">
        <f>'Resumen-DiarioHorario-Eólico'!AC398</f>
        <v>0</v>
      </c>
      <c r="O27" s="52">
        <f>'Resumen-DiarioHorario-Eólico'!AC441</f>
        <v>0</v>
      </c>
      <c r="P27" s="51">
        <f>'Resumen-DiarioHorario-Eólico'!AC484</f>
        <v>0</v>
      </c>
      <c r="Q27" s="52">
        <f>'Resumen-DiarioHorario-Eólico'!AC527</f>
        <v>0</v>
      </c>
      <c r="R27" s="51">
        <f>'Resumen-DiarioHorario-Eólico'!AC570</f>
        <v>0</v>
      </c>
      <c r="S27" s="52">
        <f>'Resumen-DiarioHorario-Eólico'!AC613</f>
        <v>0</v>
      </c>
      <c r="T27" s="51">
        <f>'Resumen-DiarioHorario-Eólico'!AC656</f>
        <v>0</v>
      </c>
      <c r="U27" s="52">
        <f>'Resumen-DiarioHorario-Eólico'!AC699</f>
        <v>0</v>
      </c>
      <c r="V27" s="51">
        <f>'Resumen-DiarioHorario-Eólico'!AC742</f>
        <v>0</v>
      </c>
      <c r="W27" s="52">
        <f>'Resumen-DiarioHorario-Eólico'!AC785</f>
        <v>0</v>
      </c>
      <c r="X27" s="51">
        <f>'Resumen-DiarioHorario-Eólico'!AC828</f>
        <v>0</v>
      </c>
      <c r="Y27" s="52">
        <f>'Resumen-DiarioHorario-Eólico'!AC871</f>
        <v>0</v>
      </c>
      <c r="Z27" s="51">
        <f>'Resumen-DiarioHorario-Eólico'!AC914</f>
        <v>0</v>
      </c>
      <c r="AA27" s="52">
        <f>'Resumen-DiarioHorario-Eólico'!AC957</f>
        <v>0</v>
      </c>
      <c r="AB27" s="51">
        <f>'Resumen-DiarioHorario-Eólico'!AC1000</f>
        <v>0</v>
      </c>
      <c r="AC27" s="52">
        <f>'Resumen-DiarioHorario-Eólico'!AC1043</f>
        <v>0</v>
      </c>
      <c r="AD27" s="51">
        <f>'Resumen-DiarioHorario-Eólico'!AC1086</f>
        <v>0</v>
      </c>
      <c r="AE27" s="52">
        <f>'Resumen-DiarioHorario-Eólico'!AC1129</f>
        <v>0</v>
      </c>
      <c r="AF27" s="51">
        <f>'Resumen-DiarioHorario-Eólico'!AC1171</f>
        <v>0</v>
      </c>
      <c r="AG27" s="52">
        <f>'Resumen-DiarioHorario-Eólico'!AC1214</f>
        <v>0</v>
      </c>
      <c r="AH27" s="51">
        <f>'Resumen-DiarioHorario-Eólico'!AC1257</f>
        <v>0</v>
      </c>
      <c r="AI27" s="100">
        <f>'Resumen-DiarioHorario-Eólico'!AC1300</f>
        <v>0</v>
      </c>
      <c r="AJ27" s="238">
        <f>SUM(E27:AI27)</f>
        <v>0</v>
      </c>
      <c r="AK27" s="238"/>
      <c r="AL27" s="238"/>
    </row>
    <row r="28" spans="2:38" s="4" customFormat="1" x14ac:dyDescent="0.3">
      <c r="B28" s="245" t="s">
        <v>7</v>
      </c>
      <c r="C28" s="245"/>
      <c r="D28" s="245"/>
      <c r="E28" s="52">
        <f>'Resumen-DiarioHorario-Eólico'!AC12</f>
        <v>70.649500000000003</v>
      </c>
      <c r="F28" s="51">
        <f>'Resumen-DiarioHorario-Eólico'!AC55</f>
        <v>20.817833333333333</v>
      </c>
      <c r="G28" s="52">
        <f>'Resumen-DiarioHorario-Eólico'!AC98</f>
        <v>15.962999999999997</v>
      </c>
      <c r="H28" s="51">
        <f>'Resumen-DiarioHorario-Eólico'!AC141</f>
        <v>2.0201666666666673</v>
      </c>
      <c r="I28" s="52">
        <f>'Resumen-DiarioHorario-Eólico'!AC184</f>
        <v>22.886999999999997</v>
      </c>
      <c r="J28" s="51">
        <f>'Resumen-DiarioHorario-Eólico'!AC227</f>
        <v>45.043333333333329</v>
      </c>
      <c r="K28" s="52">
        <f>'Resumen-DiarioHorario-Eólico'!AC270</f>
        <v>11.348333333333329</v>
      </c>
      <c r="L28" s="51">
        <f>'Resumen-DiarioHorario-Eólico'!AC313</f>
        <v>29.603000000000002</v>
      </c>
      <c r="M28" s="52">
        <f>'Resumen-DiarioHorario-Eólico'!AC356</f>
        <v>22.869999999999997</v>
      </c>
      <c r="N28" s="51">
        <f>'Resumen-DiarioHorario-Eólico'!AC399</f>
        <v>10.672166666666664</v>
      </c>
      <c r="O28" s="52">
        <f>'Resumen-DiarioHorario-Eólico'!AC442</f>
        <v>100.96016666666667</v>
      </c>
      <c r="P28" s="51">
        <f>'Resumen-DiarioHorario-Eólico'!AC485</f>
        <v>199.60166666666666</v>
      </c>
      <c r="Q28" s="52">
        <f>'Resumen-DiarioHorario-Eólico'!AC528</f>
        <v>59.336833333333331</v>
      </c>
      <c r="R28" s="51">
        <f>'Resumen-DiarioHorario-Eólico'!AC571</f>
        <v>16.512833333333326</v>
      </c>
      <c r="S28" s="52">
        <f>'Resumen-DiarioHorario-Eólico'!AC614</f>
        <v>57.215833333333329</v>
      </c>
      <c r="T28" s="51">
        <f>'Resumen-DiarioHorario-Eólico'!AC657</f>
        <v>81.525499999999994</v>
      </c>
      <c r="U28" s="52">
        <f>'Resumen-DiarioHorario-Eólico'!AC700</f>
        <v>131.01316666666665</v>
      </c>
      <c r="V28" s="51">
        <f>'Resumen-DiarioHorario-Eólico'!AC743</f>
        <v>9.5638333333333279</v>
      </c>
      <c r="W28" s="52">
        <f>'Resumen-DiarioHorario-Eólico'!AC786</f>
        <v>1.2778333333333372</v>
      </c>
      <c r="X28" s="51">
        <f>'Resumen-DiarioHorario-Eólico'!AC829</f>
        <v>139.30816666666666</v>
      </c>
      <c r="Y28" s="52">
        <f>'Resumen-DiarioHorario-Eólico'!AC872</f>
        <v>56.418333333333329</v>
      </c>
      <c r="Z28" s="51">
        <f>'Resumen-DiarioHorario-Eólico'!AC915</f>
        <v>0</v>
      </c>
      <c r="AA28" s="52">
        <f>'Resumen-DiarioHorario-Eólico'!AC958</f>
        <v>1.8776666666666668</v>
      </c>
      <c r="AB28" s="51">
        <f>'Resumen-DiarioHorario-Eólico'!AC1001</f>
        <v>30.701333333333331</v>
      </c>
      <c r="AC28" s="52">
        <f>'Resumen-DiarioHorario-Eólico'!AC1044</f>
        <v>18.668000000000006</v>
      </c>
      <c r="AD28" s="51">
        <f>'Resumen-DiarioHorario-Eólico'!AC1087</f>
        <v>8.4916666666666636</v>
      </c>
      <c r="AE28" s="52">
        <f>'Resumen-DiarioHorario-Eólico'!AC1130</f>
        <v>2.434833333333335</v>
      </c>
      <c r="AF28" s="51">
        <f>'Resumen-DiarioHorario-Eólico'!AC1172</f>
        <v>184.80716666666663</v>
      </c>
      <c r="AG28" s="52">
        <f>'Resumen-DiarioHorario-Eólico'!AC1215</f>
        <v>212.74499999999998</v>
      </c>
      <c r="AH28" s="51">
        <f>'Resumen-DiarioHorario-Eólico'!AC1258</f>
        <v>31.386499999999998</v>
      </c>
      <c r="AI28" s="100">
        <f>'Resumen-DiarioHorario-Eólico'!AC1301</f>
        <v>2.6051666666666677</v>
      </c>
      <c r="AJ28" s="238">
        <f t="shared" si="15"/>
        <v>1598.3258333333333</v>
      </c>
      <c r="AK28" s="238"/>
      <c r="AL28" s="238"/>
    </row>
    <row r="29" spans="2:38" s="4" customFormat="1" x14ac:dyDescent="0.3">
      <c r="B29" s="245" t="s">
        <v>8</v>
      </c>
      <c r="C29" s="245"/>
      <c r="D29" s="245"/>
      <c r="E29" s="52">
        <f>'Resumen-DiarioHorario-Eólico'!AC13</f>
        <v>0</v>
      </c>
      <c r="F29" s="51">
        <f>'Resumen-DiarioHorario-Eólico'!AC56</f>
        <v>43.195166666666672</v>
      </c>
      <c r="G29" s="52">
        <f>'Resumen-DiarioHorario-Eólico'!AC99</f>
        <v>66.680499999999995</v>
      </c>
      <c r="H29" s="51">
        <f>'Resumen-DiarioHorario-Eólico'!AC142</f>
        <v>123.75133333333331</v>
      </c>
      <c r="I29" s="52">
        <f>'Resumen-DiarioHorario-Eólico'!AC185</f>
        <v>181.06833333333336</v>
      </c>
      <c r="J29" s="51">
        <f>'Resumen-DiarioHorario-Eólico'!AC228</f>
        <v>88.691333333333333</v>
      </c>
      <c r="K29" s="52">
        <f>'Resumen-DiarioHorario-Eólico'!AC271</f>
        <v>24.324833333333327</v>
      </c>
      <c r="L29" s="51">
        <f>'Resumen-DiarioHorario-Eólico'!AC314</f>
        <v>8.4999999999999677E-3</v>
      </c>
      <c r="M29" s="52">
        <f>'Resumen-DiarioHorario-Eólico'!AC357</f>
        <v>3.4371666666666663</v>
      </c>
      <c r="N29" s="51">
        <f>'Resumen-DiarioHorario-Eólico'!AC400</f>
        <v>7.3858333333333306</v>
      </c>
      <c r="O29" s="52">
        <f>'Resumen-DiarioHorario-Eólico'!AC443</f>
        <v>32.481666666666662</v>
      </c>
      <c r="P29" s="51">
        <f>'Resumen-DiarioHorario-Eólico'!AC486</f>
        <v>122.97516666666669</v>
      </c>
      <c r="Q29" s="52">
        <f>'Resumen-DiarioHorario-Eólico'!AC529</f>
        <v>96.21483333333336</v>
      </c>
      <c r="R29" s="51">
        <f>'Resumen-DiarioHorario-Eólico'!AC572</f>
        <v>0.4791666666666668</v>
      </c>
      <c r="S29" s="52">
        <f>'Resumen-DiarioHorario-Eólico'!AC615</f>
        <v>11.572833333333328</v>
      </c>
      <c r="T29" s="51">
        <f>'Resumen-DiarioHorario-Eólico'!AC658</f>
        <v>0</v>
      </c>
      <c r="U29" s="52">
        <f>'Resumen-DiarioHorario-Eólico'!AC701</f>
        <v>58.35466666666666</v>
      </c>
      <c r="V29" s="51">
        <f>'Resumen-DiarioHorario-Eólico'!AC744</f>
        <v>30.989666666666672</v>
      </c>
      <c r="W29" s="52">
        <f>'Resumen-DiarioHorario-Eólico'!AC787</f>
        <v>15.637333333333331</v>
      </c>
      <c r="X29" s="51">
        <f>'Resumen-DiarioHorario-Eólico'!AC830</f>
        <v>170.95383333333336</v>
      </c>
      <c r="Y29" s="52">
        <f>'Resumen-DiarioHorario-Eólico'!AC873</f>
        <v>240.14933333333337</v>
      </c>
      <c r="Z29" s="51">
        <f>'Resumen-DiarioHorario-Eólico'!AC916</f>
        <v>113.98366666666671</v>
      </c>
      <c r="AA29" s="52">
        <f>'Resumen-DiarioHorario-Eólico'!AC959</f>
        <v>115.0931666666667</v>
      </c>
      <c r="AB29" s="51">
        <f>'Resumen-DiarioHorario-Eólico'!AC1002</f>
        <v>0</v>
      </c>
      <c r="AC29" s="52">
        <f>'Resumen-DiarioHorario-Eólico'!AC1045</f>
        <v>16.096000000000004</v>
      </c>
      <c r="AD29" s="51">
        <f>'Resumen-DiarioHorario-Eólico'!AC1088</f>
        <v>48.376666666666672</v>
      </c>
      <c r="AE29" s="52">
        <f>'Resumen-DiarioHorario-Eólico'!AC1131</f>
        <v>50.386333333333354</v>
      </c>
      <c r="AF29" s="51">
        <f>'Resumen-DiarioHorario-Eólico'!AC1173</f>
        <v>113.7093333333334</v>
      </c>
      <c r="AG29" s="52">
        <f>'Resumen-DiarioHorario-Eólico'!AC1216</f>
        <v>13.944666666666665</v>
      </c>
      <c r="AH29" s="51">
        <f>'Resumen-DiarioHorario-Eólico'!AC1259</f>
        <v>32.661500000000004</v>
      </c>
      <c r="AI29" s="100">
        <f>'Resumen-DiarioHorario-Eólico'!AC1302</f>
        <v>3.9119999999999995</v>
      </c>
      <c r="AJ29" s="238">
        <f t="shared" si="15"/>
        <v>1826.5148333333341</v>
      </c>
      <c r="AK29" s="238"/>
      <c r="AL29" s="238"/>
    </row>
    <row r="30" spans="2:38" s="4" customFormat="1" x14ac:dyDescent="0.3">
      <c r="B30" s="245" t="s">
        <v>9</v>
      </c>
      <c r="C30" s="245"/>
      <c r="D30" s="245"/>
      <c r="E30" s="52">
        <f>'Resumen-DiarioHorario-Eólico'!AC14</f>
        <v>496.54449999999997</v>
      </c>
      <c r="F30" s="51">
        <f>'Resumen-DiarioHorario-Eólico'!AC57</f>
        <v>373.91633333333334</v>
      </c>
      <c r="G30" s="52">
        <f>'Resumen-DiarioHorario-Eólico'!AC100</f>
        <v>5.3934999999999986</v>
      </c>
      <c r="H30" s="51">
        <f>'Resumen-DiarioHorario-Eólico'!AC143</f>
        <v>47.887333333333352</v>
      </c>
      <c r="I30" s="52">
        <f>'Resumen-DiarioHorario-Eólico'!AC186</f>
        <v>217.99766666666673</v>
      </c>
      <c r="J30" s="51">
        <f>'Resumen-DiarioHorario-Eólico'!AC229</f>
        <v>245.04833333333329</v>
      </c>
      <c r="K30" s="52">
        <f>'Resumen-DiarioHorario-Eólico'!AC272</f>
        <v>0</v>
      </c>
      <c r="L30" s="51">
        <f>'Resumen-DiarioHorario-Eólico'!AC315</f>
        <v>0</v>
      </c>
      <c r="M30" s="52">
        <f>'Resumen-DiarioHorario-Eólico'!AC358</f>
        <v>2.4915000000000012</v>
      </c>
      <c r="N30" s="51">
        <f>'Resumen-DiarioHorario-Eólico'!AC401</f>
        <v>0</v>
      </c>
      <c r="O30" s="52">
        <f>'Resumen-DiarioHorario-Eólico'!AC444</f>
        <v>147.16833333333332</v>
      </c>
      <c r="P30" s="51">
        <f>'Resumen-DiarioHorario-Eólico'!AC487</f>
        <v>397.95833333333303</v>
      </c>
      <c r="Q30" s="52">
        <f>'Resumen-DiarioHorario-Eólico'!AC530</f>
        <v>639.96000000000049</v>
      </c>
      <c r="R30" s="51">
        <f>'Resumen-DiarioHorario-Eólico'!AC573</f>
        <v>0</v>
      </c>
      <c r="S30" s="52">
        <f>'Resumen-DiarioHorario-Eólico'!AC616</f>
        <v>0</v>
      </c>
      <c r="T30" s="51">
        <f>'Resumen-DiarioHorario-Eólico'!AC659</f>
        <v>195.2416666666667</v>
      </c>
      <c r="U30" s="52">
        <f>'Resumen-DiarioHorario-Eólico'!AC702</f>
        <v>181.63666666666666</v>
      </c>
      <c r="V30" s="51">
        <f>'Resumen-DiarioHorario-Eólico'!AC745</f>
        <v>7.2618333333333389</v>
      </c>
      <c r="W30" s="52">
        <f>'Resumen-DiarioHorario-Eólico'!AC788</f>
        <v>248.56216666666666</v>
      </c>
      <c r="X30" s="51">
        <f>'Resumen-DiarioHorario-Eólico'!AC831</f>
        <v>186.42933333333335</v>
      </c>
      <c r="Y30" s="52">
        <f>'Resumen-DiarioHorario-Eólico'!AC874</f>
        <v>24.847999999999999</v>
      </c>
      <c r="Z30" s="51">
        <f>'Resumen-DiarioHorario-Eólico'!AC917</f>
        <v>55.175166666666669</v>
      </c>
      <c r="AA30" s="52">
        <f>'Resumen-DiarioHorario-Eólico'!AC960</f>
        <v>77.100500000000025</v>
      </c>
      <c r="AB30" s="51">
        <f>'Resumen-DiarioHorario-Eólico'!AC1003</f>
        <v>0</v>
      </c>
      <c r="AC30" s="52">
        <f>'Resumen-DiarioHorario-Eólico'!AC1046</f>
        <v>0</v>
      </c>
      <c r="AD30" s="51">
        <f>'Resumen-DiarioHorario-Eólico'!AC1089</f>
        <v>88.67616666666666</v>
      </c>
      <c r="AE30" s="52">
        <f>'Resumen-DiarioHorario-Eólico'!AC1132</f>
        <v>27.772999999999993</v>
      </c>
      <c r="AF30" s="51">
        <f>'Resumen-DiarioHorario-Eólico'!AC1174</f>
        <v>17.172333333333327</v>
      </c>
      <c r="AG30" s="52">
        <f>'Resumen-DiarioHorario-Eólico'!AC1217</f>
        <v>259.92666666666668</v>
      </c>
      <c r="AH30" s="51">
        <f>'Resumen-DiarioHorario-Eólico'!AC1260</f>
        <v>233.47783333333334</v>
      </c>
      <c r="AI30" s="100">
        <f>'Resumen-DiarioHorario-Eólico'!AC1303</f>
        <v>0</v>
      </c>
      <c r="AJ30" s="238">
        <f t="shared" si="15"/>
        <v>4177.6471666666675</v>
      </c>
      <c r="AK30" s="238"/>
      <c r="AL30" s="238"/>
    </row>
    <row r="31" spans="2:38" s="4" customFormat="1" x14ac:dyDescent="0.3">
      <c r="B31" s="245" t="s">
        <v>10</v>
      </c>
      <c r="C31" s="245"/>
      <c r="D31" s="245"/>
      <c r="E31" s="52">
        <f>'Resumen-DiarioHorario-Eólico'!AC15</f>
        <v>290.31783333333328</v>
      </c>
      <c r="F31" s="51">
        <f>'Resumen-DiarioHorario-Eólico'!AC58</f>
        <v>408.90499999999997</v>
      </c>
      <c r="G31" s="52">
        <f>'Resumen-DiarioHorario-Eólico'!AC101</f>
        <v>2.5894999999999992</v>
      </c>
      <c r="H31" s="51">
        <f>'Resumen-DiarioHorario-Eólico'!AC144</f>
        <v>202.3688333333333</v>
      </c>
      <c r="I31" s="52">
        <f>'Resumen-DiarioHorario-Eólico'!AC187</f>
        <v>215.27150000000006</v>
      </c>
      <c r="J31" s="51">
        <f>'Resumen-DiarioHorario-Eólico'!AC230</f>
        <v>195.49300000000002</v>
      </c>
      <c r="K31" s="52">
        <f>'Resumen-DiarioHorario-Eólico'!AC273</f>
        <v>10.502666666666663</v>
      </c>
      <c r="L31" s="51">
        <f>'Resumen-DiarioHorario-Eólico'!AC316</f>
        <v>0</v>
      </c>
      <c r="M31" s="52">
        <f>'Resumen-DiarioHorario-Eólico'!AC359</f>
        <v>5.4266666666666676</v>
      </c>
      <c r="N31" s="51">
        <f>'Resumen-DiarioHorario-Eólico'!AC402</f>
        <v>0</v>
      </c>
      <c r="O31" s="52">
        <f>'Resumen-DiarioHorario-Eólico'!AC445</f>
        <v>7.8396666666666652</v>
      </c>
      <c r="P31" s="51">
        <f>'Resumen-DiarioHorario-Eólico'!AC488</f>
        <v>4.1816666666666658</v>
      </c>
      <c r="Q31" s="52">
        <f>'Resumen-DiarioHorario-Eólico'!AC531</f>
        <v>225.81833333333336</v>
      </c>
      <c r="R31" s="51">
        <f>'Resumen-DiarioHorario-Eólico'!AC574</f>
        <v>0</v>
      </c>
      <c r="S31" s="52">
        <f>'Resumen-DiarioHorario-Eólico'!AC617</f>
        <v>65.135000000000005</v>
      </c>
      <c r="T31" s="51">
        <f>'Resumen-DiarioHorario-Eólico'!AC660</f>
        <v>196.21316666666667</v>
      </c>
      <c r="U31" s="52">
        <f>'Resumen-DiarioHorario-Eólico'!AC703</f>
        <v>99.672166666666698</v>
      </c>
      <c r="V31" s="51">
        <f>'Resumen-DiarioHorario-Eólico'!AC746</f>
        <v>0</v>
      </c>
      <c r="W31" s="52">
        <f>'Resumen-DiarioHorario-Eólico'!AC789</f>
        <v>118.21666666666664</v>
      </c>
      <c r="X31" s="51">
        <f>'Resumen-DiarioHorario-Eólico'!AC832</f>
        <v>189.73516666666666</v>
      </c>
      <c r="Y31" s="52">
        <f>'Resumen-DiarioHorario-Eólico'!AC875</f>
        <v>109.20433333333334</v>
      </c>
      <c r="Z31" s="51">
        <f>'Resumen-DiarioHorario-Eólico'!AC918</f>
        <v>115.60599999999999</v>
      </c>
      <c r="AA31" s="52">
        <f>'Resumen-DiarioHorario-Eólico'!AC961</f>
        <v>88.962166666666647</v>
      </c>
      <c r="AB31" s="51">
        <f>'Resumen-DiarioHorario-Eólico'!AC1004</f>
        <v>0</v>
      </c>
      <c r="AC31" s="52">
        <f>'Resumen-DiarioHorario-Eólico'!AC1047</f>
        <v>0</v>
      </c>
      <c r="AD31" s="51">
        <f>'Resumen-DiarioHorario-Eólico'!AC1090</f>
        <v>52.345000000000013</v>
      </c>
      <c r="AE31" s="52">
        <f>'Resumen-DiarioHorario-Eólico'!AC1133</f>
        <v>62.135499999999986</v>
      </c>
      <c r="AF31" s="51">
        <f>'Resumen-DiarioHorario-Eólico'!AC1175</f>
        <v>12.317833333333336</v>
      </c>
      <c r="AG31" s="52">
        <f>'Resumen-DiarioHorario-Eólico'!AC1218</f>
        <v>226.15366666666665</v>
      </c>
      <c r="AH31" s="51">
        <f>'Resumen-DiarioHorario-Eólico'!AC1261</f>
        <v>44.262500000000003</v>
      </c>
      <c r="AI31" s="100">
        <f>'Resumen-DiarioHorario-Eólico'!AC1304</f>
        <v>0</v>
      </c>
      <c r="AJ31" s="238">
        <f t="shared" si="15"/>
        <v>2948.6738333333333</v>
      </c>
      <c r="AK31" s="238"/>
      <c r="AL31" s="238"/>
    </row>
    <row r="32" spans="2:38" s="4" customFormat="1" x14ac:dyDescent="0.3">
      <c r="B32" s="245" t="s">
        <v>11</v>
      </c>
      <c r="C32" s="245"/>
      <c r="D32" s="245"/>
      <c r="E32" s="52">
        <f>'Resumen-DiarioHorario-Eólico'!AC16</f>
        <v>460.74116666666669</v>
      </c>
      <c r="F32" s="51">
        <f>'Resumen-DiarioHorario-Eólico'!AC59</f>
        <v>528.59033333333343</v>
      </c>
      <c r="G32" s="52">
        <f>'Resumen-DiarioHorario-Eólico'!AC102</f>
        <v>71.992666666666651</v>
      </c>
      <c r="H32" s="51">
        <f>'Resumen-DiarioHorario-Eólico'!AC145</f>
        <v>255.07900000000001</v>
      </c>
      <c r="I32" s="52">
        <f>'Resumen-DiarioHorario-Eólico'!AC188</f>
        <v>205.59166666666661</v>
      </c>
      <c r="J32" s="51">
        <f>'Resumen-DiarioHorario-Eólico'!AC231</f>
        <v>306.03883333333334</v>
      </c>
      <c r="K32" s="52">
        <f>'Resumen-DiarioHorario-Eólico'!AC274</f>
        <v>20.150666666666673</v>
      </c>
      <c r="L32" s="51">
        <f>'Resumen-DiarioHorario-Eólico'!AC317</f>
        <v>0</v>
      </c>
      <c r="M32" s="52">
        <f>'Resumen-DiarioHorario-Eólico'!AC360</f>
        <v>0.55483333333333351</v>
      </c>
      <c r="N32" s="51">
        <f>'Resumen-DiarioHorario-Eólico'!AC403</f>
        <v>0</v>
      </c>
      <c r="O32" s="52">
        <f>'Resumen-DiarioHorario-Eólico'!AC446</f>
        <v>17.580833333333338</v>
      </c>
      <c r="P32" s="51">
        <f>'Resumen-DiarioHorario-Eólico'!AC489</f>
        <v>28.49366666666667</v>
      </c>
      <c r="Q32" s="52">
        <f>'Resumen-DiarioHorario-Eólico'!AC532</f>
        <v>354.31833333333338</v>
      </c>
      <c r="R32" s="51">
        <f>'Resumen-DiarioHorario-Eólico'!AC575</f>
        <v>0</v>
      </c>
      <c r="S32" s="52">
        <f>'Resumen-DiarioHorario-Eólico'!AC618</f>
        <v>140.24716666666669</v>
      </c>
      <c r="T32" s="51">
        <f>'Resumen-DiarioHorario-Eólico'!AC661</f>
        <v>286.60783333333336</v>
      </c>
      <c r="U32" s="52">
        <f>'Resumen-DiarioHorario-Eólico'!AC704</f>
        <v>484.24733333333336</v>
      </c>
      <c r="V32" s="51">
        <f>'Resumen-DiarioHorario-Eólico'!AC747</f>
        <v>0</v>
      </c>
      <c r="W32" s="52">
        <f>'Resumen-DiarioHorario-Eólico'!AC790</f>
        <v>344.87516666666664</v>
      </c>
      <c r="X32" s="51">
        <f>'Resumen-DiarioHorario-Eólico'!AC833</f>
        <v>719.07316666666679</v>
      </c>
      <c r="Y32" s="52">
        <f>'Resumen-DiarioHorario-Eólico'!AC876</f>
        <v>173.55516666666668</v>
      </c>
      <c r="Z32" s="51">
        <f>'Resumen-DiarioHorario-Eólico'!AC919</f>
        <v>100.26183333333334</v>
      </c>
      <c r="AA32" s="52">
        <f>'Resumen-DiarioHorario-Eólico'!AC962</f>
        <v>177.6045</v>
      </c>
      <c r="AB32" s="51">
        <f>'Resumen-DiarioHorario-Eólico'!AC1005</f>
        <v>0</v>
      </c>
      <c r="AC32" s="52">
        <f>'Resumen-DiarioHorario-Eólico'!AC1048</f>
        <v>0</v>
      </c>
      <c r="AD32" s="51">
        <f>'Resumen-DiarioHorario-Eólico'!AC1091</f>
        <v>69.437499999999972</v>
      </c>
      <c r="AE32" s="52">
        <f>'Resumen-DiarioHorario-Eólico'!AC1134</f>
        <v>75.662333333333308</v>
      </c>
      <c r="AF32" s="51">
        <f>'Resumen-DiarioHorario-Eólico'!AC1176</f>
        <v>93.15983333333331</v>
      </c>
      <c r="AG32" s="52">
        <f>'Resumen-DiarioHorario-Eólico'!AC1219</f>
        <v>258.42666666666673</v>
      </c>
      <c r="AH32" s="51">
        <f>'Resumen-DiarioHorario-Eólico'!AC1262</f>
        <v>134.95450000000002</v>
      </c>
      <c r="AI32" s="100">
        <f>'Resumen-DiarioHorario-Eólico'!AC1305</f>
        <v>0</v>
      </c>
      <c r="AJ32" s="238">
        <f t="shared" si="15"/>
        <v>5307.2450000000008</v>
      </c>
      <c r="AK32" s="238"/>
      <c r="AL32" s="238"/>
    </row>
    <row r="33" spans="2:38" s="4" customFormat="1" x14ac:dyDescent="0.3">
      <c r="B33" s="245" t="s">
        <v>12</v>
      </c>
      <c r="C33" s="245"/>
      <c r="D33" s="245"/>
      <c r="E33" s="52">
        <f>'Resumen-DiarioHorario-Eólico'!AC17</f>
        <v>729.52833333333331</v>
      </c>
      <c r="F33" s="51">
        <f>'Resumen-DiarioHorario-Eólico'!AC60</f>
        <v>621.62716666666665</v>
      </c>
      <c r="G33" s="52">
        <f>'Resumen-DiarioHorario-Eólico'!AC103</f>
        <v>87.560333333333332</v>
      </c>
      <c r="H33" s="51">
        <f>'Resumen-DiarioHorario-Eólico'!AC146</f>
        <v>385.92466666666667</v>
      </c>
      <c r="I33" s="52">
        <f>'Resumen-DiarioHorario-Eólico'!AC189</f>
        <v>330.81216666666666</v>
      </c>
      <c r="J33" s="51">
        <f>'Resumen-DiarioHorario-Eólico'!AC232</f>
        <v>405.02949999999998</v>
      </c>
      <c r="K33" s="52">
        <f>'Resumen-DiarioHorario-Eólico'!AC275</f>
        <v>104.94183333333335</v>
      </c>
      <c r="L33" s="51">
        <f>'Resumen-DiarioHorario-Eólico'!AC318</f>
        <v>0</v>
      </c>
      <c r="M33" s="52">
        <f>'Resumen-DiarioHorario-Eólico'!AC361</f>
        <v>12.820666666666664</v>
      </c>
      <c r="N33" s="51">
        <f>'Resumen-DiarioHorario-Eólico'!AC404</f>
        <v>0</v>
      </c>
      <c r="O33" s="52">
        <f>'Resumen-DiarioHorario-Eólico'!AC447</f>
        <v>91.907499999999999</v>
      </c>
      <c r="P33" s="51">
        <f>'Resumen-DiarioHorario-Eólico'!AC490</f>
        <v>89.57950000000001</v>
      </c>
      <c r="Q33" s="52">
        <f>'Resumen-DiarioHorario-Eólico'!AC533</f>
        <v>443.37450000000001</v>
      </c>
      <c r="R33" s="51">
        <f>'Resumen-DiarioHorario-Eólico'!AC576</f>
        <v>24.539666666666669</v>
      </c>
      <c r="S33" s="52">
        <f>'Resumen-DiarioHorario-Eólico'!AC619</f>
        <v>233.3283333333334</v>
      </c>
      <c r="T33" s="51">
        <f>'Resumen-DiarioHorario-Eólico'!AC662</f>
        <v>349.04183333333333</v>
      </c>
      <c r="U33" s="52">
        <f>'Resumen-DiarioHorario-Eólico'!AC705</f>
        <v>271.31200000000001</v>
      </c>
      <c r="V33" s="51">
        <f>'Resumen-DiarioHorario-Eólico'!AC748</f>
        <v>8.266333333333332</v>
      </c>
      <c r="W33" s="52">
        <f>'Resumen-DiarioHorario-Eólico'!AC791</f>
        <v>301.09749999999997</v>
      </c>
      <c r="X33" s="51">
        <f>'Resumen-DiarioHorario-Eólico'!AC834</f>
        <v>419.72216666666662</v>
      </c>
      <c r="Y33" s="52">
        <f>'Resumen-DiarioHorario-Eólico'!AC877</f>
        <v>164.05016666666663</v>
      </c>
      <c r="Z33" s="51">
        <f>'Resumen-DiarioHorario-Eólico'!AC920</f>
        <v>284.9085</v>
      </c>
      <c r="AA33" s="52">
        <f>'Resumen-DiarioHorario-Eólico'!AC963</f>
        <v>421.67900000000003</v>
      </c>
      <c r="AB33" s="51">
        <f>'Resumen-DiarioHorario-Eólico'!AC1006</f>
        <v>0</v>
      </c>
      <c r="AC33" s="52">
        <f>'Resumen-DiarioHorario-Eólico'!AC1049</f>
        <v>0</v>
      </c>
      <c r="AD33" s="51">
        <f>'Resumen-DiarioHorario-Eólico'!AC1092</f>
        <v>144.30966666666666</v>
      </c>
      <c r="AE33" s="52">
        <f>'Resumen-DiarioHorario-Eólico'!AC1135</f>
        <v>222.43049999999997</v>
      </c>
      <c r="AF33" s="51">
        <f>'Resumen-DiarioHorario-Eólico'!AC1177</f>
        <v>290.94233333333324</v>
      </c>
      <c r="AG33" s="52">
        <f>'Resumen-DiarioHorario-Eólico'!AC1220</f>
        <v>464.91666666666663</v>
      </c>
      <c r="AH33" s="51">
        <f>'Resumen-DiarioHorario-Eólico'!AC1263</f>
        <v>441.12799999999999</v>
      </c>
      <c r="AI33" s="100">
        <f>'Resumen-DiarioHorario-Eólico'!AC1306</f>
        <v>0</v>
      </c>
      <c r="AJ33" s="238">
        <f t="shared" si="15"/>
        <v>7344.7788333333338</v>
      </c>
      <c r="AK33" s="238"/>
      <c r="AL33" s="238"/>
    </row>
    <row r="34" spans="2:38" s="4" customFormat="1" x14ac:dyDescent="0.3">
      <c r="B34" s="245" t="s">
        <v>13</v>
      </c>
      <c r="C34" s="245"/>
      <c r="D34" s="245"/>
      <c r="E34" s="52">
        <f>'Resumen-DiarioHorario-Eólico'!AC18</f>
        <v>691.95249999999987</v>
      </c>
      <c r="F34" s="51">
        <f>'Resumen-DiarioHorario-Eólico'!AC61</f>
        <v>474.51100000000014</v>
      </c>
      <c r="G34" s="52">
        <f>'Resumen-DiarioHorario-Eólico'!AC104</f>
        <v>1.012</v>
      </c>
      <c r="H34" s="51">
        <f>'Resumen-DiarioHorario-Eólico'!AC147</f>
        <v>93.547333333333327</v>
      </c>
      <c r="I34" s="52">
        <f>'Resumen-DiarioHorario-Eólico'!AC190</f>
        <v>87.821833333333302</v>
      </c>
      <c r="J34" s="51">
        <f>'Resumen-DiarioHorario-Eólico'!AC233</f>
        <v>62.385499999999986</v>
      </c>
      <c r="K34" s="52">
        <f>'Resumen-DiarioHorario-Eólico'!AC276</f>
        <v>0</v>
      </c>
      <c r="L34" s="51">
        <f>'Resumen-DiarioHorario-Eólico'!AC319</f>
        <v>0</v>
      </c>
      <c r="M34" s="52">
        <f>'Resumen-DiarioHorario-Eólico'!AC362</f>
        <v>15.035499999999999</v>
      </c>
      <c r="N34" s="51">
        <f>'Resumen-DiarioHorario-Eólico'!AC405</f>
        <v>0</v>
      </c>
      <c r="O34" s="52">
        <f>'Resumen-DiarioHorario-Eólico'!AC448</f>
        <v>0</v>
      </c>
      <c r="P34" s="51">
        <f>'Resumen-DiarioHorario-Eólico'!AC491</f>
        <v>0</v>
      </c>
      <c r="Q34" s="52">
        <f>'Resumen-DiarioHorario-Eólico'!AC534</f>
        <v>24.539499999999993</v>
      </c>
      <c r="R34" s="51">
        <f>'Resumen-DiarioHorario-Eólico'!AC577</f>
        <v>0</v>
      </c>
      <c r="S34" s="52">
        <f>'Resumen-DiarioHorario-Eólico'!AC620</f>
        <v>99.821833333333331</v>
      </c>
      <c r="T34" s="51">
        <f>'Resumen-DiarioHorario-Eólico'!AC663</f>
        <v>431.03216666666657</v>
      </c>
      <c r="U34" s="52">
        <f>'Resumen-DiarioHorario-Eólico'!AC706</f>
        <v>169.87783333333334</v>
      </c>
      <c r="V34" s="51">
        <f>'Resumen-DiarioHorario-Eólico'!AC749</f>
        <v>0</v>
      </c>
      <c r="W34" s="52">
        <f>'Resumen-DiarioHorario-Eólico'!AC792</f>
        <v>127.27383333333331</v>
      </c>
      <c r="X34" s="51">
        <f>'Resumen-DiarioHorario-Eólico'!AC835</f>
        <v>211.62483333333336</v>
      </c>
      <c r="Y34" s="52">
        <f>'Resumen-DiarioHorario-Eólico'!AC878</f>
        <v>147.27183333333338</v>
      </c>
      <c r="Z34" s="51">
        <f>'Resumen-DiarioHorario-Eólico'!AC921</f>
        <v>58.908499999999982</v>
      </c>
      <c r="AA34" s="52">
        <f>'Resumen-DiarioHorario-Eólico'!AC964</f>
        <v>25.734833333333324</v>
      </c>
      <c r="AB34" s="51">
        <f>'Resumen-DiarioHorario-Eólico'!AC1007</f>
        <v>0</v>
      </c>
      <c r="AC34" s="52">
        <f>'Resumen-DiarioHorario-Eólico'!AC1050</f>
        <v>0</v>
      </c>
      <c r="AD34" s="51">
        <f>'Resumen-DiarioHorario-Eólico'!AC1093</f>
        <v>110.1586666666667</v>
      </c>
      <c r="AE34" s="52">
        <f>'Resumen-DiarioHorario-Eólico'!AC1136</f>
        <v>54.096333333333369</v>
      </c>
      <c r="AF34" s="51">
        <f>'Resumen-DiarioHorario-Eólico'!AC1178</f>
        <v>24.483333333333334</v>
      </c>
      <c r="AG34" s="52">
        <f>'Resumen-DiarioHorario-Eólico'!AC1221</f>
        <v>318.58233333333322</v>
      </c>
      <c r="AH34" s="51">
        <f>'Resumen-DiarioHorario-Eólico'!AC1264</f>
        <v>202.51866666666666</v>
      </c>
      <c r="AI34" s="100">
        <f>'Resumen-DiarioHorario-Eólico'!AC1307</f>
        <v>0</v>
      </c>
      <c r="AJ34" s="238">
        <f t="shared" si="15"/>
        <v>3432.1901666666668</v>
      </c>
      <c r="AK34" s="238"/>
      <c r="AL34" s="238"/>
    </row>
    <row r="35" spans="2:38" s="4" customFormat="1" x14ac:dyDescent="0.3">
      <c r="B35" s="245" t="s">
        <v>14</v>
      </c>
      <c r="C35" s="245"/>
      <c r="D35" s="245"/>
      <c r="E35" s="52">
        <f>'Resumen-DiarioHorario-Eólico'!AC19</f>
        <v>42.212166666666661</v>
      </c>
      <c r="F35" s="51">
        <f>'Resumen-DiarioHorario-Eólico'!AC62</f>
        <v>40.655166666666652</v>
      </c>
      <c r="G35" s="52">
        <f>'Resumen-DiarioHorario-Eólico'!AC105</f>
        <v>0</v>
      </c>
      <c r="H35" s="51">
        <f>'Resumen-DiarioHorario-Eólico'!AC148</f>
        <v>30.160000000000004</v>
      </c>
      <c r="I35" s="52">
        <f>'Resumen-DiarioHorario-Eólico'!AC191</f>
        <v>32.49216666666667</v>
      </c>
      <c r="J35" s="51">
        <f>'Resumen-DiarioHorario-Eólico'!AC234</f>
        <v>25.644166666666663</v>
      </c>
      <c r="K35" s="52">
        <f>'Resumen-DiarioHorario-Eólico'!AC277</f>
        <v>9.112833333333338</v>
      </c>
      <c r="L35" s="51">
        <f>'Resumen-DiarioHorario-Eólico'!AC320</f>
        <v>0</v>
      </c>
      <c r="M35" s="52">
        <f>'Resumen-DiarioHorario-Eólico'!AC363</f>
        <v>9.2695000000000025</v>
      </c>
      <c r="N35" s="51">
        <f>'Resumen-DiarioHorario-Eólico'!AC406</f>
        <v>0</v>
      </c>
      <c r="O35" s="52">
        <f>'Resumen-DiarioHorario-Eólico'!AC449</f>
        <v>8.7263333333333346</v>
      </c>
      <c r="P35" s="51">
        <f>'Resumen-DiarioHorario-Eólico'!AC492</f>
        <v>20.114999999999995</v>
      </c>
      <c r="Q35" s="52">
        <f>'Resumen-DiarioHorario-Eólico'!AC535</f>
        <v>25.003500000000013</v>
      </c>
      <c r="R35" s="51">
        <f>'Resumen-DiarioHorario-Eólico'!AC578</f>
        <v>2.4516666666666653</v>
      </c>
      <c r="S35" s="52">
        <f>'Resumen-DiarioHorario-Eólico'!AC621</f>
        <v>10.516666666666662</v>
      </c>
      <c r="T35" s="51">
        <f>'Resumen-DiarioHorario-Eólico'!AC664</f>
        <v>9.3833333333333329</v>
      </c>
      <c r="U35" s="52">
        <f>'Resumen-DiarioHorario-Eólico'!AC707</f>
        <v>10.060833333333335</v>
      </c>
      <c r="V35" s="51">
        <f>'Resumen-DiarioHorario-Eólico'!AC750</f>
        <v>6.3933333333333371</v>
      </c>
      <c r="W35" s="52">
        <f>'Resumen-DiarioHorario-Eólico'!AC793</f>
        <v>8.2075000000000014</v>
      </c>
      <c r="X35" s="51">
        <f>'Resumen-DiarioHorario-Eólico'!AC836</f>
        <v>6.5158333333333358</v>
      </c>
      <c r="Y35" s="52">
        <f>'Resumen-DiarioHorario-Eólico'!AC879</f>
        <v>7.3475000000000019</v>
      </c>
      <c r="Z35" s="51">
        <f>'Resumen-DiarioHorario-Eólico'!AC922</f>
        <v>15.286166666666666</v>
      </c>
      <c r="AA35" s="52">
        <f>'Resumen-DiarioHorario-Eólico'!AC965</f>
        <v>7.8675000000000006</v>
      </c>
      <c r="AB35" s="51">
        <f>'Resumen-DiarioHorario-Eólico'!AC1008</f>
        <v>0</v>
      </c>
      <c r="AC35" s="52">
        <f>'Resumen-DiarioHorario-Eólico'!AC1051</f>
        <v>0</v>
      </c>
      <c r="AD35" s="51">
        <f>'Resumen-DiarioHorario-Eólico'!AC1094</f>
        <v>10.080666666666676</v>
      </c>
      <c r="AE35" s="52">
        <f>'Resumen-DiarioHorario-Eólico'!AC1137</f>
        <v>4.0606666666666671</v>
      </c>
      <c r="AF35" s="51">
        <f>'Resumen-DiarioHorario-Eólico'!AC1179</f>
        <v>17.107166666666657</v>
      </c>
      <c r="AG35" s="52">
        <f>'Resumen-DiarioHorario-Eólico'!AC1222</f>
        <v>17.454833333333337</v>
      </c>
      <c r="AH35" s="51">
        <f>'Resumen-DiarioHorario-Eólico'!AC1265</f>
        <v>23.018833333333323</v>
      </c>
      <c r="AI35" s="100">
        <f>'Resumen-DiarioHorario-Eólico'!AC1308</f>
        <v>0</v>
      </c>
      <c r="AJ35" s="238">
        <f t="shared" si="15"/>
        <v>399.14333333333326</v>
      </c>
      <c r="AK35" s="238"/>
      <c r="AL35" s="238"/>
    </row>
    <row r="36" spans="2:38" s="4" customFormat="1" x14ac:dyDescent="0.3">
      <c r="B36" s="245" t="s">
        <v>15</v>
      </c>
      <c r="C36" s="245"/>
      <c r="D36" s="245"/>
      <c r="E36" s="52">
        <f>'Resumen-DiarioHorario-Eólico'!AC20</f>
        <v>93.466166666666652</v>
      </c>
      <c r="F36" s="51">
        <f>'Resumen-DiarioHorario-Eólico'!AC63</f>
        <v>0</v>
      </c>
      <c r="G36" s="52">
        <f>'Resumen-DiarioHorario-Eólico'!AC106</f>
        <v>32.567333333333337</v>
      </c>
      <c r="H36" s="51">
        <f>'Resumen-DiarioHorario-Eólico'!AC149</f>
        <v>218.02200000000008</v>
      </c>
      <c r="I36" s="52">
        <f>'Resumen-DiarioHorario-Eólico'!AC192</f>
        <v>62.276666666666671</v>
      </c>
      <c r="J36" s="51">
        <f>'Resumen-DiarioHorario-Eólico'!AC235</f>
        <v>47.684999999999988</v>
      </c>
      <c r="K36" s="52">
        <f>'Resumen-DiarioHorario-Eólico'!AC278</f>
        <v>0</v>
      </c>
      <c r="L36" s="51">
        <f>'Resumen-DiarioHorario-Eólico'!AC321</f>
        <v>0</v>
      </c>
      <c r="M36" s="52">
        <f>'Resumen-DiarioHorario-Eólico'!AC364</f>
        <v>6.7383333333333333</v>
      </c>
      <c r="N36" s="51">
        <f>'Resumen-DiarioHorario-Eólico'!AC407</f>
        <v>0</v>
      </c>
      <c r="O36" s="52">
        <f>'Resumen-DiarioHorario-Eólico'!AC450</f>
        <v>0</v>
      </c>
      <c r="P36" s="51">
        <f>'Resumen-DiarioHorario-Eólico'!AC493</f>
        <v>0</v>
      </c>
      <c r="Q36" s="52">
        <f>'Resumen-DiarioHorario-Eólico'!AC536</f>
        <v>40.393499999999989</v>
      </c>
      <c r="R36" s="51">
        <f>'Resumen-DiarioHorario-Eólico'!AC579</f>
        <v>0</v>
      </c>
      <c r="S36" s="52">
        <f>'Resumen-DiarioHorario-Eólico'!AC622</f>
        <v>137.81916666666666</v>
      </c>
      <c r="T36" s="51">
        <f>'Resumen-DiarioHorario-Eólico'!AC665</f>
        <v>231.95733333333331</v>
      </c>
      <c r="U36" s="52">
        <f>'Resumen-DiarioHorario-Eólico'!AC708</f>
        <v>57.716166666666673</v>
      </c>
      <c r="V36" s="51">
        <f>'Resumen-DiarioHorario-Eólico'!AC751</f>
        <v>0</v>
      </c>
      <c r="W36" s="52">
        <f>'Resumen-DiarioHorario-Eólico'!AC794</f>
        <v>0.65666666666666695</v>
      </c>
      <c r="X36" s="51">
        <f>'Resumen-DiarioHorario-Eólico'!AC837</f>
        <v>0</v>
      </c>
      <c r="Y36" s="52">
        <f>'Resumen-DiarioHorario-Eólico'!AC880</f>
        <v>0.5514999999999991</v>
      </c>
      <c r="Z36" s="51">
        <f>'Resumen-DiarioHorario-Eólico'!AC923</f>
        <v>14.474666666666668</v>
      </c>
      <c r="AA36" s="52">
        <f>'Resumen-DiarioHorario-Eólico'!AC966</f>
        <v>99.612000000000023</v>
      </c>
      <c r="AB36" s="51">
        <f>'Resumen-DiarioHorario-Eólico'!AC1009</f>
        <v>0</v>
      </c>
      <c r="AC36" s="52">
        <f>'Resumen-DiarioHorario-Eólico'!AC1052</f>
        <v>0</v>
      </c>
      <c r="AD36" s="51">
        <f>'Resumen-DiarioHorario-Eólico'!AC1095</f>
        <v>0</v>
      </c>
      <c r="AE36" s="52">
        <f>'Resumen-DiarioHorario-Eólico'!AC1138</f>
        <v>17.847999999999999</v>
      </c>
      <c r="AF36" s="51">
        <f>'Resumen-DiarioHorario-Eólico'!AC1180</f>
        <v>41.698833333333347</v>
      </c>
      <c r="AG36" s="52">
        <f>'Resumen-DiarioHorario-Eólico'!AC1223</f>
        <v>45.51666666666668</v>
      </c>
      <c r="AH36" s="51">
        <f>'Resumen-DiarioHorario-Eólico'!AC1266</f>
        <v>42.715999999999987</v>
      </c>
      <c r="AI36" s="100">
        <f>'Resumen-DiarioHorario-Eólico'!AC1309</f>
        <v>0</v>
      </c>
      <c r="AJ36" s="238">
        <f t="shared" ref="AJ36" si="16">SUM(E36:AI36)</f>
        <v>1191.7159999999999</v>
      </c>
      <c r="AK36" s="238"/>
      <c r="AL36" s="238"/>
    </row>
    <row r="37" spans="2:38" s="4" customFormat="1" x14ac:dyDescent="0.3">
      <c r="B37" s="245" t="s">
        <v>16</v>
      </c>
      <c r="C37" s="245"/>
      <c r="D37" s="245"/>
      <c r="E37" s="52">
        <f>'Resumen-DiarioHorario-Eólico'!AC21</f>
        <v>122.36783333333332</v>
      </c>
      <c r="F37" s="51">
        <f>'Resumen-DiarioHorario-Eólico'!AC64</f>
        <v>30.754166666666663</v>
      </c>
      <c r="G37" s="52">
        <f>'Resumen-DiarioHorario-Eólico'!AC107</f>
        <v>0</v>
      </c>
      <c r="H37" s="51">
        <f>'Resumen-DiarioHorario-Eólico'!AC150</f>
        <v>70.856166666666667</v>
      </c>
      <c r="I37" s="52">
        <f>'Resumen-DiarioHorario-Eólico'!AC193</f>
        <v>0</v>
      </c>
      <c r="J37" s="51">
        <f>'Resumen-DiarioHorario-Eólico'!AC236</f>
        <v>41.863833333333332</v>
      </c>
      <c r="K37" s="52">
        <f>'Resumen-DiarioHorario-Eólico'!AC279</f>
        <v>0</v>
      </c>
      <c r="L37" s="51">
        <f>'Resumen-DiarioHorario-Eólico'!AC322</f>
        <v>0</v>
      </c>
      <c r="M37" s="52">
        <f>'Resumen-DiarioHorario-Eólico'!AC365</f>
        <v>0</v>
      </c>
      <c r="N37" s="51">
        <f>'Resumen-DiarioHorario-Eólico'!AC408</f>
        <v>0</v>
      </c>
      <c r="O37" s="52">
        <f>'Resumen-DiarioHorario-Eólico'!AC451</f>
        <v>0</v>
      </c>
      <c r="P37" s="51">
        <f>'Resumen-DiarioHorario-Eólico'!AC494</f>
        <v>0</v>
      </c>
      <c r="Q37" s="52">
        <f>'Resumen-DiarioHorario-Eólico'!AC537</f>
        <v>0</v>
      </c>
      <c r="R37" s="51">
        <f>'Resumen-DiarioHorario-Eólico'!AC580</f>
        <v>0</v>
      </c>
      <c r="S37" s="52">
        <f>'Resumen-DiarioHorario-Eólico'!AC623</f>
        <v>4.7149999999999981</v>
      </c>
      <c r="T37" s="51">
        <f>'Resumen-DiarioHorario-Eólico'!AC666</f>
        <v>68.976166666666671</v>
      </c>
      <c r="U37" s="52">
        <f>'Resumen-DiarioHorario-Eólico'!AC709</f>
        <v>0</v>
      </c>
      <c r="V37" s="51">
        <f>'Resumen-DiarioHorario-Eólico'!AC752</f>
        <v>0</v>
      </c>
      <c r="W37" s="52">
        <f>'Resumen-DiarioHorario-Eólico'!AC795</f>
        <v>0</v>
      </c>
      <c r="X37" s="51">
        <f>'Resumen-DiarioHorario-Eólico'!AC838</f>
        <v>1.4748333333333348</v>
      </c>
      <c r="Y37" s="52">
        <f>'Resumen-DiarioHorario-Eólico'!AC881</f>
        <v>0</v>
      </c>
      <c r="Z37" s="51">
        <f>'Resumen-DiarioHorario-Eólico'!AC924</f>
        <v>0</v>
      </c>
      <c r="AA37" s="52">
        <f>'Resumen-DiarioHorario-Eólico'!AC967</f>
        <v>0.51400000000000001</v>
      </c>
      <c r="AB37" s="51">
        <f>'Resumen-DiarioHorario-Eólico'!AC1010</f>
        <v>0</v>
      </c>
      <c r="AC37" s="52">
        <f>'Resumen-DiarioHorario-Eólico'!AC1053</f>
        <v>0</v>
      </c>
      <c r="AD37" s="51">
        <f>'Resumen-DiarioHorario-Eólico'!AC1096</f>
        <v>0</v>
      </c>
      <c r="AE37" s="52">
        <f>'Resumen-DiarioHorario-Eólico'!AC1139</f>
        <v>0</v>
      </c>
      <c r="AF37" s="51">
        <f>'Resumen-DiarioHorario-Eólico'!AC1181</f>
        <v>0</v>
      </c>
      <c r="AG37" s="52">
        <f>'Resumen-DiarioHorario-Eólico'!AC1224</f>
        <v>3.8816666666666646</v>
      </c>
      <c r="AH37" s="51">
        <f>'Resumen-DiarioHorario-Eólico'!AC1267</f>
        <v>17.970666666666666</v>
      </c>
      <c r="AI37" s="100">
        <f>'Resumen-DiarioHorario-Eólico'!AC1310</f>
        <v>0</v>
      </c>
      <c r="AJ37" s="238">
        <f t="shared" ref="AJ37:AJ58" si="17">SUM(E37:AI37)</f>
        <v>363.37433333333325</v>
      </c>
      <c r="AK37" s="238"/>
      <c r="AL37" s="238"/>
    </row>
    <row r="38" spans="2:38" s="4" customFormat="1" x14ac:dyDescent="0.3">
      <c r="B38" s="245" t="s">
        <v>17</v>
      </c>
      <c r="C38" s="245"/>
      <c r="D38" s="245"/>
      <c r="E38" s="52">
        <f>'Resumen-DiarioHorario-Eólico'!AC22</f>
        <v>149.98649999999995</v>
      </c>
      <c r="F38" s="51">
        <f>'Resumen-DiarioHorario-Eólico'!AC65</f>
        <v>75.98066666666665</v>
      </c>
      <c r="G38" s="52">
        <f>'Resumen-DiarioHorario-Eólico'!AC108</f>
        <v>5.1286666666666667</v>
      </c>
      <c r="H38" s="51">
        <f>'Resumen-DiarioHorario-Eólico'!AC151</f>
        <v>204.96483333333333</v>
      </c>
      <c r="I38" s="52">
        <f>'Resumen-DiarioHorario-Eólico'!AC194</f>
        <v>126.89566666666666</v>
      </c>
      <c r="J38" s="51">
        <f>'Resumen-DiarioHorario-Eólico'!AC237</f>
        <v>146.23099999999999</v>
      </c>
      <c r="K38" s="52">
        <f>'Resumen-DiarioHorario-Eólico'!AC280</f>
        <v>0</v>
      </c>
      <c r="L38" s="51">
        <f>'Resumen-DiarioHorario-Eólico'!AC323</f>
        <v>0</v>
      </c>
      <c r="M38" s="52">
        <f>'Resumen-DiarioHorario-Eólico'!AC366</f>
        <v>0</v>
      </c>
      <c r="N38" s="51">
        <f>'Resumen-DiarioHorario-Eólico'!AC409</f>
        <v>0</v>
      </c>
      <c r="O38" s="52">
        <f>'Resumen-DiarioHorario-Eólico'!AC452</f>
        <v>15.896833333333326</v>
      </c>
      <c r="P38" s="51">
        <f>'Resumen-DiarioHorario-Eólico'!AC495</f>
        <v>63.997500000000002</v>
      </c>
      <c r="Q38" s="52">
        <f>'Resumen-DiarioHorario-Eólico'!AC538</f>
        <v>8.259666666666666</v>
      </c>
      <c r="R38" s="51">
        <f>'Resumen-DiarioHorario-Eólico'!AC581</f>
        <v>10.644500000000001</v>
      </c>
      <c r="S38" s="52">
        <f>'Resumen-DiarioHorario-Eólico'!AC624</f>
        <v>58.217833333333331</v>
      </c>
      <c r="T38" s="51">
        <f>'Resumen-DiarioHorario-Eólico'!AC667</f>
        <v>152.50333333333333</v>
      </c>
      <c r="U38" s="52">
        <f>'Resumen-DiarioHorario-Eólico'!AC710</f>
        <v>14.446333333333333</v>
      </c>
      <c r="V38" s="51">
        <f>'Resumen-DiarioHorario-Eólico'!AC753</f>
        <v>85.543999999999997</v>
      </c>
      <c r="W38" s="52">
        <f>'Resumen-DiarioHorario-Eólico'!AC796</f>
        <v>31.501666666666679</v>
      </c>
      <c r="X38" s="51">
        <f>'Resumen-DiarioHorario-Eólico'!AC839</f>
        <v>23.324666666666662</v>
      </c>
      <c r="Y38" s="52">
        <f>'Resumen-DiarioHorario-Eólico'!AC882</f>
        <v>116.57733333333334</v>
      </c>
      <c r="Z38" s="51">
        <f>'Resumen-DiarioHorario-Eólico'!AC925</f>
        <v>80.919666666666657</v>
      </c>
      <c r="AA38" s="52">
        <f>'Resumen-DiarioHorario-Eólico'!AC968</f>
        <v>93.83016666666667</v>
      </c>
      <c r="AB38" s="51">
        <f>'Resumen-DiarioHorario-Eólico'!AC1011</f>
        <v>0</v>
      </c>
      <c r="AC38" s="52">
        <f>'Resumen-DiarioHorario-Eólico'!AC1054</f>
        <v>0</v>
      </c>
      <c r="AD38" s="51">
        <f>'Resumen-DiarioHorario-Eólico'!AC1097</f>
        <v>19.573333333333345</v>
      </c>
      <c r="AE38" s="52">
        <f>'Resumen-DiarioHorario-Eólico'!AC1140</f>
        <v>166.00133333333332</v>
      </c>
      <c r="AF38" s="51">
        <f>'Resumen-DiarioHorario-Eólico'!AC1182</f>
        <v>87.164333333333317</v>
      </c>
      <c r="AG38" s="52">
        <f>'Resumen-DiarioHorario-Eólico'!AC1225</f>
        <v>188.14266666666668</v>
      </c>
      <c r="AH38" s="51">
        <f>'Resumen-DiarioHorario-Eólico'!AC1268</f>
        <v>239.26766666666668</v>
      </c>
      <c r="AI38" s="100">
        <f>'Resumen-DiarioHorario-Eólico'!AC1311</f>
        <v>0</v>
      </c>
      <c r="AJ38" s="238">
        <f t="shared" si="17"/>
        <v>2165.0001666666672</v>
      </c>
      <c r="AK38" s="238"/>
      <c r="AL38" s="238"/>
    </row>
    <row r="39" spans="2:38" s="4" customFormat="1" x14ac:dyDescent="0.3">
      <c r="B39" s="245" t="s">
        <v>18</v>
      </c>
      <c r="C39" s="245"/>
      <c r="D39" s="245"/>
      <c r="E39" s="52">
        <f>'Resumen-DiarioHorario-Eólico'!AC23</f>
        <v>4.9716666666666667</v>
      </c>
      <c r="F39" s="51">
        <f>'Resumen-DiarioHorario-Eólico'!AC66</f>
        <v>43.096833333333329</v>
      </c>
      <c r="G39" s="52">
        <f>'Resumen-DiarioHorario-Eólico'!AC109</f>
        <v>0</v>
      </c>
      <c r="H39" s="51">
        <f>'Resumen-DiarioHorario-Eólico'!AC152</f>
        <v>8.0333333333333465E-2</v>
      </c>
      <c r="I39" s="52">
        <f>'Resumen-DiarioHorario-Eólico'!AC195</f>
        <v>1.6666666666675193E-4</v>
      </c>
      <c r="J39" s="51">
        <f>'Resumen-DiarioHorario-Eólico'!AC238</f>
        <v>22.474666666666671</v>
      </c>
      <c r="K39" s="52">
        <f>'Resumen-DiarioHorario-Eólico'!AC281</f>
        <v>0</v>
      </c>
      <c r="L39" s="51">
        <f>'Resumen-DiarioHorario-Eólico'!AC324</f>
        <v>0</v>
      </c>
      <c r="M39" s="52">
        <f>'Resumen-DiarioHorario-Eólico'!AC367</f>
        <v>4.4298333333333328</v>
      </c>
      <c r="N39" s="51">
        <f>'Resumen-DiarioHorario-Eólico'!AC410</f>
        <v>0</v>
      </c>
      <c r="O39" s="52">
        <f>'Resumen-DiarioHorario-Eólico'!AC453</f>
        <v>0</v>
      </c>
      <c r="P39" s="51">
        <f>'Resumen-DiarioHorario-Eólico'!AC496</f>
        <v>0</v>
      </c>
      <c r="Q39" s="52">
        <f>'Resumen-DiarioHorario-Eólico'!AC539</f>
        <v>0</v>
      </c>
      <c r="R39" s="51">
        <f>'Resumen-DiarioHorario-Eólico'!AC582</f>
        <v>0</v>
      </c>
      <c r="S39" s="52">
        <f>'Resumen-DiarioHorario-Eólico'!AC625</f>
        <v>0</v>
      </c>
      <c r="T39" s="51">
        <f>'Resumen-DiarioHorario-Eólico'!AC668</f>
        <v>213.96233333333339</v>
      </c>
      <c r="U39" s="52">
        <f>'Resumen-DiarioHorario-Eólico'!AC711</f>
        <v>11.483500000000015</v>
      </c>
      <c r="V39" s="51">
        <f>'Resumen-DiarioHorario-Eólico'!AC754</f>
        <v>0</v>
      </c>
      <c r="W39" s="52">
        <f>'Resumen-DiarioHorario-Eólico'!AC797</f>
        <v>0</v>
      </c>
      <c r="X39" s="51">
        <f>'Resumen-DiarioHorario-Eólico'!AC840</f>
        <v>0</v>
      </c>
      <c r="Y39" s="52">
        <f>'Resumen-DiarioHorario-Eólico'!AC883</f>
        <v>0</v>
      </c>
      <c r="Z39" s="51">
        <f>'Resumen-DiarioHorario-Eólico'!AC926</f>
        <v>18.506000000000004</v>
      </c>
      <c r="AA39" s="52">
        <f>'Resumen-DiarioHorario-Eólico'!AC969</f>
        <v>85.887666666666689</v>
      </c>
      <c r="AB39" s="51">
        <f>'Resumen-DiarioHorario-Eólico'!AC1012</f>
        <v>0</v>
      </c>
      <c r="AC39" s="52">
        <f>'Resumen-DiarioHorario-Eólico'!AC1055</f>
        <v>0</v>
      </c>
      <c r="AD39" s="51">
        <f>'Resumen-DiarioHorario-Eólico'!AC1098</f>
        <v>0</v>
      </c>
      <c r="AE39" s="52">
        <f>'Resumen-DiarioHorario-Eólico'!AC1141</f>
        <v>68.417500000000018</v>
      </c>
      <c r="AF39" s="51">
        <f>'Resumen-DiarioHorario-Eólico'!AC1183</f>
        <v>0</v>
      </c>
      <c r="AG39" s="52">
        <f>'Resumen-DiarioHorario-Eólico'!AC1226</f>
        <v>43.098666666666652</v>
      </c>
      <c r="AH39" s="51">
        <f>'Resumen-DiarioHorario-Eólico'!AC1269</f>
        <v>151.24266666666665</v>
      </c>
      <c r="AI39" s="100">
        <f>'Resumen-DiarioHorario-Eólico'!AC1312</f>
        <v>0</v>
      </c>
      <c r="AJ39" s="238">
        <f t="shared" si="17"/>
        <v>667.65183333333346</v>
      </c>
      <c r="AK39" s="238"/>
      <c r="AL39" s="238"/>
    </row>
    <row r="40" spans="2:38" s="4" customFormat="1" x14ac:dyDescent="0.3">
      <c r="B40" s="245" t="s">
        <v>19</v>
      </c>
      <c r="C40" s="245"/>
      <c r="D40" s="245"/>
      <c r="E40" s="52">
        <f>'Resumen-DiarioHorario-Eólico'!AC24</f>
        <v>224.45549999999992</v>
      </c>
      <c r="F40" s="51">
        <f>'Resumen-DiarioHorario-Eólico'!AC67</f>
        <v>16.318666666666669</v>
      </c>
      <c r="G40" s="52">
        <f>'Resumen-DiarioHorario-Eólico'!AC110</f>
        <v>0</v>
      </c>
      <c r="H40" s="51">
        <f>'Resumen-DiarioHorario-Eólico'!AC153</f>
        <v>128.6301666666667</v>
      </c>
      <c r="I40" s="52">
        <f>'Resumen-DiarioHorario-Eólico'!AC196</f>
        <v>44.647333333333329</v>
      </c>
      <c r="J40" s="51">
        <f>'Resumen-DiarioHorario-Eólico'!AC239</f>
        <v>36.245333333333335</v>
      </c>
      <c r="K40" s="52">
        <f>'Resumen-DiarioHorario-Eólico'!AC282</f>
        <v>37.442666666666682</v>
      </c>
      <c r="L40" s="51">
        <f>'Resumen-DiarioHorario-Eólico'!AC325</f>
        <v>0</v>
      </c>
      <c r="M40" s="52">
        <f>'Resumen-DiarioHorario-Eólico'!AC368</f>
        <v>12.333333333333332</v>
      </c>
      <c r="N40" s="51">
        <f>'Resumen-DiarioHorario-Eólico'!AC411</f>
        <v>0</v>
      </c>
      <c r="O40" s="52">
        <f>'Resumen-DiarioHorario-Eólico'!AC454</f>
        <v>121.70999999999998</v>
      </c>
      <c r="P40" s="51">
        <f>'Resumen-DiarioHorario-Eólico'!AC497</f>
        <v>0</v>
      </c>
      <c r="Q40" s="52">
        <f>'Resumen-DiarioHorario-Eólico'!AC540</f>
        <v>55.444166666666675</v>
      </c>
      <c r="R40" s="51">
        <f>'Resumen-DiarioHorario-Eólico'!AC583</f>
        <v>0</v>
      </c>
      <c r="S40" s="52">
        <f>'Resumen-DiarioHorario-Eólico'!AC626</f>
        <v>25.241500000000009</v>
      </c>
      <c r="T40" s="51">
        <f>'Resumen-DiarioHorario-Eólico'!AC669</f>
        <v>221.66399999999996</v>
      </c>
      <c r="U40" s="52">
        <f>'Resumen-DiarioHorario-Eólico'!AC712</f>
        <v>53.312833333333366</v>
      </c>
      <c r="V40" s="51">
        <f>'Resumen-DiarioHorario-Eólico'!AC755</f>
        <v>16.477833333333312</v>
      </c>
      <c r="W40" s="52">
        <f>'Resumen-DiarioHorario-Eólico'!AC798</f>
        <v>59.061333333333337</v>
      </c>
      <c r="X40" s="51">
        <f>'Resumen-DiarioHorario-Eólico'!AC841</f>
        <v>14.691833333333353</v>
      </c>
      <c r="Y40" s="52">
        <f>'Resumen-DiarioHorario-Eólico'!AC884</f>
        <v>289.1898333333333</v>
      </c>
      <c r="Z40" s="51">
        <f>'Resumen-DiarioHorario-Eólico'!AC927</f>
        <v>49.439499999999995</v>
      </c>
      <c r="AA40" s="52">
        <f>'Resumen-DiarioHorario-Eólico'!AC970</f>
        <v>1.4403333333333272</v>
      </c>
      <c r="AB40" s="51">
        <f>'Resumen-DiarioHorario-Eólico'!AC1013</f>
        <v>0</v>
      </c>
      <c r="AC40" s="52">
        <f>'Resumen-DiarioHorario-Eólico'!AC1056</f>
        <v>0</v>
      </c>
      <c r="AD40" s="51">
        <f>'Resumen-DiarioHorario-Eólico'!AC1099</f>
        <v>0</v>
      </c>
      <c r="AE40" s="52">
        <f>'Resumen-DiarioHorario-Eólico'!AC1142</f>
        <v>0</v>
      </c>
      <c r="AF40" s="51">
        <f>'Resumen-DiarioHorario-Eólico'!AC1184</f>
        <v>88.124833333333328</v>
      </c>
      <c r="AG40" s="52">
        <f>'Resumen-DiarioHorario-Eólico'!AC1227</f>
        <v>141.11083333333329</v>
      </c>
      <c r="AH40" s="51">
        <f>'Resumen-DiarioHorario-Eólico'!AC1270</f>
        <v>95.25766666666668</v>
      </c>
      <c r="AI40" s="100">
        <f>'Resumen-DiarioHorario-Eólico'!AC1313</f>
        <v>0</v>
      </c>
      <c r="AJ40" s="238">
        <f t="shared" si="17"/>
        <v>1732.2394999999999</v>
      </c>
      <c r="AK40" s="238"/>
      <c r="AL40" s="238"/>
    </row>
    <row r="41" spans="2:38" s="4" customFormat="1" x14ac:dyDescent="0.3">
      <c r="B41" s="245" t="s">
        <v>20</v>
      </c>
      <c r="C41" s="245"/>
      <c r="D41" s="245"/>
      <c r="E41" s="52">
        <f>'Resumen-DiarioHorario-Eólico'!AC25</f>
        <v>103.41166666666665</v>
      </c>
      <c r="F41" s="51">
        <f>'Resumen-DiarioHorario-Eólico'!AC68</f>
        <v>115.18183333333337</v>
      </c>
      <c r="G41" s="52">
        <f>'Resumen-DiarioHorario-Eólico'!AC111</f>
        <v>39.332000000000022</v>
      </c>
      <c r="H41" s="51">
        <f>'Resumen-DiarioHorario-Eólico'!AC154</f>
        <v>235.66599999999985</v>
      </c>
      <c r="I41" s="52">
        <f>'Resumen-DiarioHorario-Eólico'!AC197</f>
        <v>82.925666666666672</v>
      </c>
      <c r="J41" s="51">
        <f>'Resumen-DiarioHorario-Eólico'!AC240</f>
        <v>95.696166666666642</v>
      </c>
      <c r="K41" s="52">
        <f>'Resumen-DiarioHorario-Eólico'!AC283</f>
        <v>0</v>
      </c>
      <c r="L41" s="51">
        <f>'Resumen-DiarioHorario-Eólico'!AC326</f>
        <v>0</v>
      </c>
      <c r="M41" s="52">
        <f>'Resumen-DiarioHorario-Eólico'!AC369</f>
        <v>1.5603333333333336</v>
      </c>
      <c r="N41" s="51">
        <f>'Resumen-DiarioHorario-Eólico'!AC412</f>
        <v>0</v>
      </c>
      <c r="O41" s="52">
        <f>'Resumen-DiarioHorario-Eólico'!AC455</f>
        <v>0</v>
      </c>
      <c r="P41" s="51">
        <f>'Resumen-DiarioHorario-Eólico'!AC498</f>
        <v>16.353000000000009</v>
      </c>
      <c r="Q41" s="52">
        <f>'Resumen-DiarioHorario-Eólico'!AC541</f>
        <v>99.393999999999977</v>
      </c>
      <c r="R41" s="51">
        <f>'Resumen-DiarioHorario-Eólico'!AC584</f>
        <v>19.557333333333322</v>
      </c>
      <c r="S41" s="52">
        <f>'Resumen-DiarioHorario-Eólico'!AC627</f>
        <v>8.1940000000000097</v>
      </c>
      <c r="T41" s="51">
        <f>'Resumen-DiarioHorario-Eólico'!AC670</f>
        <v>57.685833333333342</v>
      </c>
      <c r="U41" s="52">
        <f>'Resumen-DiarioHorario-Eólico'!AC713</f>
        <v>65.462000000000046</v>
      </c>
      <c r="V41" s="51">
        <f>'Resumen-DiarioHorario-Eólico'!AC756</f>
        <v>113.34533333333331</v>
      </c>
      <c r="W41" s="52">
        <f>'Resumen-DiarioHorario-Eólico'!AC799</f>
        <v>116.58516666666668</v>
      </c>
      <c r="X41" s="51">
        <f>'Resumen-DiarioHorario-Eólico'!AC842</f>
        <v>263.7526666666667</v>
      </c>
      <c r="Y41" s="52">
        <f>'Resumen-DiarioHorario-Eólico'!AC885</f>
        <v>67.104000000000013</v>
      </c>
      <c r="Z41" s="51">
        <f>'Resumen-DiarioHorario-Eólico'!AC928</f>
        <v>6.3713333333333324</v>
      </c>
      <c r="AA41" s="52">
        <f>'Resumen-DiarioHorario-Eólico'!AC971</f>
        <v>91.081000000000031</v>
      </c>
      <c r="AB41" s="51">
        <f>'Resumen-DiarioHorario-Eólico'!AC1014</f>
        <v>0</v>
      </c>
      <c r="AC41" s="52">
        <f>'Resumen-DiarioHorario-Eólico'!AC1057</f>
        <v>0</v>
      </c>
      <c r="AD41" s="51">
        <f>'Resumen-DiarioHorario-Eólico'!AC1100</f>
        <v>9.341500000000007</v>
      </c>
      <c r="AE41" s="52">
        <f>'Resumen-DiarioHorario-Eólico'!AC1143</f>
        <v>9.2050000000000054</v>
      </c>
      <c r="AF41" s="51">
        <f>'Resumen-DiarioHorario-Eólico'!AC1185</f>
        <v>65.248666666666679</v>
      </c>
      <c r="AG41" s="52">
        <f>'Resumen-DiarioHorario-Eólico'!AC1228</f>
        <v>23.449333333333339</v>
      </c>
      <c r="AH41" s="51">
        <f>'Resumen-DiarioHorario-Eólico'!AC1271</f>
        <v>109.88266666666667</v>
      </c>
      <c r="AI41" s="100">
        <f>'Resumen-DiarioHorario-Eólico'!AC1314</f>
        <v>0</v>
      </c>
      <c r="AJ41" s="238">
        <f t="shared" si="17"/>
        <v>1815.7864999999999</v>
      </c>
      <c r="AK41" s="238"/>
      <c r="AL41" s="238"/>
    </row>
    <row r="42" spans="2:38" s="4" customFormat="1" x14ac:dyDescent="0.3">
      <c r="B42" s="245" t="s">
        <v>21</v>
      </c>
      <c r="C42" s="245"/>
      <c r="D42" s="245"/>
      <c r="E42" s="52">
        <f>'Resumen-DiarioHorario-Eólico'!AC26</f>
        <v>46.193333333333328</v>
      </c>
      <c r="F42" s="51">
        <f>'Resumen-DiarioHorario-Eólico'!AC69</f>
        <v>1.8638333333333317</v>
      </c>
      <c r="G42" s="52">
        <f>'Resumen-DiarioHorario-Eólico'!AC112</f>
        <v>17.37466666666667</v>
      </c>
      <c r="H42" s="51">
        <f>'Resumen-DiarioHorario-Eólico'!AC155</f>
        <v>47.609333333333325</v>
      </c>
      <c r="I42" s="52">
        <f>'Resumen-DiarioHorario-Eólico'!AC198</f>
        <v>6.6619999999999999</v>
      </c>
      <c r="J42" s="51">
        <f>'Resumen-DiarioHorario-Eólico'!AC241</f>
        <v>25.210833333333337</v>
      </c>
      <c r="K42" s="52">
        <f>'Resumen-DiarioHorario-Eólico'!AC284</f>
        <v>0</v>
      </c>
      <c r="L42" s="51">
        <f>'Resumen-DiarioHorario-Eólico'!AC327</f>
        <v>0</v>
      </c>
      <c r="M42" s="52">
        <f>'Resumen-DiarioHorario-Eólico'!AC370</f>
        <v>3.014333333333334</v>
      </c>
      <c r="N42" s="51">
        <f>'Resumen-DiarioHorario-Eólico'!AC413</f>
        <v>0</v>
      </c>
      <c r="O42" s="52">
        <f>'Resumen-DiarioHorario-Eólico'!AC456</f>
        <v>0</v>
      </c>
      <c r="P42" s="51">
        <f>'Resumen-DiarioHorario-Eólico'!AC499</f>
        <v>11.088333333333333</v>
      </c>
      <c r="Q42" s="52">
        <f>'Resumen-DiarioHorario-Eólico'!AC542</f>
        <v>35.646999999999991</v>
      </c>
      <c r="R42" s="51">
        <f>'Resumen-DiarioHorario-Eólico'!AC585</f>
        <v>0</v>
      </c>
      <c r="S42" s="52">
        <f>'Resumen-DiarioHorario-Eólico'!AC628</f>
        <v>21.596000000000004</v>
      </c>
      <c r="T42" s="51">
        <f>'Resumen-DiarioHorario-Eólico'!AC671</f>
        <v>69.546499999999995</v>
      </c>
      <c r="U42" s="52">
        <f>'Resumen-DiarioHorario-Eólico'!AC714</f>
        <v>16.659666666666666</v>
      </c>
      <c r="V42" s="51">
        <f>'Resumen-DiarioHorario-Eólico'!AC757</f>
        <v>2.2529999999999974</v>
      </c>
      <c r="W42" s="52">
        <f>'Resumen-DiarioHorario-Eólico'!AC800</f>
        <v>2.7745000000000011</v>
      </c>
      <c r="X42" s="51">
        <f>'Resumen-DiarioHorario-Eólico'!AC843</f>
        <v>60.451333333333331</v>
      </c>
      <c r="Y42" s="52">
        <f>'Resumen-DiarioHorario-Eólico'!AC886</f>
        <v>5.5135000000000058</v>
      </c>
      <c r="Z42" s="51">
        <f>'Resumen-DiarioHorario-Eólico'!AC929</f>
        <v>3.9115000000000002</v>
      </c>
      <c r="AA42" s="52">
        <f>'Resumen-DiarioHorario-Eólico'!AC972</f>
        <v>77.247333333333344</v>
      </c>
      <c r="AB42" s="51">
        <f>'Resumen-DiarioHorario-Eólico'!AC1015</f>
        <v>0</v>
      </c>
      <c r="AC42" s="52">
        <f>'Resumen-DiarioHorario-Eólico'!AC1058</f>
        <v>0</v>
      </c>
      <c r="AD42" s="51">
        <f>'Resumen-DiarioHorario-Eólico'!AC1101</f>
        <v>0</v>
      </c>
      <c r="AE42" s="52">
        <f>'Resumen-DiarioHorario-Eólico'!AC1144</f>
        <v>27.471000000000004</v>
      </c>
      <c r="AF42" s="51">
        <f>'Resumen-DiarioHorario-Eólico'!AC1186</f>
        <v>64.807833333333335</v>
      </c>
      <c r="AG42" s="52">
        <f>'Resumen-DiarioHorario-Eólico'!AC1229</f>
        <v>36.51</v>
      </c>
      <c r="AH42" s="51">
        <f>'Resumen-DiarioHorario-Eólico'!AC1272</f>
        <v>61.147000000000006</v>
      </c>
      <c r="AI42" s="100">
        <f>'Resumen-DiarioHorario-Eólico'!AC1315</f>
        <v>0</v>
      </c>
      <c r="AJ42" s="238">
        <f t="shared" si="17"/>
        <v>644.5528333333333</v>
      </c>
      <c r="AK42" s="238"/>
      <c r="AL42" s="238"/>
    </row>
    <row r="43" spans="2:38" s="4" customFormat="1" x14ac:dyDescent="0.3">
      <c r="B43" s="245" t="s">
        <v>22</v>
      </c>
      <c r="C43" s="245"/>
      <c r="D43" s="245"/>
      <c r="E43" s="52">
        <f>'Resumen-DiarioHorario-Eólico'!AC27</f>
        <v>3.8205000000000005</v>
      </c>
      <c r="F43" s="51">
        <f>'Resumen-DiarioHorario-Eólico'!AC70</f>
        <v>8.9251666666666658</v>
      </c>
      <c r="G43" s="52">
        <f>'Resumen-DiarioHorario-Eólico'!AC113</f>
        <v>4.028833333333333</v>
      </c>
      <c r="H43" s="51">
        <f>'Resumen-DiarioHorario-Eólico'!AC156</f>
        <v>4.8315000000000001</v>
      </c>
      <c r="I43" s="52">
        <f>'Resumen-DiarioHorario-Eólico'!AC199</f>
        <v>10.060499999999999</v>
      </c>
      <c r="J43" s="51">
        <f>'Resumen-DiarioHorario-Eólico'!AC242</f>
        <v>4.6366666666666676</v>
      </c>
      <c r="K43" s="52">
        <f>'Resumen-DiarioHorario-Eólico'!AC285</f>
        <v>0</v>
      </c>
      <c r="L43" s="51">
        <f>'Resumen-DiarioHorario-Eólico'!AC328</f>
        <v>0</v>
      </c>
      <c r="M43" s="52">
        <f>'Resumen-DiarioHorario-Eólico'!AC371</f>
        <v>2.0451666666666664</v>
      </c>
      <c r="N43" s="51">
        <f>'Resumen-DiarioHorario-Eólico'!AC414</f>
        <v>0</v>
      </c>
      <c r="O43" s="52">
        <f>'Resumen-DiarioHorario-Eólico'!AC457</f>
        <v>0</v>
      </c>
      <c r="P43" s="51">
        <f>'Resumen-DiarioHorario-Eólico'!AC500</f>
        <v>8.8856666666666673</v>
      </c>
      <c r="Q43" s="52">
        <f>'Resumen-DiarioHorario-Eólico'!AC543</f>
        <v>7.3440000000000012</v>
      </c>
      <c r="R43" s="51">
        <f>'Resumen-DiarioHorario-Eólico'!AC586</f>
        <v>2.8666666666666677E-2</v>
      </c>
      <c r="S43" s="52">
        <f>'Resumen-DiarioHorario-Eólico'!AC629</f>
        <v>4.6398333333333337</v>
      </c>
      <c r="T43" s="51">
        <f>'Resumen-DiarioHorario-Eólico'!AC672</f>
        <v>20.442666666666668</v>
      </c>
      <c r="U43" s="52">
        <f>'Resumen-DiarioHorario-Eólico'!AC715</f>
        <v>64.351333333333372</v>
      </c>
      <c r="V43" s="51">
        <f>'Resumen-DiarioHorario-Eólico'!AC758</f>
        <v>16.756000000000004</v>
      </c>
      <c r="W43" s="52">
        <f>'Resumen-DiarioHorario-Eólico'!AC801</f>
        <v>0.92833333333333312</v>
      </c>
      <c r="X43" s="51">
        <f>'Resumen-DiarioHorario-Eólico'!AC844</f>
        <v>1.3551666666666664</v>
      </c>
      <c r="Y43" s="52">
        <f>'Resumen-DiarioHorario-Eólico'!AC887</f>
        <v>2.2474999999999987</v>
      </c>
      <c r="Z43" s="51">
        <f>'Resumen-DiarioHorario-Eólico'!AC930</f>
        <v>1.784833333333333</v>
      </c>
      <c r="AA43" s="52">
        <f>'Resumen-DiarioHorario-Eólico'!AC973</f>
        <v>8.5054999999999996</v>
      </c>
      <c r="AB43" s="51">
        <f>'Resumen-DiarioHorario-Eólico'!AC1016</f>
        <v>0</v>
      </c>
      <c r="AC43" s="52">
        <f>'Resumen-DiarioHorario-Eólico'!AC1059</f>
        <v>0</v>
      </c>
      <c r="AD43" s="51">
        <f>'Resumen-DiarioHorario-Eólico'!AC1102</f>
        <v>0</v>
      </c>
      <c r="AE43" s="52">
        <f>'Resumen-DiarioHorario-Eólico'!AC1145</f>
        <v>8.6091666666666651</v>
      </c>
      <c r="AF43" s="51">
        <f>'Resumen-DiarioHorario-Eólico'!AC1187</f>
        <v>8.0583333333333318</v>
      </c>
      <c r="AG43" s="52">
        <f>'Resumen-DiarioHorario-Eólico'!AC1230</f>
        <v>1.6511666666666662</v>
      </c>
      <c r="AH43" s="51">
        <f>'Resumen-DiarioHorario-Eólico'!AC1273</f>
        <v>17.555833333333336</v>
      </c>
      <c r="AI43" s="100">
        <f>'Resumen-DiarioHorario-Eólico'!AC1316</f>
        <v>0</v>
      </c>
      <c r="AJ43" s="238">
        <f t="shared" si="17"/>
        <v>211.49233333333336</v>
      </c>
      <c r="AK43" s="238"/>
      <c r="AL43" s="238"/>
    </row>
    <row r="44" spans="2:38" s="4" customFormat="1" x14ac:dyDescent="0.3">
      <c r="B44" s="245" t="s">
        <v>23</v>
      </c>
      <c r="C44" s="245"/>
      <c r="D44" s="245"/>
      <c r="E44" s="52">
        <f>'Resumen-DiarioHorario-Eólico'!AC28</f>
        <v>0.25883333333333169</v>
      </c>
      <c r="F44" s="51">
        <f>'Resumen-DiarioHorario-Eólico'!AC71</f>
        <v>67.472333333333339</v>
      </c>
      <c r="G44" s="52">
        <f>'Resumen-DiarioHorario-Eólico'!AC114</f>
        <v>1.5665</v>
      </c>
      <c r="H44" s="51">
        <f>'Resumen-DiarioHorario-Eólico'!AC157</f>
        <v>20.714666666666677</v>
      </c>
      <c r="I44" s="52">
        <f>'Resumen-DiarioHorario-Eólico'!AC200</f>
        <v>54.438833333333328</v>
      </c>
      <c r="J44" s="51">
        <f>'Resumen-DiarioHorario-Eólico'!AC243</f>
        <v>13.888500000000002</v>
      </c>
      <c r="K44" s="52">
        <f>'Resumen-DiarioHorario-Eólico'!AC286</f>
        <v>0</v>
      </c>
      <c r="L44" s="51">
        <f>'Resumen-DiarioHorario-Eólico'!AC329</f>
        <v>0</v>
      </c>
      <c r="M44" s="52">
        <f>'Resumen-DiarioHorario-Eólico'!AC372</f>
        <v>6.9446666666666665</v>
      </c>
      <c r="N44" s="51">
        <f>'Resumen-DiarioHorario-Eólico'!AC415</f>
        <v>0</v>
      </c>
      <c r="O44" s="52">
        <f>'Resumen-DiarioHorario-Eólico'!AC458</f>
        <v>0</v>
      </c>
      <c r="P44" s="51">
        <f>'Resumen-DiarioHorario-Eólico'!AC501</f>
        <v>15.298833333333338</v>
      </c>
      <c r="Q44" s="52">
        <f>'Resumen-DiarioHorario-Eólico'!AC544</f>
        <v>42.19</v>
      </c>
      <c r="R44" s="51">
        <f>'Resumen-DiarioHorario-Eólico'!AC587</f>
        <v>2.4621666666666671</v>
      </c>
      <c r="S44" s="52">
        <f>'Resumen-DiarioHorario-Eólico'!AC630</f>
        <v>42.129499999999993</v>
      </c>
      <c r="T44" s="51">
        <f>'Resumen-DiarioHorario-Eólico'!AC673</f>
        <v>77.284166666666664</v>
      </c>
      <c r="U44" s="52">
        <f>'Resumen-DiarioHorario-Eólico'!AC716</f>
        <v>28.997833333333329</v>
      </c>
      <c r="V44" s="51">
        <f>'Resumen-DiarioHorario-Eólico'!AC759</f>
        <v>15.900500000000005</v>
      </c>
      <c r="W44" s="52">
        <f>'Resumen-DiarioHorario-Eólico'!AC802</f>
        <v>73.898833333333343</v>
      </c>
      <c r="X44" s="51">
        <f>'Resumen-DiarioHorario-Eólico'!AC845</f>
        <v>18.311</v>
      </c>
      <c r="Y44" s="52">
        <f>'Resumen-DiarioHorario-Eólico'!AC888</f>
        <v>44.780666666666669</v>
      </c>
      <c r="Z44" s="51">
        <f>'Resumen-DiarioHorario-Eólico'!AC931</f>
        <v>0</v>
      </c>
      <c r="AA44" s="52">
        <f>'Resumen-DiarioHorario-Eólico'!AC974</f>
        <v>37.775999999999996</v>
      </c>
      <c r="AB44" s="51">
        <f>'Resumen-DiarioHorario-Eólico'!AC1017</f>
        <v>0</v>
      </c>
      <c r="AC44" s="52">
        <f>'Resumen-DiarioHorario-Eólico'!AC1060</f>
        <v>0</v>
      </c>
      <c r="AD44" s="51">
        <f>'Resumen-DiarioHorario-Eólico'!AC1103</f>
        <v>0</v>
      </c>
      <c r="AE44" s="52">
        <f>'Resumen-DiarioHorario-Eólico'!AC1146</f>
        <v>31.095333333333329</v>
      </c>
      <c r="AF44" s="51">
        <f>'Resumen-DiarioHorario-Eólico'!AC1188</f>
        <v>86.785500000000013</v>
      </c>
      <c r="AG44" s="52">
        <f>'Resumen-DiarioHorario-Eólico'!AC1231</f>
        <v>54.426666666666662</v>
      </c>
      <c r="AH44" s="51">
        <f>'Resumen-DiarioHorario-Eólico'!AC1274</f>
        <v>76.894166666666663</v>
      </c>
      <c r="AI44" s="100">
        <f>'Resumen-DiarioHorario-Eólico'!AC1317</f>
        <v>0</v>
      </c>
      <c r="AJ44" s="238">
        <f t="shared" si="17"/>
        <v>813.51550000000009</v>
      </c>
      <c r="AK44" s="238"/>
      <c r="AL44" s="238"/>
    </row>
    <row r="45" spans="2:38" s="4" customFormat="1" x14ac:dyDescent="0.3">
      <c r="B45" s="245" t="s">
        <v>24</v>
      </c>
      <c r="C45" s="245"/>
      <c r="D45" s="245"/>
      <c r="E45" s="52">
        <f>'Resumen-DiarioHorario-Eólico'!AC29</f>
        <v>24.151833333333329</v>
      </c>
      <c r="F45" s="51">
        <f>'Resumen-DiarioHorario-Eólico'!AC72</f>
        <v>3.1859999999999995</v>
      </c>
      <c r="G45" s="52">
        <f>'Resumen-DiarioHorario-Eólico'!AC115</f>
        <v>13.680333333333333</v>
      </c>
      <c r="H45" s="51">
        <f>'Resumen-DiarioHorario-Eólico'!AC158</f>
        <v>12.230000000000002</v>
      </c>
      <c r="I45" s="52">
        <f>'Resumen-DiarioHorario-Eólico'!AC201</f>
        <v>9.6005000000000003</v>
      </c>
      <c r="J45" s="51">
        <f>'Resumen-DiarioHorario-Eólico'!AC244</f>
        <v>0</v>
      </c>
      <c r="K45" s="52">
        <f>'Resumen-DiarioHorario-Eólico'!AC287</f>
        <v>0</v>
      </c>
      <c r="L45" s="51">
        <f>'Resumen-DiarioHorario-Eólico'!AC330</f>
        <v>0</v>
      </c>
      <c r="M45" s="52">
        <f>'Resumen-DiarioHorario-Eólico'!AC373</f>
        <v>3.3371666666666648</v>
      </c>
      <c r="N45" s="51">
        <f>'Resumen-DiarioHorario-Eólico'!AC416</f>
        <v>0</v>
      </c>
      <c r="O45" s="52">
        <f>'Resumen-DiarioHorario-Eólico'!AC459</f>
        <v>0</v>
      </c>
      <c r="P45" s="51">
        <f>'Resumen-DiarioHorario-Eólico'!AC502</f>
        <v>0</v>
      </c>
      <c r="Q45" s="52">
        <f>'Resumen-DiarioHorario-Eólico'!AC545</f>
        <v>20.743333333333332</v>
      </c>
      <c r="R45" s="51">
        <f>'Resumen-DiarioHorario-Eólico'!AC588</f>
        <v>0</v>
      </c>
      <c r="S45" s="52">
        <f>'Resumen-DiarioHorario-Eólico'!AC631</f>
        <v>0.24066666666666681</v>
      </c>
      <c r="T45" s="51">
        <f>'Resumen-DiarioHorario-Eólico'!AC674</f>
        <v>124.47116666666666</v>
      </c>
      <c r="U45" s="52">
        <f>'Resumen-DiarioHorario-Eólico'!AC717</f>
        <v>22.214166666666667</v>
      </c>
      <c r="V45" s="51">
        <f>'Resumen-DiarioHorario-Eólico'!AC760</f>
        <v>3.690666666666667</v>
      </c>
      <c r="W45" s="52">
        <f>'Resumen-DiarioHorario-Eólico'!AC803</f>
        <v>40.401499999999999</v>
      </c>
      <c r="X45" s="51">
        <f>'Resumen-DiarioHorario-Eólico'!AC846</f>
        <v>6.0603333333333316</v>
      </c>
      <c r="Y45" s="52">
        <f>'Resumen-DiarioHorario-Eólico'!AC889</f>
        <v>1.8065000000000007</v>
      </c>
      <c r="Z45" s="51">
        <f>'Resumen-DiarioHorario-Eólico'!AC932</f>
        <v>1.5425000000000002</v>
      </c>
      <c r="AA45" s="52">
        <f>'Resumen-DiarioHorario-Eólico'!AC975</f>
        <v>56.238</v>
      </c>
      <c r="AB45" s="51">
        <f>'Resumen-DiarioHorario-Eólico'!AC1018</f>
        <v>0</v>
      </c>
      <c r="AC45" s="52">
        <f>'Resumen-DiarioHorario-Eólico'!AC1061</f>
        <v>0</v>
      </c>
      <c r="AD45" s="51">
        <f>'Resumen-DiarioHorario-Eólico'!AC1104</f>
        <v>0</v>
      </c>
      <c r="AE45" s="52">
        <f>'Resumen-DiarioHorario-Eólico'!AC1147</f>
        <v>10.854166666666664</v>
      </c>
      <c r="AF45" s="51">
        <f>'Resumen-DiarioHorario-Eólico'!AC1189</f>
        <v>28.635499999999997</v>
      </c>
      <c r="AG45" s="52">
        <f>'Resumen-DiarioHorario-Eólico'!AC1232</f>
        <v>20.669999999999995</v>
      </c>
      <c r="AH45" s="51">
        <f>'Resumen-DiarioHorario-Eólico'!AC1275</f>
        <v>37.682500000000012</v>
      </c>
      <c r="AI45" s="100">
        <f>'Resumen-DiarioHorario-Eólico'!AC1318</f>
        <v>0</v>
      </c>
      <c r="AJ45" s="238">
        <f t="shared" si="17"/>
        <v>441.43683333333337</v>
      </c>
      <c r="AK45" s="238"/>
      <c r="AL45" s="238"/>
    </row>
    <row r="46" spans="2:38" s="4" customFormat="1" x14ac:dyDescent="0.3">
      <c r="B46" s="245" t="s">
        <v>25</v>
      </c>
      <c r="C46" s="245"/>
      <c r="D46" s="245"/>
      <c r="E46" s="52">
        <f>'Resumen-DiarioHorario-Eólico'!AC30</f>
        <v>20.147333333333336</v>
      </c>
      <c r="F46" s="51">
        <f>'Resumen-DiarioHorario-Eólico'!AC73</f>
        <v>48.214166666666678</v>
      </c>
      <c r="G46" s="52">
        <f>'Resumen-DiarioHorario-Eólico'!AC116</f>
        <v>0</v>
      </c>
      <c r="H46" s="51">
        <f>'Resumen-DiarioHorario-Eólico'!AC159</f>
        <v>0</v>
      </c>
      <c r="I46" s="52">
        <f>'Resumen-DiarioHorario-Eólico'!AC202</f>
        <v>0</v>
      </c>
      <c r="J46" s="51">
        <f>'Resumen-DiarioHorario-Eólico'!AC245</f>
        <v>0</v>
      </c>
      <c r="K46" s="52">
        <f>'Resumen-DiarioHorario-Eólico'!AC288</f>
        <v>0</v>
      </c>
      <c r="L46" s="51">
        <f>'Resumen-DiarioHorario-Eólico'!AC331</f>
        <v>0</v>
      </c>
      <c r="M46" s="52">
        <f>'Resumen-DiarioHorario-Eólico'!AC374</f>
        <v>13.339999999999996</v>
      </c>
      <c r="N46" s="51">
        <f>'Resumen-DiarioHorario-Eólico'!AC417</f>
        <v>0</v>
      </c>
      <c r="O46" s="52">
        <f>'Resumen-DiarioHorario-Eólico'!AC460</f>
        <v>0</v>
      </c>
      <c r="P46" s="51">
        <f>'Resumen-DiarioHorario-Eólico'!AC503</f>
        <v>0</v>
      </c>
      <c r="Q46" s="52">
        <f>'Resumen-DiarioHorario-Eólico'!AC546</f>
        <v>0</v>
      </c>
      <c r="R46" s="51">
        <f>'Resumen-DiarioHorario-Eólico'!AC589</f>
        <v>0</v>
      </c>
      <c r="S46" s="52">
        <f>'Resumen-DiarioHorario-Eólico'!AC632</f>
        <v>26.897833333333338</v>
      </c>
      <c r="T46" s="51">
        <f>'Resumen-DiarioHorario-Eólico'!AC675</f>
        <v>4.1023333333333323</v>
      </c>
      <c r="U46" s="52">
        <f>'Resumen-DiarioHorario-Eólico'!AC718</f>
        <v>1.2723333333333335</v>
      </c>
      <c r="V46" s="51">
        <f>'Resumen-DiarioHorario-Eólico'!AC761</f>
        <v>0</v>
      </c>
      <c r="W46" s="52">
        <f>'Resumen-DiarioHorario-Eólico'!AC804</f>
        <v>0.1189999999999999</v>
      </c>
      <c r="X46" s="51">
        <f>'Resumen-DiarioHorario-Eólico'!AC847</f>
        <v>46.600500000000018</v>
      </c>
      <c r="Y46" s="52">
        <f>'Resumen-DiarioHorario-Eólico'!AC890</f>
        <v>0</v>
      </c>
      <c r="Z46" s="51">
        <f>'Resumen-DiarioHorario-Eólico'!AC933</f>
        <v>0</v>
      </c>
      <c r="AA46" s="52">
        <f>'Resumen-DiarioHorario-Eólico'!AC976</f>
        <v>22.267500000000005</v>
      </c>
      <c r="AB46" s="51">
        <f>'Resumen-DiarioHorario-Eólico'!AC1019</f>
        <v>0</v>
      </c>
      <c r="AC46" s="52">
        <f>'Resumen-DiarioHorario-Eólico'!AC1062</f>
        <v>0</v>
      </c>
      <c r="AD46" s="51">
        <f>'Resumen-DiarioHorario-Eólico'!AC1105</f>
        <v>2.8021666666666674</v>
      </c>
      <c r="AE46" s="52">
        <f>'Resumen-DiarioHorario-Eólico'!AC1148</f>
        <v>0</v>
      </c>
      <c r="AF46" s="51">
        <f>'Resumen-DiarioHorario-Eólico'!AC1190</f>
        <v>5.4853333333333341</v>
      </c>
      <c r="AG46" s="52">
        <f>'Resumen-DiarioHorario-Eólico'!AC1233</f>
        <v>34.620166666666663</v>
      </c>
      <c r="AH46" s="51">
        <f>'Resumen-DiarioHorario-Eólico'!AC1276</f>
        <v>13.718</v>
      </c>
      <c r="AI46" s="100">
        <f>'Resumen-DiarioHorario-Eólico'!AC1319</f>
        <v>0</v>
      </c>
      <c r="AJ46" s="238">
        <f t="shared" si="17"/>
        <v>239.58666666666667</v>
      </c>
      <c r="AK46" s="238"/>
      <c r="AL46" s="238"/>
    </row>
    <row r="47" spans="2:38" s="4" customFormat="1" x14ac:dyDescent="0.3">
      <c r="B47" s="245" t="s">
        <v>26</v>
      </c>
      <c r="C47" s="245"/>
      <c r="D47" s="245"/>
      <c r="E47" s="52">
        <f>'Resumen-DiarioHorario-Eólico'!AC31</f>
        <v>0</v>
      </c>
      <c r="F47" s="51">
        <f>'Resumen-DiarioHorario-Eólico'!AC74</f>
        <v>0</v>
      </c>
      <c r="G47" s="52">
        <f>'Resumen-DiarioHorario-Eólico'!AC117</f>
        <v>0</v>
      </c>
      <c r="H47" s="51">
        <f>'Resumen-DiarioHorario-Eólico'!AC160</f>
        <v>0</v>
      </c>
      <c r="I47" s="52">
        <f>'Resumen-DiarioHorario-Eólico'!AC203</f>
        <v>0</v>
      </c>
      <c r="J47" s="51">
        <f>'Resumen-DiarioHorario-Eólico'!AC246</f>
        <v>0</v>
      </c>
      <c r="K47" s="52">
        <f>'Resumen-DiarioHorario-Eólico'!AC289</f>
        <v>0</v>
      </c>
      <c r="L47" s="51">
        <f>'Resumen-DiarioHorario-Eólico'!AC332</f>
        <v>0</v>
      </c>
      <c r="M47" s="52">
        <f>'Resumen-DiarioHorario-Eólico'!AC375</f>
        <v>0</v>
      </c>
      <c r="N47" s="51">
        <f>'Resumen-DiarioHorario-Eólico'!AC418</f>
        <v>0</v>
      </c>
      <c r="O47" s="52">
        <f>'Resumen-DiarioHorario-Eólico'!AC461</f>
        <v>0</v>
      </c>
      <c r="P47" s="51">
        <f>'Resumen-DiarioHorario-Eólico'!AC504</f>
        <v>0</v>
      </c>
      <c r="Q47" s="52">
        <f>'Resumen-DiarioHorario-Eólico'!AC547</f>
        <v>0</v>
      </c>
      <c r="R47" s="51">
        <f>'Resumen-DiarioHorario-Eólico'!AC590</f>
        <v>0</v>
      </c>
      <c r="S47" s="52">
        <f>'Resumen-DiarioHorario-Eólico'!AC633</f>
        <v>0</v>
      </c>
      <c r="T47" s="51">
        <f>'Resumen-DiarioHorario-Eólico'!AC676</f>
        <v>0</v>
      </c>
      <c r="U47" s="52">
        <f>'Resumen-DiarioHorario-Eólico'!AC719</f>
        <v>0</v>
      </c>
      <c r="V47" s="51">
        <f>'Resumen-DiarioHorario-Eólico'!AC762</f>
        <v>0</v>
      </c>
      <c r="W47" s="52">
        <f>'Resumen-DiarioHorario-Eólico'!AC805</f>
        <v>0</v>
      </c>
      <c r="X47" s="51">
        <f>'Resumen-DiarioHorario-Eólico'!AC848</f>
        <v>0</v>
      </c>
      <c r="Y47" s="52">
        <f>'Resumen-DiarioHorario-Eólico'!AC891</f>
        <v>0</v>
      </c>
      <c r="Z47" s="51">
        <f>'Resumen-DiarioHorario-Eólico'!AC934</f>
        <v>0</v>
      </c>
      <c r="AA47" s="52">
        <f>'Resumen-DiarioHorario-Eólico'!AC977</f>
        <v>0</v>
      </c>
      <c r="AB47" s="51">
        <f>'Resumen-DiarioHorario-Eólico'!AC1020</f>
        <v>0</v>
      </c>
      <c r="AC47" s="52">
        <f>'Resumen-DiarioHorario-Eólico'!AC1063</f>
        <v>0</v>
      </c>
      <c r="AD47" s="51">
        <f>'Resumen-DiarioHorario-Eólico'!AC1106</f>
        <v>0</v>
      </c>
      <c r="AE47" s="52">
        <f>'Resumen-DiarioHorario-Eólico'!AC1149</f>
        <v>0</v>
      </c>
      <c r="AF47" s="51">
        <f>'Resumen-DiarioHorario-Eólico'!AC1191</f>
        <v>0</v>
      </c>
      <c r="AG47" s="52">
        <f>'Resumen-DiarioHorario-Eólico'!AC1234</f>
        <v>0</v>
      </c>
      <c r="AH47" s="51">
        <f>'Resumen-DiarioHorario-Eólico'!AC1277</f>
        <v>0</v>
      </c>
      <c r="AI47" s="100">
        <f>'Resumen-DiarioHorario-Eólico'!AC1320</f>
        <v>0</v>
      </c>
      <c r="AJ47" s="238">
        <f t="shared" si="17"/>
        <v>0</v>
      </c>
      <c r="AK47" s="238"/>
      <c r="AL47" s="238"/>
    </row>
    <row r="48" spans="2:38" s="4" customFormat="1" x14ac:dyDescent="0.3">
      <c r="B48" s="245" t="s">
        <v>27</v>
      </c>
      <c r="C48" s="245"/>
      <c r="D48" s="245"/>
      <c r="E48" s="52">
        <f>'Resumen-DiarioHorario-Eólico'!AC32</f>
        <v>29.483833333333337</v>
      </c>
      <c r="F48" s="51">
        <f>'Resumen-DiarioHorario-Eólico'!AC75</f>
        <v>74.604666666666674</v>
      </c>
      <c r="G48" s="52">
        <f>'Resumen-DiarioHorario-Eólico'!AC118</f>
        <v>0</v>
      </c>
      <c r="H48" s="51">
        <f>'Resumen-DiarioHorario-Eólico'!AC161</f>
        <v>0</v>
      </c>
      <c r="I48" s="52">
        <f>'Resumen-DiarioHorario-Eólico'!AC204</f>
        <v>0</v>
      </c>
      <c r="J48" s="51">
        <f>'Resumen-DiarioHorario-Eólico'!AC247</f>
        <v>0</v>
      </c>
      <c r="K48" s="52">
        <f>'Resumen-DiarioHorario-Eólico'!AC290</f>
        <v>0</v>
      </c>
      <c r="L48" s="51">
        <f>'Resumen-DiarioHorario-Eólico'!AC333</f>
        <v>0</v>
      </c>
      <c r="M48" s="52">
        <f>'Resumen-DiarioHorario-Eólico'!AC376</f>
        <v>0.39433333333333354</v>
      </c>
      <c r="N48" s="51">
        <f>'Resumen-DiarioHorario-Eólico'!AC419</f>
        <v>0</v>
      </c>
      <c r="O48" s="52">
        <f>'Resumen-DiarioHorario-Eólico'!AC462</f>
        <v>0</v>
      </c>
      <c r="P48" s="51">
        <f>'Resumen-DiarioHorario-Eólico'!AC505</f>
        <v>0</v>
      </c>
      <c r="Q48" s="52">
        <f>'Resumen-DiarioHorario-Eólico'!AC548</f>
        <v>0</v>
      </c>
      <c r="R48" s="51">
        <f>'Resumen-DiarioHorario-Eólico'!AC591</f>
        <v>0</v>
      </c>
      <c r="S48" s="52">
        <f>'Resumen-DiarioHorario-Eólico'!AC634</f>
        <v>78.5655</v>
      </c>
      <c r="T48" s="51">
        <f>'Resumen-DiarioHorario-Eólico'!AC677</f>
        <v>30.145000000000003</v>
      </c>
      <c r="U48" s="52">
        <f>'Resumen-DiarioHorario-Eólico'!AC720</f>
        <v>17.209499999999995</v>
      </c>
      <c r="V48" s="51">
        <f>'Resumen-DiarioHorario-Eólico'!AC763</f>
        <v>6.9861666666666649</v>
      </c>
      <c r="W48" s="52">
        <f>'Resumen-DiarioHorario-Eólico'!AC806</f>
        <v>30.074166666666677</v>
      </c>
      <c r="X48" s="51">
        <f>'Resumen-DiarioHorario-Eólico'!AC849</f>
        <v>5.6886666666666672</v>
      </c>
      <c r="Y48" s="52">
        <f>'Resumen-DiarioHorario-Eólico'!AC892</f>
        <v>0</v>
      </c>
      <c r="Z48" s="51">
        <f>'Resumen-DiarioHorario-Eólico'!AC935</f>
        <v>0</v>
      </c>
      <c r="AA48" s="52">
        <f>'Resumen-DiarioHorario-Eólico'!AC978</f>
        <v>0</v>
      </c>
      <c r="AB48" s="51">
        <f>'Resumen-DiarioHorario-Eólico'!AC1021</f>
        <v>0</v>
      </c>
      <c r="AC48" s="52">
        <f>'Resumen-DiarioHorario-Eólico'!AC1064</f>
        <v>0</v>
      </c>
      <c r="AD48" s="51">
        <f>'Resumen-DiarioHorario-Eólico'!AC1107</f>
        <v>8.4841666666666633</v>
      </c>
      <c r="AE48" s="52">
        <f>'Resumen-DiarioHorario-Eólico'!AC1150</f>
        <v>0</v>
      </c>
      <c r="AF48" s="51">
        <f>'Resumen-DiarioHorario-Eólico'!AC1192</f>
        <v>14.470833333333328</v>
      </c>
      <c r="AG48" s="52">
        <f>'Resumen-DiarioHorario-Eólico'!AC1235</f>
        <v>13.113666666666669</v>
      </c>
      <c r="AH48" s="51">
        <f>'Resumen-DiarioHorario-Eólico'!AC1278</f>
        <v>72.941500000000019</v>
      </c>
      <c r="AI48" s="100">
        <f>'Resumen-DiarioHorario-Eólico'!AC1321</f>
        <v>0</v>
      </c>
      <c r="AJ48" s="238">
        <f t="shared" si="17"/>
        <v>382.16200000000003</v>
      </c>
      <c r="AK48" s="238"/>
      <c r="AL48" s="238"/>
    </row>
    <row r="49" spans="2:38" s="4" customFormat="1" x14ac:dyDescent="0.3">
      <c r="B49" s="245" t="s">
        <v>28</v>
      </c>
      <c r="C49" s="245"/>
      <c r="D49" s="245"/>
      <c r="E49" s="52">
        <f>'Resumen-DiarioHorario-Eólico'!AC33</f>
        <v>256.10850000000005</v>
      </c>
      <c r="F49" s="51">
        <f>'Resumen-DiarioHorario-Eólico'!AC76</f>
        <v>376.92083333333335</v>
      </c>
      <c r="G49" s="52">
        <f>'Resumen-DiarioHorario-Eólico'!AC119</f>
        <v>0</v>
      </c>
      <c r="H49" s="51">
        <f>'Resumen-DiarioHorario-Eólico'!AC162</f>
        <v>0</v>
      </c>
      <c r="I49" s="52">
        <f>'Resumen-DiarioHorario-Eólico'!AC205</f>
        <v>0</v>
      </c>
      <c r="J49" s="51">
        <f>'Resumen-DiarioHorario-Eólico'!AC248</f>
        <v>0</v>
      </c>
      <c r="K49" s="52">
        <f>'Resumen-DiarioHorario-Eólico'!AC291</f>
        <v>0</v>
      </c>
      <c r="L49" s="51">
        <f>'Resumen-DiarioHorario-Eólico'!AC334</f>
        <v>0</v>
      </c>
      <c r="M49" s="52">
        <f>'Resumen-DiarioHorario-Eólico'!AC377</f>
        <v>14.622166666666672</v>
      </c>
      <c r="N49" s="51">
        <f>'Resumen-DiarioHorario-Eólico'!AC420</f>
        <v>0</v>
      </c>
      <c r="O49" s="52">
        <f>'Resumen-DiarioHorario-Eólico'!AC463</f>
        <v>0</v>
      </c>
      <c r="P49" s="51">
        <f>'Resumen-DiarioHorario-Eólico'!AC506</f>
        <v>0</v>
      </c>
      <c r="Q49" s="52">
        <f>'Resumen-DiarioHorario-Eólico'!AC549</f>
        <v>0</v>
      </c>
      <c r="R49" s="51">
        <f>'Resumen-DiarioHorario-Eólico'!AC592</f>
        <v>0</v>
      </c>
      <c r="S49" s="52">
        <f>'Resumen-DiarioHorario-Eólico'!AC635</f>
        <v>235.42999999999995</v>
      </c>
      <c r="T49" s="51">
        <f>'Resumen-DiarioHorario-Eólico'!AC678</f>
        <v>200.3893333333333</v>
      </c>
      <c r="U49" s="52">
        <f>'Resumen-DiarioHorario-Eólico'!AC721</f>
        <v>104.31183333333334</v>
      </c>
      <c r="V49" s="51">
        <f>'Resumen-DiarioHorario-Eólico'!AC764</f>
        <v>6.1303333333333407</v>
      </c>
      <c r="W49" s="52">
        <f>'Resumen-DiarioHorario-Eólico'!AC807</f>
        <v>25.248166666666663</v>
      </c>
      <c r="X49" s="51">
        <f>'Resumen-DiarioHorario-Eólico'!AC850</f>
        <v>34.397666666666659</v>
      </c>
      <c r="Y49" s="52">
        <f>'Resumen-DiarioHorario-Eólico'!AC893</f>
        <v>0</v>
      </c>
      <c r="Z49" s="51">
        <f>'Resumen-DiarioHorario-Eólico'!AC936</f>
        <v>0</v>
      </c>
      <c r="AA49" s="52">
        <f>'Resumen-DiarioHorario-Eólico'!AC979</f>
        <v>0</v>
      </c>
      <c r="AB49" s="51">
        <f>'Resumen-DiarioHorario-Eólico'!AC1022</f>
        <v>0</v>
      </c>
      <c r="AC49" s="52">
        <f>'Resumen-DiarioHorario-Eólico'!AC1065</f>
        <v>0</v>
      </c>
      <c r="AD49" s="51">
        <f>'Resumen-DiarioHorario-Eólico'!AC1108</f>
        <v>6.0315000000000012</v>
      </c>
      <c r="AE49" s="52">
        <f>'Resumen-DiarioHorario-Eólico'!AC1151</f>
        <v>0</v>
      </c>
      <c r="AF49" s="51">
        <f>'Resumen-DiarioHorario-Eólico'!AC1193</f>
        <v>4.7143333333333333</v>
      </c>
      <c r="AG49" s="52">
        <f>'Resumen-DiarioHorario-Eólico'!AC1236</f>
        <v>17.830666666666659</v>
      </c>
      <c r="AH49" s="51">
        <f>'Resumen-DiarioHorario-Eólico'!AC1279</f>
        <v>211.21050000000005</v>
      </c>
      <c r="AI49" s="100">
        <f>'Resumen-DiarioHorario-Eólico'!AC1322</f>
        <v>0</v>
      </c>
      <c r="AJ49" s="238">
        <f t="shared" si="17"/>
        <v>1493.3458333333338</v>
      </c>
      <c r="AK49" s="238"/>
      <c r="AL49" s="238"/>
    </row>
    <row r="50" spans="2:38" s="4" customFormat="1" x14ac:dyDescent="0.3">
      <c r="B50" s="245" t="s">
        <v>92</v>
      </c>
      <c r="C50" s="245"/>
      <c r="D50" s="245"/>
      <c r="E50" s="52">
        <f>'Resumen-DiarioHorario-Eólico'!AC34</f>
        <v>0</v>
      </c>
      <c r="F50" s="51">
        <f>'Resumen-DiarioHorario-Eólico'!AC77</f>
        <v>0</v>
      </c>
      <c r="G50" s="52">
        <f>'Resumen-DiarioHorario-Eólico'!AC120</f>
        <v>0</v>
      </c>
      <c r="H50" s="51">
        <f>'Resumen-DiarioHorario-Eólico'!AC163</f>
        <v>0</v>
      </c>
      <c r="I50" s="52">
        <f>'Resumen-DiarioHorario-Eólico'!AC206</f>
        <v>0</v>
      </c>
      <c r="J50" s="51">
        <f>'Resumen-DiarioHorario-Eólico'!AC249</f>
        <v>0</v>
      </c>
      <c r="K50" s="52">
        <f>'Resumen-DiarioHorario-Eólico'!AC292</f>
        <v>0</v>
      </c>
      <c r="L50" s="51">
        <f>'Resumen-DiarioHorario-Eólico'!AC335</f>
        <v>0</v>
      </c>
      <c r="M50" s="52">
        <f>'Resumen-DiarioHorario-Eólico'!AC378</f>
        <v>0</v>
      </c>
      <c r="N50" s="51">
        <f>'Resumen-DiarioHorario-Eólico'!AC421</f>
        <v>0</v>
      </c>
      <c r="O50" s="52">
        <f>'Resumen-DiarioHorario-Eólico'!AC464</f>
        <v>0</v>
      </c>
      <c r="P50" s="51">
        <f>'Resumen-DiarioHorario-Eólico'!AC507</f>
        <v>0</v>
      </c>
      <c r="Q50" s="52">
        <f>'Resumen-DiarioHorario-Eólico'!AC550</f>
        <v>0</v>
      </c>
      <c r="R50" s="51">
        <f>'Resumen-DiarioHorario-Eólico'!AC593</f>
        <v>0</v>
      </c>
      <c r="S50" s="52">
        <f>'Resumen-DiarioHorario-Eólico'!AC636</f>
        <v>0</v>
      </c>
      <c r="T50" s="51">
        <f>'Resumen-DiarioHorario-Eólico'!AC679</f>
        <v>0</v>
      </c>
      <c r="U50" s="52">
        <f>'Resumen-DiarioHorario-Eólico'!AC722</f>
        <v>0</v>
      </c>
      <c r="V50" s="51">
        <f>'Resumen-DiarioHorario-Eólico'!AC765</f>
        <v>0</v>
      </c>
      <c r="W50" s="52">
        <f>'Resumen-DiarioHorario-Eólico'!AC808</f>
        <v>0</v>
      </c>
      <c r="X50" s="51">
        <f>'Resumen-DiarioHorario-Eólico'!AC851</f>
        <v>0</v>
      </c>
      <c r="Y50" s="52">
        <f>'Resumen-DiarioHorario-Eólico'!AC894</f>
        <v>0</v>
      </c>
      <c r="Z50" s="51">
        <f>'Resumen-DiarioHorario-Eólico'!AC937</f>
        <v>0</v>
      </c>
      <c r="AA50" s="52">
        <f>'Resumen-DiarioHorario-Eólico'!AC980</f>
        <v>0</v>
      </c>
      <c r="AB50" s="51">
        <f>'Resumen-DiarioHorario-Eólico'!AC1023</f>
        <v>0</v>
      </c>
      <c r="AC50" s="52">
        <f>'Resumen-DiarioHorario-Eólico'!AC1066</f>
        <v>0</v>
      </c>
      <c r="AD50" s="51">
        <f>'Resumen-DiarioHorario-Eólico'!AC1109</f>
        <v>0</v>
      </c>
      <c r="AE50" s="52">
        <f>'Resumen-DiarioHorario-Eólico'!AC1152</f>
        <v>0</v>
      </c>
      <c r="AF50" s="51">
        <f>'Resumen-DiarioHorario-Eólico'!AC1194</f>
        <v>0</v>
      </c>
      <c r="AG50" s="52">
        <f>'Resumen-DiarioHorario-Eólico'!AC1237</f>
        <v>0</v>
      </c>
      <c r="AH50" s="51">
        <f>'Resumen-DiarioHorario-Eólico'!AC1280</f>
        <v>0</v>
      </c>
      <c r="AI50" s="100">
        <f>'Resumen-DiarioHorario-Eólico'!AC1323</f>
        <v>0</v>
      </c>
      <c r="AJ50" s="238">
        <f t="shared" si="17"/>
        <v>0</v>
      </c>
      <c r="AK50" s="238"/>
      <c r="AL50" s="238"/>
    </row>
    <row r="51" spans="2:38" s="4" customFormat="1" x14ac:dyDescent="0.3">
      <c r="B51" s="245" t="s">
        <v>29</v>
      </c>
      <c r="C51" s="245"/>
      <c r="D51" s="245"/>
      <c r="E51" s="52">
        <f>'Resumen-DiarioHorario-Eólico'!AC35</f>
        <v>20.473333333333336</v>
      </c>
      <c r="F51" s="51">
        <f>'Resumen-DiarioHorario-Eólico'!AC78</f>
        <v>368.83750000000003</v>
      </c>
      <c r="G51" s="52">
        <f>'Resumen-DiarioHorario-Eólico'!AC121</f>
        <v>0</v>
      </c>
      <c r="H51" s="51">
        <f>'Resumen-DiarioHorario-Eólico'!AC164</f>
        <v>0</v>
      </c>
      <c r="I51" s="52">
        <f>'Resumen-DiarioHorario-Eólico'!AC207</f>
        <v>0</v>
      </c>
      <c r="J51" s="51">
        <f>'Resumen-DiarioHorario-Eólico'!AC250</f>
        <v>0</v>
      </c>
      <c r="K51" s="52">
        <f>'Resumen-DiarioHorario-Eólico'!AC293</f>
        <v>0</v>
      </c>
      <c r="L51" s="51">
        <f>'Resumen-DiarioHorario-Eólico'!AC336</f>
        <v>0</v>
      </c>
      <c r="M51" s="52">
        <f>'Resumen-DiarioHorario-Eólico'!AC379</f>
        <v>2.8851666666666649</v>
      </c>
      <c r="N51" s="51">
        <f>'Resumen-DiarioHorario-Eólico'!AC422</f>
        <v>0</v>
      </c>
      <c r="O51" s="52">
        <f>'Resumen-DiarioHorario-Eólico'!AC465</f>
        <v>0</v>
      </c>
      <c r="P51" s="51">
        <f>'Resumen-DiarioHorario-Eólico'!AC508</f>
        <v>0</v>
      </c>
      <c r="Q51" s="52">
        <f>'Resumen-DiarioHorario-Eólico'!AC551</f>
        <v>0</v>
      </c>
      <c r="R51" s="51">
        <f>'Resumen-DiarioHorario-Eólico'!AC594</f>
        <v>0</v>
      </c>
      <c r="S51" s="52">
        <f>'Resumen-DiarioHorario-Eólico'!AC637</f>
        <v>55.389333333333326</v>
      </c>
      <c r="T51" s="51">
        <f>'Resumen-DiarioHorario-Eólico'!AC680</f>
        <v>27.235000000000003</v>
      </c>
      <c r="U51" s="52">
        <f>'Resumen-DiarioHorario-Eólico'!AC723</f>
        <v>42.108833333333344</v>
      </c>
      <c r="V51" s="51">
        <f>'Resumen-DiarioHorario-Eólico'!AC766</f>
        <v>12.217166666666667</v>
      </c>
      <c r="W51" s="52">
        <f>'Resumen-DiarioHorario-Eólico'!AC809</f>
        <v>27.49166666666666</v>
      </c>
      <c r="X51" s="51">
        <f>'Resumen-DiarioHorario-Eólico'!AC852</f>
        <v>22.987166666666667</v>
      </c>
      <c r="Y51" s="52">
        <f>'Resumen-DiarioHorario-Eólico'!AC895</f>
        <v>0</v>
      </c>
      <c r="Z51" s="51">
        <f>'Resumen-DiarioHorario-Eólico'!AC938</f>
        <v>0</v>
      </c>
      <c r="AA51" s="52">
        <f>'Resumen-DiarioHorario-Eólico'!AC981</f>
        <v>82.82716666666667</v>
      </c>
      <c r="AB51" s="51">
        <f>'Resumen-DiarioHorario-Eólico'!AC1024</f>
        <v>0</v>
      </c>
      <c r="AC51" s="52">
        <f>'Resumen-DiarioHorario-Eólico'!AC1067</f>
        <v>0</v>
      </c>
      <c r="AD51" s="51">
        <f>'Resumen-DiarioHorario-Eólico'!AC1110</f>
        <v>9.2291666666666643</v>
      </c>
      <c r="AE51" s="52">
        <f>'Resumen-DiarioHorario-Eólico'!AC1153</f>
        <v>0</v>
      </c>
      <c r="AF51" s="51">
        <f>'Resumen-DiarioHorario-Eólico'!AC1195</f>
        <v>15.477499999999997</v>
      </c>
      <c r="AG51" s="52">
        <f>'Resumen-DiarioHorario-Eólico'!AC1238</f>
        <v>43.073333333333338</v>
      </c>
      <c r="AH51" s="51">
        <f>'Resumen-DiarioHorario-Eólico'!AC1281</f>
        <v>62.509499999999996</v>
      </c>
      <c r="AI51" s="100">
        <f>'Resumen-DiarioHorario-Eólico'!AC1324</f>
        <v>0</v>
      </c>
      <c r="AJ51" s="238">
        <f t="shared" si="17"/>
        <v>792.74183333333349</v>
      </c>
      <c r="AK51" s="238"/>
      <c r="AL51" s="238"/>
    </row>
    <row r="52" spans="2:38" s="4" customFormat="1" x14ac:dyDescent="0.3">
      <c r="B52" s="245" t="s">
        <v>30</v>
      </c>
      <c r="C52" s="245"/>
      <c r="D52" s="245"/>
      <c r="E52" s="52">
        <f>'Resumen-DiarioHorario-Eólico'!AC36</f>
        <v>249.3216666666666</v>
      </c>
      <c r="F52" s="51">
        <f>'Resumen-DiarioHorario-Eólico'!AC79</f>
        <v>248.36516666666665</v>
      </c>
      <c r="G52" s="52">
        <f>'Resumen-DiarioHorario-Eólico'!AC122</f>
        <v>0</v>
      </c>
      <c r="H52" s="51">
        <f>'Resumen-DiarioHorario-Eólico'!AC165</f>
        <v>0</v>
      </c>
      <c r="I52" s="52">
        <f>'Resumen-DiarioHorario-Eólico'!AC208</f>
        <v>0</v>
      </c>
      <c r="J52" s="51">
        <f>'Resumen-DiarioHorario-Eólico'!AC251</f>
        <v>0</v>
      </c>
      <c r="K52" s="52">
        <f>'Resumen-DiarioHorario-Eólico'!AC294</f>
        <v>0</v>
      </c>
      <c r="L52" s="51">
        <f>'Resumen-DiarioHorario-Eólico'!AC337</f>
        <v>0</v>
      </c>
      <c r="M52" s="52">
        <f>'Resumen-DiarioHorario-Eólico'!AC380</f>
        <v>0.51100000000000012</v>
      </c>
      <c r="N52" s="51">
        <f>'Resumen-DiarioHorario-Eólico'!AC423</f>
        <v>0</v>
      </c>
      <c r="O52" s="52">
        <f>'Resumen-DiarioHorario-Eólico'!AC466</f>
        <v>0</v>
      </c>
      <c r="P52" s="51">
        <f>'Resumen-DiarioHorario-Eólico'!AC509</f>
        <v>0</v>
      </c>
      <c r="Q52" s="52">
        <f>'Resumen-DiarioHorario-Eólico'!AC552</f>
        <v>0</v>
      </c>
      <c r="R52" s="51">
        <f>'Resumen-DiarioHorario-Eólico'!AC595</f>
        <v>0</v>
      </c>
      <c r="S52" s="52">
        <f>'Resumen-DiarioHorario-Eólico'!AC638</f>
        <v>0</v>
      </c>
      <c r="T52" s="51">
        <f>'Resumen-DiarioHorario-Eólico'!AC681</f>
        <v>0</v>
      </c>
      <c r="U52" s="52">
        <f>'Resumen-DiarioHorario-Eólico'!AC724</f>
        <v>53.218333333333341</v>
      </c>
      <c r="V52" s="51">
        <f>'Resumen-DiarioHorario-Eólico'!AC767</f>
        <v>1.6833333333333329E-2</v>
      </c>
      <c r="W52" s="52">
        <f>'Resumen-DiarioHorario-Eólico'!AC810</f>
        <v>1.2913333333333334</v>
      </c>
      <c r="X52" s="51">
        <f>'Resumen-DiarioHorario-Eólico'!AC853</f>
        <v>0.26950000000000002</v>
      </c>
      <c r="Y52" s="52">
        <f>'Resumen-DiarioHorario-Eólico'!AC896</f>
        <v>0</v>
      </c>
      <c r="Z52" s="51">
        <f>'Resumen-DiarioHorario-Eólico'!AC939</f>
        <v>0</v>
      </c>
      <c r="AA52" s="52">
        <f>'Resumen-DiarioHorario-Eólico'!AC982</f>
        <v>5.0166666666666679E-2</v>
      </c>
      <c r="AB52" s="51">
        <f>'Resumen-DiarioHorario-Eólico'!AC1025</f>
        <v>0</v>
      </c>
      <c r="AC52" s="52">
        <f>'Resumen-DiarioHorario-Eólico'!AC1068</f>
        <v>0</v>
      </c>
      <c r="AD52" s="51">
        <f>'Resumen-DiarioHorario-Eólico'!AC1111</f>
        <v>0</v>
      </c>
      <c r="AE52" s="52">
        <f>'Resumen-DiarioHorario-Eólico'!AC1154</f>
        <v>0</v>
      </c>
      <c r="AF52" s="51">
        <f>'Resumen-DiarioHorario-Eólico'!AC1196</f>
        <v>23.435999999999993</v>
      </c>
      <c r="AG52" s="52">
        <f>'Resumen-DiarioHorario-Eólico'!AC1239</f>
        <v>26.677666666666667</v>
      </c>
      <c r="AH52" s="51">
        <f>'Resumen-DiarioHorario-Eólico'!AC1282</f>
        <v>182.80433333333332</v>
      </c>
      <c r="AI52" s="100">
        <f>'Resumen-DiarioHorario-Eólico'!AC1325</f>
        <v>0</v>
      </c>
      <c r="AJ52" s="238">
        <f t="shared" si="17"/>
        <v>785.96199999999999</v>
      </c>
      <c r="AK52" s="238"/>
      <c r="AL52" s="238"/>
    </row>
    <row r="53" spans="2:38" s="4" customFormat="1" x14ac:dyDescent="0.3">
      <c r="B53" s="245" t="s">
        <v>31</v>
      </c>
      <c r="C53" s="245"/>
      <c r="D53" s="245"/>
      <c r="E53" s="52">
        <f>'Resumen-DiarioHorario-Eólico'!AC37</f>
        <v>95.337999999999965</v>
      </c>
      <c r="F53" s="51">
        <f>'Resumen-DiarioHorario-Eólico'!AC80</f>
        <v>113.65650000000001</v>
      </c>
      <c r="G53" s="52">
        <f>'Resumen-DiarioHorario-Eólico'!AC123</f>
        <v>0</v>
      </c>
      <c r="H53" s="51">
        <f>'Resumen-DiarioHorario-Eólico'!AC166</f>
        <v>0</v>
      </c>
      <c r="I53" s="52">
        <f>'Resumen-DiarioHorario-Eólico'!AC209</f>
        <v>0</v>
      </c>
      <c r="J53" s="51">
        <f>'Resumen-DiarioHorario-Eólico'!AC252</f>
        <v>0</v>
      </c>
      <c r="K53" s="52">
        <f>'Resumen-DiarioHorario-Eólico'!AC295</f>
        <v>0</v>
      </c>
      <c r="L53" s="51">
        <f>'Resumen-DiarioHorario-Eólico'!AC338</f>
        <v>0</v>
      </c>
      <c r="M53" s="52">
        <f>'Resumen-DiarioHorario-Eólico'!AC381</f>
        <v>5.8748333333333376</v>
      </c>
      <c r="N53" s="51">
        <f>'Resumen-DiarioHorario-Eólico'!AC424</f>
        <v>0</v>
      </c>
      <c r="O53" s="52">
        <f>'Resumen-DiarioHorario-Eólico'!AC467</f>
        <v>0</v>
      </c>
      <c r="P53" s="51">
        <f>'Resumen-DiarioHorario-Eólico'!AC510</f>
        <v>0</v>
      </c>
      <c r="Q53" s="52">
        <f>'Resumen-DiarioHorario-Eólico'!AC553</f>
        <v>0</v>
      </c>
      <c r="R53" s="51">
        <f>'Resumen-DiarioHorario-Eólico'!AC596</f>
        <v>0</v>
      </c>
      <c r="S53" s="52">
        <f>'Resumen-DiarioHorario-Eólico'!AC639</f>
        <v>82.224666666666707</v>
      </c>
      <c r="T53" s="51">
        <f>'Resumen-DiarioHorario-Eólico'!AC682</f>
        <v>53.261333333333361</v>
      </c>
      <c r="U53" s="52">
        <f>'Resumen-DiarioHorario-Eólico'!AC725</f>
        <v>32.71549999999997</v>
      </c>
      <c r="V53" s="51">
        <f>'Resumen-DiarioHorario-Eólico'!AC768</f>
        <v>5.7821666666666722</v>
      </c>
      <c r="W53" s="52">
        <f>'Resumen-DiarioHorario-Eólico'!AC811</f>
        <v>6.7646666666666695</v>
      </c>
      <c r="X53" s="51">
        <f>'Resumen-DiarioHorario-Eólico'!AC854</f>
        <v>15.151333333333339</v>
      </c>
      <c r="Y53" s="52">
        <f>'Resumen-DiarioHorario-Eólico'!AC897</f>
        <v>0</v>
      </c>
      <c r="Z53" s="51">
        <f>'Resumen-DiarioHorario-Eólico'!AC940</f>
        <v>0</v>
      </c>
      <c r="AA53" s="52">
        <f>'Resumen-DiarioHorario-Eólico'!AC983</f>
        <v>42.553000000000004</v>
      </c>
      <c r="AB53" s="51">
        <f>'Resumen-DiarioHorario-Eólico'!AC1026</f>
        <v>0</v>
      </c>
      <c r="AC53" s="52">
        <f>'Resumen-DiarioHorario-Eólico'!AC1069</f>
        <v>0</v>
      </c>
      <c r="AD53" s="51">
        <f>'Resumen-DiarioHorario-Eólico'!AC1112</f>
        <v>5.0760000000000005</v>
      </c>
      <c r="AE53" s="52">
        <f>'Resumen-DiarioHorario-Eólico'!AC1155</f>
        <v>0</v>
      </c>
      <c r="AF53" s="51">
        <f>'Resumen-DiarioHorario-Eólico'!AC1197</f>
        <v>1.5658333333333347</v>
      </c>
      <c r="AG53" s="52">
        <f>'Resumen-DiarioHorario-Eólico'!AC1240</f>
        <v>6.3449999999999989</v>
      </c>
      <c r="AH53" s="51">
        <f>'Resumen-DiarioHorario-Eólico'!AC1283</f>
        <v>81.659999999999968</v>
      </c>
      <c r="AI53" s="100">
        <f>'Resumen-DiarioHorario-Eólico'!AC1326</f>
        <v>0</v>
      </c>
      <c r="AJ53" s="238">
        <f t="shared" si="17"/>
        <v>547.96883333333335</v>
      </c>
      <c r="AK53" s="238"/>
      <c r="AL53" s="238"/>
    </row>
    <row r="54" spans="2:38" s="4" customFormat="1" x14ac:dyDescent="0.3">
      <c r="B54" s="245" t="s">
        <v>32</v>
      </c>
      <c r="C54" s="245"/>
      <c r="D54" s="245"/>
      <c r="E54" s="52">
        <f>'Resumen-DiarioHorario-Eólico'!AC38</f>
        <v>0</v>
      </c>
      <c r="F54" s="51">
        <f>'Resumen-DiarioHorario-Eólico'!AC81</f>
        <v>154.32116666666667</v>
      </c>
      <c r="G54" s="52">
        <f>'Resumen-DiarioHorario-Eólico'!AC124</f>
        <v>0</v>
      </c>
      <c r="H54" s="51">
        <f>'Resumen-DiarioHorario-Eólico'!AC167</f>
        <v>0</v>
      </c>
      <c r="I54" s="52">
        <f>'Resumen-DiarioHorario-Eólico'!AC210</f>
        <v>0</v>
      </c>
      <c r="J54" s="51">
        <f>'Resumen-DiarioHorario-Eólico'!AC253</f>
        <v>0</v>
      </c>
      <c r="K54" s="52">
        <f>'Resumen-DiarioHorario-Eólico'!AC296</f>
        <v>0</v>
      </c>
      <c r="L54" s="51">
        <f>'Resumen-DiarioHorario-Eólico'!AC339</f>
        <v>0</v>
      </c>
      <c r="M54" s="52">
        <f>'Resumen-DiarioHorario-Eólico'!AC382</f>
        <v>0.52166666666666672</v>
      </c>
      <c r="N54" s="51">
        <f>'Resumen-DiarioHorario-Eólico'!AC425</f>
        <v>0</v>
      </c>
      <c r="O54" s="52">
        <f>'Resumen-DiarioHorario-Eólico'!AC468</f>
        <v>0</v>
      </c>
      <c r="P54" s="51">
        <f>'Resumen-DiarioHorario-Eólico'!AC511</f>
        <v>0</v>
      </c>
      <c r="Q54" s="52">
        <f>'Resumen-DiarioHorario-Eólico'!AC554</f>
        <v>0</v>
      </c>
      <c r="R54" s="51">
        <f>'Resumen-DiarioHorario-Eólico'!AC597</f>
        <v>0</v>
      </c>
      <c r="S54" s="52">
        <f>'Resumen-DiarioHorario-Eólico'!AC640</f>
        <v>40.553666666666672</v>
      </c>
      <c r="T54" s="51">
        <f>'Resumen-DiarioHorario-Eólico'!AC683</f>
        <v>161.61583333333334</v>
      </c>
      <c r="U54" s="52">
        <f>'Resumen-DiarioHorario-Eólico'!AC726</f>
        <v>60.929833333333328</v>
      </c>
      <c r="V54" s="51">
        <f>'Resumen-DiarioHorario-Eólico'!AC769</f>
        <v>11.759000000000002</v>
      </c>
      <c r="W54" s="52">
        <f>'Resumen-DiarioHorario-Eólico'!AC812</f>
        <v>19.691666666666666</v>
      </c>
      <c r="X54" s="51">
        <f>'Resumen-DiarioHorario-Eólico'!AC855</f>
        <v>6.0586666666666673</v>
      </c>
      <c r="Y54" s="52">
        <f>'Resumen-DiarioHorario-Eólico'!AC898</f>
        <v>0</v>
      </c>
      <c r="Z54" s="51">
        <f>'Resumen-DiarioHorario-Eólico'!AC941</f>
        <v>0</v>
      </c>
      <c r="AA54" s="52">
        <f>'Resumen-DiarioHorario-Eólico'!AC984</f>
        <v>0</v>
      </c>
      <c r="AB54" s="51">
        <f>'Resumen-DiarioHorario-Eólico'!AC1027</f>
        <v>0</v>
      </c>
      <c r="AC54" s="52">
        <f>'Resumen-DiarioHorario-Eólico'!AC1070</f>
        <v>0</v>
      </c>
      <c r="AD54" s="51">
        <f>'Resumen-DiarioHorario-Eólico'!AC1113</f>
        <v>4.0393333333333334</v>
      </c>
      <c r="AE54" s="52">
        <f>'Resumen-DiarioHorario-Eólico'!AC1156</f>
        <v>0</v>
      </c>
      <c r="AF54" s="51">
        <f>'Resumen-DiarioHorario-Eólico'!AC1198</f>
        <v>8.1166666666666671</v>
      </c>
      <c r="AG54" s="52">
        <f>'Resumen-DiarioHorario-Eólico'!AC1241</f>
        <v>0</v>
      </c>
      <c r="AH54" s="51">
        <f>'Resumen-DiarioHorario-Eólico'!AC1284</f>
        <v>161.625</v>
      </c>
      <c r="AI54" s="100">
        <f>'Resumen-DiarioHorario-Eólico'!AC1327</f>
        <v>0</v>
      </c>
      <c r="AJ54" s="238">
        <f t="shared" si="17"/>
        <v>629.23250000000007</v>
      </c>
      <c r="AK54" s="238"/>
      <c r="AL54" s="238"/>
    </row>
    <row r="55" spans="2:38" s="4" customFormat="1" x14ac:dyDescent="0.3">
      <c r="B55" s="245" t="s">
        <v>33</v>
      </c>
      <c r="C55" s="245"/>
      <c r="D55" s="245"/>
      <c r="E55" s="52">
        <f>'Resumen-DiarioHorario-Eólico'!AC39</f>
        <v>10.425833333333332</v>
      </c>
      <c r="F55" s="51">
        <f>'Resumen-DiarioHorario-Eólico'!AC82</f>
        <v>2.7833333333333319</v>
      </c>
      <c r="G55" s="52">
        <f>'Resumen-DiarioHorario-Eólico'!AC125</f>
        <v>0</v>
      </c>
      <c r="H55" s="51">
        <f>'Resumen-DiarioHorario-Eólico'!AC168</f>
        <v>0</v>
      </c>
      <c r="I55" s="52">
        <f>'Resumen-DiarioHorario-Eólico'!AC211</f>
        <v>0</v>
      </c>
      <c r="J55" s="51">
        <f>'Resumen-DiarioHorario-Eólico'!AC254</f>
        <v>0</v>
      </c>
      <c r="K55" s="52">
        <f>'Resumen-DiarioHorario-Eólico'!AC297</f>
        <v>0</v>
      </c>
      <c r="L55" s="51">
        <f>'Resumen-DiarioHorario-Eólico'!AC340</f>
        <v>0</v>
      </c>
      <c r="M55" s="52">
        <f>'Resumen-DiarioHorario-Eólico'!AC383</f>
        <v>4.1265000000000001</v>
      </c>
      <c r="N55" s="51">
        <f>'Resumen-DiarioHorario-Eólico'!AC426</f>
        <v>0</v>
      </c>
      <c r="O55" s="52">
        <f>'Resumen-DiarioHorario-Eólico'!AC469</f>
        <v>0</v>
      </c>
      <c r="P55" s="51">
        <f>'Resumen-DiarioHorario-Eólico'!AC512</f>
        <v>0</v>
      </c>
      <c r="Q55" s="52">
        <f>'Resumen-DiarioHorario-Eólico'!AC555</f>
        <v>0</v>
      </c>
      <c r="R55" s="51">
        <f>'Resumen-DiarioHorario-Eólico'!AC598</f>
        <v>0</v>
      </c>
      <c r="S55" s="52">
        <f>'Resumen-DiarioHorario-Eólico'!AC641</f>
        <v>23.443833333333338</v>
      </c>
      <c r="T55" s="51">
        <f>'Resumen-DiarioHorario-Eólico'!AC684</f>
        <v>21.934999999999999</v>
      </c>
      <c r="U55" s="52">
        <f>'Resumen-DiarioHorario-Eólico'!AC727</f>
        <v>12.271000000000001</v>
      </c>
      <c r="V55" s="51">
        <f>'Resumen-DiarioHorario-Eólico'!AC770</f>
        <v>1.4969999999999986</v>
      </c>
      <c r="W55" s="52">
        <f>'Resumen-DiarioHorario-Eólico'!AC813</f>
        <v>3.1435</v>
      </c>
      <c r="X55" s="51">
        <f>'Resumen-DiarioHorario-Eólico'!AC856</f>
        <v>2.419999999999999</v>
      </c>
      <c r="Y55" s="52">
        <f>'Resumen-DiarioHorario-Eólico'!AC899</f>
        <v>0</v>
      </c>
      <c r="Z55" s="51">
        <f>'Resumen-DiarioHorario-Eólico'!AC942</f>
        <v>0</v>
      </c>
      <c r="AA55" s="52">
        <f>'Resumen-DiarioHorario-Eólico'!AC985</f>
        <v>13.00133333333333</v>
      </c>
      <c r="AB55" s="51">
        <f>'Resumen-DiarioHorario-Eólico'!AC1028</f>
        <v>0</v>
      </c>
      <c r="AC55" s="52">
        <f>'Resumen-DiarioHorario-Eólico'!AC1071</f>
        <v>0</v>
      </c>
      <c r="AD55" s="51">
        <f>'Resumen-DiarioHorario-Eólico'!AC1114</f>
        <v>0.57549999999999968</v>
      </c>
      <c r="AE55" s="52">
        <f>'Resumen-DiarioHorario-Eólico'!AC1157</f>
        <v>0</v>
      </c>
      <c r="AF55" s="51">
        <f>'Resumen-DiarioHorario-Eólico'!AC1199</f>
        <v>13.287499999999994</v>
      </c>
      <c r="AG55" s="52">
        <f>'Resumen-DiarioHorario-Eólico'!AC1242</f>
        <v>20.520666666666667</v>
      </c>
      <c r="AH55" s="51">
        <f>'Resumen-DiarioHorario-Eólico'!AC1285</f>
        <v>11.693166666666666</v>
      </c>
      <c r="AI55" s="100">
        <f>'Resumen-DiarioHorario-Eólico'!AC1328</f>
        <v>0</v>
      </c>
      <c r="AJ55" s="238">
        <f t="shared" si="17"/>
        <v>141.12416666666667</v>
      </c>
      <c r="AK55" s="238"/>
      <c r="AL55" s="238"/>
    </row>
    <row r="56" spans="2:38" s="4" customFormat="1" x14ac:dyDescent="0.3">
      <c r="B56" s="245" t="s">
        <v>34</v>
      </c>
      <c r="C56" s="245"/>
      <c r="D56" s="245"/>
      <c r="E56" s="52">
        <f>'Resumen-DiarioHorario-Eólico'!AC40</f>
        <v>4.9018333333333333</v>
      </c>
      <c r="F56" s="51">
        <f>'Resumen-DiarioHorario-Eólico'!AC83</f>
        <v>7.6656666666666657</v>
      </c>
      <c r="G56" s="52">
        <f>'Resumen-DiarioHorario-Eólico'!AC126</f>
        <v>0</v>
      </c>
      <c r="H56" s="51">
        <f>'Resumen-DiarioHorario-Eólico'!AC169</f>
        <v>0</v>
      </c>
      <c r="I56" s="52">
        <f>'Resumen-DiarioHorario-Eólico'!AC212</f>
        <v>0</v>
      </c>
      <c r="J56" s="51">
        <f>'Resumen-DiarioHorario-Eólico'!AC255</f>
        <v>0</v>
      </c>
      <c r="K56" s="52">
        <f>'Resumen-DiarioHorario-Eólico'!AC298</f>
        <v>0</v>
      </c>
      <c r="L56" s="51">
        <f>'Resumen-DiarioHorario-Eólico'!AC341</f>
        <v>0</v>
      </c>
      <c r="M56" s="52">
        <f>'Resumen-DiarioHorario-Eólico'!AC384</f>
        <v>0.41549999999999998</v>
      </c>
      <c r="N56" s="51">
        <f>'Resumen-DiarioHorario-Eólico'!AC427</f>
        <v>0</v>
      </c>
      <c r="O56" s="52">
        <f>'Resumen-DiarioHorario-Eólico'!AC470</f>
        <v>0</v>
      </c>
      <c r="P56" s="51">
        <f>'Resumen-DiarioHorario-Eólico'!AC513</f>
        <v>0</v>
      </c>
      <c r="Q56" s="52">
        <f>'Resumen-DiarioHorario-Eólico'!AC556</f>
        <v>0</v>
      </c>
      <c r="R56" s="51">
        <f>'Resumen-DiarioHorario-Eólico'!AC599</f>
        <v>0</v>
      </c>
      <c r="S56" s="52">
        <f>'Resumen-DiarioHorario-Eólico'!AC642</f>
        <v>6.9721666666666664</v>
      </c>
      <c r="T56" s="51">
        <f>'Resumen-DiarioHorario-Eólico'!AC685</f>
        <v>3.875666666666667</v>
      </c>
      <c r="U56" s="52">
        <f>'Resumen-DiarioHorario-Eólico'!AC728</f>
        <v>4.6703333333333337</v>
      </c>
      <c r="V56" s="51">
        <f>'Resumen-DiarioHorario-Eólico'!AC771</f>
        <v>0.52416666666666656</v>
      </c>
      <c r="W56" s="52">
        <f>'Resumen-DiarioHorario-Eólico'!AC814</f>
        <v>0.64383333333333337</v>
      </c>
      <c r="X56" s="51">
        <f>'Resumen-DiarioHorario-Eólico'!AC857</f>
        <v>1.9691666666666665</v>
      </c>
      <c r="Y56" s="52">
        <f>'Resumen-DiarioHorario-Eólico'!AC900</f>
        <v>0</v>
      </c>
      <c r="Z56" s="51">
        <f>'Resumen-DiarioHorario-Eólico'!AC943</f>
        <v>0</v>
      </c>
      <c r="AA56" s="52">
        <f>'Resumen-DiarioHorario-Eólico'!AC986</f>
        <v>5.2573333333333325</v>
      </c>
      <c r="AB56" s="51">
        <f>'Resumen-DiarioHorario-Eólico'!AC1029</f>
        <v>0</v>
      </c>
      <c r="AC56" s="52">
        <f>'Resumen-DiarioHorario-Eólico'!AC1072</f>
        <v>0</v>
      </c>
      <c r="AD56" s="51">
        <f>'Resumen-DiarioHorario-Eólico'!AC1115</f>
        <v>0.43200000000000016</v>
      </c>
      <c r="AE56" s="52">
        <f>'Resumen-DiarioHorario-Eólico'!AC1158</f>
        <v>0</v>
      </c>
      <c r="AF56" s="51">
        <f>'Resumen-DiarioHorario-Eólico'!AC1200</f>
        <v>2.5430000000000001</v>
      </c>
      <c r="AG56" s="52">
        <f>'Resumen-DiarioHorario-Eólico'!AC1243</f>
        <v>4.076666666666668</v>
      </c>
      <c r="AH56" s="51">
        <f>'Resumen-DiarioHorario-Eólico'!AC1286</f>
        <v>9.5926666666666662</v>
      </c>
      <c r="AI56" s="100">
        <f>'Resumen-DiarioHorario-Eólico'!AC1329</f>
        <v>0</v>
      </c>
      <c r="AJ56" s="238">
        <f t="shared" si="17"/>
        <v>53.54</v>
      </c>
      <c r="AK56" s="238"/>
      <c r="AL56" s="238"/>
    </row>
    <row r="57" spans="2:38" s="4" customFormat="1" x14ac:dyDescent="0.3">
      <c r="B57" s="245" t="s">
        <v>35</v>
      </c>
      <c r="C57" s="245"/>
      <c r="D57" s="245"/>
      <c r="E57" s="52">
        <f>'Resumen-DiarioHorario-Eólico'!AC41</f>
        <v>230.86083333333329</v>
      </c>
      <c r="F57" s="51">
        <f>'Resumen-DiarioHorario-Eólico'!AC84</f>
        <v>27.601166666666668</v>
      </c>
      <c r="G57" s="52">
        <f>'Resumen-DiarioHorario-Eólico'!AC127</f>
        <v>0</v>
      </c>
      <c r="H57" s="51">
        <f>'Resumen-DiarioHorario-Eólico'!AC170</f>
        <v>0</v>
      </c>
      <c r="I57" s="52">
        <f>'Resumen-DiarioHorario-Eólico'!AC213</f>
        <v>0</v>
      </c>
      <c r="J57" s="51">
        <f>'Resumen-DiarioHorario-Eólico'!AC256</f>
        <v>0</v>
      </c>
      <c r="K57" s="52">
        <f>'Resumen-DiarioHorario-Eólico'!AC299</f>
        <v>0</v>
      </c>
      <c r="L57" s="51">
        <f>'Resumen-DiarioHorario-Eólico'!AC342</f>
        <v>0</v>
      </c>
      <c r="M57" s="52">
        <f>'Resumen-DiarioHorario-Eólico'!AC385</f>
        <v>8.427500000000002</v>
      </c>
      <c r="N57" s="51">
        <f>'Resumen-DiarioHorario-Eólico'!AC428</f>
        <v>0</v>
      </c>
      <c r="O57" s="52">
        <f>'Resumen-DiarioHorario-Eólico'!AC471</f>
        <v>0</v>
      </c>
      <c r="P57" s="51">
        <f>'Resumen-DiarioHorario-Eólico'!AC514</f>
        <v>0</v>
      </c>
      <c r="Q57" s="52">
        <f>'Resumen-DiarioHorario-Eólico'!AC557</f>
        <v>0</v>
      </c>
      <c r="R57" s="51">
        <f>'Resumen-DiarioHorario-Eólico'!AC600</f>
        <v>0</v>
      </c>
      <c r="S57" s="52">
        <f>'Resumen-DiarioHorario-Eólico'!AC643</f>
        <v>38.92433333333333</v>
      </c>
      <c r="T57" s="51">
        <f>'Resumen-DiarioHorario-Eólico'!AC686</f>
        <v>11.525333333333332</v>
      </c>
      <c r="U57" s="52">
        <f>'Resumen-DiarioHorario-Eólico'!AC729</f>
        <v>0</v>
      </c>
      <c r="V57" s="51">
        <f>'Resumen-DiarioHorario-Eólico'!AC772</f>
        <v>1.3438333333333339</v>
      </c>
      <c r="W57" s="52">
        <f>'Resumen-DiarioHorario-Eólico'!AC815</f>
        <v>0</v>
      </c>
      <c r="X57" s="51">
        <f>'Resumen-DiarioHorario-Eólico'!AC858</f>
        <v>76.099166666666676</v>
      </c>
      <c r="Y57" s="52">
        <f>'Resumen-DiarioHorario-Eólico'!AC901</f>
        <v>0</v>
      </c>
      <c r="Z57" s="51">
        <f>'Resumen-DiarioHorario-Eólico'!AC944</f>
        <v>0</v>
      </c>
      <c r="AA57" s="52">
        <f>'Resumen-DiarioHorario-Eólico'!AC987</f>
        <v>32.43383333333334</v>
      </c>
      <c r="AB57" s="51">
        <f>'Resumen-DiarioHorario-Eólico'!AC1030</f>
        <v>0</v>
      </c>
      <c r="AC57" s="52">
        <f>'Resumen-DiarioHorario-Eólico'!AC1073</f>
        <v>0</v>
      </c>
      <c r="AD57" s="51">
        <f>'Resumen-DiarioHorario-Eólico'!AC1116</f>
        <v>0</v>
      </c>
      <c r="AE57" s="52">
        <f>'Resumen-DiarioHorario-Eólico'!AC1159</f>
        <v>0</v>
      </c>
      <c r="AF57" s="51">
        <f>'Resumen-DiarioHorario-Eólico'!AC1201</f>
        <v>0.92149999999999965</v>
      </c>
      <c r="AG57" s="52">
        <f>'Resumen-DiarioHorario-Eólico'!AC1244</f>
        <v>16.615499999999997</v>
      </c>
      <c r="AH57" s="51">
        <f>'Resumen-DiarioHorario-Eólico'!AC1287</f>
        <v>0</v>
      </c>
      <c r="AI57" s="100">
        <f>'Resumen-DiarioHorario-Eólico'!AC1330</f>
        <v>0</v>
      </c>
      <c r="AJ57" s="238">
        <f t="shared" si="17"/>
        <v>444.75299999999993</v>
      </c>
      <c r="AK57" s="238"/>
      <c r="AL57" s="238"/>
    </row>
    <row r="58" spans="2:38" s="4" customFormat="1" x14ac:dyDescent="0.3">
      <c r="B58" s="245" t="s">
        <v>36</v>
      </c>
      <c r="C58" s="245"/>
      <c r="D58" s="245"/>
      <c r="E58" s="52">
        <f>'Resumen-DiarioHorario-Eólico'!AC42</f>
        <v>280.45383333333336</v>
      </c>
      <c r="F58" s="51">
        <f>'Resumen-DiarioHorario-Eólico'!AC85</f>
        <v>295.95099999999996</v>
      </c>
      <c r="G58" s="52">
        <f>'Resumen-DiarioHorario-Eólico'!AC128</f>
        <v>0</v>
      </c>
      <c r="H58" s="51">
        <f>'Resumen-DiarioHorario-Eólico'!AC171</f>
        <v>0</v>
      </c>
      <c r="I58" s="52">
        <f>'Resumen-DiarioHorario-Eólico'!AC214</f>
        <v>0</v>
      </c>
      <c r="J58" s="51">
        <f>'Resumen-DiarioHorario-Eólico'!AC257</f>
        <v>0</v>
      </c>
      <c r="K58" s="52">
        <f>'Resumen-DiarioHorario-Eólico'!AC300</f>
        <v>0</v>
      </c>
      <c r="L58" s="51">
        <f>'Resumen-DiarioHorario-Eólico'!AC343</f>
        <v>0</v>
      </c>
      <c r="M58" s="52">
        <f>'Resumen-DiarioHorario-Eólico'!AC386</f>
        <v>0</v>
      </c>
      <c r="N58" s="51">
        <f>'Resumen-DiarioHorario-Eólico'!AC429</f>
        <v>0</v>
      </c>
      <c r="O58" s="52">
        <f>'Resumen-DiarioHorario-Eólico'!AC472</f>
        <v>0</v>
      </c>
      <c r="P58" s="51">
        <f>'Resumen-DiarioHorario-Eólico'!AC515</f>
        <v>0</v>
      </c>
      <c r="Q58" s="52">
        <f>'Resumen-DiarioHorario-Eólico'!AC558</f>
        <v>0</v>
      </c>
      <c r="R58" s="51">
        <f>'Resumen-DiarioHorario-Eólico'!AC601</f>
        <v>0</v>
      </c>
      <c r="S58" s="52">
        <f>'Resumen-DiarioHorario-Eólico'!AC644</f>
        <v>85.621000000000024</v>
      </c>
      <c r="T58" s="51">
        <f>'Resumen-DiarioHorario-Eólico'!AC687</f>
        <v>0</v>
      </c>
      <c r="U58" s="52">
        <f>'Resumen-DiarioHorario-Eólico'!AC730</f>
        <v>0</v>
      </c>
      <c r="V58" s="51">
        <f>'Resumen-DiarioHorario-Eólico'!AC773</f>
        <v>0</v>
      </c>
      <c r="W58" s="52">
        <f>'Resumen-DiarioHorario-Eólico'!AC816</f>
        <v>0</v>
      </c>
      <c r="X58" s="51">
        <f>'Resumen-DiarioHorario-Eólico'!AC859</f>
        <v>81.891833333333324</v>
      </c>
      <c r="Y58" s="52">
        <f>'Resumen-DiarioHorario-Eólico'!AC902</f>
        <v>0</v>
      </c>
      <c r="Z58" s="51">
        <f>'Resumen-DiarioHorario-Eólico'!AC945</f>
        <v>0</v>
      </c>
      <c r="AA58" s="52">
        <f>'Resumen-DiarioHorario-Eólico'!AC988</f>
        <v>60.53799999999999</v>
      </c>
      <c r="AB58" s="51">
        <f>'Resumen-DiarioHorario-Eólico'!AC1031</f>
        <v>0</v>
      </c>
      <c r="AC58" s="52">
        <f>'Resumen-DiarioHorario-Eólico'!AC1074</f>
        <v>0</v>
      </c>
      <c r="AD58" s="51">
        <f>'Resumen-DiarioHorario-Eólico'!AC1117</f>
        <v>1.6329999999999996</v>
      </c>
      <c r="AE58" s="52">
        <f>'Resumen-DiarioHorario-Eólico'!AC1160</f>
        <v>0</v>
      </c>
      <c r="AF58" s="51">
        <f>'Resumen-DiarioHorario-Eólico'!AC1202</f>
        <v>1.0938333333333334</v>
      </c>
      <c r="AG58" s="52">
        <f>'Resumen-DiarioHorario-Eólico'!AC1245</f>
        <v>52.946666666666673</v>
      </c>
      <c r="AH58" s="51">
        <f>'Resumen-DiarioHorario-Eólico'!AC1288</f>
        <v>0</v>
      </c>
      <c r="AI58" s="100">
        <f>'Resumen-DiarioHorario-Eólico'!AC1331</f>
        <v>0</v>
      </c>
      <c r="AJ58" s="238">
        <f t="shared" si="17"/>
        <v>860.12916666666672</v>
      </c>
      <c r="AK58" s="238"/>
      <c r="AL58" s="238"/>
    </row>
    <row r="59" spans="2:38" s="4" customFormat="1" x14ac:dyDescent="0.3">
      <c r="B59" s="13" t="s">
        <v>89</v>
      </c>
      <c r="C59" s="13"/>
      <c r="D59" s="13"/>
      <c r="E59" s="52">
        <f>'Resumen-DiarioHorario-Eólico'!AC43</f>
        <v>2.4739999999999993</v>
      </c>
      <c r="F59" s="51">
        <f>'Resumen-DiarioHorario-Eólico'!AC86</f>
        <v>23.873000000000005</v>
      </c>
      <c r="G59" s="52">
        <f>'Resumen-DiarioHorario-Eólico'!AC129</f>
        <v>0</v>
      </c>
      <c r="H59" s="51">
        <f>'Resumen-DiarioHorario-Eólico'!AC172</f>
        <v>0</v>
      </c>
      <c r="I59" s="52">
        <f>'Resumen-DiarioHorario-Eólico'!AC215</f>
        <v>0</v>
      </c>
      <c r="J59" s="51">
        <f>'Resumen-DiarioHorario-Eólico'!AC258</f>
        <v>0</v>
      </c>
      <c r="K59" s="52">
        <f>'Resumen-DiarioHorario-Eólico'!AC301</f>
        <v>0</v>
      </c>
      <c r="L59" s="51">
        <f>'Resumen-DiarioHorario-Eólico'!AC344</f>
        <v>0</v>
      </c>
      <c r="M59" s="52">
        <f>'Resumen-DiarioHorario-Eólico'!AC387</f>
        <v>0</v>
      </c>
      <c r="N59" s="51">
        <f>'Resumen-DiarioHorario-Eólico'!AC430</f>
        <v>0</v>
      </c>
      <c r="O59" s="52">
        <f>'Resumen-DiarioHorario-Eólico'!AC473</f>
        <v>0</v>
      </c>
      <c r="P59" s="51">
        <f>'Resumen-DiarioHorario-Eólico'!AC516</f>
        <v>0</v>
      </c>
      <c r="Q59" s="52">
        <f>'Resumen-DiarioHorario-Eólico'!AC559</f>
        <v>0</v>
      </c>
      <c r="R59" s="51">
        <f>'Resumen-DiarioHorario-Eólico'!AC602</f>
        <v>0</v>
      </c>
      <c r="S59" s="52">
        <f>'Resumen-DiarioHorario-Eólico'!AC645</f>
        <v>0</v>
      </c>
      <c r="T59" s="51">
        <f>'Resumen-DiarioHorario-Eólico'!AC688</f>
        <v>0</v>
      </c>
      <c r="U59" s="52">
        <f>'Resumen-DiarioHorario-Eólico'!AC731</f>
        <v>0</v>
      </c>
      <c r="V59" s="51">
        <f>'Resumen-DiarioHorario-Eólico'!AC774</f>
        <v>0</v>
      </c>
      <c r="W59" s="52">
        <f>'Resumen-DiarioHorario-Eólico'!AC817</f>
        <v>0</v>
      </c>
      <c r="X59" s="51">
        <f>'Resumen-DiarioHorario-Eólico'!AC860</f>
        <v>0</v>
      </c>
      <c r="Y59" s="52">
        <f>'Resumen-DiarioHorario-Eólico'!AC903</f>
        <v>0</v>
      </c>
      <c r="Z59" s="51">
        <f>'Resumen-DiarioHorario-Eólico'!AC946</f>
        <v>0</v>
      </c>
      <c r="AA59" s="52">
        <f>'Resumen-DiarioHorario-Eólico'!AC989</f>
        <v>0</v>
      </c>
      <c r="AB59" s="51">
        <f>'Resumen-DiarioHorario-Eólico'!AC1032</f>
        <v>0</v>
      </c>
      <c r="AC59" s="52">
        <f>'Resumen-DiarioHorario-Eólico'!AC1075</f>
        <v>0</v>
      </c>
      <c r="AD59" s="51">
        <f>'Resumen-DiarioHorario-Eólico'!AC1118</f>
        <v>0</v>
      </c>
      <c r="AE59" s="52">
        <f>'Resumen-DiarioHorario-Eólico'!AC1161</f>
        <v>0</v>
      </c>
      <c r="AF59" s="51">
        <f>'Resumen-DiarioHorario-Eólico'!AC1203</f>
        <v>0</v>
      </c>
      <c r="AG59" s="52">
        <f>'Resumen-DiarioHorario-Eólico'!AC1246</f>
        <v>0</v>
      </c>
      <c r="AH59" s="51">
        <f>'Resumen-DiarioHorario-Eólico'!AC1289</f>
        <v>1.339333333333333</v>
      </c>
      <c r="AI59" s="100">
        <f>'Resumen-DiarioHorario-Eólico'!AC1332</f>
        <v>0</v>
      </c>
      <c r="AJ59" s="238">
        <f t="shared" ref="AJ59:AJ60" si="18">SUM(E59:AI59)</f>
        <v>27.686333333333337</v>
      </c>
      <c r="AK59" s="238"/>
      <c r="AL59" s="238"/>
    </row>
    <row r="60" spans="2:38" s="4" customFormat="1" x14ac:dyDescent="0.3">
      <c r="B60" s="13" t="s">
        <v>90</v>
      </c>
      <c r="C60" s="13"/>
      <c r="D60" s="13"/>
      <c r="E60" s="52">
        <f>'Resumen-DiarioHorario-Eólico'!AC44</f>
        <v>231.82399999999998</v>
      </c>
      <c r="F60" s="51">
        <f>'Resumen-DiarioHorario-Eólico'!AC87</f>
        <v>261.65733333333333</v>
      </c>
      <c r="G60" s="52">
        <f>'Resumen-DiarioHorario-Eólico'!AC130</f>
        <v>0</v>
      </c>
      <c r="H60" s="51">
        <f>'Resumen-DiarioHorario-Eólico'!AC173</f>
        <v>0</v>
      </c>
      <c r="I60" s="52">
        <f>'Resumen-DiarioHorario-Eólico'!AC216</f>
        <v>0</v>
      </c>
      <c r="J60" s="51">
        <f>'Resumen-DiarioHorario-Eólico'!AC259</f>
        <v>0</v>
      </c>
      <c r="K60" s="52">
        <f>'Resumen-DiarioHorario-Eólico'!AC302</f>
        <v>0</v>
      </c>
      <c r="L60" s="51">
        <f>'Resumen-DiarioHorario-Eólico'!AC345</f>
        <v>0</v>
      </c>
      <c r="M60" s="52">
        <f>'Resumen-DiarioHorario-Eólico'!AC388</f>
        <v>0</v>
      </c>
      <c r="N60" s="51">
        <f>'Resumen-DiarioHorario-Eólico'!AC431</f>
        <v>0</v>
      </c>
      <c r="O60" s="52">
        <f>'Resumen-DiarioHorario-Eólico'!AC474</f>
        <v>0</v>
      </c>
      <c r="P60" s="51">
        <f>'Resumen-DiarioHorario-Eólico'!AC517</f>
        <v>0</v>
      </c>
      <c r="Q60" s="52">
        <f>'Resumen-DiarioHorario-Eólico'!AC560</f>
        <v>0</v>
      </c>
      <c r="R60" s="51">
        <f>'Resumen-DiarioHorario-Eólico'!AC603</f>
        <v>0</v>
      </c>
      <c r="S60" s="52">
        <f>'Resumen-DiarioHorario-Eólico'!AC646</f>
        <v>53.079333333333331</v>
      </c>
      <c r="T60" s="51">
        <f>'Resumen-DiarioHorario-Eólico'!AC689</f>
        <v>0</v>
      </c>
      <c r="U60" s="52">
        <f>'Resumen-DiarioHorario-Eólico'!AC732</f>
        <v>4.795499999999997</v>
      </c>
      <c r="V60" s="51">
        <f>'Resumen-DiarioHorario-Eólico'!AC775</f>
        <v>0</v>
      </c>
      <c r="W60" s="52">
        <f>'Resumen-DiarioHorario-Eólico'!AC818</f>
        <v>0</v>
      </c>
      <c r="X60" s="51">
        <f>'Resumen-DiarioHorario-Eólico'!AC861</f>
        <v>1.2688333333333328</v>
      </c>
      <c r="Y60" s="52">
        <f>'Resumen-DiarioHorario-Eólico'!AC904</f>
        <v>0</v>
      </c>
      <c r="Z60" s="51">
        <f>'Resumen-DiarioHorario-Eólico'!AC947</f>
        <v>0</v>
      </c>
      <c r="AA60" s="52">
        <f>'Resumen-DiarioHorario-Eólico'!AC990</f>
        <v>0</v>
      </c>
      <c r="AB60" s="51">
        <f>'Resumen-DiarioHorario-Eólico'!AC1033</f>
        <v>0</v>
      </c>
      <c r="AC60" s="52">
        <f>'Resumen-DiarioHorario-Eólico'!AC1076</f>
        <v>0</v>
      </c>
      <c r="AD60" s="51">
        <f>'Resumen-DiarioHorario-Eólico'!AC1119</f>
        <v>0</v>
      </c>
      <c r="AE60" s="52">
        <f>'Resumen-DiarioHorario-Eólico'!AC1162</f>
        <v>0</v>
      </c>
      <c r="AF60" s="51">
        <f>'Resumen-DiarioHorario-Eólico'!AC1204</f>
        <v>0</v>
      </c>
      <c r="AG60" s="52">
        <f>'Resumen-DiarioHorario-Eólico'!AC1247</f>
        <v>0</v>
      </c>
      <c r="AH60" s="51">
        <f>'Resumen-DiarioHorario-Eólico'!AC1290</f>
        <v>14.088999999999999</v>
      </c>
      <c r="AI60" s="100">
        <f>'Resumen-DiarioHorario-Eólico'!AC1333</f>
        <v>0</v>
      </c>
      <c r="AJ60" s="238">
        <f t="shared" si="18"/>
        <v>566.71399999999994</v>
      </c>
      <c r="AK60" s="238"/>
      <c r="AL60" s="238"/>
    </row>
    <row r="61" spans="2:38" s="4" customFormat="1" x14ac:dyDescent="0.3"/>
    <row r="62" spans="2:38" s="4" customFormat="1" x14ac:dyDescent="0.3"/>
    <row r="63" spans="2:38" s="4" customFormat="1" x14ac:dyDescent="0.3"/>
    <row r="64" spans="2:38" s="4" customFormat="1" x14ac:dyDescent="0.3">
      <c r="B64" s="50" t="s">
        <v>102</v>
      </c>
      <c r="C64" s="2"/>
      <c r="D64" s="2"/>
      <c r="E64" s="2"/>
      <c r="F64" s="2"/>
      <c r="G64" s="2"/>
      <c r="H64" s="2"/>
      <c r="I64" s="2"/>
      <c r="J64" s="2"/>
      <c r="K64" s="2"/>
      <c r="L64" s="1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37"/>
      <c r="AC64" s="37"/>
      <c r="AD64" s="37"/>
      <c r="AE64" s="37"/>
      <c r="AF64" s="37"/>
      <c r="AG64" s="37"/>
      <c r="AH64" s="1"/>
      <c r="AI64" s="1"/>
      <c r="AJ64" s="1"/>
      <c r="AK64" s="1"/>
      <c r="AL64" s="1"/>
    </row>
    <row r="65" spans="2:38" s="4" customFormat="1" x14ac:dyDescent="0.3">
      <c r="AH65" s="3"/>
      <c r="AI65" s="3"/>
      <c r="AJ65" s="3"/>
    </row>
    <row r="66" spans="2:38" s="4" customFormat="1" x14ac:dyDescent="0.3">
      <c r="B66" s="39" t="s">
        <v>3</v>
      </c>
      <c r="E66" s="40">
        <f t="shared" ref="E66:AI66" si="19">E22</f>
        <v>44562</v>
      </c>
      <c r="F66" s="40">
        <f t="shared" si="19"/>
        <v>44563</v>
      </c>
      <c r="G66" s="40">
        <f t="shared" si="19"/>
        <v>44564</v>
      </c>
      <c r="H66" s="40">
        <f t="shared" si="19"/>
        <v>44565</v>
      </c>
      <c r="I66" s="40">
        <f t="shared" si="19"/>
        <v>44566</v>
      </c>
      <c r="J66" s="40">
        <f t="shared" si="19"/>
        <v>44567</v>
      </c>
      <c r="K66" s="40">
        <f t="shared" si="19"/>
        <v>44568</v>
      </c>
      <c r="L66" s="40">
        <f t="shared" si="19"/>
        <v>44569</v>
      </c>
      <c r="M66" s="40">
        <f t="shared" si="19"/>
        <v>44570</v>
      </c>
      <c r="N66" s="40">
        <f t="shared" si="19"/>
        <v>44571</v>
      </c>
      <c r="O66" s="40">
        <f t="shared" si="19"/>
        <v>44572</v>
      </c>
      <c r="P66" s="40">
        <f t="shared" si="19"/>
        <v>44573</v>
      </c>
      <c r="Q66" s="40">
        <f t="shared" si="19"/>
        <v>44574</v>
      </c>
      <c r="R66" s="40">
        <f t="shared" si="19"/>
        <v>44575</v>
      </c>
      <c r="S66" s="40">
        <f t="shared" si="19"/>
        <v>44576</v>
      </c>
      <c r="T66" s="40">
        <f t="shared" si="19"/>
        <v>44577</v>
      </c>
      <c r="U66" s="40">
        <f t="shared" si="19"/>
        <v>44578</v>
      </c>
      <c r="V66" s="40">
        <f t="shared" si="19"/>
        <v>44579</v>
      </c>
      <c r="W66" s="40">
        <f t="shared" si="19"/>
        <v>44580</v>
      </c>
      <c r="X66" s="40">
        <f t="shared" si="19"/>
        <v>44581</v>
      </c>
      <c r="Y66" s="40">
        <f t="shared" si="19"/>
        <v>44582</v>
      </c>
      <c r="Z66" s="40">
        <f t="shared" si="19"/>
        <v>44583</v>
      </c>
      <c r="AA66" s="40">
        <f t="shared" si="19"/>
        <v>44584</v>
      </c>
      <c r="AB66" s="40">
        <f t="shared" si="19"/>
        <v>44585</v>
      </c>
      <c r="AC66" s="40">
        <f t="shared" si="19"/>
        <v>44586</v>
      </c>
      <c r="AD66" s="40">
        <f t="shared" si="19"/>
        <v>44587</v>
      </c>
      <c r="AE66" s="40">
        <f t="shared" si="19"/>
        <v>44588</v>
      </c>
      <c r="AF66" s="40">
        <f t="shared" si="19"/>
        <v>44589</v>
      </c>
      <c r="AG66" s="40">
        <f t="shared" si="19"/>
        <v>44590</v>
      </c>
      <c r="AH66" s="40">
        <f t="shared" si="19"/>
        <v>44591</v>
      </c>
      <c r="AI66" s="40">
        <f t="shared" si="19"/>
        <v>44592</v>
      </c>
      <c r="AJ66" s="247" t="s">
        <v>2</v>
      </c>
      <c r="AK66" s="248"/>
      <c r="AL66" s="248"/>
    </row>
    <row r="67" spans="2:38" s="4" customFormat="1" x14ac:dyDescent="0.3">
      <c r="B67" s="250" t="s">
        <v>2</v>
      </c>
      <c r="C67" s="250"/>
      <c r="D67" s="250"/>
      <c r="E67" s="237">
        <f>SUM(E68:E116)</f>
        <v>5637.6028333333334</v>
      </c>
      <c r="F67" s="237">
        <f t="shared" ref="F67:AI67" si="20">SUM(F68:F116)</f>
        <v>4370.6821666666674</v>
      </c>
      <c r="G67" s="237">
        <f t="shared" si="20"/>
        <v>483.36049999999994</v>
      </c>
      <c r="H67" s="237">
        <f t="shared" si="20"/>
        <v>2516.4854999999998</v>
      </c>
      <c r="I67" s="237">
        <f t="shared" si="20"/>
        <v>2837.8305000000005</v>
      </c>
      <c r="J67" s="237">
        <f t="shared" si="20"/>
        <v>1484.8965000000001</v>
      </c>
      <c r="K67" s="237">
        <f t="shared" si="20"/>
        <v>453.25483333333335</v>
      </c>
      <c r="L67" s="237">
        <f t="shared" si="20"/>
        <v>355.54849999999993</v>
      </c>
      <c r="M67" s="237">
        <f t="shared" si="20"/>
        <v>539.89116666666689</v>
      </c>
      <c r="N67" s="237">
        <f t="shared" si="20"/>
        <v>504.31699999999995</v>
      </c>
      <c r="O67" s="237">
        <f t="shared" si="20"/>
        <v>654.88699999999994</v>
      </c>
      <c r="P67" s="237">
        <f t="shared" si="20"/>
        <v>1388.9434999999994</v>
      </c>
      <c r="Q67" s="237">
        <f t="shared" si="20"/>
        <v>1349.2718333333332</v>
      </c>
      <c r="R67" s="237">
        <f t="shared" si="20"/>
        <v>374.4758333333333</v>
      </c>
      <c r="S67" s="237">
        <f t="shared" si="20"/>
        <v>666.24283333333346</v>
      </c>
      <c r="T67" s="237">
        <f t="shared" si="20"/>
        <v>925.50433333333353</v>
      </c>
      <c r="U67" s="237">
        <f t="shared" si="20"/>
        <v>889.21833333333336</v>
      </c>
      <c r="V67" s="237">
        <f t="shared" si="20"/>
        <v>1121.0245000000004</v>
      </c>
      <c r="W67" s="237">
        <f t="shared" si="20"/>
        <v>862.29200000000026</v>
      </c>
      <c r="X67" s="237">
        <f t="shared" si="20"/>
        <v>1409.6421666666668</v>
      </c>
      <c r="Y67" s="237">
        <f t="shared" si="20"/>
        <v>966.41750000000013</v>
      </c>
      <c r="Z67" s="237">
        <f t="shared" si="20"/>
        <v>1544.9959999999999</v>
      </c>
      <c r="AA67" s="237">
        <f t="shared" si="20"/>
        <v>2872.5981666666667</v>
      </c>
      <c r="AB67" s="237">
        <f t="shared" si="20"/>
        <v>152.11816666666667</v>
      </c>
      <c r="AC67" s="237">
        <f t="shared" si="20"/>
        <v>171.38849999999999</v>
      </c>
      <c r="AD67" s="237">
        <f t="shared" si="20"/>
        <v>692.19966666666664</v>
      </c>
      <c r="AE67" s="237">
        <f t="shared" si="20"/>
        <v>692.26949999999988</v>
      </c>
      <c r="AF67" s="237">
        <f t="shared" si="20"/>
        <v>1020.2159999999999</v>
      </c>
      <c r="AG67" s="237">
        <f t="shared" si="20"/>
        <v>1330.7860000000003</v>
      </c>
      <c r="AH67" s="237">
        <f t="shared" si="20"/>
        <v>4691.8371666666662</v>
      </c>
      <c r="AI67" s="236">
        <f t="shared" si="20"/>
        <v>482.02283333333338</v>
      </c>
      <c r="AJ67" s="249">
        <f>SUM(AJ68:AK116)</f>
        <v>43442.221333333357</v>
      </c>
      <c r="AK67" s="249"/>
      <c r="AL67" s="249"/>
    </row>
    <row r="68" spans="2:38" s="4" customFormat="1" x14ac:dyDescent="0.3">
      <c r="B68" s="245" t="s">
        <v>37</v>
      </c>
      <c r="C68" s="245"/>
      <c r="D68" s="245"/>
      <c r="E68" s="52">
        <f>'Resumen-DiarioHorario-Solar'!AC8</f>
        <v>6.409833333333335</v>
      </c>
      <c r="F68" s="51">
        <f>'Resumen-DiarioHorario-Solar'!AC63</f>
        <v>6.0046666666666679</v>
      </c>
      <c r="G68" s="52">
        <f>'Resumen-DiarioHorario-Solar'!AC118</f>
        <v>0.97666666666666702</v>
      </c>
      <c r="H68" s="51">
        <f>'Resumen-DiarioHorario-Solar'!AC173</f>
        <v>5.5136666666666674</v>
      </c>
      <c r="I68" s="52">
        <f>'Resumen-DiarioHorario-Solar'!AC228</f>
        <v>7.4816666666666674</v>
      </c>
      <c r="J68" s="51">
        <f>'Resumen-DiarioHorario-Solar'!AC283</f>
        <v>0.48916666666666708</v>
      </c>
      <c r="K68" s="52">
        <f>'Resumen-DiarioHorario-Solar'!AC338</f>
        <v>7.4499999999999969E-2</v>
      </c>
      <c r="L68" s="51">
        <f>'Resumen-DiarioHorario-Solar'!AC393</f>
        <v>0</v>
      </c>
      <c r="M68" s="52">
        <f>'Resumen-DiarioHorario-Solar'!AC448</f>
        <v>0.29950000000000004</v>
      </c>
      <c r="N68" s="51">
        <f>'Resumen-DiarioHorario-Solar'!AC503</f>
        <v>0</v>
      </c>
      <c r="O68" s="52">
        <f>'Resumen-DiarioHorario-Solar'!AC558</f>
        <v>0</v>
      </c>
      <c r="P68" s="51">
        <f>'Resumen-DiarioHorario-Solar'!AC613</f>
        <v>0.64983333333333326</v>
      </c>
      <c r="Q68" s="52">
        <f>'Resumen-DiarioHorario-Solar'!AC668</f>
        <v>2.3038333333333334</v>
      </c>
      <c r="R68" s="51">
        <f>'Resumen-DiarioHorario-Solar'!AC723</f>
        <v>0</v>
      </c>
      <c r="S68" s="52">
        <f>'Resumen-DiarioHorario-Solar'!AC778</f>
        <v>0</v>
      </c>
      <c r="T68" s="51">
        <f>'Resumen-DiarioHorario-Solar'!AC833</f>
        <v>1.0166666666666668</v>
      </c>
      <c r="U68" s="52">
        <f>'Resumen-DiarioHorario-Solar'!AC888</f>
        <v>2.6166666666666612E-2</v>
      </c>
      <c r="V68" s="51">
        <f>'Resumen-DiarioHorario-Solar'!AC943</f>
        <v>0.57250000000000034</v>
      </c>
      <c r="W68" s="52">
        <f>'Resumen-DiarioHorario-Solar'!AC998</f>
        <v>0.44566666666666682</v>
      </c>
      <c r="X68" s="51">
        <f>'Resumen-DiarioHorario-Solar'!AC1053</f>
        <v>0</v>
      </c>
      <c r="Y68" s="52">
        <f>'Resumen-DiarioHorario-Solar'!AC1108</f>
        <v>0</v>
      </c>
      <c r="Z68" s="51">
        <f>'Resumen-DiarioHorario-Solar'!AC1163</f>
        <v>2.3913333333333329</v>
      </c>
      <c r="AA68" s="52">
        <f>'Resumen-DiarioHorario-Solar'!AC1218</f>
        <v>0.20516666666666664</v>
      </c>
      <c r="AB68" s="51">
        <f>'Resumen-DiarioHorario-Solar'!AC1273</f>
        <v>0</v>
      </c>
      <c r="AC68" s="52">
        <f>'Resumen-DiarioHorario-Solar'!AC1328</f>
        <v>0</v>
      </c>
      <c r="AD68" s="51">
        <f>'Resumen-DiarioHorario-Solar'!AC1383</f>
        <v>2.1999999999999974E-2</v>
      </c>
      <c r="AE68" s="52">
        <f>'Resumen-DiarioHorario-Solar'!AC1438</f>
        <v>1.2658333333333336</v>
      </c>
      <c r="AF68" s="51">
        <f>'Resumen-DiarioHorario-Solar'!AC1493</f>
        <v>8.7333333333333249E-2</v>
      </c>
      <c r="AG68" s="52">
        <f>'Resumen-DiarioHorario-Solar'!AC1548</f>
        <v>7.3616666666666664</v>
      </c>
      <c r="AH68" s="51">
        <f>'Resumen-DiarioHorario-Solar'!AC1603</f>
        <v>4.2343333333333346</v>
      </c>
      <c r="AI68" s="100">
        <f>'Resumen-DiarioHorario-Solar'!AC1658</f>
        <v>0</v>
      </c>
      <c r="AJ68" s="238">
        <f>SUM(E68:AI68)</f>
        <v>47.831999999999994</v>
      </c>
      <c r="AK68" s="238"/>
      <c r="AL68" s="238"/>
    </row>
    <row r="69" spans="2:38" s="4" customFormat="1" x14ac:dyDescent="0.3">
      <c r="B69" s="245" t="s">
        <v>38</v>
      </c>
      <c r="C69" s="245"/>
      <c r="D69" s="245"/>
      <c r="E69" s="52">
        <f>'Resumen-DiarioHorario-Solar'!AC9</f>
        <v>7.9505000000000035</v>
      </c>
      <c r="F69" s="51">
        <f>'Resumen-DiarioHorario-Solar'!AC64</f>
        <v>5.0803333333333347</v>
      </c>
      <c r="G69" s="52">
        <f>'Resumen-DiarioHorario-Solar'!AC119</f>
        <v>0.17900000000000052</v>
      </c>
      <c r="H69" s="51">
        <f>'Resumen-DiarioHorario-Solar'!AC174</f>
        <v>8.9066666666666645</v>
      </c>
      <c r="I69" s="52">
        <f>'Resumen-DiarioHorario-Solar'!AC229</f>
        <v>19.514666666666667</v>
      </c>
      <c r="J69" s="51">
        <f>'Resumen-DiarioHorario-Solar'!AC284</f>
        <v>0.71433333333333404</v>
      </c>
      <c r="K69" s="52">
        <f>'Resumen-DiarioHorario-Solar'!AC339</f>
        <v>0.70550000000000013</v>
      </c>
      <c r="L69" s="51">
        <f>'Resumen-DiarioHorario-Solar'!AC394</f>
        <v>0</v>
      </c>
      <c r="M69" s="52">
        <f>'Resumen-DiarioHorario-Solar'!AC449</f>
        <v>0.20266666666666644</v>
      </c>
      <c r="N69" s="51">
        <f>'Resumen-DiarioHorario-Solar'!AC504</f>
        <v>0</v>
      </c>
      <c r="O69" s="52">
        <f>'Resumen-DiarioHorario-Solar'!AC559</f>
        <v>0.51216666666666655</v>
      </c>
      <c r="P69" s="51">
        <f>'Resumen-DiarioHorario-Solar'!AC614</f>
        <v>2.0619999999999998</v>
      </c>
      <c r="Q69" s="52">
        <f>'Resumen-DiarioHorario-Solar'!AC669</f>
        <v>4.9898333333333316</v>
      </c>
      <c r="R69" s="51">
        <f>'Resumen-DiarioHorario-Solar'!AC724</f>
        <v>1.0831666666666664</v>
      </c>
      <c r="S69" s="52">
        <f>'Resumen-DiarioHorario-Solar'!AC779</f>
        <v>1.345499999999999</v>
      </c>
      <c r="T69" s="51">
        <f>'Resumen-DiarioHorario-Solar'!AC834</f>
        <v>0.1671666666666661</v>
      </c>
      <c r="U69" s="52">
        <f>'Resumen-DiarioHorario-Solar'!AC889</f>
        <v>0</v>
      </c>
      <c r="V69" s="51">
        <f>'Resumen-DiarioHorario-Solar'!AC944</f>
        <v>0</v>
      </c>
      <c r="W69" s="52">
        <f>'Resumen-DiarioHorario-Solar'!AC999</f>
        <v>0</v>
      </c>
      <c r="X69" s="51">
        <f>'Resumen-DiarioHorario-Solar'!AC1054</f>
        <v>0</v>
      </c>
      <c r="Y69" s="52">
        <f>'Resumen-DiarioHorario-Solar'!AC1109</f>
        <v>0</v>
      </c>
      <c r="Z69" s="51">
        <f>'Resumen-DiarioHorario-Solar'!AC1164</f>
        <v>0</v>
      </c>
      <c r="AA69" s="52">
        <f>'Resumen-DiarioHorario-Solar'!AC1219</f>
        <v>3.3101666666666674</v>
      </c>
      <c r="AB69" s="51">
        <f>'Resumen-DiarioHorario-Solar'!AC1274</f>
        <v>0</v>
      </c>
      <c r="AC69" s="52">
        <f>'Resumen-DiarioHorario-Solar'!AC1329</f>
        <v>0</v>
      </c>
      <c r="AD69" s="51">
        <f>'Resumen-DiarioHorario-Solar'!AC1384</f>
        <v>0.19466666666666671</v>
      </c>
      <c r="AE69" s="52">
        <f>'Resumen-DiarioHorario-Solar'!AC1439</f>
        <v>3.3141666666666674</v>
      </c>
      <c r="AF69" s="51">
        <f>'Resumen-DiarioHorario-Solar'!AC1494</f>
        <v>6.6795000000000009</v>
      </c>
      <c r="AG69" s="52">
        <f>'Resumen-DiarioHorario-Solar'!AC1549</f>
        <v>5.1121666666666661</v>
      </c>
      <c r="AH69" s="51">
        <f>'Resumen-DiarioHorario-Solar'!AC1604</f>
        <v>7.0381666666666653</v>
      </c>
      <c r="AI69" s="100">
        <f>'Resumen-DiarioHorario-Solar'!AC1659</f>
        <v>0</v>
      </c>
      <c r="AJ69" s="238">
        <f t="shared" ref="AJ69:AJ79" si="21">SUM(E69:AI69)</f>
        <v>79.062333333333342</v>
      </c>
      <c r="AK69" s="238"/>
      <c r="AL69" s="238"/>
    </row>
    <row r="70" spans="2:38" s="4" customFormat="1" x14ac:dyDescent="0.3">
      <c r="B70" s="245" t="s">
        <v>39</v>
      </c>
      <c r="C70" s="245"/>
      <c r="D70" s="245"/>
      <c r="E70" s="52">
        <f>'Resumen-DiarioHorario-Solar'!AC10</f>
        <v>33.761833333333314</v>
      </c>
      <c r="F70" s="51">
        <f>'Resumen-DiarioHorario-Solar'!AC65</f>
        <v>32.543000000000006</v>
      </c>
      <c r="G70" s="52">
        <f>'Resumen-DiarioHorario-Solar'!AC120</f>
        <v>0.57050000000000023</v>
      </c>
      <c r="H70" s="51">
        <f>'Resumen-DiarioHorario-Solar'!AC175</f>
        <v>16.703500000000002</v>
      </c>
      <c r="I70" s="52">
        <f>'Resumen-DiarioHorario-Solar'!AC230</f>
        <v>19.068000000000008</v>
      </c>
      <c r="J70" s="51">
        <f>'Resumen-DiarioHorario-Solar'!AC285</f>
        <v>0.80266666666666608</v>
      </c>
      <c r="K70" s="52">
        <f>'Resumen-DiarioHorario-Solar'!AC340</f>
        <v>0.27</v>
      </c>
      <c r="L70" s="51">
        <f>'Resumen-DiarioHorario-Solar'!AC395</f>
        <v>0</v>
      </c>
      <c r="M70" s="52">
        <f>'Resumen-DiarioHorario-Solar'!AC450</f>
        <v>1.7000000000000053E-2</v>
      </c>
      <c r="N70" s="51">
        <f>'Resumen-DiarioHorario-Solar'!AC505</f>
        <v>0</v>
      </c>
      <c r="O70" s="52">
        <f>'Resumen-DiarioHorario-Solar'!AC560</f>
        <v>5.3516666666666666</v>
      </c>
      <c r="P70" s="51">
        <f>'Resumen-DiarioHorario-Solar'!AC615</f>
        <v>25.206166666666665</v>
      </c>
      <c r="Q70" s="52">
        <f>'Resumen-DiarioHorario-Solar'!AC670</f>
        <v>12.730499999999996</v>
      </c>
      <c r="R70" s="51">
        <f>'Resumen-DiarioHorario-Solar'!AC725</f>
        <v>1.7169999999999996</v>
      </c>
      <c r="S70" s="52">
        <f>'Resumen-DiarioHorario-Solar'!AC780</f>
        <v>0.74549999999999994</v>
      </c>
      <c r="T70" s="51">
        <f>'Resumen-DiarioHorario-Solar'!AC835</f>
        <v>3.077</v>
      </c>
      <c r="U70" s="52">
        <f>'Resumen-DiarioHorario-Solar'!AC890</f>
        <v>0.86883333333333357</v>
      </c>
      <c r="V70" s="51">
        <f>'Resumen-DiarioHorario-Solar'!AC945</f>
        <v>0</v>
      </c>
      <c r="W70" s="52">
        <f>'Resumen-DiarioHorario-Solar'!AC1000</f>
        <v>19.859999999999985</v>
      </c>
      <c r="X70" s="51">
        <f>'Resumen-DiarioHorario-Solar'!AC1055</f>
        <v>26.492833333333348</v>
      </c>
      <c r="Y70" s="52">
        <f>'Resumen-DiarioHorario-Solar'!AC1110</f>
        <v>0</v>
      </c>
      <c r="Z70" s="51">
        <f>'Resumen-DiarioHorario-Solar'!AC1165</f>
        <v>0.5701666666666656</v>
      </c>
      <c r="AA70" s="52">
        <f>'Resumen-DiarioHorario-Solar'!AC1220</f>
        <v>9.5323333333333338</v>
      </c>
      <c r="AB70" s="51">
        <f>'Resumen-DiarioHorario-Solar'!AC1275</f>
        <v>0</v>
      </c>
      <c r="AC70" s="52">
        <f>'Resumen-DiarioHorario-Solar'!AC1330</f>
        <v>0</v>
      </c>
      <c r="AD70" s="51">
        <f>'Resumen-DiarioHorario-Solar'!AC1385</f>
        <v>0</v>
      </c>
      <c r="AE70" s="52">
        <f>'Resumen-DiarioHorario-Solar'!AC1440</f>
        <v>5.458333333333333</v>
      </c>
      <c r="AF70" s="51">
        <f>'Resumen-DiarioHorario-Solar'!AC1495</f>
        <v>1.9133333333333331</v>
      </c>
      <c r="AG70" s="52">
        <f>'Resumen-DiarioHorario-Solar'!AC1550</f>
        <v>2.3501666666666701</v>
      </c>
      <c r="AH70" s="51">
        <f>'Resumen-DiarioHorario-Solar'!AC1605</f>
        <v>54.038166666666676</v>
      </c>
      <c r="AI70" s="100">
        <f>'Resumen-DiarioHorario-Solar'!AC1660</f>
        <v>0</v>
      </c>
      <c r="AJ70" s="238">
        <f t="shared" si="21"/>
        <v>273.64850000000001</v>
      </c>
      <c r="AK70" s="238"/>
      <c r="AL70" s="238"/>
    </row>
    <row r="71" spans="2:38" x14ac:dyDescent="0.3">
      <c r="B71" s="245" t="s">
        <v>40</v>
      </c>
      <c r="C71" s="245"/>
      <c r="D71" s="245"/>
      <c r="E71" s="52">
        <f>'Resumen-DiarioHorario-Solar'!AC11</f>
        <v>637.85033333333331</v>
      </c>
      <c r="F71" s="51">
        <f>'Resumen-DiarioHorario-Solar'!AC66</f>
        <v>130.43549999999996</v>
      </c>
      <c r="G71" s="52">
        <f>'Resumen-DiarioHorario-Solar'!AC121</f>
        <v>0</v>
      </c>
      <c r="H71" s="51">
        <f>'Resumen-DiarioHorario-Solar'!AC176</f>
        <v>48.37466666666667</v>
      </c>
      <c r="I71" s="52">
        <f>'Resumen-DiarioHorario-Solar'!AC231</f>
        <v>93.350833333333327</v>
      </c>
      <c r="J71" s="51">
        <f>'Resumen-DiarioHorario-Solar'!AC286</f>
        <v>20.537833333333317</v>
      </c>
      <c r="K71" s="52">
        <f>'Resumen-DiarioHorario-Solar'!AC341</f>
        <v>0</v>
      </c>
      <c r="L71" s="51">
        <f>'Resumen-DiarioHorario-Solar'!AC396</f>
        <v>0</v>
      </c>
      <c r="M71" s="52">
        <f>'Resumen-DiarioHorario-Solar'!AC451</f>
        <v>2.8333333333333616E-2</v>
      </c>
      <c r="N71" s="51">
        <f>'Resumen-DiarioHorario-Solar'!AC506</f>
        <v>0</v>
      </c>
      <c r="O71" s="52">
        <f>'Resumen-DiarioHorario-Solar'!AC561</f>
        <v>21.918999999999986</v>
      </c>
      <c r="P71" s="51">
        <f>'Resumen-DiarioHorario-Solar'!AC616</f>
        <v>3.348333333333334</v>
      </c>
      <c r="Q71" s="52">
        <f>'Resumen-DiarioHorario-Solar'!AC671</f>
        <v>15.184333333333338</v>
      </c>
      <c r="R71" s="51">
        <f>'Resumen-DiarioHorario-Solar'!AC726</f>
        <v>0</v>
      </c>
      <c r="S71" s="52">
        <f>'Resumen-DiarioHorario-Solar'!AC781</f>
        <v>1.4880000000000104</v>
      </c>
      <c r="T71" s="51">
        <f>'Resumen-DiarioHorario-Solar'!AC836</f>
        <v>4.6251666666666669</v>
      </c>
      <c r="U71" s="52">
        <f>'Resumen-DiarioHorario-Solar'!AC891</f>
        <v>6.378000000000001</v>
      </c>
      <c r="V71" s="51">
        <f>'Resumen-DiarioHorario-Solar'!AC946</f>
        <v>0.31550000000000483</v>
      </c>
      <c r="W71" s="52">
        <f>'Resumen-DiarioHorario-Solar'!AC1001</f>
        <v>2.5833333333333996E-2</v>
      </c>
      <c r="X71" s="51">
        <f>'Resumen-DiarioHorario-Solar'!AC1056</f>
        <v>9.2688333333333333</v>
      </c>
      <c r="Y71" s="52">
        <f>'Resumen-DiarioHorario-Solar'!AC1111</f>
        <v>0</v>
      </c>
      <c r="Z71" s="51">
        <f>'Resumen-DiarioHorario-Solar'!AC1166</f>
        <v>0</v>
      </c>
      <c r="AA71" s="52">
        <f>'Resumen-DiarioHorario-Solar'!AC1221</f>
        <v>358.99200000000002</v>
      </c>
      <c r="AB71" s="51">
        <f>'Resumen-DiarioHorario-Solar'!AC1276</f>
        <v>0</v>
      </c>
      <c r="AC71" s="52">
        <f>'Resumen-DiarioHorario-Solar'!AC1331</f>
        <v>0</v>
      </c>
      <c r="AD71" s="51">
        <f>'Resumen-DiarioHorario-Solar'!AC1386</f>
        <v>0</v>
      </c>
      <c r="AE71" s="52">
        <f>'Resumen-DiarioHorario-Solar'!AC1441</f>
        <v>2.5799999999999992</v>
      </c>
      <c r="AF71" s="51">
        <f>'Resumen-DiarioHorario-Solar'!AC1496</f>
        <v>1.7925000000000013</v>
      </c>
      <c r="AG71" s="52">
        <f>'Resumen-DiarioHorario-Solar'!AC1551</f>
        <v>0.17016666666666727</v>
      </c>
      <c r="AH71" s="51">
        <f>'Resumen-DiarioHorario-Solar'!AC1606</f>
        <v>35.794333333333299</v>
      </c>
      <c r="AI71" s="100">
        <f>'Resumen-DiarioHorario-Solar'!AC1661</f>
        <v>0</v>
      </c>
      <c r="AJ71" s="238">
        <f t="shared" si="21"/>
        <v>1392.4595000000002</v>
      </c>
      <c r="AK71" s="238"/>
      <c r="AL71" s="238"/>
    </row>
    <row r="72" spans="2:38" x14ac:dyDescent="0.3">
      <c r="B72" s="245" t="s">
        <v>41</v>
      </c>
      <c r="C72" s="245"/>
      <c r="D72" s="245"/>
      <c r="E72" s="52">
        <f>'Resumen-DiarioHorario-Solar'!AC12</f>
        <v>90.175999999999988</v>
      </c>
      <c r="F72" s="51">
        <f>'Resumen-DiarioHorario-Solar'!AC67</f>
        <v>36.588000000000001</v>
      </c>
      <c r="G72" s="52">
        <f>'Resumen-DiarioHorario-Solar'!AC122</f>
        <v>3.3573333333333357</v>
      </c>
      <c r="H72" s="51">
        <f>'Resumen-DiarioHorario-Solar'!AC177</f>
        <v>54.700499999999998</v>
      </c>
      <c r="I72" s="52">
        <f>'Resumen-DiarioHorario-Solar'!AC232</f>
        <v>78.878833333333347</v>
      </c>
      <c r="J72" s="51">
        <f>'Resumen-DiarioHorario-Solar'!AC287</f>
        <v>13.015500000000007</v>
      </c>
      <c r="K72" s="52">
        <f>'Resumen-DiarioHorario-Solar'!AC342</f>
        <v>54.052166666666615</v>
      </c>
      <c r="L72" s="51">
        <f>'Resumen-DiarioHorario-Solar'!AC397</f>
        <v>2.2356666666666665</v>
      </c>
      <c r="M72" s="52">
        <f>'Resumen-DiarioHorario-Solar'!AC452</f>
        <v>15.131666666666673</v>
      </c>
      <c r="N72" s="51">
        <f>'Resumen-DiarioHorario-Solar'!AC507</f>
        <v>45.353833333333355</v>
      </c>
      <c r="O72" s="52">
        <f>'Resumen-DiarioHorario-Solar'!AC562</f>
        <v>121.26800000000001</v>
      </c>
      <c r="P72" s="51">
        <f>'Resumen-DiarioHorario-Solar'!AC617</f>
        <v>22.125833333333333</v>
      </c>
      <c r="Q72" s="52">
        <f>'Resumen-DiarioHorario-Solar'!AC672</f>
        <v>81.832166666666666</v>
      </c>
      <c r="R72" s="51">
        <f>'Resumen-DiarioHorario-Solar'!AC727</f>
        <v>0</v>
      </c>
      <c r="S72" s="52">
        <f>'Resumen-DiarioHorario-Solar'!AC782</f>
        <v>0.22099999999999997</v>
      </c>
      <c r="T72" s="51">
        <f>'Resumen-DiarioHorario-Solar'!AC837</f>
        <v>31.61866666666667</v>
      </c>
      <c r="U72" s="52">
        <f>'Resumen-DiarioHorario-Solar'!AC892</f>
        <v>32.658499999999997</v>
      </c>
      <c r="V72" s="51">
        <f>'Resumen-DiarioHorario-Solar'!AC947</f>
        <v>14.874833333333338</v>
      </c>
      <c r="W72" s="52">
        <f>'Resumen-DiarioHorario-Solar'!AC1002</f>
        <v>42.938499999999983</v>
      </c>
      <c r="X72" s="51">
        <f>'Resumen-DiarioHorario-Solar'!AC1057</f>
        <v>3.6000000000000005</v>
      </c>
      <c r="Y72" s="52">
        <f>'Resumen-DiarioHorario-Solar'!AC1112</f>
        <v>56.002499999999998</v>
      </c>
      <c r="Z72" s="51">
        <f>'Resumen-DiarioHorario-Solar'!AC1167</f>
        <v>0</v>
      </c>
      <c r="AA72" s="52">
        <f>'Resumen-DiarioHorario-Solar'!AC1222</f>
        <v>25.284999999999997</v>
      </c>
      <c r="AB72" s="51">
        <f>'Resumen-DiarioHorario-Solar'!AC1277</f>
        <v>0.4653333333333331</v>
      </c>
      <c r="AC72" s="52">
        <f>'Resumen-DiarioHorario-Solar'!AC1332</f>
        <v>0</v>
      </c>
      <c r="AD72" s="51">
        <f>'Resumen-DiarioHorario-Solar'!AC1387</f>
        <v>31.161999999999978</v>
      </c>
      <c r="AE72" s="52">
        <f>'Resumen-DiarioHorario-Solar'!AC1442</f>
        <v>42.586333333333329</v>
      </c>
      <c r="AF72" s="51">
        <f>'Resumen-DiarioHorario-Solar'!AC1497</f>
        <v>7.3333333333333195E-2</v>
      </c>
      <c r="AG72" s="52">
        <f>'Resumen-DiarioHorario-Solar'!AC1552</f>
        <v>66.582999999999998</v>
      </c>
      <c r="AH72" s="51">
        <f>'Resumen-DiarioHorario-Solar'!AC1607</f>
        <v>8.4459999999999926</v>
      </c>
      <c r="AI72" s="100">
        <f>'Resumen-DiarioHorario-Solar'!AC1662</f>
        <v>0</v>
      </c>
      <c r="AJ72" s="238">
        <f t="shared" si="21"/>
        <v>975.23049999999967</v>
      </c>
      <c r="AK72" s="238"/>
      <c r="AL72" s="238"/>
    </row>
    <row r="73" spans="2:38" x14ac:dyDescent="0.3">
      <c r="B73" s="245" t="s">
        <v>42</v>
      </c>
      <c r="C73" s="245"/>
      <c r="D73" s="245"/>
      <c r="E73" s="52">
        <f>'Resumen-DiarioHorario-Solar'!AC13</f>
        <v>75.845333333333357</v>
      </c>
      <c r="F73" s="51">
        <f>'Resumen-DiarioHorario-Solar'!AC68</f>
        <v>10.090833333333332</v>
      </c>
      <c r="G73" s="52">
        <f>'Resumen-DiarioHorario-Solar'!AC123</f>
        <v>0</v>
      </c>
      <c r="H73" s="51">
        <f>'Resumen-DiarioHorario-Solar'!AC178</f>
        <v>7.9671666666666683</v>
      </c>
      <c r="I73" s="52">
        <f>'Resumen-DiarioHorario-Solar'!AC233</f>
        <v>19.190666666666658</v>
      </c>
      <c r="J73" s="51">
        <f>'Resumen-DiarioHorario-Solar'!AC288</f>
        <v>0</v>
      </c>
      <c r="K73" s="52">
        <f>'Resumen-DiarioHorario-Solar'!AC343</f>
        <v>21.997833333333336</v>
      </c>
      <c r="L73" s="51">
        <f>'Resumen-DiarioHorario-Solar'!AC398</f>
        <v>0</v>
      </c>
      <c r="M73" s="52">
        <f>'Resumen-DiarioHorario-Solar'!AC453</f>
        <v>0</v>
      </c>
      <c r="N73" s="51">
        <f>'Resumen-DiarioHorario-Solar'!AC508</f>
        <v>0</v>
      </c>
      <c r="O73" s="52">
        <f>'Resumen-DiarioHorario-Solar'!AC563</f>
        <v>3.7576666666666672</v>
      </c>
      <c r="P73" s="51">
        <f>'Resumen-DiarioHorario-Solar'!AC618</f>
        <v>27.141666666666673</v>
      </c>
      <c r="Q73" s="52">
        <f>'Resumen-DiarioHorario-Solar'!AC673</f>
        <v>102.85933333333332</v>
      </c>
      <c r="R73" s="51">
        <f>'Resumen-DiarioHorario-Solar'!AC728</f>
        <v>2.1695000000000015</v>
      </c>
      <c r="S73" s="52">
        <f>'Resumen-DiarioHorario-Solar'!AC783</f>
        <v>0</v>
      </c>
      <c r="T73" s="51">
        <f>'Resumen-DiarioHorario-Solar'!AC838</f>
        <v>0.52716666666666656</v>
      </c>
      <c r="U73" s="52">
        <f>'Resumen-DiarioHorario-Solar'!AC893</f>
        <v>2.1545000000000001</v>
      </c>
      <c r="V73" s="51">
        <f>'Resumen-DiarioHorario-Solar'!AC948</f>
        <v>0</v>
      </c>
      <c r="W73" s="52">
        <f>'Resumen-DiarioHorario-Solar'!AC1003</f>
        <v>0</v>
      </c>
      <c r="X73" s="51">
        <f>'Resumen-DiarioHorario-Solar'!AC1058</f>
        <v>2.0243333333333338</v>
      </c>
      <c r="Y73" s="52">
        <f>'Resumen-DiarioHorario-Solar'!AC1113</f>
        <v>3.4166666666666741E-2</v>
      </c>
      <c r="Z73" s="51">
        <f>'Resumen-DiarioHorario-Solar'!AC1168</f>
        <v>0</v>
      </c>
      <c r="AA73" s="52">
        <f>'Resumen-DiarioHorario-Solar'!AC1223</f>
        <v>6.729166666666667</v>
      </c>
      <c r="AB73" s="51">
        <f>'Resumen-DiarioHorario-Solar'!AC1278</f>
        <v>0</v>
      </c>
      <c r="AC73" s="52">
        <f>'Resumen-DiarioHorario-Solar'!AC1333</f>
        <v>0</v>
      </c>
      <c r="AD73" s="51">
        <f>'Resumen-DiarioHorario-Solar'!AC1388</f>
        <v>2.8166666666666628E-2</v>
      </c>
      <c r="AE73" s="52">
        <f>'Resumen-DiarioHorario-Solar'!AC1443</f>
        <v>42.126000000000005</v>
      </c>
      <c r="AF73" s="51">
        <f>'Resumen-DiarioHorario-Solar'!AC1498</f>
        <v>18.497999999999998</v>
      </c>
      <c r="AG73" s="52">
        <f>'Resumen-DiarioHorario-Solar'!AC1553</f>
        <v>0</v>
      </c>
      <c r="AH73" s="51">
        <f>'Resumen-DiarioHorario-Solar'!AC1608</f>
        <v>0</v>
      </c>
      <c r="AI73" s="100">
        <f>'Resumen-DiarioHorario-Solar'!AC1663</f>
        <v>0</v>
      </c>
      <c r="AJ73" s="238">
        <f t="shared" si="21"/>
        <v>343.14150000000012</v>
      </c>
      <c r="AK73" s="238"/>
      <c r="AL73" s="238"/>
    </row>
    <row r="74" spans="2:38" x14ac:dyDescent="0.3">
      <c r="B74" s="245" t="s">
        <v>43</v>
      </c>
      <c r="C74" s="245"/>
      <c r="D74" s="245"/>
      <c r="E74" s="52">
        <f>'Resumen-DiarioHorario-Solar'!AC14</f>
        <v>275.15016666666662</v>
      </c>
      <c r="F74" s="51">
        <f>'Resumen-DiarioHorario-Solar'!AC69</f>
        <v>202.30399999999997</v>
      </c>
      <c r="G74" s="52">
        <f>'Resumen-DiarioHorario-Solar'!AC124</f>
        <v>6.0840000000000156</v>
      </c>
      <c r="H74" s="51">
        <f>'Resumen-DiarioHorario-Solar'!AC179</f>
        <v>58.896833333333326</v>
      </c>
      <c r="I74" s="52">
        <f>'Resumen-DiarioHorario-Solar'!AC234</f>
        <v>81.192833333333311</v>
      </c>
      <c r="J74" s="51">
        <f>'Resumen-DiarioHorario-Solar'!AC289</f>
        <v>50.307833333333349</v>
      </c>
      <c r="K74" s="52">
        <f>'Resumen-DiarioHorario-Solar'!AC344</f>
        <v>54.652833333333355</v>
      </c>
      <c r="L74" s="51">
        <f>'Resumen-DiarioHorario-Solar'!AC399</f>
        <v>45.773499999999999</v>
      </c>
      <c r="M74" s="52">
        <f>'Resumen-DiarioHorario-Solar'!AC454</f>
        <v>23.054333333333332</v>
      </c>
      <c r="N74" s="51">
        <f>'Resumen-DiarioHorario-Solar'!AC509</f>
        <v>0.1455000000000003</v>
      </c>
      <c r="O74" s="52">
        <f>'Resumen-DiarioHorario-Solar'!AC564</f>
        <v>116.03533333333334</v>
      </c>
      <c r="P74" s="51">
        <f>'Resumen-DiarioHorario-Solar'!AC619</f>
        <v>39.385833333333345</v>
      </c>
      <c r="Q74" s="52">
        <f>'Resumen-DiarioHorario-Solar'!AC674</f>
        <v>2.7796666666666749</v>
      </c>
      <c r="R74" s="51">
        <f>'Resumen-DiarioHorario-Solar'!AC729</f>
        <v>13.005833333333324</v>
      </c>
      <c r="S74" s="52">
        <f>'Resumen-DiarioHorario-Solar'!AC784</f>
        <v>0.56616666666666704</v>
      </c>
      <c r="T74" s="51">
        <f>'Resumen-DiarioHorario-Solar'!AC839</f>
        <v>45.090499999999984</v>
      </c>
      <c r="U74" s="52">
        <f>'Resumen-DiarioHorario-Solar'!AC894</f>
        <v>15.523833333333354</v>
      </c>
      <c r="V74" s="51">
        <f>'Resumen-DiarioHorario-Solar'!AC949</f>
        <v>11.162166666666685</v>
      </c>
      <c r="W74" s="52">
        <f>'Resumen-DiarioHorario-Solar'!AC1004</f>
        <v>8.7950000000000159</v>
      </c>
      <c r="X74" s="51">
        <f>'Resumen-DiarioHorario-Solar'!AC1059</f>
        <v>4.8333333333333188E-3</v>
      </c>
      <c r="Y74" s="52">
        <f>'Resumen-DiarioHorario-Solar'!AC1114</f>
        <v>67.718833333333322</v>
      </c>
      <c r="Z74" s="51">
        <f>'Resumen-DiarioHorario-Solar'!AC1169</f>
        <v>111.32633333333339</v>
      </c>
      <c r="AA74" s="52">
        <f>'Resumen-DiarioHorario-Solar'!AC1224</f>
        <v>119.31199999999998</v>
      </c>
      <c r="AB74" s="51">
        <f>'Resumen-DiarioHorario-Solar'!AC1279</f>
        <v>0.41133333333333344</v>
      </c>
      <c r="AC74" s="52">
        <f>'Resumen-DiarioHorario-Solar'!AC1334</f>
        <v>0.427333333333343</v>
      </c>
      <c r="AD74" s="51">
        <f>'Resumen-DiarioHorario-Solar'!AC1389</f>
        <v>26.536333333333339</v>
      </c>
      <c r="AE74" s="52">
        <f>'Resumen-DiarioHorario-Solar'!AC1444</f>
        <v>48.600499999999997</v>
      </c>
      <c r="AF74" s="51">
        <f>'Resumen-DiarioHorario-Solar'!AC1499</f>
        <v>61.264166666666675</v>
      </c>
      <c r="AG74" s="52">
        <f>'Resumen-DiarioHorario-Solar'!AC1554</f>
        <v>92.104333333333358</v>
      </c>
      <c r="AH74" s="51">
        <f>'Resumen-DiarioHorario-Solar'!AC1609</f>
        <v>63.814500000000002</v>
      </c>
      <c r="AI74" s="100">
        <f>'Resumen-DiarioHorario-Solar'!AC1664</f>
        <v>14.481166666666674</v>
      </c>
      <c r="AJ74" s="238">
        <f t="shared" si="21"/>
        <v>1655.9078333333332</v>
      </c>
      <c r="AK74" s="238"/>
      <c r="AL74" s="238"/>
    </row>
    <row r="75" spans="2:38" x14ac:dyDescent="0.3">
      <c r="B75" s="245" t="s">
        <v>44</v>
      </c>
      <c r="C75" s="245"/>
      <c r="D75" s="245"/>
      <c r="E75" s="52">
        <f>'Resumen-DiarioHorario-Solar'!AC15</f>
        <v>72.896333333333374</v>
      </c>
      <c r="F75" s="51">
        <f>'Resumen-DiarioHorario-Solar'!AC70</f>
        <v>44.233999999999995</v>
      </c>
      <c r="G75" s="52">
        <f>'Resumen-DiarioHorario-Solar'!AC125</f>
        <v>0</v>
      </c>
      <c r="H75" s="51">
        <f>'Resumen-DiarioHorario-Solar'!AC180</f>
        <v>33.375499999999995</v>
      </c>
      <c r="I75" s="52">
        <f>'Resumen-DiarioHorario-Solar'!AC235</f>
        <v>60.09650000000002</v>
      </c>
      <c r="J75" s="51">
        <f>'Resumen-DiarioHorario-Solar'!AC290</f>
        <v>0</v>
      </c>
      <c r="K75" s="52">
        <f>'Resumen-DiarioHorario-Solar'!AC345</f>
        <v>2.6935000000000002</v>
      </c>
      <c r="L75" s="51">
        <f>'Resumen-DiarioHorario-Solar'!AC400</f>
        <v>0</v>
      </c>
      <c r="M75" s="52">
        <f>'Resumen-DiarioHorario-Solar'!AC455</f>
        <v>0</v>
      </c>
      <c r="N75" s="51">
        <f>'Resumen-DiarioHorario-Solar'!AC510</f>
        <v>0</v>
      </c>
      <c r="O75" s="52">
        <f>'Resumen-DiarioHorario-Solar'!AC565</f>
        <v>13.237333333333332</v>
      </c>
      <c r="P75" s="51">
        <f>'Resumen-DiarioHorario-Solar'!AC620</f>
        <v>54.544666666666664</v>
      </c>
      <c r="Q75" s="52">
        <f>'Resumen-DiarioHorario-Solar'!AC675</f>
        <v>135.55533333333332</v>
      </c>
      <c r="R75" s="51">
        <f>'Resumen-DiarioHorario-Solar'!AC730</f>
        <v>0.728833333333333</v>
      </c>
      <c r="S75" s="52">
        <f>'Resumen-DiarioHorario-Solar'!AC785</f>
        <v>0</v>
      </c>
      <c r="T75" s="51">
        <f>'Resumen-DiarioHorario-Solar'!AC840</f>
        <v>0</v>
      </c>
      <c r="U75" s="52">
        <f>'Resumen-DiarioHorario-Solar'!AC895</f>
        <v>2.0666666666666344E-2</v>
      </c>
      <c r="V75" s="51">
        <f>'Resumen-DiarioHorario-Solar'!AC950</f>
        <v>1.8473333333333295</v>
      </c>
      <c r="W75" s="52">
        <f>'Resumen-DiarioHorario-Solar'!AC1005</f>
        <v>0</v>
      </c>
      <c r="X75" s="51">
        <f>'Resumen-DiarioHorario-Solar'!AC1060</f>
        <v>7.2875000000000005</v>
      </c>
      <c r="Y75" s="52">
        <f>'Resumen-DiarioHorario-Solar'!AC1115</f>
        <v>0</v>
      </c>
      <c r="Z75" s="51">
        <f>'Resumen-DiarioHorario-Solar'!AC1170</f>
        <v>3.4666666666666637E-2</v>
      </c>
      <c r="AA75" s="52">
        <f>'Resumen-DiarioHorario-Solar'!AC1225</f>
        <v>32.744666666666667</v>
      </c>
      <c r="AB75" s="51">
        <f>'Resumen-DiarioHorario-Solar'!AC1280</f>
        <v>0</v>
      </c>
      <c r="AC75" s="52">
        <f>'Resumen-DiarioHorario-Solar'!AC1335</f>
        <v>0</v>
      </c>
      <c r="AD75" s="51">
        <f>'Resumen-DiarioHorario-Solar'!AC1390</f>
        <v>3.2744999999999993</v>
      </c>
      <c r="AE75" s="52">
        <f>'Resumen-DiarioHorario-Solar'!AC1445</f>
        <v>12.18883333333333</v>
      </c>
      <c r="AF75" s="51">
        <f>'Resumen-DiarioHorario-Solar'!AC1500</f>
        <v>8.0224999999999991</v>
      </c>
      <c r="AG75" s="52">
        <f>'Resumen-DiarioHorario-Solar'!AC1555</f>
        <v>1.3174999999999992</v>
      </c>
      <c r="AH75" s="51">
        <f>'Resumen-DiarioHorario-Solar'!AC1610</f>
        <v>45.874000000000024</v>
      </c>
      <c r="AI75" s="100">
        <f>'Resumen-DiarioHorario-Solar'!AC1665</f>
        <v>0</v>
      </c>
      <c r="AJ75" s="238">
        <f t="shared" si="21"/>
        <v>529.97416666666675</v>
      </c>
      <c r="AK75" s="238"/>
      <c r="AL75" s="238"/>
    </row>
    <row r="76" spans="2:38" x14ac:dyDescent="0.3">
      <c r="B76" s="245" t="s">
        <v>45</v>
      </c>
      <c r="C76" s="245"/>
      <c r="D76" s="245"/>
      <c r="E76" s="52">
        <f>'Resumen-DiarioHorario-Solar'!AC16</f>
        <v>120.39</v>
      </c>
      <c r="F76" s="51">
        <f>'Resumen-DiarioHorario-Solar'!AC71</f>
        <v>64.603833333333341</v>
      </c>
      <c r="G76" s="52">
        <f>'Resumen-DiarioHorario-Solar'!AC126</f>
        <v>70.936666666666682</v>
      </c>
      <c r="H76" s="51">
        <f>'Resumen-DiarioHorario-Solar'!AC181</f>
        <v>105.71300000000002</v>
      </c>
      <c r="I76" s="52">
        <f>'Resumen-DiarioHorario-Solar'!AC236</f>
        <v>79.208500000000015</v>
      </c>
      <c r="J76" s="51">
        <f>'Resumen-DiarioHorario-Solar'!AC291</f>
        <v>47.313166666666667</v>
      </c>
      <c r="K76" s="52">
        <f>'Resumen-DiarioHorario-Solar'!AC346</f>
        <v>96.404666666666671</v>
      </c>
      <c r="L76" s="51">
        <f>'Resumen-DiarioHorario-Solar'!AC401</f>
        <v>78.15900000000002</v>
      </c>
      <c r="M76" s="52">
        <f>'Resumen-DiarioHorario-Solar'!AC456</f>
        <v>43.289000000000009</v>
      </c>
      <c r="N76" s="51">
        <f>'Resumen-DiarioHorario-Solar'!AC511</f>
        <v>78.276833333333329</v>
      </c>
      <c r="O76" s="52">
        <f>'Resumen-DiarioHorario-Solar'!AC566</f>
        <v>99.849666666666678</v>
      </c>
      <c r="P76" s="51">
        <f>'Resumen-DiarioHorario-Solar'!AC621</f>
        <v>30.398500000000002</v>
      </c>
      <c r="Q76" s="52">
        <f>'Resumen-DiarioHorario-Solar'!AC676</f>
        <v>37.354499999999994</v>
      </c>
      <c r="R76" s="51">
        <f>'Resumen-DiarioHorario-Solar'!AC731</f>
        <v>62.285833333333329</v>
      </c>
      <c r="S76" s="52">
        <f>'Resumen-DiarioHorario-Solar'!AC786</f>
        <v>78.717500000000044</v>
      </c>
      <c r="T76" s="51">
        <f>'Resumen-DiarioHorario-Solar'!AC841</f>
        <v>77.759166666666616</v>
      </c>
      <c r="U76" s="52">
        <f>'Resumen-DiarioHorario-Solar'!AC896</f>
        <v>60.68133333333332</v>
      </c>
      <c r="V76" s="51">
        <f>'Resumen-DiarioHorario-Solar'!AC951</f>
        <v>120.89516666666671</v>
      </c>
      <c r="W76" s="52">
        <f>'Resumen-DiarioHorario-Solar'!AC1006</f>
        <v>33.880666666666656</v>
      </c>
      <c r="X76" s="51">
        <f>'Resumen-DiarioHorario-Solar'!AC1061</f>
        <v>13.145833333333325</v>
      </c>
      <c r="Y76" s="52">
        <f>'Resumen-DiarioHorario-Solar'!AC1116</f>
        <v>25.633666666666659</v>
      </c>
      <c r="Z76" s="51">
        <f>'Resumen-DiarioHorario-Solar'!AC1171</f>
        <v>48.655166666666709</v>
      </c>
      <c r="AA76" s="52">
        <f>'Resumen-DiarioHorario-Solar'!AC1226</f>
        <v>28.454500000000017</v>
      </c>
      <c r="AB76" s="51">
        <f>'Resumen-DiarioHorario-Solar'!AC1281</f>
        <v>55.062333333333314</v>
      </c>
      <c r="AC76" s="52">
        <f>'Resumen-DiarioHorario-Solar'!AC1336</f>
        <v>59.880499999999998</v>
      </c>
      <c r="AD76" s="51">
        <f>'Resumen-DiarioHorario-Solar'!AC1391</f>
        <v>44.862666666666669</v>
      </c>
      <c r="AE76" s="52">
        <f>'Resumen-DiarioHorario-Solar'!AC1446</f>
        <v>8.7906666666666684</v>
      </c>
      <c r="AF76" s="51">
        <f>'Resumen-DiarioHorario-Solar'!AC1501</f>
        <v>31.473000000000003</v>
      </c>
      <c r="AG76" s="52">
        <f>'Resumen-DiarioHorario-Solar'!AC1556</f>
        <v>46.99783333333334</v>
      </c>
      <c r="AH76" s="51">
        <f>'Resumen-DiarioHorario-Solar'!AC1611</f>
        <v>77.736666666666622</v>
      </c>
      <c r="AI76" s="100">
        <f>'Resumen-DiarioHorario-Solar'!AC1666</f>
        <v>85.873666666666651</v>
      </c>
      <c r="AJ76" s="238">
        <f t="shared" si="21"/>
        <v>1912.6835000000001</v>
      </c>
      <c r="AK76" s="238"/>
      <c r="AL76" s="238"/>
    </row>
    <row r="77" spans="2:38" x14ac:dyDescent="0.3">
      <c r="B77" s="245" t="s">
        <v>46</v>
      </c>
      <c r="C77" s="245"/>
      <c r="D77" s="245"/>
      <c r="E77" s="52">
        <f>'Resumen-DiarioHorario-Solar'!AC17</f>
        <v>134.54616666666664</v>
      </c>
      <c r="F77" s="51">
        <f>'Resumen-DiarioHorario-Solar'!AC72</f>
        <v>212.428</v>
      </c>
      <c r="G77" s="52">
        <f>'Resumen-DiarioHorario-Solar'!AC127</f>
        <v>67.771999999999963</v>
      </c>
      <c r="H77" s="51">
        <f>'Resumen-DiarioHorario-Solar'!AC182</f>
        <v>142.22516666666664</v>
      </c>
      <c r="I77" s="52">
        <f>'Resumen-DiarioHorario-Solar'!AC237</f>
        <v>117.44849999999998</v>
      </c>
      <c r="J77" s="51">
        <f>'Resumen-DiarioHorario-Solar'!AC292</f>
        <v>55.668166666666679</v>
      </c>
      <c r="K77" s="52">
        <f>'Resumen-DiarioHorario-Solar'!AC347</f>
        <v>48.343666666666657</v>
      </c>
      <c r="L77" s="51">
        <f>'Resumen-DiarioHorario-Solar'!AC402</f>
        <v>114.31183333333335</v>
      </c>
      <c r="M77" s="52">
        <f>'Resumen-DiarioHorario-Solar'!AC457</f>
        <v>94.644499999999994</v>
      </c>
      <c r="N77" s="51">
        <f>'Resumen-DiarioHorario-Solar'!AC512</f>
        <v>234.52449999999999</v>
      </c>
      <c r="O77" s="52">
        <f>'Resumen-DiarioHorario-Solar'!AC567</f>
        <v>7.8305000000000051</v>
      </c>
      <c r="P77" s="51">
        <f>'Resumen-DiarioHorario-Solar'!AC622</f>
        <v>78.643000000000015</v>
      </c>
      <c r="Q77" s="52">
        <f>'Resumen-DiarioHorario-Solar'!AC677</f>
        <v>137.10316666666665</v>
      </c>
      <c r="R77" s="51">
        <f>'Resumen-DiarioHorario-Solar'!AC732</f>
        <v>75.624833333333342</v>
      </c>
      <c r="S77" s="52">
        <f>'Resumen-DiarioHorario-Solar'!AC787</f>
        <v>174.63899999999998</v>
      </c>
      <c r="T77" s="51">
        <f>'Resumen-DiarioHorario-Solar'!AC842</f>
        <v>79.990999999999971</v>
      </c>
      <c r="U77" s="52">
        <f>'Resumen-DiarioHorario-Solar'!AC897</f>
        <v>4.8996666666666693</v>
      </c>
      <c r="V77" s="51">
        <f>'Resumen-DiarioHorario-Solar'!AC952</f>
        <v>127.13383333333336</v>
      </c>
      <c r="W77" s="52">
        <f>'Resumen-DiarioHorario-Solar'!AC1007</f>
        <v>52.67</v>
      </c>
      <c r="X77" s="51">
        <f>'Resumen-DiarioHorario-Solar'!AC1062</f>
        <v>86.266666666666666</v>
      </c>
      <c r="Y77" s="52">
        <f>'Resumen-DiarioHorario-Solar'!AC1117</f>
        <v>74.924666666666695</v>
      </c>
      <c r="Z77" s="51">
        <f>'Resumen-DiarioHorario-Solar'!AC1172</f>
        <v>107.77633333333328</v>
      </c>
      <c r="AA77" s="52">
        <f>'Resumen-DiarioHorario-Solar'!AC1227</f>
        <v>121.3458333333333</v>
      </c>
      <c r="AB77" s="51">
        <f>'Resumen-DiarioHorario-Solar'!AC1282</f>
        <v>64.656500000000023</v>
      </c>
      <c r="AC77" s="52">
        <f>'Resumen-DiarioHorario-Solar'!AC1337</f>
        <v>21.404000000000003</v>
      </c>
      <c r="AD77" s="51">
        <f>'Resumen-DiarioHorario-Solar'!AC1392</f>
        <v>65.703999999999979</v>
      </c>
      <c r="AE77" s="52">
        <f>'Resumen-DiarioHorario-Solar'!AC1447</f>
        <v>132.52333333333326</v>
      </c>
      <c r="AF77" s="51">
        <f>'Resumen-DiarioHorario-Solar'!AC1502</f>
        <v>3.3333333333333333E-2</v>
      </c>
      <c r="AG77" s="52">
        <f>'Resumen-DiarioHorario-Solar'!AC1557</f>
        <v>64.12283333333329</v>
      </c>
      <c r="AH77" s="51">
        <f>'Resumen-DiarioHorario-Solar'!AC1612</f>
        <v>68.991333333333316</v>
      </c>
      <c r="AI77" s="100">
        <f>'Resumen-DiarioHorario-Solar'!AC1667</f>
        <v>119.19200000000004</v>
      </c>
      <c r="AJ77" s="238">
        <f t="shared" si="21"/>
        <v>2887.3883333333333</v>
      </c>
      <c r="AK77" s="238"/>
      <c r="AL77" s="238"/>
    </row>
    <row r="78" spans="2:38" x14ac:dyDescent="0.3">
      <c r="B78" s="245" t="s">
        <v>47</v>
      </c>
      <c r="C78" s="245"/>
      <c r="D78" s="245"/>
      <c r="E78" s="52">
        <f>'Resumen-DiarioHorario-Solar'!AC18</f>
        <v>31.439666666666675</v>
      </c>
      <c r="F78" s="51">
        <f>'Resumen-DiarioHorario-Solar'!AC73</f>
        <v>80.259000000000029</v>
      </c>
      <c r="G78" s="52">
        <f>'Resumen-DiarioHorario-Solar'!AC128</f>
        <v>51.121666666666698</v>
      </c>
      <c r="H78" s="51">
        <f>'Resumen-DiarioHorario-Solar'!AC183</f>
        <v>67.513000000000005</v>
      </c>
      <c r="I78" s="52">
        <f>'Resumen-DiarioHorario-Solar'!AC238</f>
        <v>52.058333333333358</v>
      </c>
      <c r="J78" s="51">
        <f>'Resumen-DiarioHorario-Solar'!AC293</f>
        <v>45.555499999999988</v>
      </c>
      <c r="K78" s="52">
        <f>'Resumen-DiarioHorario-Solar'!AC348</f>
        <v>31.969500000000014</v>
      </c>
      <c r="L78" s="51">
        <f>'Resumen-DiarioHorario-Solar'!AC403</f>
        <v>25.806333333333349</v>
      </c>
      <c r="M78" s="52">
        <f>'Resumen-DiarioHorario-Solar'!AC458</f>
        <v>26.235500000000005</v>
      </c>
      <c r="N78" s="51">
        <f>'Resumen-DiarioHorario-Solar'!AC513</f>
        <v>61.257999999999996</v>
      </c>
      <c r="O78" s="52">
        <f>'Resumen-DiarioHorario-Solar'!AC568</f>
        <v>19.344666666666665</v>
      </c>
      <c r="P78" s="51">
        <f>'Resumen-DiarioHorario-Solar'!AC623</f>
        <v>82.83666666666663</v>
      </c>
      <c r="Q78" s="52">
        <f>'Resumen-DiarioHorario-Solar'!AC678</f>
        <v>35.419000000000011</v>
      </c>
      <c r="R78" s="51">
        <f>'Resumen-DiarioHorario-Solar'!AC733</f>
        <v>26.236666666666665</v>
      </c>
      <c r="S78" s="52">
        <f>'Resumen-DiarioHorario-Solar'!AC788</f>
        <v>41.978833333333334</v>
      </c>
      <c r="T78" s="51">
        <f>'Resumen-DiarioHorario-Solar'!AC843</f>
        <v>33.835833333333341</v>
      </c>
      <c r="U78" s="52">
        <f>'Resumen-DiarioHorario-Solar'!AC898</f>
        <v>81.554166666666632</v>
      </c>
      <c r="V78" s="51">
        <f>'Resumen-DiarioHorario-Solar'!AC953</f>
        <v>5.1593333333333309</v>
      </c>
      <c r="W78" s="52">
        <f>'Resumen-DiarioHorario-Solar'!AC1008</f>
        <v>30.441666666666674</v>
      </c>
      <c r="X78" s="51">
        <f>'Resumen-DiarioHorario-Solar'!AC1063</f>
        <v>13.222666666666665</v>
      </c>
      <c r="Y78" s="52">
        <f>'Resumen-DiarioHorario-Solar'!AC1118</f>
        <v>13.572333333333324</v>
      </c>
      <c r="Z78" s="51">
        <f>'Resumen-DiarioHorario-Solar'!AC1173</f>
        <v>15.507333333333333</v>
      </c>
      <c r="AA78" s="52">
        <f>'Resumen-DiarioHorario-Solar'!AC1228</f>
        <v>9.530999999999997</v>
      </c>
      <c r="AB78" s="51">
        <f>'Resumen-DiarioHorario-Solar'!AC1283</f>
        <v>14.69766666666666</v>
      </c>
      <c r="AC78" s="52">
        <f>'Resumen-DiarioHorario-Solar'!AC1338</f>
        <v>9.9143333333333334</v>
      </c>
      <c r="AD78" s="51">
        <f>'Resumen-DiarioHorario-Solar'!AC1393</f>
        <v>39.45750000000001</v>
      </c>
      <c r="AE78" s="52">
        <f>'Resumen-DiarioHorario-Solar'!AC1448</f>
        <v>10.228833333333332</v>
      </c>
      <c r="AF78" s="51">
        <f>'Resumen-DiarioHorario-Solar'!AC1503</f>
        <v>21.002333333333333</v>
      </c>
      <c r="AG78" s="52">
        <f>'Resumen-DiarioHorario-Solar'!AC1558</f>
        <v>54.859166666666667</v>
      </c>
      <c r="AH78" s="51">
        <f>'Resumen-DiarioHorario-Solar'!AC1613</f>
        <v>27.694500000000016</v>
      </c>
      <c r="AI78" s="100">
        <f>'Resumen-DiarioHorario-Solar'!AC1668</f>
        <v>82.957333333333366</v>
      </c>
      <c r="AJ78" s="238">
        <f t="shared" si="21"/>
        <v>1142.6683333333335</v>
      </c>
      <c r="AK78" s="238"/>
      <c r="AL78" s="238"/>
    </row>
    <row r="79" spans="2:38" x14ac:dyDescent="0.3">
      <c r="B79" s="245" t="s">
        <v>48</v>
      </c>
      <c r="C79" s="245"/>
      <c r="D79" s="245"/>
      <c r="E79" s="52">
        <f>'Resumen-DiarioHorario-Solar'!AC19</f>
        <v>28.039666666666644</v>
      </c>
      <c r="F79" s="51">
        <f>'Resumen-DiarioHorario-Solar'!AC74</f>
        <v>67.776666666666657</v>
      </c>
      <c r="G79" s="52">
        <f>'Resumen-DiarioHorario-Solar'!AC129</f>
        <v>44.896499999999989</v>
      </c>
      <c r="H79" s="51">
        <f>'Resumen-DiarioHorario-Solar'!AC184</f>
        <v>48.255166666666668</v>
      </c>
      <c r="I79" s="52">
        <f>'Resumen-DiarioHorario-Solar'!AC239</f>
        <v>43.457833333333326</v>
      </c>
      <c r="J79" s="51">
        <f>'Resumen-DiarioHorario-Solar'!AC294</f>
        <v>31.198499999999989</v>
      </c>
      <c r="K79" s="52">
        <f>'Resumen-DiarioHorario-Solar'!AC349</f>
        <v>34.94666666666668</v>
      </c>
      <c r="L79" s="51">
        <f>'Resumen-DiarioHorario-Solar'!AC404</f>
        <v>24.096166666666669</v>
      </c>
      <c r="M79" s="52">
        <f>'Resumen-DiarioHorario-Solar'!AC459</f>
        <v>23.008999999999993</v>
      </c>
      <c r="N79" s="51">
        <f>'Resumen-DiarioHorario-Solar'!AC514</f>
        <v>41.455500000000008</v>
      </c>
      <c r="O79" s="52">
        <f>'Resumen-DiarioHorario-Solar'!AC569</f>
        <v>16.943000000000005</v>
      </c>
      <c r="P79" s="51">
        <f>'Resumen-DiarioHorario-Solar'!AC624</f>
        <v>8.0166666666666664E-2</v>
      </c>
      <c r="Q79" s="52">
        <f>'Resumen-DiarioHorario-Solar'!AC679</f>
        <v>26.897833333333335</v>
      </c>
      <c r="R79" s="51">
        <f>'Resumen-DiarioHorario-Solar'!AC734</f>
        <v>22.595499999999994</v>
      </c>
      <c r="S79" s="52">
        <f>'Resumen-DiarioHorario-Solar'!AC789</f>
        <v>32.61583333333332</v>
      </c>
      <c r="T79" s="51">
        <f>'Resumen-DiarioHorario-Solar'!AC844</f>
        <v>30.437666666666669</v>
      </c>
      <c r="U79" s="52">
        <f>'Resumen-DiarioHorario-Solar'!AC899</f>
        <v>15.577833333333336</v>
      </c>
      <c r="V79" s="51">
        <f>'Resumen-DiarioHorario-Solar'!AC954</f>
        <v>0</v>
      </c>
      <c r="W79" s="52">
        <f>'Resumen-DiarioHorario-Solar'!AC1009</f>
        <v>28.316833333333356</v>
      </c>
      <c r="X79" s="51">
        <f>'Resumen-DiarioHorario-Solar'!AC1064</f>
        <v>13.726666666666679</v>
      </c>
      <c r="Y79" s="52">
        <f>'Resumen-DiarioHorario-Solar'!AC1119</f>
        <v>14.728833333333345</v>
      </c>
      <c r="Z79" s="51">
        <f>'Resumen-DiarioHorario-Solar'!AC1174</f>
        <v>14.334000000000003</v>
      </c>
      <c r="AA79" s="52">
        <f>'Resumen-DiarioHorario-Solar'!AC1229</f>
        <v>11.376166666666677</v>
      </c>
      <c r="AB79" s="51">
        <f>'Resumen-DiarioHorario-Solar'!AC1284</f>
        <v>14.694333333333336</v>
      </c>
      <c r="AC79" s="52">
        <f>'Resumen-DiarioHorario-Solar'!AC1339</f>
        <v>12.557833333333335</v>
      </c>
      <c r="AD79" s="51">
        <f>'Resumen-DiarioHorario-Solar'!AC1394</f>
        <v>21.869166666666651</v>
      </c>
      <c r="AE79" s="52">
        <f>'Resumen-DiarioHorario-Solar'!AC1449</f>
        <v>12.629999999999988</v>
      </c>
      <c r="AF79" s="51">
        <f>'Resumen-DiarioHorario-Solar'!AC1504</f>
        <v>14.187500000000002</v>
      </c>
      <c r="AG79" s="52">
        <f>'Resumen-DiarioHorario-Solar'!AC1559</f>
        <v>41.118166666666681</v>
      </c>
      <c r="AH79" s="51">
        <f>'Resumen-DiarioHorario-Solar'!AC1614</f>
        <v>30.774333333333345</v>
      </c>
      <c r="AI79" s="100">
        <f>'Resumen-DiarioHorario-Solar'!AC1669</f>
        <v>2.4695000000000005</v>
      </c>
      <c r="AJ79" s="238">
        <f t="shared" si="21"/>
        <v>765.06283333333329</v>
      </c>
      <c r="AK79" s="238"/>
      <c r="AL79" s="238"/>
    </row>
    <row r="80" spans="2:38" x14ac:dyDescent="0.3">
      <c r="B80" s="245" t="s">
        <v>49</v>
      </c>
      <c r="C80" s="245"/>
      <c r="D80" s="245"/>
      <c r="E80" s="52">
        <f>'Resumen-DiarioHorario-Solar'!AC20</f>
        <v>1.3681666666666668</v>
      </c>
      <c r="F80" s="51">
        <f>'Resumen-DiarioHorario-Solar'!AC75</f>
        <v>31.521000000000004</v>
      </c>
      <c r="G80" s="52">
        <f>'Resumen-DiarioHorario-Solar'!AC130</f>
        <v>2.6666666666666571E-2</v>
      </c>
      <c r="H80" s="51">
        <f>'Resumen-DiarioHorario-Solar'!AC185</f>
        <v>0.40783333333333344</v>
      </c>
      <c r="I80" s="52">
        <f>'Resumen-DiarioHorario-Solar'!AC240</f>
        <v>6.8728333333333333</v>
      </c>
      <c r="J80" s="51">
        <f>'Resumen-DiarioHorario-Solar'!AC295</f>
        <v>0.13616666666666707</v>
      </c>
      <c r="K80" s="52">
        <f>'Resumen-DiarioHorario-Solar'!AC350</f>
        <v>8.7833333333333263E-2</v>
      </c>
      <c r="L80" s="51">
        <f>'Resumen-DiarioHorario-Solar'!AC405</f>
        <v>0.76383333333333359</v>
      </c>
      <c r="M80" s="52">
        <f>'Resumen-DiarioHorario-Solar'!AC460</f>
        <v>0.58916666666666717</v>
      </c>
      <c r="N80" s="51">
        <f>'Resumen-DiarioHorario-Solar'!AC515</f>
        <v>0</v>
      </c>
      <c r="O80" s="52">
        <f>'Resumen-DiarioHorario-Solar'!AC570</f>
        <v>0.33716666666666673</v>
      </c>
      <c r="P80" s="51">
        <f>'Resumen-DiarioHorario-Solar'!AC625</f>
        <v>0.37683333333333324</v>
      </c>
      <c r="Q80" s="52">
        <f>'Resumen-DiarioHorario-Solar'!AC680</f>
        <v>10.903333333333332</v>
      </c>
      <c r="R80" s="51">
        <f>'Resumen-DiarioHorario-Solar'!AC735</f>
        <v>0.71750000000000025</v>
      </c>
      <c r="S80" s="52">
        <f>'Resumen-DiarioHorario-Solar'!AC790</f>
        <v>12.671333333333333</v>
      </c>
      <c r="T80" s="51">
        <f>'Resumen-DiarioHorario-Solar'!AC845</f>
        <v>4.222333333333335</v>
      </c>
      <c r="U80" s="52">
        <f>'Resumen-DiarioHorario-Solar'!AC900</f>
        <v>0</v>
      </c>
      <c r="V80" s="51">
        <f>'Resumen-DiarioHorario-Solar'!AC955</f>
        <v>0</v>
      </c>
      <c r="W80" s="52">
        <f>'Resumen-DiarioHorario-Solar'!AC1010</f>
        <v>9.6650000000000116</v>
      </c>
      <c r="X80" s="51">
        <f>'Resumen-DiarioHorario-Solar'!AC1065</f>
        <v>8.2500000000000018E-2</v>
      </c>
      <c r="Y80" s="52">
        <f>'Resumen-DiarioHorario-Solar'!AC1120</f>
        <v>0</v>
      </c>
      <c r="Z80" s="51">
        <f>'Resumen-DiarioHorario-Solar'!AC1175</f>
        <v>64.191666666666663</v>
      </c>
      <c r="AA80" s="52">
        <f>'Resumen-DiarioHorario-Solar'!AC1230</f>
        <v>0.78349999999999997</v>
      </c>
      <c r="AB80" s="51">
        <f>'Resumen-DiarioHorario-Solar'!AC1285</f>
        <v>0.21850000000000003</v>
      </c>
      <c r="AC80" s="52">
        <f>'Resumen-DiarioHorario-Solar'!AC1340</f>
        <v>0</v>
      </c>
      <c r="AD80" s="51">
        <f>'Resumen-DiarioHorario-Solar'!AC1395</f>
        <v>0</v>
      </c>
      <c r="AE80" s="52">
        <f>'Resumen-DiarioHorario-Solar'!AC1450</f>
        <v>0</v>
      </c>
      <c r="AF80" s="51">
        <f>'Resumen-DiarioHorario-Solar'!AC1505</f>
        <v>0</v>
      </c>
      <c r="AG80" s="52">
        <f>'Resumen-DiarioHorario-Solar'!AC1560</f>
        <v>0</v>
      </c>
      <c r="AH80" s="51">
        <f>'Resumen-DiarioHorario-Solar'!AC1615</f>
        <v>0</v>
      </c>
      <c r="AI80" s="100">
        <f>'Resumen-DiarioHorario-Solar'!AC1670</f>
        <v>0</v>
      </c>
      <c r="AJ80" s="238">
        <f t="shared" ref="AJ80" si="22">SUM(E80:AI80)</f>
        <v>145.94316666666668</v>
      </c>
      <c r="AK80" s="238"/>
      <c r="AL80" s="238"/>
    </row>
    <row r="81" spans="2:38" x14ac:dyDescent="0.3">
      <c r="B81" s="245" t="s">
        <v>50</v>
      </c>
      <c r="C81" s="245"/>
      <c r="D81" s="245"/>
      <c r="E81" s="52">
        <f>'Resumen-DiarioHorario-Solar'!AC21</f>
        <v>174.30616666666671</v>
      </c>
      <c r="F81" s="51">
        <f>'Resumen-DiarioHorario-Solar'!AC76</f>
        <v>111.38649999999998</v>
      </c>
      <c r="G81" s="52">
        <f>'Resumen-DiarioHorario-Solar'!AC131</f>
        <v>11.339333333333338</v>
      </c>
      <c r="H81" s="51">
        <f>'Resumen-DiarioHorario-Solar'!AC186</f>
        <v>109.75216666666667</v>
      </c>
      <c r="I81" s="52">
        <f>'Resumen-DiarioHorario-Solar'!AC241</f>
        <v>45.497833333333332</v>
      </c>
      <c r="J81" s="51">
        <f>'Resumen-DiarioHorario-Solar'!AC296</f>
        <v>13.283333333333347</v>
      </c>
      <c r="K81" s="52">
        <f>'Resumen-DiarioHorario-Solar'!AC351</f>
        <v>5.8333333333332382E-3</v>
      </c>
      <c r="L81" s="51">
        <f>'Resumen-DiarioHorario-Solar'!AC406</f>
        <v>0</v>
      </c>
      <c r="M81" s="52">
        <f>'Resumen-DiarioHorario-Solar'!AC461</f>
        <v>10.873500000000003</v>
      </c>
      <c r="N81" s="51">
        <f>'Resumen-DiarioHorario-Solar'!AC516</f>
        <v>8.4993333333333325</v>
      </c>
      <c r="O81" s="52">
        <f>'Resumen-DiarioHorario-Solar'!AC571</f>
        <v>53.457333333333338</v>
      </c>
      <c r="P81" s="51">
        <f>'Resumen-DiarioHorario-Solar'!AC626</f>
        <v>11.993499999999997</v>
      </c>
      <c r="Q81" s="52">
        <f>'Resumen-DiarioHorario-Solar'!AC681</f>
        <v>8.8710000000000004</v>
      </c>
      <c r="R81" s="51">
        <f>'Resumen-DiarioHorario-Solar'!AC736</f>
        <v>0</v>
      </c>
      <c r="S81" s="52">
        <f>'Resumen-DiarioHorario-Solar'!AC791</f>
        <v>43.869499999999988</v>
      </c>
      <c r="T81" s="51">
        <f>'Resumen-DiarioHorario-Solar'!AC846</f>
        <v>30.114499999999996</v>
      </c>
      <c r="U81" s="52">
        <f>'Resumen-DiarioHorario-Solar'!AC901</f>
        <v>15.240166666666671</v>
      </c>
      <c r="V81" s="51">
        <f>'Resumen-DiarioHorario-Solar'!AC956</f>
        <v>4.7026666666666612</v>
      </c>
      <c r="W81" s="52">
        <f>'Resumen-DiarioHorario-Solar'!AC1011</f>
        <v>8.367333333333324</v>
      </c>
      <c r="X81" s="51">
        <f>'Resumen-DiarioHorario-Solar'!AC1066</f>
        <v>0</v>
      </c>
      <c r="Y81" s="52">
        <f>'Resumen-DiarioHorario-Solar'!AC1121</f>
        <v>1.7678333333333331</v>
      </c>
      <c r="Z81" s="51">
        <f>'Resumen-DiarioHorario-Solar'!AC1176</f>
        <v>0</v>
      </c>
      <c r="AA81" s="52">
        <f>'Resumen-DiarioHorario-Solar'!AC1231</f>
        <v>184.64983333333333</v>
      </c>
      <c r="AB81" s="51">
        <f>'Resumen-DiarioHorario-Solar'!AC1286</f>
        <v>1.0464999999999993</v>
      </c>
      <c r="AC81" s="52">
        <f>'Resumen-DiarioHorario-Solar'!AC1341</f>
        <v>0</v>
      </c>
      <c r="AD81" s="51">
        <f>'Resumen-DiarioHorario-Solar'!AC1396</f>
        <v>37.891999999999989</v>
      </c>
      <c r="AE81" s="52">
        <f>'Resumen-DiarioHorario-Solar'!AC1451</f>
        <v>26.364000000000004</v>
      </c>
      <c r="AF81" s="51">
        <f>'Resumen-DiarioHorario-Solar'!AC1506</f>
        <v>17.464999999999996</v>
      </c>
      <c r="AG81" s="52">
        <f>'Resumen-DiarioHorario-Solar'!AC1561</f>
        <v>24.084500000000002</v>
      </c>
      <c r="AH81" s="51">
        <f>'Resumen-DiarioHorario-Solar'!AC1616</f>
        <v>97.906666666666638</v>
      </c>
      <c r="AI81" s="100">
        <f>'Resumen-DiarioHorario-Solar'!AC1671</f>
        <v>85.213333333333338</v>
      </c>
      <c r="AJ81" s="238">
        <f>SUM(E81:AI81)</f>
        <v>1137.9496666666671</v>
      </c>
      <c r="AK81" s="238"/>
      <c r="AL81" s="238"/>
    </row>
    <row r="82" spans="2:38" x14ac:dyDescent="0.3">
      <c r="B82" s="245" t="s">
        <v>97</v>
      </c>
      <c r="C82" s="245"/>
      <c r="D82" s="245"/>
      <c r="E82" s="52">
        <f>'Resumen-DiarioHorario-Solar'!AC22</f>
        <v>0</v>
      </c>
      <c r="F82" s="51">
        <f>'Resumen-DiarioHorario-Solar'!AC77</f>
        <v>0</v>
      </c>
      <c r="G82" s="52">
        <f>'Resumen-DiarioHorario-Solar'!AC132</f>
        <v>0</v>
      </c>
      <c r="H82" s="51">
        <f>'Resumen-DiarioHorario-Solar'!AC187</f>
        <v>0</v>
      </c>
      <c r="I82" s="52">
        <f>'Resumen-DiarioHorario-Solar'!AC242</f>
        <v>0</v>
      </c>
      <c r="J82" s="51">
        <f>'Resumen-DiarioHorario-Solar'!AC297</f>
        <v>0</v>
      </c>
      <c r="K82" s="52">
        <f>'Resumen-DiarioHorario-Solar'!AC352</f>
        <v>0</v>
      </c>
      <c r="L82" s="51">
        <f>'Resumen-DiarioHorario-Solar'!AC407</f>
        <v>0</v>
      </c>
      <c r="M82" s="52">
        <f>'Resumen-DiarioHorario-Solar'!AC462</f>
        <v>0</v>
      </c>
      <c r="N82" s="51">
        <f>'Resumen-DiarioHorario-Solar'!AC517</f>
        <v>0</v>
      </c>
      <c r="O82" s="52">
        <f>'Resumen-DiarioHorario-Solar'!AC572</f>
        <v>0</v>
      </c>
      <c r="P82" s="51">
        <f>'Resumen-DiarioHorario-Solar'!AC627</f>
        <v>0</v>
      </c>
      <c r="Q82" s="52">
        <f>'Resumen-DiarioHorario-Solar'!AC682</f>
        <v>0</v>
      </c>
      <c r="R82" s="51">
        <f>'Resumen-DiarioHorario-Solar'!AC737</f>
        <v>0</v>
      </c>
      <c r="S82" s="52">
        <f>'Resumen-DiarioHorario-Solar'!AC792</f>
        <v>0</v>
      </c>
      <c r="T82" s="51">
        <f>'Resumen-DiarioHorario-Solar'!AC847</f>
        <v>0</v>
      </c>
      <c r="U82" s="52">
        <f>'Resumen-DiarioHorario-Solar'!AC902</f>
        <v>0</v>
      </c>
      <c r="V82" s="51">
        <f>'Resumen-DiarioHorario-Solar'!AC957</f>
        <v>0</v>
      </c>
      <c r="W82" s="52">
        <f>'Resumen-DiarioHorario-Solar'!AC1012</f>
        <v>0</v>
      </c>
      <c r="X82" s="51">
        <f>'Resumen-DiarioHorario-Solar'!AC1067</f>
        <v>0</v>
      </c>
      <c r="Y82" s="52">
        <f>'Resumen-DiarioHorario-Solar'!AC1122</f>
        <v>0</v>
      </c>
      <c r="Z82" s="51">
        <f>'Resumen-DiarioHorario-Solar'!AC1177</f>
        <v>0</v>
      </c>
      <c r="AA82" s="52">
        <f>'Resumen-DiarioHorario-Solar'!AC1232</f>
        <v>0</v>
      </c>
      <c r="AB82" s="51">
        <f>'Resumen-DiarioHorario-Solar'!AC1287</f>
        <v>0</v>
      </c>
      <c r="AC82" s="52">
        <f>'Resumen-DiarioHorario-Solar'!AC1342</f>
        <v>0</v>
      </c>
      <c r="AD82" s="51">
        <f>'Resumen-DiarioHorario-Solar'!AC1397</f>
        <v>0</v>
      </c>
      <c r="AE82" s="52">
        <f>'Resumen-DiarioHorario-Solar'!AC1452</f>
        <v>0</v>
      </c>
      <c r="AF82" s="51">
        <f>'Resumen-DiarioHorario-Solar'!AC1507</f>
        <v>0</v>
      </c>
      <c r="AG82" s="52">
        <f>'Resumen-DiarioHorario-Solar'!AC1562</f>
        <v>0</v>
      </c>
      <c r="AH82" s="51">
        <f>'Resumen-DiarioHorario-Solar'!AC1617</f>
        <v>0</v>
      </c>
      <c r="AI82" s="100">
        <f>'Resumen-DiarioHorario-Solar'!AC1672</f>
        <v>0</v>
      </c>
      <c r="AJ82" s="238">
        <f t="shared" ref="AJ82:AJ91" si="23">SUM(E82:AI82)</f>
        <v>0</v>
      </c>
      <c r="AK82" s="238"/>
      <c r="AL82" s="238"/>
    </row>
    <row r="83" spans="2:38" x14ac:dyDescent="0.3">
      <c r="B83" s="245" t="s">
        <v>51</v>
      </c>
      <c r="C83" s="245"/>
      <c r="D83" s="245"/>
      <c r="E83" s="52">
        <f>'Resumen-DiarioHorario-Solar'!AC23</f>
        <v>424.07049999999998</v>
      </c>
      <c r="F83" s="51">
        <f>'Resumen-DiarioHorario-Solar'!AC78</f>
        <v>409.22100000000006</v>
      </c>
      <c r="G83" s="52">
        <f>'Resumen-DiarioHorario-Solar'!AC133</f>
        <v>80.720666666666659</v>
      </c>
      <c r="H83" s="51">
        <f>'Resumen-DiarioHorario-Solar'!AC188</f>
        <v>331.36750000000001</v>
      </c>
      <c r="I83" s="52">
        <f>'Resumen-DiarioHorario-Solar'!AC243</f>
        <v>313.69066666666669</v>
      </c>
      <c r="J83" s="51">
        <f>'Resumen-DiarioHorario-Solar'!AC298</f>
        <v>245.41816666666668</v>
      </c>
      <c r="K83" s="52">
        <f>'Resumen-DiarioHorario-Solar'!AC353</f>
        <v>41.668333333333351</v>
      </c>
      <c r="L83" s="51">
        <f>'Resumen-DiarioHorario-Solar'!AC408</f>
        <v>0</v>
      </c>
      <c r="M83" s="52">
        <f>'Resumen-DiarioHorario-Solar'!AC463</f>
        <v>30.158999999999995</v>
      </c>
      <c r="N83" s="51">
        <f>'Resumen-DiarioHorario-Solar'!AC518</f>
        <v>0</v>
      </c>
      <c r="O83" s="52">
        <f>'Resumen-DiarioHorario-Solar'!AC573</f>
        <v>57.610999999999997</v>
      </c>
      <c r="P83" s="51">
        <f>'Resumen-DiarioHorario-Solar'!AC628</f>
        <v>439.93049999999977</v>
      </c>
      <c r="Q83" s="52">
        <f>'Resumen-DiarioHorario-Solar'!AC683</f>
        <v>21.007333333333332</v>
      </c>
      <c r="R83" s="51">
        <f>'Resumen-DiarioHorario-Solar'!AC738</f>
        <v>0</v>
      </c>
      <c r="S83" s="52">
        <f>'Resumen-DiarioHorario-Solar'!AC793</f>
        <v>0</v>
      </c>
      <c r="T83" s="51">
        <f>'Resumen-DiarioHorario-Solar'!AC848</f>
        <v>35.378500000000017</v>
      </c>
      <c r="U83" s="52">
        <f>'Resumen-DiarioHorario-Solar'!AC903</f>
        <v>31.878666666666668</v>
      </c>
      <c r="V83" s="51">
        <f>'Resumen-DiarioHorario-Solar'!AC958</f>
        <v>15.521833333333337</v>
      </c>
      <c r="W83" s="52">
        <f>'Resumen-DiarioHorario-Solar'!AC1013</f>
        <v>87.535833333333329</v>
      </c>
      <c r="X83" s="51">
        <f>'Resumen-DiarioHorario-Solar'!AC1068</f>
        <v>105.57933333333332</v>
      </c>
      <c r="Y83" s="52">
        <f>'Resumen-DiarioHorario-Solar'!AC1123</f>
        <v>9.7160000000000011</v>
      </c>
      <c r="Z83" s="51">
        <f>'Resumen-DiarioHorario-Solar'!AC1178</f>
        <v>147.60866666666666</v>
      </c>
      <c r="AA83" s="52">
        <f>'Resumen-DiarioHorario-Solar'!AC1233</f>
        <v>288.71083333333326</v>
      </c>
      <c r="AB83" s="51">
        <f>'Resumen-DiarioHorario-Solar'!AC1288</f>
        <v>0</v>
      </c>
      <c r="AC83" s="52">
        <f>'Resumen-DiarioHorario-Solar'!AC1343</f>
        <v>0</v>
      </c>
      <c r="AD83" s="51">
        <f>'Resumen-DiarioHorario-Solar'!AC1398</f>
        <v>7.9410000000000069</v>
      </c>
      <c r="AE83" s="52">
        <f>'Resumen-DiarioHorario-Solar'!AC1453</f>
        <v>28.228500000000004</v>
      </c>
      <c r="AF83" s="51">
        <f>'Resumen-DiarioHorario-Solar'!AC1508</f>
        <v>53.299166666666672</v>
      </c>
      <c r="AG83" s="52">
        <f>'Resumen-DiarioHorario-Solar'!AC1563</f>
        <v>156.85749999999999</v>
      </c>
      <c r="AH83" s="51">
        <f>'Resumen-DiarioHorario-Solar'!AC1618</f>
        <v>349.13099999999991</v>
      </c>
      <c r="AI83" s="100">
        <f>'Resumen-DiarioHorario-Solar'!AC1673</f>
        <v>0</v>
      </c>
      <c r="AJ83" s="238">
        <f t="shared" si="23"/>
        <v>3712.2514999999989</v>
      </c>
      <c r="AK83" s="238"/>
      <c r="AL83" s="238"/>
    </row>
    <row r="84" spans="2:38" x14ac:dyDescent="0.3">
      <c r="B84" s="245" t="s">
        <v>52</v>
      </c>
      <c r="C84" s="245"/>
      <c r="D84" s="245"/>
      <c r="E84" s="52">
        <f>'Resumen-DiarioHorario-Solar'!AC24</f>
        <v>0</v>
      </c>
      <c r="F84" s="51">
        <f>'Resumen-DiarioHorario-Solar'!AC79</f>
        <v>0</v>
      </c>
      <c r="G84" s="52">
        <f>'Resumen-DiarioHorario-Solar'!AC134</f>
        <v>0</v>
      </c>
      <c r="H84" s="51">
        <f>'Resumen-DiarioHorario-Solar'!AC189</f>
        <v>0</v>
      </c>
      <c r="I84" s="52">
        <f>'Resumen-DiarioHorario-Solar'!AC244</f>
        <v>0</v>
      </c>
      <c r="J84" s="51">
        <f>'Resumen-DiarioHorario-Solar'!AC299</f>
        <v>0</v>
      </c>
      <c r="K84" s="52">
        <f>'Resumen-DiarioHorario-Solar'!AC354</f>
        <v>0</v>
      </c>
      <c r="L84" s="51">
        <f>'Resumen-DiarioHorario-Solar'!AC409</f>
        <v>0</v>
      </c>
      <c r="M84" s="52">
        <f>'Resumen-DiarioHorario-Solar'!AC464</f>
        <v>0</v>
      </c>
      <c r="N84" s="51">
        <f>'Resumen-DiarioHorario-Solar'!AC519</f>
        <v>0</v>
      </c>
      <c r="O84" s="52">
        <f>'Resumen-DiarioHorario-Solar'!AC574</f>
        <v>0</v>
      </c>
      <c r="P84" s="51">
        <f>'Resumen-DiarioHorario-Solar'!AC629</f>
        <v>0</v>
      </c>
      <c r="Q84" s="52">
        <f>'Resumen-DiarioHorario-Solar'!AC684</f>
        <v>0</v>
      </c>
      <c r="R84" s="51">
        <f>'Resumen-DiarioHorario-Solar'!AC739</f>
        <v>0</v>
      </c>
      <c r="S84" s="52">
        <f>'Resumen-DiarioHorario-Solar'!AC794</f>
        <v>0</v>
      </c>
      <c r="T84" s="51">
        <f>'Resumen-DiarioHorario-Solar'!AC849</f>
        <v>0</v>
      </c>
      <c r="U84" s="52">
        <f>'Resumen-DiarioHorario-Solar'!AC904</f>
        <v>0</v>
      </c>
      <c r="V84" s="51">
        <f>'Resumen-DiarioHorario-Solar'!AC959</f>
        <v>0</v>
      </c>
      <c r="W84" s="52">
        <f>'Resumen-DiarioHorario-Solar'!AC1014</f>
        <v>0</v>
      </c>
      <c r="X84" s="51">
        <f>'Resumen-DiarioHorario-Solar'!AC1069</f>
        <v>0</v>
      </c>
      <c r="Y84" s="52">
        <f>'Resumen-DiarioHorario-Solar'!AC1124</f>
        <v>0</v>
      </c>
      <c r="Z84" s="51">
        <f>'Resumen-DiarioHorario-Solar'!AC1179</f>
        <v>0</v>
      </c>
      <c r="AA84" s="52">
        <f>'Resumen-DiarioHorario-Solar'!AC1234</f>
        <v>0</v>
      </c>
      <c r="AB84" s="51">
        <f>'Resumen-DiarioHorario-Solar'!AC1289</f>
        <v>0</v>
      </c>
      <c r="AC84" s="52">
        <f>'Resumen-DiarioHorario-Solar'!AC1344</f>
        <v>0</v>
      </c>
      <c r="AD84" s="51">
        <f>'Resumen-DiarioHorario-Solar'!AC1399</f>
        <v>0</v>
      </c>
      <c r="AE84" s="52">
        <f>'Resumen-DiarioHorario-Solar'!AC1454</f>
        <v>0</v>
      </c>
      <c r="AF84" s="51">
        <f>'Resumen-DiarioHorario-Solar'!AC1509</f>
        <v>0</v>
      </c>
      <c r="AG84" s="52">
        <f>'Resumen-DiarioHorario-Solar'!AC1564</f>
        <v>0</v>
      </c>
      <c r="AH84" s="51">
        <f>'Resumen-DiarioHorario-Solar'!AC1619</f>
        <v>0</v>
      </c>
      <c r="AI84" s="100">
        <f>'Resumen-DiarioHorario-Solar'!AC1674</f>
        <v>0</v>
      </c>
      <c r="AJ84" s="238">
        <f t="shared" si="23"/>
        <v>0</v>
      </c>
      <c r="AK84" s="238"/>
      <c r="AL84" s="238"/>
    </row>
    <row r="85" spans="2:38" x14ac:dyDescent="0.3">
      <c r="B85" s="245" t="s">
        <v>53</v>
      </c>
      <c r="C85" s="245"/>
      <c r="D85" s="245"/>
      <c r="E85" s="52">
        <f>'Resumen-DiarioHorario-Solar'!AC25</f>
        <v>16.300999999999998</v>
      </c>
      <c r="F85" s="51">
        <f>'Resumen-DiarioHorario-Solar'!AC80</f>
        <v>10.892166666666647</v>
      </c>
      <c r="G85" s="52">
        <f>'Resumen-DiarioHorario-Solar'!AC135</f>
        <v>5.8289999999999988</v>
      </c>
      <c r="H85" s="51">
        <f>'Resumen-DiarioHorario-Solar'!AC190</f>
        <v>11.612333333333334</v>
      </c>
      <c r="I85" s="52">
        <f>'Resumen-DiarioHorario-Solar'!AC245</f>
        <v>11.664333333333332</v>
      </c>
      <c r="J85" s="51">
        <f>'Resumen-DiarioHorario-Solar'!AC300</f>
        <v>0</v>
      </c>
      <c r="K85" s="52">
        <f>'Resumen-DiarioHorario-Solar'!AC355</f>
        <v>0</v>
      </c>
      <c r="L85" s="51">
        <f>'Resumen-DiarioHorario-Solar'!AC410</f>
        <v>0</v>
      </c>
      <c r="M85" s="52">
        <f>'Resumen-DiarioHorario-Solar'!AC465</f>
        <v>0</v>
      </c>
      <c r="N85" s="51">
        <f>'Resumen-DiarioHorario-Solar'!AC520</f>
        <v>0</v>
      </c>
      <c r="O85" s="52">
        <f>'Resumen-DiarioHorario-Solar'!AC575</f>
        <v>1.0724999999999998</v>
      </c>
      <c r="P85" s="51">
        <f>'Resumen-DiarioHorario-Solar'!AC630</f>
        <v>0</v>
      </c>
      <c r="Q85" s="52">
        <f>'Resumen-DiarioHorario-Solar'!AC685</f>
        <v>0</v>
      </c>
      <c r="R85" s="51">
        <f>'Resumen-DiarioHorario-Solar'!AC740</f>
        <v>0</v>
      </c>
      <c r="S85" s="52">
        <f>'Resumen-DiarioHorario-Solar'!AC795</f>
        <v>0</v>
      </c>
      <c r="T85" s="51">
        <f>'Resumen-DiarioHorario-Solar'!AC850</f>
        <v>2.6499999999999986</v>
      </c>
      <c r="U85" s="52">
        <f>'Resumen-DiarioHorario-Solar'!AC905</f>
        <v>0</v>
      </c>
      <c r="V85" s="51">
        <f>'Resumen-DiarioHorario-Solar'!AC960</f>
        <v>0</v>
      </c>
      <c r="W85" s="52">
        <f>'Resumen-DiarioHorario-Solar'!AC1015</f>
        <v>0</v>
      </c>
      <c r="X85" s="51">
        <f>'Resumen-DiarioHorario-Solar'!AC1070</f>
        <v>53.16299999999999</v>
      </c>
      <c r="Y85" s="52">
        <f>'Resumen-DiarioHorario-Solar'!AC1125</f>
        <v>0</v>
      </c>
      <c r="Z85" s="51">
        <f>'Resumen-DiarioHorario-Solar'!AC1180</f>
        <v>27.341500000000007</v>
      </c>
      <c r="AA85" s="52">
        <f>'Resumen-DiarioHorario-Solar'!AC1235</f>
        <v>17.719999999999995</v>
      </c>
      <c r="AB85" s="51">
        <f>'Resumen-DiarioHorario-Solar'!AC1290</f>
        <v>0</v>
      </c>
      <c r="AC85" s="52">
        <f>'Resumen-DiarioHorario-Solar'!AC1345</f>
        <v>0</v>
      </c>
      <c r="AD85" s="51">
        <f>'Resumen-DiarioHorario-Solar'!AC1400</f>
        <v>78.793999999999997</v>
      </c>
      <c r="AE85" s="52">
        <f>'Resumen-DiarioHorario-Solar'!AC1455</f>
        <v>0.76666666666666639</v>
      </c>
      <c r="AF85" s="51">
        <f>'Resumen-DiarioHorario-Solar'!AC1510</f>
        <v>0.19566666666666682</v>
      </c>
      <c r="AG85" s="52">
        <f>'Resumen-DiarioHorario-Solar'!AC1565</f>
        <v>0</v>
      </c>
      <c r="AH85" s="51">
        <f>'Resumen-DiarioHorario-Solar'!AC1620</f>
        <v>0.80116666666666891</v>
      </c>
      <c r="AI85" s="100">
        <f>'Resumen-DiarioHorario-Solar'!AC1675</f>
        <v>0</v>
      </c>
      <c r="AJ85" s="238">
        <f>SUM(E85:AI85)</f>
        <v>238.80333333333326</v>
      </c>
      <c r="AK85" s="238"/>
      <c r="AL85" s="238"/>
    </row>
    <row r="86" spans="2:38" x14ac:dyDescent="0.3">
      <c r="B86" s="245" t="s">
        <v>54</v>
      </c>
      <c r="C86" s="245"/>
      <c r="D86" s="245"/>
      <c r="E86" s="52">
        <f>'Resumen-DiarioHorario-Solar'!AC26</f>
        <v>190.66283333333331</v>
      </c>
      <c r="F86" s="51">
        <f>'Resumen-DiarioHorario-Solar'!AC81</f>
        <v>141.2738333333333</v>
      </c>
      <c r="G86" s="52">
        <f>'Resumen-DiarioHorario-Solar'!AC136</f>
        <v>1.6330000000000002</v>
      </c>
      <c r="H86" s="51">
        <f>'Resumen-DiarioHorario-Solar'!AC191</f>
        <v>90.104000000000013</v>
      </c>
      <c r="I86" s="52">
        <f>'Resumen-DiarioHorario-Solar'!AC246</f>
        <v>65.074333333333328</v>
      </c>
      <c r="J86" s="51">
        <f>'Resumen-DiarioHorario-Solar'!AC301</f>
        <v>10.417833333333327</v>
      </c>
      <c r="K86" s="52">
        <f>'Resumen-DiarioHorario-Solar'!AC356</f>
        <v>0</v>
      </c>
      <c r="L86" s="51">
        <f>'Resumen-DiarioHorario-Solar'!AC411</f>
        <v>0</v>
      </c>
      <c r="M86" s="52">
        <f>'Resumen-DiarioHorario-Solar'!AC466</f>
        <v>1.0766666666666667</v>
      </c>
      <c r="N86" s="51">
        <f>'Resumen-DiarioHorario-Solar'!AC521</f>
        <v>0</v>
      </c>
      <c r="O86" s="52">
        <f>'Resumen-DiarioHorario-Solar'!AC576</f>
        <v>4.0548333333333328</v>
      </c>
      <c r="P86" s="51">
        <f>'Resumen-DiarioHorario-Solar'!AC631</f>
        <v>303.16333333333324</v>
      </c>
      <c r="Q86" s="52">
        <f>'Resumen-DiarioHorario-Solar'!AC686</f>
        <v>1.3</v>
      </c>
      <c r="R86" s="51">
        <f>'Resumen-DiarioHorario-Solar'!AC741</f>
        <v>0</v>
      </c>
      <c r="S86" s="52">
        <f>'Resumen-DiarioHorario-Solar'!AC796</f>
        <v>5.072000000000001</v>
      </c>
      <c r="T86" s="51">
        <f>'Resumen-DiarioHorario-Solar'!AC851</f>
        <v>2.5669999999999993</v>
      </c>
      <c r="U86" s="52">
        <f>'Resumen-DiarioHorario-Solar'!AC906</f>
        <v>48.727666666666671</v>
      </c>
      <c r="V86" s="51">
        <f>'Resumen-DiarioHorario-Solar'!AC961</f>
        <v>7.3921666666666637</v>
      </c>
      <c r="W86" s="52">
        <f>'Resumen-DiarioHorario-Solar'!AC1016</f>
        <v>6.5450000000000141</v>
      </c>
      <c r="X86" s="51">
        <f>'Resumen-DiarioHorario-Solar'!AC1071</f>
        <v>24.223333333333333</v>
      </c>
      <c r="Y86" s="52">
        <f>'Resumen-DiarioHorario-Solar'!AC1126</f>
        <v>22.134833333333344</v>
      </c>
      <c r="Z86" s="51">
        <f>'Resumen-DiarioHorario-Solar'!AC1181</f>
        <v>302.46816666666655</v>
      </c>
      <c r="AA86" s="52">
        <f>'Resumen-DiarioHorario-Solar'!AC1236</f>
        <v>300.04900000000004</v>
      </c>
      <c r="AB86" s="51">
        <f>'Resumen-DiarioHorario-Solar'!AC1291</f>
        <v>0</v>
      </c>
      <c r="AC86" s="52">
        <f>'Resumen-DiarioHorario-Solar'!AC1346</f>
        <v>0</v>
      </c>
      <c r="AD86" s="51">
        <f>'Resumen-DiarioHorario-Solar'!AC1401</f>
        <v>1.1968333333333325</v>
      </c>
      <c r="AE86" s="52">
        <f>'Resumen-DiarioHorario-Solar'!AC1456</f>
        <v>25.780666666666665</v>
      </c>
      <c r="AF86" s="51">
        <f>'Resumen-DiarioHorario-Solar'!AC1511</f>
        <v>66.25233333333334</v>
      </c>
      <c r="AG86" s="52">
        <f>'Resumen-DiarioHorario-Solar'!AC1566</f>
        <v>74.143833333333333</v>
      </c>
      <c r="AH86" s="51">
        <f>'Resumen-DiarioHorario-Solar'!AC1621</f>
        <v>156.941</v>
      </c>
      <c r="AI86" s="100">
        <f>'Resumen-DiarioHorario-Solar'!AC1676</f>
        <v>0</v>
      </c>
      <c r="AJ86" s="238">
        <f t="shared" si="23"/>
        <v>1852.2544999999998</v>
      </c>
      <c r="AK86" s="238"/>
      <c r="AL86" s="238"/>
    </row>
    <row r="87" spans="2:38" x14ac:dyDescent="0.3">
      <c r="B87" s="245" t="s">
        <v>55</v>
      </c>
      <c r="C87" s="245"/>
      <c r="D87" s="245"/>
      <c r="E87" s="52">
        <f>'Resumen-DiarioHorario-Solar'!AC27</f>
        <v>330.13833333333315</v>
      </c>
      <c r="F87" s="51">
        <f>'Resumen-DiarioHorario-Solar'!AC82</f>
        <v>166.52883333333332</v>
      </c>
      <c r="G87" s="52">
        <f>'Resumen-DiarioHorario-Solar'!AC137</f>
        <v>0</v>
      </c>
      <c r="H87" s="51">
        <f>'Resumen-DiarioHorario-Solar'!AC192</f>
        <v>72.535333333333298</v>
      </c>
      <c r="I87" s="52">
        <f>'Resumen-DiarioHorario-Solar'!AC247</f>
        <v>76.788999999999973</v>
      </c>
      <c r="J87" s="51">
        <f>'Resumen-DiarioHorario-Solar'!AC302</f>
        <v>10.206666666666674</v>
      </c>
      <c r="K87" s="52">
        <f>'Resumen-DiarioHorario-Solar'!AC357</f>
        <v>0</v>
      </c>
      <c r="L87" s="51">
        <f>'Resumen-DiarioHorario-Solar'!AC412</f>
        <v>0</v>
      </c>
      <c r="M87" s="52">
        <f>'Resumen-DiarioHorario-Solar'!AC467</f>
        <v>0</v>
      </c>
      <c r="N87" s="51">
        <f>'Resumen-DiarioHorario-Solar'!AC522</f>
        <v>0</v>
      </c>
      <c r="O87" s="52">
        <f>'Resumen-DiarioHorario-Solar'!AC577</f>
        <v>21.27333333333333</v>
      </c>
      <c r="P87" s="51">
        <f>'Resumen-DiarioHorario-Solar'!AC632</f>
        <v>0</v>
      </c>
      <c r="Q87" s="52">
        <f>'Resumen-DiarioHorario-Solar'!AC687</f>
        <v>9.384666666666666</v>
      </c>
      <c r="R87" s="51">
        <f>'Resumen-DiarioHorario-Solar'!AC742</f>
        <v>46.799999999999976</v>
      </c>
      <c r="S87" s="52">
        <f>'Resumen-DiarioHorario-Solar'!AC797</f>
        <v>0</v>
      </c>
      <c r="T87" s="51">
        <f>'Resumen-DiarioHorario-Solar'!AC852</f>
        <v>0</v>
      </c>
      <c r="U87" s="52">
        <f>'Resumen-DiarioHorario-Solar'!AC907</f>
        <v>0.30983333333333174</v>
      </c>
      <c r="V87" s="51">
        <f>'Resumen-DiarioHorario-Solar'!AC962</f>
        <v>0</v>
      </c>
      <c r="W87" s="52">
        <f>'Resumen-DiarioHorario-Solar'!AC1017</f>
        <v>0</v>
      </c>
      <c r="X87" s="51">
        <f>'Resumen-DiarioHorario-Solar'!AC1072</f>
        <v>16.703666666666667</v>
      </c>
      <c r="Y87" s="52">
        <f>'Resumen-DiarioHorario-Solar'!AC1127</f>
        <v>3.2999999999999828E-2</v>
      </c>
      <c r="Z87" s="51">
        <f>'Resumen-DiarioHorario-Solar'!AC1182</f>
        <v>9.6000000000000793E-2</v>
      </c>
      <c r="AA87" s="52">
        <f>'Resumen-DiarioHorario-Solar'!AC1237</f>
        <v>278.19416666666655</v>
      </c>
      <c r="AB87" s="51">
        <f>'Resumen-DiarioHorario-Solar'!AC1292</f>
        <v>0</v>
      </c>
      <c r="AC87" s="52">
        <f>'Resumen-DiarioHorario-Solar'!AC1347</f>
        <v>0</v>
      </c>
      <c r="AD87" s="51">
        <f>'Resumen-DiarioHorario-Solar'!AC1402</f>
        <v>1.9120000000000004</v>
      </c>
      <c r="AE87" s="52">
        <f>'Resumen-DiarioHorario-Solar'!AC1457</f>
        <v>12.758499999999998</v>
      </c>
      <c r="AF87" s="51">
        <f>'Resumen-DiarioHorario-Solar'!AC1512</f>
        <v>85.032166666666654</v>
      </c>
      <c r="AG87" s="52">
        <f>'Resumen-DiarioHorario-Solar'!AC1567</f>
        <v>28.626166666666673</v>
      </c>
      <c r="AH87" s="51">
        <f>'Resumen-DiarioHorario-Solar'!AC1622</f>
        <v>180.99950000000001</v>
      </c>
      <c r="AI87" s="100">
        <f>'Resumen-DiarioHorario-Solar'!AC1677</f>
        <v>0</v>
      </c>
      <c r="AJ87" s="238">
        <f t="shared" si="23"/>
        <v>1338.3211666666662</v>
      </c>
      <c r="AK87" s="238"/>
      <c r="AL87" s="238"/>
    </row>
    <row r="88" spans="2:38" x14ac:dyDescent="0.3">
      <c r="B88" s="245" t="s">
        <v>56</v>
      </c>
      <c r="C88" s="245"/>
      <c r="D88" s="245"/>
      <c r="E88" s="52">
        <f>'Resumen-DiarioHorario-Solar'!AC28</f>
        <v>141.05433333333335</v>
      </c>
      <c r="F88" s="51">
        <f>'Resumen-DiarioHorario-Solar'!AC83</f>
        <v>147.24049999999994</v>
      </c>
      <c r="G88" s="52">
        <f>'Resumen-DiarioHorario-Solar'!AC138</f>
        <v>4.8000000000000279E-2</v>
      </c>
      <c r="H88" s="51">
        <f>'Resumen-DiarioHorario-Solar'!AC193</f>
        <v>28.013333333333335</v>
      </c>
      <c r="I88" s="52">
        <f>'Resumen-DiarioHorario-Solar'!AC248</f>
        <v>30.75650000000001</v>
      </c>
      <c r="J88" s="51">
        <f>'Resumen-DiarioHorario-Solar'!AC303</f>
        <v>10.707166666666669</v>
      </c>
      <c r="K88" s="52">
        <f>'Resumen-DiarioHorario-Solar'!AC358</f>
        <v>0</v>
      </c>
      <c r="L88" s="51">
        <f>'Resumen-DiarioHorario-Solar'!AC413</f>
        <v>0</v>
      </c>
      <c r="M88" s="52">
        <f>'Resumen-DiarioHorario-Solar'!AC468</f>
        <v>0</v>
      </c>
      <c r="N88" s="51">
        <f>'Resumen-DiarioHorario-Solar'!AC523</f>
        <v>0</v>
      </c>
      <c r="O88" s="52">
        <f>'Resumen-DiarioHorario-Solar'!AC578</f>
        <v>0</v>
      </c>
      <c r="P88" s="51">
        <f>'Resumen-DiarioHorario-Solar'!AC633</f>
        <v>0</v>
      </c>
      <c r="Q88" s="52">
        <f>'Resumen-DiarioHorario-Solar'!AC688</f>
        <v>0</v>
      </c>
      <c r="R88" s="51">
        <f>'Resumen-DiarioHorario-Solar'!AC743</f>
        <v>0</v>
      </c>
      <c r="S88" s="52">
        <f>'Resumen-DiarioHorario-Solar'!AC798</f>
        <v>30.133499999999998</v>
      </c>
      <c r="T88" s="51">
        <f>'Resumen-DiarioHorario-Solar'!AC853</f>
        <v>7.4073333333333293</v>
      </c>
      <c r="U88" s="52">
        <f>'Resumen-DiarioHorario-Solar'!AC908</f>
        <v>7.3981666666666612</v>
      </c>
      <c r="V88" s="51">
        <f>'Resumen-DiarioHorario-Solar'!AC963</f>
        <v>0.11583333333333434</v>
      </c>
      <c r="W88" s="52">
        <f>'Resumen-DiarioHorario-Solar'!AC1018</f>
        <v>0</v>
      </c>
      <c r="X88" s="51">
        <f>'Resumen-DiarioHorario-Solar'!AC1073</f>
        <v>5.7571666666666763</v>
      </c>
      <c r="Y88" s="52">
        <f>'Resumen-DiarioHorario-Solar'!AC1128</f>
        <v>7.8406666666666673</v>
      </c>
      <c r="Z88" s="51">
        <f>'Resumen-DiarioHorario-Solar'!AC1183</f>
        <v>8.6833333333331694E-2</v>
      </c>
      <c r="AA88" s="52">
        <f>'Resumen-DiarioHorario-Solar'!AC1238</f>
        <v>7.2423333333333337</v>
      </c>
      <c r="AB88" s="51">
        <f>'Resumen-DiarioHorario-Solar'!AC1293</f>
        <v>0</v>
      </c>
      <c r="AC88" s="52">
        <f>'Resumen-DiarioHorario-Solar'!AC1348</f>
        <v>0</v>
      </c>
      <c r="AD88" s="51">
        <f>'Resumen-DiarioHorario-Solar'!AC1403</f>
        <v>0.53433333333333344</v>
      </c>
      <c r="AE88" s="52">
        <f>'Resumen-DiarioHorario-Solar'!AC1458</f>
        <v>0</v>
      </c>
      <c r="AF88" s="51">
        <f>'Resumen-DiarioHorario-Solar'!AC1513</f>
        <v>8.0026666666666681</v>
      </c>
      <c r="AG88" s="52">
        <f>'Resumen-DiarioHorario-Solar'!AC1568</f>
        <v>10.323666666666677</v>
      </c>
      <c r="AH88" s="51">
        <f>'Resumen-DiarioHorario-Solar'!AC1623</f>
        <v>91.754833333333337</v>
      </c>
      <c r="AI88" s="100">
        <f>'Resumen-DiarioHorario-Solar'!AC1678</f>
        <v>0</v>
      </c>
      <c r="AJ88" s="238">
        <f t="shared" si="23"/>
        <v>534.4171666666665</v>
      </c>
      <c r="AK88" s="238"/>
      <c r="AL88" s="238"/>
    </row>
    <row r="89" spans="2:38" x14ac:dyDescent="0.3">
      <c r="B89" s="245" t="s">
        <v>94</v>
      </c>
      <c r="C89" s="245"/>
      <c r="D89" s="245"/>
      <c r="E89" s="52">
        <f>'Resumen-DiarioHorario-Solar'!AC29</f>
        <v>0</v>
      </c>
      <c r="F89" s="51">
        <f>'Resumen-DiarioHorario-Solar'!AC84</f>
        <v>0</v>
      </c>
      <c r="G89" s="52">
        <f>'Resumen-DiarioHorario-Solar'!AC139</f>
        <v>0</v>
      </c>
      <c r="H89" s="51">
        <f>'Resumen-DiarioHorario-Solar'!AC194</f>
        <v>0</v>
      </c>
      <c r="I89" s="52">
        <f>'Resumen-DiarioHorario-Solar'!AC249</f>
        <v>0</v>
      </c>
      <c r="J89" s="51">
        <f>'Resumen-DiarioHorario-Solar'!AC304</f>
        <v>0</v>
      </c>
      <c r="K89" s="52">
        <f>'Resumen-DiarioHorario-Solar'!AC359</f>
        <v>0</v>
      </c>
      <c r="L89" s="51">
        <f>'Resumen-DiarioHorario-Solar'!AC414</f>
        <v>0</v>
      </c>
      <c r="M89" s="52">
        <f>'Resumen-DiarioHorario-Solar'!AC469</f>
        <v>0</v>
      </c>
      <c r="N89" s="51">
        <f>'Resumen-DiarioHorario-Solar'!AC524</f>
        <v>0</v>
      </c>
      <c r="O89" s="52">
        <f>'Resumen-DiarioHorario-Solar'!AC579</f>
        <v>0</v>
      </c>
      <c r="P89" s="51">
        <f>'Resumen-DiarioHorario-Solar'!AC634</f>
        <v>0</v>
      </c>
      <c r="Q89" s="52">
        <f>'Resumen-DiarioHorario-Solar'!AC689</f>
        <v>0</v>
      </c>
      <c r="R89" s="51">
        <f>'Resumen-DiarioHorario-Solar'!AC744</f>
        <v>0</v>
      </c>
      <c r="S89" s="52">
        <f>'Resumen-DiarioHorario-Solar'!AC799</f>
        <v>0</v>
      </c>
      <c r="T89" s="51">
        <f>'Resumen-DiarioHorario-Solar'!AC854</f>
        <v>0</v>
      </c>
      <c r="U89" s="52">
        <f>'Resumen-DiarioHorario-Solar'!AC909</f>
        <v>0</v>
      </c>
      <c r="V89" s="51">
        <f>'Resumen-DiarioHorario-Solar'!AC964</f>
        <v>0</v>
      </c>
      <c r="W89" s="52">
        <f>'Resumen-DiarioHorario-Solar'!AC1019</f>
        <v>0</v>
      </c>
      <c r="X89" s="51">
        <f>'Resumen-DiarioHorario-Solar'!AC1074</f>
        <v>0</v>
      </c>
      <c r="Y89" s="52">
        <f>'Resumen-DiarioHorario-Solar'!AC1129</f>
        <v>0</v>
      </c>
      <c r="Z89" s="51">
        <f>'Resumen-DiarioHorario-Solar'!AC1184</f>
        <v>0</v>
      </c>
      <c r="AA89" s="52">
        <f>'Resumen-DiarioHorario-Solar'!AC1239</f>
        <v>0</v>
      </c>
      <c r="AB89" s="51">
        <f>'Resumen-DiarioHorario-Solar'!AC1294</f>
        <v>0</v>
      </c>
      <c r="AC89" s="52">
        <f>'Resumen-DiarioHorario-Solar'!AC1349</f>
        <v>0</v>
      </c>
      <c r="AD89" s="51">
        <f>'Resumen-DiarioHorario-Solar'!AC1404</f>
        <v>0</v>
      </c>
      <c r="AE89" s="52">
        <f>'Resumen-DiarioHorario-Solar'!AC1459</f>
        <v>0</v>
      </c>
      <c r="AF89" s="51">
        <f>'Resumen-DiarioHorario-Solar'!AC1514</f>
        <v>0</v>
      </c>
      <c r="AG89" s="52">
        <f>'Resumen-DiarioHorario-Solar'!AC1569</f>
        <v>0</v>
      </c>
      <c r="AH89" s="51">
        <f>'Resumen-DiarioHorario-Solar'!AC1624</f>
        <v>0</v>
      </c>
      <c r="AI89" s="100">
        <f>'Resumen-DiarioHorario-Solar'!AC1679</f>
        <v>0</v>
      </c>
      <c r="AJ89" s="238">
        <f t="shared" si="23"/>
        <v>0</v>
      </c>
      <c r="AK89" s="238"/>
      <c r="AL89" s="238"/>
    </row>
    <row r="90" spans="2:38" x14ac:dyDescent="0.3">
      <c r="B90" s="245" t="s">
        <v>57</v>
      </c>
      <c r="C90" s="245"/>
      <c r="D90" s="245"/>
      <c r="E90" s="52">
        <f>'Resumen-DiarioHorario-Solar'!AC30</f>
        <v>22.221999999999998</v>
      </c>
      <c r="F90" s="51">
        <f>'Resumen-DiarioHorario-Solar'!AC85</f>
        <v>33.656666666666673</v>
      </c>
      <c r="G90" s="52">
        <f>'Resumen-DiarioHorario-Solar'!AC140</f>
        <v>3.4999999999999844E-2</v>
      </c>
      <c r="H90" s="51">
        <f>'Resumen-DiarioHorario-Solar'!AC195</f>
        <v>16.658833333333334</v>
      </c>
      <c r="I90" s="52">
        <f>'Resumen-DiarioHorario-Solar'!AC250</f>
        <v>15.471999999999998</v>
      </c>
      <c r="J90" s="51">
        <f>'Resumen-DiarioHorario-Solar'!AC305</f>
        <v>6.5026666666666655</v>
      </c>
      <c r="K90" s="52">
        <f>'Resumen-DiarioHorario-Solar'!AC360</f>
        <v>0</v>
      </c>
      <c r="L90" s="51">
        <f>'Resumen-DiarioHorario-Solar'!AC415</f>
        <v>0</v>
      </c>
      <c r="M90" s="52">
        <f>'Resumen-DiarioHorario-Solar'!AC470</f>
        <v>1.1145000000000005</v>
      </c>
      <c r="N90" s="51">
        <f>'Resumen-DiarioHorario-Solar'!AC525</f>
        <v>0</v>
      </c>
      <c r="O90" s="52">
        <f>'Resumen-DiarioHorario-Solar'!AC580</f>
        <v>0.91016666666666657</v>
      </c>
      <c r="P90" s="51">
        <f>'Resumen-DiarioHorario-Solar'!AC635</f>
        <v>12.753166666666667</v>
      </c>
      <c r="Q90" s="52">
        <f>'Resumen-DiarioHorario-Solar'!AC690</f>
        <v>16.040500000000002</v>
      </c>
      <c r="R90" s="51">
        <f>'Resumen-DiarioHorario-Solar'!AC745</f>
        <v>10.403499999999998</v>
      </c>
      <c r="S90" s="52">
        <f>'Resumen-DiarioHorario-Solar'!AC800</f>
        <v>4.572166666666666</v>
      </c>
      <c r="T90" s="51">
        <f>'Resumen-DiarioHorario-Solar'!AC855</f>
        <v>5.7160000000000002</v>
      </c>
      <c r="U90" s="52">
        <f>'Resumen-DiarioHorario-Solar'!AC910</f>
        <v>47.158000000000015</v>
      </c>
      <c r="V90" s="51">
        <f>'Resumen-DiarioHorario-Solar'!AC965</f>
        <v>0</v>
      </c>
      <c r="W90" s="52">
        <f>'Resumen-DiarioHorario-Solar'!AC1020</f>
        <v>1.4538333333333306</v>
      </c>
      <c r="X90" s="51">
        <f>'Resumen-DiarioHorario-Solar'!AC1075</f>
        <v>4.7843333333333344</v>
      </c>
      <c r="Y90" s="52">
        <f>'Resumen-DiarioHorario-Solar'!AC1130</f>
        <v>0.68566666666666698</v>
      </c>
      <c r="Z90" s="51">
        <f>'Resumen-DiarioHorario-Solar'!AC1185</f>
        <v>0.23650000000000096</v>
      </c>
      <c r="AA90" s="52">
        <f>'Resumen-DiarioHorario-Solar'!AC1240</f>
        <v>21.147666666666666</v>
      </c>
      <c r="AB90" s="51">
        <f>'Resumen-DiarioHorario-Solar'!AC1295</f>
        <v>0</v>
      </c>
      <c r="AC90" s="52">
        <f>'Resumen-DiarioHorario-Solar'!AC1350</f>
        <v>0</v>
      </c>
      <c r="AD90" s="51">
        <f>'Resumen-DiarioHorario-Solar'!AC1405</f>
        <v>0.12566666666666618</v>
      </c>
      <c r="AE90" s="52">
        <f>'Resumen-DiarioHorario-Solar'!AC1460</f>
        <v>0.46633333333333382</v>
      </c>
      <c r="AF90" s="51">
        <f>'Resumen-DiarioHorario-Solar'!AC1515</f>
        <v>20.057833333333338</v>
      </c>
      <c r="AG90" s="52">
        <f>'Resumen-DiarioHorario-Solar'!AC1570</f>
        <v>10.213333333333335</v>
      </c>
      <c r="AH90" s="51">
        <f>'Resumen-DiarioHorario-Solar'!AC1625</f>
        <v>41.480833333333329</v>
      </c>
      <c r="AI90" s="100">
        <f>'Resumen-DiarioHorario-Solar'!AC1680</f>
        <v>0</v>
      </c>
      <c r="AJ90" s="238">
        <f t="shared" si="23"/>
        <v>293.86716666666672</v>
      </c>
      <c r="AK90" s="238"/>
      <c r="AL90" s="238"/>
    </row>
    <row r="91" spans="2:38" x14ac:dyDescent="0.3">
      <c r="B91" s="245" t="s">
        <v>58</v>
      </c>
      <c r="C91" s="245"/>
      <c r="D91" s="245"/>
      <c r="E91" s="52">
        <f>'Resumen-DiarioHorario-Solar'!AC31</f>
        <v>96.14166666666668</v>
      </c>
      <c r="F91" s="51">
        <f>'Resumen-DiarioHorario-Solar'!AC86</f>
        <v>133.86150000000001</v>
      </c>
      <c r="G91" s="52">
        <f>'Resumen-DiarioHorario-Solar'!AC141</f>
        <v>0.80050000000000143</v>
      </c>
      <c r="H91" s="51">
        <f>'Resumen-DiarioHorario-Solar'!AC196</f>
        <v>47.632500000000007</v>
      </c>
      <c r="I91" s="52">
        <f>'Resumen-DiarioHorario-Solar'!AC251</f>
        <v>57.336500000000015</v>
      </c>
      <c r="J91" s="51">
        <f>'Resumen-DiarioHorario-Solar'!AC306</f>
        <v>17.575499999999984</v>
      </c>
      <c r="K91" s="52">
        <f>'Resumen-DiarioHorario-Solar'!AC361</f>
        <v>0</v>
      </c>
      <c r="L91" s="51">
        <f>'Resumen-DiarioHorario-Solar'!AC416</f>
        <v>0</v>
      </c>
      <c r="M91" s="52">
        <f>'Resumen-DiarioHorario-Solar'!AC471</f>
        <v>3.0135000000000005</v>
      </c>
      <c r="N91" s="51">
        <f>'Resumen-DiarioHorario-Solar'!AC526</f>
        <v>0</v>
      </c>
      <c r="O91" s="52">
        <f>'Resumen-DiarioHorario-Solar'!AC581</f>
        <v>0.33516666666666678</v>
      </c>
      <c r="P91" s="51">
        <f>'Resumen-DiarioHorario-Solar'!AC636</f>
        <v>35.936166666666672</v>
      </c>
      <c r="Q91" s="52">
        <f>'Resumen-DiarioHorario-Solar'!AC691</f>
        <v>55.863000000000014</v>
      </c>
      <c r="R91" s="51">
        <f>'Resumen-DiarioHorario-Solar'!AC746</f>
        <v>40.71633333333331</v>
      </c>
      <c r="S91" s="52">
        <f>'Resumen-DiarioHorario-Solar'!AC801</f>
        <v>20.156999999999996</v>
      </c>
      <c r="T91" s="51">
        <f>'Resumen-DiarioHorario-Solar'!AC856</f>
        <v>13.6195</v>
      </c>
      <c r="U91" s="52">
        <f>'Resumen-DiarioHorario-Solar'!AC911</f>
        <v>16.93116666666667</v>
      </c>
      <c r="V91" s="51">
        <f>'Resumen-DiarioHorario-Solar'!AC966</f>
        <v>0</v>
      </c>
      <c r="W91" s="52">
        <f>'Resumen-DiarioHorario-Solar'!AC1021</f>
        <v>0</v>
      </c>
      <c r="X91" s="51">
        <f>'Resumen-DiarioHorario-Solar'!AC1076</f>
        <v>2.2388333333333335</v>
      </c>
      <c r="Y91" s="52">
        <f>'Resumen-DiarioHorario-Solar'!AC1131</f>
        <v>0</v>
      </c>
      <c r="Z91" s="51">
        <f>'Resumen-DiarioHorario-Solar'!AC1186</f>
        <v>9.9999999999980096E-4</v>
      </c>
      <c r="AA91" s="52">
        <f>'Resumen-DiarioHorario-Solar'!AC1241</f>
        <v>76.241333333333358</v>
      </c>
      <c r="AB91" s="51">
        <f>'Resumen-DiarioHorario-Solar'!AC1296</f>
        <v>0</v>
      </c>
      <c r="AC91" s="52">
        <f>'Resumen-DiarioHorario-Solar'!AC1351</f>
        <v>0</v>
      </c>
      <c r="AD91" s="51">
        <f>'Resumen-DiarioHorario-Solar'!AC1406</f>
        <v>0</v>
      </c>
      <c r="AE91" s="52">
        <f>'Resumen-DiarioHorario-Solar'!AC1461</f>
        <v>0</v>
      </c>
      <c r="AF91" s="51">
        <f>'Resumen-DiarioHorario-Solar'!AC1516</f>
        <v>5.8243333333333416</v>
      </c>
      <c r="AG91" s="52">
        <f>'Resumen-DiarioHorario-Solar'!AC1571</f>
        <v>1.5933333333333286</v>
      </c>
      <c r="AH91" s="51">
        <f>'Resumen-DiarioHorario-Solar'!AC1626</f>
        <v>97.653166666666621</v>
      </c>
      <c r="AI91" s="100">
        <f>'Resumen-DiarioHorario-Solar'!AC1681</f>
        <v>0</v>
      </c>
      <c r="AJ91" s="238">
        <f t="shared" si="23"/>
        <v>723.47199999999998</v>
      </c>
      <c r="AK91" s="238"/>
      <c r="AL91" s="238"/>
    </row>
    <row r="92" spans="2:38" x14ac:dyDescent="0.3">
      <c r="B92" s="245" t="s">
        <v>95</v>
      </c>
      <c r="C92" s="245"/>
      <c r="D92" s="245"/>
      <c r="E92" s="52">
        <f>'Resumen-DiarioHorario-Solar'!AC32</f>
        <v>0</v>
      </c>
      <c r="F92" s="51">
        <f>'Resumen-DiarioHorario-Solar'!AC87</f>
        <v>0</v>
      </c>
      <c r="G92" s="52">
        <f>'Resumen-DiarioHorario-Solar'!AC142</f>
        <v>0</v>
      </c>
      <c r="H92" s="51">
        <f>'Resumen-DiarioHorario-Solar'!AC197</f>
        <v>0</v>
      </c>
      <c r="I92" s="52">
        <f>'Resumen-DiarioHorario-Solar'!AC252</f>
        <v>0</v>
      </c>
      <c r="J92" s="51">
        <f>'Resumen-DiarioHorario-Solar'!AC307</f>
        <v>0</v>
      </c>
      <c r="K92" s="52">
        <f>'Resumen-DiarioHorario-Solar'!AC362</f>
        <v>0</v>
      </c>
      <c r="L92" s="51">
        <f>'Resumen-DiarioHorario-Solar'!AC417</f>
        <v>0</v>
      </c>
      <c r="M92" s="52">
        <f>'Resumen-DiarioHorario-Solar'!AC472</f>
        <v>0</v>
      </c>
      <c r="N92" s="51">
        <f>'Resumen-DiarioHorario-Solar'!AC527</f>
        <v>0</v>
      </c>
      <c r="O92" s="52">
        <f>'Resumen-DiarioHorario-Solar'!AC582</f>
        <v>0</v>
      </c>
      <c r="P92" s="51">
        <f>'Resumen-DiarioHorario-Solar'!AC637</f>
        <v>0</v>
      </c>
      <c r="Q92" s="52">
        <f>'Resumen-DiarioHorario-Solar'!AC692</f>
        <v>0</v>
      </c>
      <c r="R92" s="51">
        <f>'Resumen-DiarioHorario-Solar'!AC747</f>
        <v>0</v>
      </c>
      <c r="S92" s="52">
        <f>'Resumen-DiarioHorario-Solar'!AC802</f>
        <v>0</v>
      </c>
      <c r="T92" s="51">
        <f>'Resumen-DiarioHorario-Solar'!AC857</f>
        <v>0</v>
      </c>
      <c r="U92" s="52">
        <f>'Resumen-DiarioHorario-Solar'!AC912</f>
        <v>0</v>
      </c>
      <c r="V92" s="51">
        <f>'Resumen-DiarioHorario-Solar'!AC967</f>
        <v>0</v>
      </c>
      <c r="W92" s="52">
        <f>'Resumen-DiarioHorario-Solar'!AC1022</f>
        <v>0</v>
      </c>
      <c r="X92" s="51">
        <f>'Resumen-DiarioHorario-Solar'!AC1077</f>
        <v>0</v>
      </c>
      <c r="Y92" s="52">
        <f>'Resumen-DiarioHorario-Solar'!AC1132</f>
        <v>0</v>
      </c>
      <c r="Z92" s="51">
        <f>'Resumen-DiarioHorario-Solar'!AC1187</f>
        <v>0</v>
      </c>
      <c r="AA92" s="52">
        <f>'Resumen-DiarioHorario-Solar'!AC1242</f>
        <v>0</v>
      </c>
      <c r="AB92" s="51">
        <f>'Resumen-DiarioHorario-Solar'!AC1297</f>
        <v>0</v>
      </c>
      <c r="AC92" s="52">
        <f>'Resumen-DiarioHorario-Solar'!AC1352</f>
        <v>0</v>
      </c>
      <c r="AD92" s="51">
        <f>'Resumen-DiarioHorario-Solar'!AC1407</f>
        <v>0</v>
      </c>
      <c r="AE92" s="52">
        <f>'Resumen-DiarioHorario-Solar'!AC1462</f>
        <v>0</v>
      </c>
      <c r="AF92" s="51">
        <f>'Resumen-DiarioHorario-Solar'!AC1517</f>
        <v>0</v>
      </c>
      <c r="AG92" s="52">
        <f>'Resumen-DiarioHorario-Solar'!AC1572</f>
        <v>0</v>
      </c>
      <c r="AH92" s="51">
        <f>'Resumen-DiarioHorario-Solar'!AC1627</f>
        <v>0</v>
      </c>
      <c r="AI92" s="100">
        <f>'Resumen-DiarioHorario-Solar'!AC1682</f>
        <v>0</v>
      </c>
      <c r="AJ92" s="238">
        <f t="shared" ref="AJ92" si="24">SUM(E92:AI92)</f>
        <v>0</v>
      </c>
      <c r="AK92" s="238"/>
      <c r="AL92" s="238"/>
    </row>
    <row r="93" spans="2:38" x14ac:dyDescent="0.3">
      <c r="B93" s="245" t="s">
        <v>59</v>
      </c>
      <c r="C93" s="245"/>
      <c r="D93" s="245"/>
      <c r="E93" s="52">
        <f>'Resumen-DiarioHorario-Solar'!AC33</f>
        <v>112.32483333333336</v>
      </c>
      <c r="F93" s="51">
        <f>'Resumen-DiarioHorario-Solar'!AC88</f>
        <v>151.38233333333335</v>
      </c>
      <c r="G93" s="52">
        <f>'Resumen-DiarioHorario-Solar'!AC143</f>
        <v>57.934333333333328</v>
      </c>
      <c r="H93" s="51">
        <f>'Resumen-DiarioHorario-Solar'!AC198</f>
        <v>123.40066666666667</v>
      </c>
      <c r="I93" s="52">
        <f>'Resumen-DiarioHorario-Solar'!AC253</f>
        <v>129.56783333333328</v>
      </c>
      <c r="J93" s="51">
        <f>'Resumen-DiarioHorario-Solar'!AC308</f>
        <v>116.36849999999998</v>
      </c>
      <c r="K93" s="52">
        <f>'Resumen-DiarioHorario-Solar'!AC363</f>
        <v>17.997333333333334</v>
      </c>
      <c r="L93" s="51">
        <f>'Resumen-DiarioHorario-Solar'!AC418</f>
        <v>44.705499999999986</v>
      </c>
      <c r="M93" s="52">
        <f>'Resumen-DiarioHorario-Solar'!AC473</f>
        <v>134.02350000000001</v>
      </c>
      <c r="N93" s="51">
        <f>'Resumen-DiarioHorario-Solar'!AC528</f>
        <v>16.43950000000001</v>
      </c>
      <c r="O93" s="52">
        <f>'Resumen-DiarioHorario-Solar'!AC583</f>
        <v>37.019999999999996</v>
      </c>
      <c r="P93" s="51">
        <f>'Resumen-DiarioHorario-Solar'!AC638</f>
        <v>73.948666666666696</v>
      </c>
      <c r="Q93" s="52">
        <f>'Resumen-DiarioHorario-Solar'!AC693</f>
        <v>73.93249999999999</v>
      </c>
      <c r="R93" s="51">
        <f>'Resumen-DiarioHorario-Solar'!AC748</f>
        <v>13.7</v>
      </c>
      <c r="S93" s="52">
        <f>'Resumen-DiarioHorario-Solar'!AC803</f>
        <v>12.423666666666669</v>
      </c>
      <c r="T93" s="51">
        <f>'Resumen-DiarioHorario-Solar'!AC858</f>
        <v>24.495166666666659</v>
      </c>
      <c r="U93" s="52">
        <f>'Resumen-DiarioHorario-Solar'!AC913</f>
        <v>52.187333333333335</v>
      </c>
      <c r="V93" s="51">
        <f>'Resumen-DiarioHorario-Solar'!AC968</f>
        <v>140.04249999999999</v>
      </c>
      <c r="W93" s="52">
        <f>'Resumen-DiarioHorario-Solar'!AC1023</f>
        <v>97.929000000000002</v>
      </c>
      <c r="X93" s="51">
        <f>'Resumen-DiarioHorario-Solar'!AC1078</f>
        <v>127.67733333333335</v>
      </c>
      <c r="Y93" s="52">
        <f>'Resumen-DiarioHorario-Solar'!AC1133</f>
        <v>64.286666666666662</v>
      </c>
      <c r="Z93" s="51">
        <f>'Resumen-DiarioHorario-Solar'!AC1188</f>
        <v>65.600333333333339</v>
      </c>
      <c r="AA93" s="52">
        <f>'Resumen-DiarioHorario-Solar'!AC1243</f>
        <v>54.102999999999994</v>
      </c>
      <c r="AB93" s="51">
        <f>'Resumen-DiarioHorario-Solar'!AC1298</f>
        <v>0</v>
      </c>
      <c r="AC93" s="52">
        <f>'Resumen-DiarioHorario-Solar'!AC1353</f>
        <v>64.596666666666664</v>
      </c>
      <c r="AD93" s="51">
        <f>'Resumen-DiarioHorario-Solar'!AC1408</f>
        <v>21.559166666666663</v>
      </c>
      <c r="AE93" s="52">
        <f>'Resumen-DiarioHorario-Solar'!AC1463</f>
        <v>64.533333333333331</v>
      </c>
      <c r="AF93" s="51">
        <f>'Resumen-DiarioHorario-Solar'!AC1518</f>
        <v>73.49733333333333</v>
      </c>
      <c r="AG93" s="52">
        <f>'Resumen-DiarioHorario-Solar'!AC1573</f>
        <v>48.080833333333359</v>
      </c>
      <c r="AH93" s="51">
        <f>'Resumen-DiarioHorario-Solar'!AC1628</f>
        <v>111.12233333333327</v>
      </c>
      <c r="AI93" s="100">
        <f>'Resumen-DiarioHorario-Solar'!AC1683</f>
        <v>74.862999999999985</v>
      </c>
      <c r="AJ93" s="238">
        <f t="shared" ref="AJ93:AJ116" si="25">SUM(E93:AI93)</f>
        <v>2199.7431666666662</v>
      </c>
      <c r="AK93" s="238"/>
      <c r="AL93" s="238"/>
    </row>
    <row r="94" spans="2:38" x14ac:dyDescent="0.3">
      <c r="B94" s="245" t="s">
        <v>60</v>
      </c>
      <c r="C94" s="245"/>
      <c r="D94" s="245"/>
      <c r="E94" s="52">
        <f>'Resumen-DiarioHorario-Solar'!AC34</f>
        <v>61.239333333333349</v>
      </c>
      <c r="F94" s="51">
        <f>'Resumen-DiarioHorario-Solar'!AC89</f>
        <v>28.639166666666668</v>
      </c>
      <c r="G94" s="52">
        <f>'Resumen-DiarioHorario-Solar'!AC144</f>
        <v>0</v>
      </c>
      <c r="H94" s="51">
        <f>'Resumen-DiarioHorario-Solar'!AC199</f>
        <v>22.046166666666672</v>
      </c>
      <c r="I94" s="52">
        <f>'Resumen-DiarioHorario-Solar'!AC254</f>
        <v>35.470333333333315</v>
      </c>
      <c r="J94" s="51">
        <f>'Resumen-DiarioHorario-Solar'!AC309</f>
        <v>2.9356666666666671</v>
      </c>
      <c r="K94" s="52">
        <f>'Resumen-DiarioHorario-Solar'!AC364</f>
        <v>5.3666666666666647E-2</v>
      </c>
      <c r="L94" s="51">
        <f>'Resumen-DiarioHorario-Solar'!AC419</f>
        <v>14.395333333333326</v>
      </c>
      <c r="M94" s="52">
        <f>'Resumen-DiarioHorario-Solar'!AC474</f>
        <v>86.217666666666716</v>
      </c>
      <c r="N94" s="51">
        <f>'Resumen-DiarioHorario-Solar'!AC529</f>
        <v>5.7616666666666658</v>
      </c>
      <c r="O94" s="52">
        <f>'Resumen-DiarioHorario-Solar'!AC584</f>
        <v>6.7546666666666679</v>
      </c>
      <c r="P94" s="51">
        <f>'Resumen-DiarioHorario-Solar'!AC639</f>
        <v>2.8210000000000024</v>
      </c>
      <c r="Q94" s="52">
        <f>'Resumen-DiarioHorario-Solar'!AC694</f>
        <v>41.852666666666664</v>
      </c>
      <c r="R94" s="51">
        <f>'Resumen-DiarioHorario-Solar'!AC749</f>
        <v>0.11650000000000005</v>
      </c>
      <c r="S94" s="52">
        <f>'Resumen-DiarioHorario-Solar'!AC804</f>
        <v>12.598666666666665</v>
      </c>
      <c r="T94" s="51">
        <f>'Resumen-DiarioHorario-Solar'!AC859</f>
        <v>0</v>
      </c>
      <c r="U94" s="52">
        <f>'Resumen-DiarioHorario-Solar'!AC914</f>
        <v>6.8358333333333325</v>
      </c>
      <c r="V94" s="51">
        <f>'Resumen-DiarioHorario-Solar'!AC969</f>
        <v>44.849666666666671</v>
      </c>
      <c r="W94" s="52">
        <f>'Resumen-DiarioHorario-Solar'!AC1024</f>
        <v>3.2708333333333512</v>
      </c>
      <c r="X94" s="51">
        <f>'Resumen-DiarioHorario-Solar'!AC1079</f>
        <v>15.843000000000005</v>
      </c>
      <c r="Y94" s="52">
        <f>'Resumen-DiarioHorario-Solar'!AC1134</f>
        <v>7.1833333333333138E-2</v>
      </c>
      <c r="Z94" s="51">
        <f>'Resumen-DiarioHorario-Solar'!AC1189</f>
        <v>0</v>
      </c>
      <c r="AA94" s="52">
        <f>'Resumen-DiarioHorario-Solar'!AC1244</f>
        <v>47.687166666666691</v>
      </c>
      <c r="AB94" s="51">
        <f>'Resumen-DiarioHorario-Solar'!AC1299</f>
        <v>0</v>
      </c>
      <c r="AC94" s="52">
        <f>'Resumen-DiarioHorario-Solar'!AC1354</f>
        <v>0</v>
      </c>
      <c r="AD94" s="51">
        <f>'Resumen-DiarioHorario-Solar'!AC1409</f>
        <v>0</v>
      </c>
      <c r="AE94" s="52">
        <f>'Resumen-DiarioHorario-Solar'!AC1464</f>
        <v>0.60183333333333278</v>
      </c>
      <c r="AF94" s="51">
        <f>'Resumen-DiarioHorario-Solar'!AC1519</f>
        <v>23.060000000000009</v>
      </c>
      <c r="AG94" s="52">
        <f>'Resumen-DiarioHorario-Solar'!AC1574</f>
        <v>12.898833333333329</v>
      </c>
      <c r="AH94" s="51">
        <f>'Resumen-DiarioHorario-Solar'!AC1629</f>
        <v>51.683999999999955</v>
      </c>
      <c r="AI94" s="100">
        <f>'Resumen-DiarioHorario-Solar'!AC1684</f>
        <v>11.177166666666659</v>
      </c>
      <c r="AJ94" s="238">
        <f t="shared" si="25"/>
        <v>538.88266666666664</v>
      </c>
      <c r="AK94" s="238"/>
      <c r="AL94" s="238"/>
    </row>
    <row r="95" spans="2:38" x14ac:dyDescent="0.3">
      <c r="B95" s="245" t="s">
        <v>61</v>
      </c>
      <c r="C95" s="245"/>
      <c r="D95" s="245"/>
      <c r="E95" s="52">
        <f>'Resumen-DiarioHorario-Solar'!AC35</f>
        <v>43.505833333333314</v>
      </c>
      <c r="F95" s="51">
        <f>'Resumen-DiarioHorario-Solar'!AC90</f>
        <v>20.643333333333334</v>
      </c>
      <c r="G95" s="52">
        <f>'Resumen-DiarioHorario-Solar'!AC145</f>
        <v>0</v>
      </c>
      <c r="H95" s="51">
        <f>'Resumen-DiarioHorario-Solar'!AC200</f>
        <v>33.283666666666669</v>
      </c>
      <c r="I95" s="52">
        <f>'Resumen-DiarioHorario-Solar'!AC255</f>
        <v>48.578666666666678</v>
      </c>
      <c r="J95" s="51">
        <f>'Resumen-DiarioHorario-Solar'!AC310</f>
        <v>8.1666666666665808E-3</v>
      </c>
      <c r="K95" s="52">
        <f>'Resumen-DiarioHorario-Solar'!AC365</f>
        <v>0</v>
      </c>
      <c r="L95" s="51">
        <f>'Resumen-DiarioHorario-Solar'!AC420</f>
        <v>0.46983333333333305</v>
      </c>
      <c r="M95" s="52">
        <f>'Resumen-DiarioHorario-Solar'!AC475</f>
        <v>8.210999999999995</v>
      </c>
      <c r="N95" s="51">
        <f>'Resumen-DiarioHorario-Solar'!AC530</f>
        <v>11.204166666666666</v>
      </c>
      <c r="O95" s="52">
        <f>'Resumen-DiarioHorario-Solar'!AC585</f>
        <v>0.12133333333333311</v>
      </c>
      <c r="P95" s="51">
        <f>'Resumen-DiarioHorario-Solar'!AC640</f>
        <v>0</v>
      </c>
      <c r="Q95" s="52">
        <f>'Resumen-DiarioHorario-Solar'!AC695</f>
        <v>12.962500000000009</v>
      </c>
      <c r="R95" s="51">
        <f>'Resumen-DiarioHorario-Solar'!AC750</f>
        <v>4.3013333333333339</v>
      </c>
      <c r="S95" s="52">
        <f>'Resumen-DiarioHorario-Solar'!AC805</f>
        <v>9.8828333333333269</v>
      </c>
      <c r="T95" s="51">
        <f>'Resumen-DiarioHorario-Solar'!AC860</f>
        <v>0</v>
      </c>
      <c r="U95" s="52">
        <f>'Resumen-DiarioHorario-Solar'!AC915</f>
        <v>0.38283333333333308</v>
      </c>
      <c r="V95" s="51">
        <f>'Resumen-DiarioHorario-Solar'!AC970</f>
        <v>8.3550000000000075</v>
      </c>
      <c r="W95" s="52">
        <f>'Resumen-DiarioHorario-Solar'!AC1025</f>
        <v>0.8406666666666659</v>
      </c>
      <c r="X95" s="51">
        <f>'Resumen-DiarioHorario-Solar'!AC1080</f>
        <v>0</v>
      </c>
      <c r="Y95" s="52">
        <f>'Resumen-DiarioHorario-Solar'!AC1135</f>
        <v>0.4926666666666672</v>
      </c>
      <c r="Z95" s="51">
        <f>'Resumen-DiarioHorario-Solar'!AC1190</f>
        <v>5.8833333333333113E-2</v>
      </c>
      <c r="AA95" s="52">
        <f>'Resumen-DiarioHorario-Solar'!AC1245</f>
        <v>11.970500000000001</v>
      </c>
      <c r="AB95" s="51">
        <f>'Resumen-DiarioHorario-Solar'!AC1300</f>
        <v>0</v>
      </c>
      <c r="AC95" s="52">
        <f>'Resumen-DiarioHorario-Solar'!AC1355</f>
        <v>0</v>
      </c>
      <c r="AD95" s="51">
        <f>'Resumen-DiarioHorario-Solar'!AC1410</f>
        <v>0</v>
      </c>
      <c r="AE95" s="52">
        <f>'Resumen-DiarioHorario-Solar'!AC1465</f>
        <v>0</v>
      </c>
      <c r="AF95" s="51">
        <f>'Resumen-DiarioHorario-Solar'!AC1520</f>
        <v>1.8774999999999937</v>
      </c>
      <c r="AG95" s="52">
        <f>'Resumen-DiarioHorario-Solar'!AC1575</f>
        <v>9.1608333333333292</v>
      </c>
      <c r="AH95" s="51">
        <f>'Resumen-DiarioHorario-Solar'!AC1630</f>
        <v>25.23466666666668</v>
      </c>
      <c r="AI95" s="100">
        <f>'Resumen-DiarioHorario-Solar'!AC1685</f>
        <v>5.7956666666666772</v>
      </c>
      <c r="AJ95" s="238">
        <f t="shared" si="25"/>
        <v>257.34183333333334</v>
      </c>
      <c r="AK95" s="238"/>
      <c r="AL95" s="238"/>
    </row>
    <row r="96" spans="2:38" x14ac:dyDescent="0.3">
      <c r="B96" s="245" t="s">
        <v>62</v>
      </c>
      <c r="C96" s="245"/>
      <c r="D96" s="245"/>
      <c r="E96" s="52">
        <f>'Resumen-DiarioHorario-Solar'!AC36</f>
        <v>124.2938333333334</v>
      </c>
      <c r="F96" s="51">
        <f>'Resumen-DiarioHorario-Solar'!AC91</f>
        <v>56.454666666666661</v>
      </c>
      <c r="G96" s="52">
        <f>'Resumen-DiarioHorario-Solar'!AC146</f>
        <v>0</v>
      </c>
      <c r="H96" s="51">
        <f>'Resumen-DiarioHorario-Solar'!AC201</f>
        <v>28.446833333333331</v>
      </c>
      <c r="I96" s="52">
        <f>'Resumen-DiarioHorario-Solar'!AC256</f>
        <v>32.749333333333325</v>
      </c>
      <c r="J96" s="51">
        <f>'Resumen-DiarioHorario-Solar'!AC311</f>
        <v>13.510499999999993</v>
      </c>
      <c r="K96" s="52">
        <f>'Resumen-DiarioHorario-Solar'!AC366</f>
        <v>0.10066666666666725</v>
      </c>
      <c r="L96" s="51">
        <f>'Resumen-DiarioHorario-Solar'!AC421</f>
        <v>0</v>
      </c>
      <c r="M96" s="52">
        <f>'Resumen-DiarioHorario-Solar'!AC476</f>
        <v>0</v>
      </c>
      <c r="N96" s="51">
        <f>'Resumen-DiarioHorario-Solar'!AC531</f>
        <v>0</v>
      </c>
      <c r="O96" s="52">
        <f>'Resumen-DiarioHorario-Solar'!AC586</f>
        <v>0</v>
      </c>
      <c r="P96" s="51">
        <f>'Resumen-DiarioHorario-Solar'!AC641</f>
        <v>0</v>
      </c>
      <c r="Q96" s="52">
        <f>'Resumen-DiarioHorario-Solar'!AC696</f>
        <v>9.3676666666666701</v>
      </c>
      <c r="R96" s="51">
        <f>'Resumen-DiarioHorario-Solar'!AC751</f>
        <v>0.7838333333333336</v>
      </c>
      <c r="S96" s="52">
        <f>'Resumen-DiarioHorario-Solar'!AC806</f>
        <v>34.30416666666666</v>
      </c>
      <c r="T96" s="51">
        <f>'Resumen-DiarioHorario-Solar'!AC861</f>
        <v>0</v>
      </c>
      <c r="U96" s="52">
        <f>'Resumen-DiarioHorario-Solar'!AC916</f>
        <v>0</v>
      </c>
      <c r="V96" s="51">
        <f>'Resumen-DiarioHorario-Solar'!AC971</f>
        <v>0</v>
      </c>
      <c r="W96" s="52">
        <f>'Resumen-DiarioHorario-Solar'!AC1026</f>
        <v>0</v>
      </c>
      <c r="X96" s="51">
        <f>'Resumen-DiarioHorario-Solar'!AC1081</f>
        <v>0</v>
      </c>
      <c r="Y96" s="52">
        <f>'Resumen-DiarioHorario-Solar'!AC1136</f>
        <v>0</v>
      </c>
      <c r="Z96" s="51">
        <f>'Resumen-DiarioHorario-Solar'!AC1191</f>
        <v>1.2666666666666633E-2</v>
      </c>
      <c r="AA96" s="52">
        <f>'Resumen-DiarioHorario-Solar'!AC1246</f>
        <v>9.2663333333333355</v>
      </c>
      <c r="AB96" s="51">
        <f>'Resumen-DiarioHorario-Solar'!AC1301</f>
        <v>0</v>
      </c>
      <c r="AC96" s="52">
        <f>'Resumen-DiarioHorario-Solar'!AC1356</f>
        <v>0</v>
      </c>
      <c r="AD96" s="51">
        <f>'Resumen-DiarioHorario-Solar'!AC1411</f>
        <v>0.43483333333333468</v>
      </c>
      <c r="AE96" s="52">
        <f>'Resumen-DiarioHorario-Solar'!AC1466</f>
        <v>8.2153333333333283</v>
      </c>
      <c r="AF96" s="51">
        <f>'Resumen-DiarioHorario-Solar'!AC1521</f>
        <v>8.4011666666666702</v>
      </c>
      <c r="AG96" s="52">
        <f>'Resumen-DiarioHorario-Solar'!AC1576</f>
        <v>0</v>
      </c>
      <c r="AH96" s="51">
        <f>'Resumen-DiarioHorario-Solar'!AC1631</f>
        <v>52.295500000000004</v>
      </c>
      <c r="AI96" s="100">
        <f>'Resumen-DiarioHorario-Solar'!AC1686</f>
        <v>0</v>
      </c>
      <c r="AJ96" s="238">
        <f t="shared" si="25"/>
        <v>378.6373333333334</v>
      </c>
      <c r="AK96" s="238"/>
      <c r="AL96" s="238"/>
    </row>
    <row r="97" spans="2:38" x14ac:dyDescent="0.3">
      <c r="B97" s="245" t="s">
        <v>63</v>
      </c>
      <c r="C97" s="245"/>
      <c r="D97" s="245"/>
      <c r="E97" s="52">
        <f>'Resumen-DiarioHorario-Solar'!AC37</f>
        <v>897.28349999999989</v>
      </c>
      <c r="F97" s="51">
        <f>'Resumen-DiarioHorario-Solar'!AC92</f>
        <v>431.32216666666665</v>
      </c>
      <c r="G97" s="52">
        <f>'Resumen-DiarioHorario-Solar'!AC147</f>
        <v>1.9999999999996019E-3</v>
      </c>
      <c r="H97" s="51">
        <f>'Resumen-DiarioHorario-Solar'!AC202</f>
        <v>143.8003333333333</v>
      </c>
      <c r="I97" s="52">
        <f>'Resumen-DiarioHorario-Solar'!AC257</f>
        <v>172.82333333333332</v>
      </c>
      <c r="J97" s="51">
        <f>'Resumen-DiarioHorario-Solar'!AC312</f>
        <v>52.401166666666612</v>
      </c>
      <c r="K97" s="52">
        <f>'Resumen-DiarioHorario-Solar'!AC367</f>
        <v>0</v>
      </c>
      <c r="L97" s="51">
        <f>'Resumen-DiarioHorario-Solar'!AC422</f>
        <v>0</v>
      </c>
      <c r="M97" s="52">
        <f>'Resumen-DiarioHorario-Solar'!AC477</f>
        <v>0</v>
      </c>
      <c r="N97" s="51">
        <f>'Resumen-DiarioHorario-Solar'!AC532</f>
        <v>0</v>
      </c>
      <c r="O97" s="52">
        <f>'Resumen-DiarioHorario-Solar'!AC587</f>
        <v>0</v>
      </c>
      <c r="P97" s="51">
        <f>'Resumen-DiarioHorario-Solar'!AC642</f>
        <v>0</v>
      </c>
      <c r="Q97" s="52">
        <f>'Resumen-DiarioHorario-Solar'!AC697</f>
        <v>52.636833333333342</v>
      </c>
      <c r="R97" s="51">
        <f>'Resumen-DiarioHorario-Solar'!AC752</f>
        <v>0</v>
      </c>
      <c r="S97" s="52">
        <f>'Resumen-DiarioHorario-Solar'!AC807</f>
        <v>18.990500000000004</v>
      </c>
      <c r="T97" s="51">
        <f>'Resumen-DiarioHorario-Solar'!AC862</f>
        <v>38.487500000000026</v>
      </c>
      <c r="U97" s="52">
        <f>'Resumen-DiarioHorario-Solar'!AC917</f>
        <v>39.222833333333348</v>
      </c>
      <c r="V97" s="51">
        <f>'Resumen-DiarioHorario-Solar'!AC972</f>
        <v>3.9839999999999995</v>
      </c>
      <c r="W97" s="52">
        <f>'Resumen-DiarioHorario-Solar'!AC1027</f>
        <v>1.9463333333333319</v>
      </c>
      <c r="X97" s="51">
        <f>'Resumen-DiarioHorario-Solar'!AC1082</f>
        <v>4.6405000000000136</v>
      </c>
      <c r="Y97" s="52">
        <f>'Resumen-DiarioHorario-Solar'!AC1137</f>
        <v>2.9403333333333039</v>
      </c>
      <c r="Z97" s="51">
        <f>'Resumen-DiarioHorario-Solar'!AC1192</f>
        <v>0.19566666666666729</v>
      </c>
      <c r="AA97" s="52">
        <f>'Resumen-DiarioHorario-Solar'!AC1247</f>
        <v>58.732666666666674</v>
      </c>
      <c r="AB97" s="51">
        <f>'Resumen-DiarioHorario-Solar'!AC1302</f>
        <v>0</v>
      </c>
      <c r="AC97" s="52">
        <f>'Resumen-DiarioHorario-Solar'!AC1357</f>
        <v>0</v>
      </c>
      <c r="AD97" s="51">
        <f>'Resumen-DiarioHorario-Solar'!AC1412</f>
        <v>2.6038333333333408</v>
      </c>
      <c r="AE97" s="52">
        <f>'Resumen-DiarioHorario-Solar'!AC1467</f>
        <v>2.4489999999999927</v>
      </c>
      <c r="AF97" s="51">
        <f>'Resumen-DiarioHorario-Solar'!AC1522</f>
        <v>32.111833333333315</v>
      </c>
      <c r="AG97" s="52">
        <f>'Resumen-DiarioHorario-Solar'!AC1577</f>
        <v>66.255333333333326</v>
      </c>
      <c r="AH97" s="51">
        <f>'Resumen-DiarioHorario-Solar'!AC1632</f>
        <v>220.20300000000006</v>
      </c>
      <c r="AI97" s="100">
        <f>'Resumen-DiarioHorario-Solar'!AC1687</f>
        <v>0</v>
      </c>
      <c r="AJ97" s="238">
        <f t="shared" si="25"/>
        <v>2243.0326666666665</v>
      </c>
      <c r="AK97" s="238"/>
      <c r="AL97" s="238"/>
    </row>
    <row r="98" spans="2:38" x14ac:dyDescent="0.3">
      <c r="B98" s="245" t="s">
        <v>64</v>
      </c>
      <c r="C98" s="245"/>
      <c r="D98" s="245"/>
      <c r="E98" s="52">
        <f>'Resumen-DiarioHorario-Solar'!AC38</f>
        <v>90.704666666666654</v>
      </c>
      <c r="F98" s="51">
        <f>'Resumen-DiarioHorario-Solar'!AC93</f>
        <v>93.711499999999987</v>
      </c>
      <c r="G98" s="52">
        <f>'Resumen-DiarioHorario-Solar'!AC148</f>
        <v>2.0063333333333335</v>
      </c>
      <c r="H98" s="51">
        <f>'Resumen-DiarioHorario-Solar'!AC203</f>
        <v>50.708333333333329</v>
      </c>
      <c r="I98" s="52">
        <f>'Resumen-DiarioHorario-Solar'!AC258</f>
        <v>64.114666666666693</v>
      </c>
      <c r="J98" s="51">
        <f>'Resumen-DiarioHorario-Solar'!AC313</f>
        <v>29.424833333333339</v>
      </c>
      <c r="K98" s="52">
        <f>'Resumen-DiarioHorario-Solar'!AC368</f>
        <v>1.1280000000000017</v>
      </c>
      <c r="L98" s="51">
        <f>'Resumen-DiarioHorario-Solar'!AC423</f>
        <v>0</v>
      </c>
      <c r="M98" s="52">
        <f>'Resumen-DiarioHorario-Solar'!AC478</f>
        <v>0</v>
      </c>
      <c r="N98" s="51">
        <f>'Resumen-DiarioHorario-Solar'!AC533</f>
        <v>0</v>
      </c>
      <c r="O98" s="52">
        <f>'Resumen-DiarioHorario-Solar'!AC588</f>
        <v>1.2051666666666667</v>
      </c>
      <c r="P98" s="51">
        <f>'Resumen-DiarioHorario-Solar'!AC643</f>
        <v>0</v>
      </c>
      <c r="Q98" s="52">
        <f>'Resumen-DiarioHorario-Solar'!AC698</f>
        <v>4.7726666666666651</v>
      </c>
      <c r="R98" s="51">
        <f>'Resumen-DiarioHorario-Solar'!AC753</f>
        <v>0</v>
      </c>
      <c r="S98" s="52">
        <f>'Resumen-DiarioHorario-Solar'!AC808</f>
        <v>0</v>
      </c>
      <c r="T98" s="51">
        <f>'Resumen-DiarioHorario-Solar'!AC863</f>
        <v>7.8834999999999997</v>
      </c>
      <c r="U98" s="52">
        <f>'Resumen-DiarioHorario-Solar'!AC918</f>
        <v>4.0731666666666708</v>
      </c>
      <c r="V98" s="51">
        <f>'Resumen-DiarioHorario-Solar'!AC973</f>
        <v>5.1436666666666628</v>
      </c>
      <c r="W98" s="52">
        <f>'Resumen-DiarioHorario-Solar'!AC1028</f>
        <v>3.5013333333333341</v>
      </c>
      <c r="X98" s="51">
        <f>'Resumen-DiarioHorario-Solar'!AC1083</f>
        <v>0.49483333333333174</v>
      </c>
      <c r="Y98" s="52">
        <f>'Resumen-DiarioHorario-Solar'!AC1138</f>
        <v>4.5493333333333306</v>
      </c>
      <c r="Z98" s="51">
        <f>'Resumen-DiarioHorario-Solar'!AC1193</f>
        <v>0</v>
      </c>
      <c r="AA98" s="52">
        <f>'Resumen-DiarioHorario-Solar'!AC1248</f>
        <v>8.3638333333333339</v>
      </c>
      <c r="AB98" s="51">
        <f>'Resumen-DiarioHorario-Solar'!AC1303</f>
        <v>0</v>
      </c>
      <c r="AC98" s="52">
        <f>'Resumen-DiarioHorario-Solar'!AC1358</f>
        <v>0</v>
      </c>
      <c r="AD98" s="51">
        <f>'Resumen-DiarioHorario-Solar'!AC1413</f>
        <v>0.42700000000000077</v>
      </c>
      <c r="AE98" s="52">
        <f>'Resumen-DiarioHorario-Solar'!AC1468</f>
        <v>1.4706666666666652</v>
      </c>
      <c r="AF98" s="51">
        <f>'Resumen-DiarioHorario-Solar'!AC1523</f>
        <v>11.849833333333329</v>
      </c>
      <c r="AG98" s="52">
        <f>'Resumen-DiarioHorario-Solar'!AC1578</f>
        <v>14.027333333333333</v>
      </c>
      <c r="AH98" s="51">
        <f>'Resumen-DiarioHorario-Solar'!AC1633</f>
        <v>42.884833333333319</v>
      </c>
      <c r="AI98" s="100">
        <f>'Resumen-DiarioHorario-Solar'!AC1688</f>
        <v>0</v>
      </c>
      <c r="AJ98" s="238">
        <f t="shared" si="25"/>
        <v>442.44550000000004</v>
      </c>
      <c r="AK98" s="238"/>
      <c r="AL98" s="238"/>
    </row>
    <row r="99" spans="2:38" x14ac:dyDescent="0.3">
      <c r="B99" s="245" t="s">
        <v>96</v>
      </c>
      <c r="C99" s="245"/>
      <c r="D99" s="245"/>
      <c r="E99" s="52">
        <f>'Resumen-DiarioHorario-Solar'!AC39</f>
        <v>0</v>
      </c>
      <c r="F99" s="51">
        <f>'Resumen-DiarioHorario-Solar'!AC94</f>
        <v>0</v>
      </c>
      <c r="G99" s="52">
        <f>'Resumen-DiarioHorario-Solar'!AC149</f>
        <v>0</v>
      </c>
      <c r="H99" s="51">
        <f>'Resumen-DiarioHorario-Solar'!AC204</f>
        <v>0</v>
      </c>
      <c r="I99" s="52">
        <f>'Resumen-DiarioHorario-Solar'!AC259</f>
        <v>0</v>
      </c>
      <c r="J99" s="51">
        <f>'Resumen-DiarioHorario-Solar'!AC314</f>
        <v>0</v>
      </c>
      <c r="K99" s="52">
        <f>'Resumen-DiarioHorario-Solar'!AC369</f>
        <v>0</v>
      </c>
      <c r="L99" s="51">
        <f>'Resumen-DiarioHorario-Solar'!AC424</f>
        <v>0</v>
      </c>
      <c r="M99" s="52">
        <f>'Resumen-DiarioHorario-Solar'!AC479</f>
        <v>0</v>
      </c>
      <c r="N99" s="51">
        <f>'Resumen-DiarioHorario-Solar'!AC534</f>
        <v>0</v>
      </c>
      <c r="O99" s="52">
        <f>'Resumen-DiarioHorario-Solar'!AC589</f>
        <v>0</v>
      </c>
      <c r="P99" s="51">
        <f>'Resumen-DiarioHorario-Solar'!AC644</f>
        <v>0</v>
      </c>
      <c r="Q99" s="52">
        <f>'Resumen-DiarioHorario-Solar'!AC699</f>
        <v>0</v>
      </c>
      <c r="R99" s="51">
        <f>'Resumen-DiarioHorario-Solar'!AC754</f>
        <v>0</v>
      </c>
      <c r="S99" s="52">
        <f>'Resumen-DiarioHorario-Solar'!AC809</f>
        <v>0</v>
      </c>
      <c r="T99" s="51">
        <f>'Resumen-DiarioHorario-Solar'!AC864</f>
        <v>0</v>
      </c>
      <c r="U99" s="52">
        <f>'Resumen-DiarioHorario-Solar'!AC919</f>
        <v>0</v>
      </c>
      <c r="V99" s="51">
        <f>'Resumen-DiarioHorario-Solar'!AC974</f>
        <v>0</v>
      </c>
      <c r="W99" s="52">
        <f>'Resumen-DiarioHorario-Solar'!AC1029</f>
        <v>0</v>
      </c>
      <c r="X99" s="51">
        <f>'Resumen-DiarioHorario-Solar'!AC1084</f>
        <v>0</v>
      </c>
      <c r="Y99" s="52">
        <f>'Resumen-DiarioHorario-Solar'!AC1139</f>
        <v>0</v>
      </c>
      <c r="Z99" s="51">
        <f>'Resumen-DiarioHorario-Solar'!AC1194</f>
        <v>0</v>
      </c>
      <c r="AA99" s="52">
        <f>'Resumen-DiarioHorario-Solar'!AC1249</f>
        <v>0</v>
      </c>
      <c r="AB99" s="51">
        <f>'Resumen-DiarioHorario-Solar'!AC1304</f>
        <v>0</v>
      </c>
      <c r="AC99" s="52">
        <f>'Resumen-DiarioHorario-Solar'!AC1359</f>
        <v>0</v>
      </c>
      <c r="AD99" s="51">
        <f>'Resumen-DiarioHorario-Solar'!AC1414</f>
        <v>0</v>
      </c>
      <c r="AE99" s="52">
        <f>'Resumen-DiarioHorario-Solar'!AC1469</f>
        <v>0</v>
      </c>
      <c r="AF99" s="51">
        <f>'Resumen-DiarioHorario-Solar'!AC1524</f>
        <v>0</v>
      </c>
      <c r="AG99" s="52">
        <f>'Resumen-DiarioHorario-Solar'!AC1579</f>
        <v>0</v>
      </c>
      <c r="AH99" s="51">
        <f>'Resumen-DiarioHorario-Solar'!AC1634</f>
        <v>0</v>
      </c>
      <c r="AI99" s="100">
        <f>'Resumen-DiarioHorario-Solar'!AC1689</f>
        <v>0</v>
      </c>
      <c r="AJ99" s="238">
        <f t="shared" si="25"/>
        <v>0</v>
      </c>
      <c r="AK99" s="238"/>
      <c r="AL99" s="238"/>
    </row>
    <row r="100" spans="2:38" x14ac:dyDescent="0.3">
      <c r="B100" s="245" t="s">
        <v>65</v>
      </c>
      <c r="C100" s="245"/>
      <c r="D100" s="245"/>
      <c r="E100" s="52">
        <f>'Resumen-DiarioHorario-Solar'!AC40</f>
        <v>33.547000000000011</v>
      </c>
      <c r="F100" s="51">
        <f>'Resumen-DiarioHorario-Solar'!AC95</f>
        <v>62.599500000000006</v>
      </c>
      <c r="G100" s="52">
        <f>'Resumen-DiarioHorario-Solar'!AC150</f>
        <v>3.8333333333332928E-2</v>
      </c>
      <c r="H100" s="51">
        <f>'Resumen-DiarioHorario-Solar'!AC205</f>
        <v>31.744999999999997</v>
      </c>
      <c r="I100" s="52">
        <f>'Resumen-DiarioHorario-Solar'!AC260</f>
        <v>38.529166666666669</v>
      </c>
      <c r="J100" s="51">
        <f>'Resumen-DiarioHorario-Solar'!AC315</f>
        <v>12.889833333333335</v>
      </c>
      <c r="K100" s="52">
        <f>'Resumen-DiarioHorario-Solar'!AC370</f>
        <v>2.3333333333333664E-2</v>
      </c>
      <c r="L100" s="51">
        <f>'Resumen-DiarioHorario-Solar'!AC425</f>
        <v>0</v>
      </c>
      <c r="M100" s="52">
        <f>'Resumen-DiarioHorario-Solar'!AC480</f>
        <v>1.8976666666666671</v>
      </c>
      <c r="N100" s="51">
        <f>'Resumen-DiarioHorario-Solar'!AC535</f>
        <v>0</v>
      </c>
      <c r="O100" s="52">
        <f>'Resumen-DiarioHorario-Solar'!AC590</f>
        <v>0.3900000000000019</v>
      </c>
      <c r="P100" s="51">
        <f>'Resumen-DiarioHorario-Solar'!AC645</f>
        <v>0</v>
      </c>
      <c r="Q100" s="52">
        <f>'Resumen-DiarioHorario-Solar'!AC700</f>
        <v>21.473500000000001</v>
      </c>
      <c r="R100" s="51">
        <f>'Resumen-DiarioHorario-Solar'!AC755</f>
        <v>0.28416666666666662</v>
      </c>
      <c r="S100" s="52">
        <f>'Resumen-DiarioHorario-Solar'!AC810</f>
        <v>3.0636666666666659</v>
      </c>
      <c r="T100" s="51">
        <f>'Resumen-DiarioHorario-Solar'!AC865</f>
        <v>2.6795000000000018</v>
      </c>
      <c r="U100" s="52">
        <f>'Resumen-DiarioHorario-Solar'!AC920</f>
        <v>0.71183333333333376</v>
      </c>
      <c r="V100" s="51">
        <f>'Resumen-DiarioHorario-Solar'!AC975</f>
        <v>2.8721666666666685</v>
      </c>
      <c r="W100" s="52">
        <f>'Resumen-DiarioHorario-Solar'!AC1030</f>
        <v>1.3784999999999958</v>
      </c>
      <c r="X100" s="51">
        <f>'Resumen-DiarioHorario-Solar'!AC1085</f>
        <v>1.3278333333333299</v>
      </c>
      <c r="Y100" s="52">
        <f>'Resumen-DiarioHorario-Solar'!AC1140</f>
        <v>2.6183333333333314</v>
      </c>
      <c r="Z100" s="51">
        <f>'Resumen-DiarioHorario-Solar'!AC1195</f>
        <v>2.5993333333333348</v>
      </c>
      <c r="AA100" s="52">
        <f>'Resumen-DiarioHorario-Solar'!AC1250</f>
        <v>10.241833333333338</v>
      </c>
      <c r="AB100" s="51">
        <f>'Resumen-DiarioHorario-Solar'!AC1305</f>
        <v>0</v>
      </c>
      <c r="AC100" s="52">
        <f>'Resumen-DiarioHorario-Solar'!AC1360</f>
        <v>0</v>
      </c>
      <c r="AD100" s="51">
        <f>'Resumen-DiarioHorario-Solar'!AC1415</f>
        <v>1.6666666666666312E-3</v>
      </c>
      <c r="AE100" s="52">
        <f>'Resumen-DiarioHorario-Solar'!AC1470</f>
        <v>6.6211666666666691</v>
      </c>
      <c r="AF100" s="51">
        <f>'Resumen-DiarioHorario-Solar'!AC1525</f>
        <v>10.151333333333339</v>
      </c>
      <c r="AG100" s="52">
        <f>'Resumen-DiarioHorario-Solar'!AC1580</f>
        <v>15.049166666666672</v>
      </c>
      <c r="AH100" s="51">
        <f>'Resumen-DiarioHorario-Solar'!AC1635</f>
        <v>31.315666666666665</v>
      </c>
      <c r="AI100" s="100">
        <f>'Resumen-DiarioHorario-Solar'!AC1690</f>
        <v>0</v>
      </c>
      <c r="AJ100" s="238">
        <f t="shared" si="25"/>
        <v>294.04950000000008</v>
      </c>
      <c r="AK100" s="238"/>
      <c r="AL100" s="238"/>
    </row>
    <row r="101" spans="2:38" x14ac:dyDescent="0.3">
      <c r="B101" s="245" t="s">
        <v>66</v>
      </c>
      <c r="C101" s="245"/>
      <c r="D101" s="245"/>
      <c r="E101" s="52">
        <f>'Resumen-DiarioHorario-Solar'!AC41</f>
        <v>41.842833333333338</v>
      </c>
      <c r="F101" s="51">
        <f>'Resumen-DiarioHorario-Solar'!AC96</f>
        <v>85.893666666666689</v>
      </c>
      <c r="G101" s="52">
        <f>'Resumen-DiarioHorario-Solar'!AC151</f>
        <v>2.9035000000000037</v>
      </c>
      <c r="H101" s="51">
        <f>'Resumen-DiarioHorario-Solar'!AC206</f>
        <v>65.564166666666665</v>
      </c>
      <c r="I101" s="52">
        <f>'Resumen-DiarioHorario-Solar'!AC261</f>
        <v>65.799000000000021</v>
      </c>
      <c r="J101" s="51">
        <f>'Resumen-DiarioHorario-Solar'!AC316</f>
        <v>34.605833333333337</v>
      </c>
      <c r="K101" s="52">
        <f>'Resumen-DiarioHorario-Solar'!AC371</f>
        <v>4.3366666666666651</v>
      </c>
      <c r="L101" s="51">
        <f>'Resumen-DiarioHorario-Solar'!AC426</f>
        <v>0</v>
      </c>
      <c r="M101" s="52">
        <f>'Resumen-DiarioHorario-Solar'!AC481</f>
        <v>1.527666666666665</v>
      </c>
      <c r="N101" s="51">
        <f>'Resumen-DiarioHorario-Solar'!AC536</f>
        <v>0</v>
      </c>
      <c r="O101" s="52">
        <f>'Resumen-DiarioHorario-Solar'!AC591</f>
        <v>0.97333333333333361</v>
      </c>
      <c r="P101" s="51">
        <f>'Resumen-DiarioHorario-Solar'!AC646</f>
        <v>2.4548333333333363</v>
      </c>
      <c r="Q101" s="52">
        <f>'Resumen-DiarioHorario-Solar'!AC701</f>
        <v>42.667999999999999</v>
      </c>
      <c r="R101" s="51">
        <f>'Resumen-DiarioHorario-Solar'!AC756</f>
        <v>4.8268333333333349</v>
      </c>
      <c r="S101" s="52">
        <f>'Resumen-DiarioHorario-Solar'!AC811</f>
        <v>52.609499999999997</v>
      </c>
      <c r="T101" s="51">
        <f>'Resumen-DiarioHorario-Solar'!AC866</f>
        <v>12.977166666666665</v>
      </c>
      <c r="U101" s="52">
        <f>'Resumen-DiarioHorario-Solar'!AC921</f>
        <v>46.652666666666669</v>
      </c>
      <c r="V101" s="51">
        <f>'Resumen-DiarioHorario-Solar'!AC976</f>
        <v>11.157833333333329</v>
      </c>
      <c r="W101" s="52">
        <f>'Resumen-DiarioHorario-Solar'!AC1031</f>
        <v>40.174999999999997</v>
      </c>
      <c r="X101" s="51">
        <f>'Resumen-DiarioHorario-Solar'!AC1086</f>
        <v>22.55266666666666</v>
      </c>
      <c r="Y101" s="52">
        <f>'Resumen-DiarioHorario-Solar'!AC1141</f>
        <v>25.2425</v>
      </c>
      <c r="Z101" s="51">
        <f>'Resumen-DiarioHorario-Solar'!AC1196</f>
        <v>0</v>
      </c>
      <c r="AA101" s="52">
        <f>'Resumen-DiarioHorario-Solar'!AC1251</f>
        <v>49.608666666666664</v>
      </c>
      <c r="AB101" s="51">
        <f>'Resumen-DiarioHorario-Solar'!AC1306</f>
        <v>0</v>
      </c>
      <c r="AC101" s="52">
        <f>'Resumen-DiarioHorario-Solar'!AC1361</f>
        <v>0</v>
      </c>
      <c r="AD101" s="51">
        <f>'Resumen-DiarioHorario-Solar'!AC1416</f>
        <v>0.49483333333333257</v>
      </c>
      <c r="AE101" s="52">
        <f>'Resumen-DiarioHorario-Solar'!AC1471</f>
        <v>12.058166666666654</v>
      </c>
      <c r="AF101" s="51">
        <f>'Resumen-DiarioHorario-Solar'!AC1526</f>
        <v>24.909666666666666</v>
      </c>
      <c r="AG101" s="52">
        <f>'Resumen-DiarioHorario-Solar'!AC1581</f>
        <v>21.378333333333334</v>
      </c>
      <c r="AH101" s="51">
        <f>'Resumen-DiarioHorario-Solar'!AC1636</f>
        <v>60.054333333333339</v>
      </c>
      <c r="AI101" s="100">
        <f>'Resumen-DiarioHorario-Solar'!AC1691</f>
        <v>0</v>
      </c>
      <c r="AJ101" s="238">
        <f t="shared" si="25"/>
        <v>733.26766666666686</v>
      </c>
      <c r="AK101" s="238"/>
      <c r="AL101" s="238"/>
    </row>
    <row r="102" spans="2:38" x14ac:dyDescent="0.3">
      <c r="B102" s="245" t="s">
        <v>67</v>
      </c>
      <c r="C102" s="245"/>
      <c r="D102" s="245"/>
      <c r="E102" s="52">
        <f>'Resumen-DiarioHorario-Solar'!AC42</f>
        <v>5.7001666666666644</v>
      </c>
      <c r="F102" s="51">
        <f>'Resumen-DiarioHorario-Solar'!AC97</f>
        <v>10.317333333333334</v>
      </c>
      <c r="G102" s="52">
        <f>'Resumen-DiarioHorario-Solar'!AC152</f>
        <v>4.686166666666665</v>
      </c>
      <c r="H102" s="51">
        <f>'Resumen-DiarioHorario-Solar'!AC207</f>
        <v>30.071000000000002</v>
      </c>
      <c r="I102" s="52">
        <f>'Resumen-DiarioHorario-Solar'!AC262</f>
        <v>39.513833333333345</v>
      </c>
      <c r="J102" s="51">
        <f>'Resumen-DiarioHorario-Solar'!AC317</f>
        <v>12.0855</v>
      </c>
      <c r="K102" s="52">
        <f>'Resumen-DiarioHorario-Solar'!AC372</f>
        <v>6.0648333333333335</v>
      </c>
      <c r="L102" s="51">
        <f>'Resumen-DiarioHorario-Solar'!AC427</f>
        <v>0</v>
      </c>
      <c r="M102" s="52">
        <f>'Resumen-DiarioHorario-Solar'!AC482</f>
        <v>0.15750000000000033</v>
      </c>
      <c r="N102" s="51">
        <f>'Resumen-DiarioHorario-Solar'!AC537</f>
        <v>0</v>
      </c>
      <c r="O102" s="52">
        <f>'Resumen-DiarioHorario-Solar'!AC592</f>
        <v>8.8833333333333181E-2</v>
      </c>
      <c r="P102" s="51">
        <f>'Resumen-DiarioHorario-Solar'!AC647</f>
        <v>0.84000000000000008</v>
      </c>
      <c r="Q102" s="52">
        <f>'Resumen-DiarioHorario-Solar'!AC702</f>
        <v>11.908166666666668</v>
      </c>
      <c r="R102" s="51">
        <f>'Resumen-DiarioHorario-Solar'!AC757</f>
        <v>0.2233333333333333</v>
      </c>
      <c r="S102" s="52">
        <f>'Resumen-DiarioHorario-Solar'!AC812</f>
        <v>0.78299999999999981</v>
      </c>
      <c r="T102" s="51">
        <f>'Resumen-DiarioHorario-Solar'!AC867</f>
        <v>9.4815000000000023</v>
      </c>
      <c r="U102" s="52">
        <f>'Resumen-DiarioHorario-Solar'!AC922</f>
        <v>1.974166666666666</v>
      </c>
      <c r="V102" s="51">
        <f>'Resumen-DiarioHorario-Solar'!AC977</f>
        <v>6.286333333333336</v>
      </c>
      <c r="W102" s="52">
        <f>'Resumen-DiarioHorario-Solar'!AC1032</f>
        <v>3.8194999999999997</v>
      </c>
      <c r="X102" s="51">
        <f>'Resumen-DiarioHorario-Solar'!AC1087</f>
        <v>13.785666666666668</v>
      </c>
      <c r="Y102" s="52">
        <f>'Resumen-DiarioHorario-Solar'!AC1142</f>
        <v>6.3020000000000032</v>
      </c>
      <c r="Z102" s="51">
        <f>'Resumen-DiarioHorario-Solar'!AC1197</f>
        <v>5.9641666666666637</v>
      </c>
      <c r="AA102" s="52">
        <f>'Resumen-DiarioHorario-Solar'!AC1252</f>
        <v>15.587499999999995</v>
      </c>
      <c r="AB102" s="51">
        <f>'Resumen-DiarioHorario-Solar'!AC1307</f>
        <v>0</v>
      </c>
      <c r="AC102" s="52">
        <f>'Resumen-DiarioHorario-Solar'!AC1362</f>
        <v>0</v>
      </c>
      <c r="AD102" s="51">
        <f>'Resumen-DiarioHorario-Solar'!AC1417</f>
        <v>2.3128333333333337</v>
      </c>
      <c r="AE102" s="52">
        <f>'Resumen-DiarioHorario-Solar'!AC1472</f>
        <v>6.1526666666666667</v>
      </c>
      <c r="AF102" s="51">
        <f>'Resumen-DiarioHorario-Solar'!AC1527</f>
        <v>7.6446666666666658</v>
      </c>
      <c r="AG102" s="52">
        <f>'Resumen-DiarioHorario-Solar'!AC1582</f>
        <v>6.5274999999999999</v>
      </c>
      <c r="AH102" s="51">
        <f>'Resumen-DiarioHorario-Solar'!AC1637</f>
        <v>13.52783333333333</v>
      </c>
      <c r="AI102" s="100">
        <f>'Resumen-DiarioHorario-Solar'!AC1692</f>
        <v>0</v>
      </c>
      <c r="AJ102" s="238">
        <f t="shared" si="25"/>
        <v>221.80600000000001</v>
      </c>
      <c r="AK102" s="238"/>
      <c r="AL102" s="238"/>
    </row>
    <row r="103" spans="2:38" x14ac:dyDescent="0.3">
      <c r="B103" s="245" t="s">
        <v>68</v>
      </c>
      <c r="C103" s="245"/>
      <c r="D103" s="245"/>
      <c r="E103" s="52">
        <f>'Resumen-DiarioHorario-Solar'!AC43</f>
        <v>8.9818333333333396</v>
      </c>
      <c r="F103" s="51">
        <f>'Resumen-DiarioHorario-Solar'!AC98</f>
        <v>9.2773333333333312</v>
      </c>
      <c r="G103" s="52">
        <f>'Resumen-DiarioHorario-Solar'!AC153</f>
        <v>1.893833333333333</v>
      </c>
      <c r="H103" s="51">
        <f>'Resumen-DiarioHorario-Solar'!AC208</f>
        <v>51.565999999999995</v>
      </c>
      <c r="I103" s="52">
        <f>'Resumen-DiarioHorario-Solar'!AC263</f>
        <v>242.20166666666654</v>
      </c>
      <c r="J103" s="51">
        <f>'Resumen-DiarioHorario-Solar'!AC318</f>
        <v>333.93000000000018</v>
      </c>
      <c r="K103" s="52">
        <f>'Resumen-DiarioHorario-Solar'!AC373</f>
        <v>3.8793333333333324</v>
      </c>
      <c r="L103" s="51">
        <f>'Resumen-DiarioHorario-Solar'!AC428</f>
        <v>0</v>
      </c>
      <c r="M103" s="52">
        <f>'Resumen-DiarioHorario-Solar'!AC483</f>
        <v>3.0850000000000031</v>
      </c>
      <c r="N103" s="51">
        <f>'Resumen-DiarioHorario-Solar'!AC538</f>
        <v>0</v>
      </c>
      <c r="O103" s="52">
        <f>'Resumen-DiarioHorario-Solar'!AC593</f>
        <v>11.771166666666664</v>
      </c>
      <c r="P103" s="51">
        <f>'Resumen-DiarioHorario-Solar'!AC648</f>
        <v>35.270333333333333</v>
      </c>
      <c r="Q103" s="52">
        <f>'Resumen-DiarioHorario-Solar'!AC703</f>
        <v>43.37116666666666</v>
      </c>
      <c r="R103" s="51">
        <f>'Resumen-DiarioHorario-Solar'!AC758</f>
        <v>1.7073333333333323</v>
      </c>
      <c r="S103" s="52">
        <f>'Resumen-DiarioHorario-Solar'!AC813</f>
        <v>12.1035</v>
      </c>
      <c r="T103" s="51">
        <f>'Resumen-DiarioHorario-Solar'!AC868</f>
        <v>34.766166666666663</v>
      </c>
      <c r="U103" s="52">
        <f>'Resumen-DiarioHorario-Solar'!AC923</f>
        <v>67.897833333333324</v>
      </c>
      <c r="V103" s="51">
        <f>'Resumen-DiarioHorario-Solar'!AC978</f>
        <v>84.834999999999994</v>
      </c>
      <c r="W103" s="52">
        <f>'Resumen-DiarioHorario-Solar'!AC1033</f>
        <v>262.63000000000005</v>
      </c>
      <c r="X103" s="51">
        <f>'Resumen-DiarioHorario-Solar'!AC1088</f>
        <v>495.68000000000029</v>
      </c>
      <c r="Y103" s="52">
        <f>'Resumen-DiarioHorario-Solar'!AC1143</f>
        <v>391.82000000000005</v>
      </c>
      <c r="Z103" s="51">
        <f>'Resumen-DiarioHorario-Solar'!AC1198</f>
        <v>60.464999999999996</v>
      </c>
      <c r="AA103" s="52">
        <f>'Resumen-DiarioHorario-Solar'!AC1253</f>
        <v>86.321999999999989</v>
      </c>
      <c r="AB103" s="51">
        <f>'Resumen-DiarioHorario-Solar'!AC1308</f>
        <v>0</v>
      </c>
      <c r="AC103" s="52">
        <f>'Resumen-DiarioHorario-Solar'!AC1363</f>
        <v>0</v>
      </c>
      <c r="AD103" s="51">
        <f>'Resumen-DiarioHorario-Solar'!AC1418</f>
        <v>54.578000000000003</v>
      </c>
      <c r="AE103" s="52">
        <f>'Resumen-DiarioHorario-Solar'!AC1473</f>
        <v>46.005000000000003</v>
      </c>
      <c r="AF103" s="51">
        <f>'Resumen-DiarioHorario-Solar'!AC1528</f>
        <v>61.031999999999996</v>
      </c>
      <c r="AG103" s="52">
        <f>'Resumen-DiarioHorario-Solar'!AC1583</f>
        <v>63.275666666666652</v>
      </c>
      <c r="AH103" s="51">
        <f>'Resumen-DiarioHorario-Solar'!AC1638</f>
        <v>77.358500000000006</v>
      </c>
      <c r="AI103" s="100">
        <f>'Resumen-DiarioHorario-Solar'!AC1693</f>
        <v>0</v>
      </c>
      <c r="AJ103" s="238">
        <f t="shared" si="25"/>
        <v>2545.7036666666672</v>
      </c>
      <c r="AK103" s="238"/>
      <c r="AL103" s="238"/>
    </row>
    <row r="104" spans="2:38" x14ac:dyDescent="0.3">
      <c r="B104" s="245" t="s">
        <v>69</v>
      </c>
      <c r="C104" s="245"/>
      <c r="D104" s="245"/>
      <c r="E104" s="52">
        <f>'Resumen-DiarioHorario-Solar'!AC44</f>
        <v>135.36966666666669</v>
      </c>
      <c r="F104" s="51">
        <f>'Resumen-DiarioHorario-Solar'!AC99</f>
        <v>234.57533333333336</v>
      </c>
      <c r="G104" s="52">
        <f>'Resumen-DiarioHorario-Solar'!AC154</f>
        <v>4.5861666666666645</v>
      </c>
      <c r="H104" s="51">
        <f>'Resumen-DiarioHorario-Solar'!AC209</f>
        <v>88.41216666666665</v>
      </c>
      <c r="I104" s="52">
        <f>'Resumen-DiarioHorario-Solar'!AC264</f>
        <v>87.313499999999991</v>
      </c>
      <c r="J104" s="51">
        <f>'Resumen-DiarioHorario-Solar'!AC319</f>
        <v>53.339500000000008</v>
      </c>
      <c r="K104" s="52">
        <f>'Resumen-DiarioHorario-Solar'!AC374</f>
        <v>4.1990000000000016</v>
      </c>
      <c r="L104" s="51">
        <f>'Resumen-DiarioHorario-Solar'!AC429</f>
        <v>0</v>
      </c>
      <c r="M104" s="52">
        <f>'Resumen-DiarioHorario-Solar'!AC484</f>
        <v>1.0808333333333335</v>
      </c>
      <c r="N104" s="51">
        <f>'Resumen-DiarioHorario-Solar'!AC539</f>
        <v>0</v>
      </c>
      <c r="O104" s="52">
        <f>'Resumen-DiarioHorario-Solar'!AC594</f>
        <v>0</v>
      </c>
      <c r="P104" s="51">
        <f>'Resumen-DiarioHorario-Solar'!AC649</f>
        <v>0</v>
      </c>
      <c r="Q104" s="52">
        <f>'Resumen-DiarioHorario-Solar'!AC704</f>
        <v>1.2476666666666647</v>
      </c>
      <c r="R104" s="51">
        <f>'Resumen-DiarioHorario-Solar'!AC759</f>
        <v>4.4935000000000009</v>
      </c>
      <c r="S104" s="52">
        <f>'Resumen-DiarioHorario-Solar'!AC814</f>
        <v>0.18766666666666676</v>
      </c>
      <c r="T104" s="51">
        <f>'Resumen-DiarioHorario-Solar'!AC869</f>
        <v>0</v>
      </c>
      <c r="U104" s="52">
        <f>'Resumen-DiarioHorario-Solar'!AC924</f>
        <v>2.143000000000002</v>
      </c>
      <c r="V104" s="51">
        <f>'Resumen-DiarioHorario-Solar'!AC979</f>
        <v>38.617333333333328</v>
      </c>
      <c r="W104" s="52">
        <f>'Resumen-DiarioHorario-Solar'!AC1034</f>
        <v>0.79416666666666624</v>
      </c>
      <c r="X104" s="51">
        <f>'Resumen-DiarioHorario-Solar'!AC1089</f>
        <v>42.126833333333352</v>
      </c>
      <c r="Y104" s="52">
        <f>'Resumen-DiarioHorario-Solar'!AC1144</f>
        <v>38.976166666666664</v>
      </c>
      <c r="Z104" s="51">
        <f>'Resumen-DiarioHorario-Solar'!AC1199</f>
        <v>370.92499999999995</v>
      </c>
      <c r="AA104" s="52">
        <f>'Resumen-DiarioHorario-Solar'!AC1254</f>
        <v>55.623166666666656</v>
      </c>
      <c r="AB104" s="51">
        <f>'Resumen-DiarioHorario-Solar'!AC1309</f>
        <v>0</v>
      </c>
      <c r="AC104" s="52">
        <f>'Resumen-DiarioHorario-Solar'!AC1364</f>
        <v>0</v>
      </c>
      <c r="AD104" s="51">
        <f>'Resumen-DiarioHorario-Solar'!AC1419</f>
        <v>4.3640000000000043</v>
      </c>
      <c r="AE104" s="52">
        <f>'Resumen-DiarioHorario-Solar'!AC1474</f>
        <v>18.944666666666677</v>
      </c>
      <c r="AF104" s="51">
        <f>'Resumen-DiarioHorario-Solar'!AC1529</f>
        <v>46.906166666666657</v>
      </c>
      <c r="AG104" s="52">
        <f>'Resumen-DiarioHorario-Solar'!AC1584</f>
        <v>39.787000000000013</v>
      </c>
      <c r="AH104" s="51">
        <f>'Resumen-DiarioHorario-Solar'!AC1639</f>
        <v>134.75516666666667</v>
      </c>
      <c r="AI104" s="100">
        <f>'Resumen-DiarioHorario-Solar'!AC1694</f>
        <v>0</v>
      </c>
      <c r="AJ104" s="238">
        <f t="shared" si="25"/>
        <v>1408.7676666666671</v>
      </c>
      <c r="AK104" s="238"/>
      <c r="AL104" s="238"/>
    </row>
    <row r="105" spans="2:38" x14ac:dyDescent="0.3">
      <c r="B105" s="245" t="s">
        <v>70</v>
      </c>
      <c r="C105" s="245"/>
      <c r="D105" s="245"/>
      <c r="E105" s="52">
        <f>'Resumen-DiarioHorario-Solar'!AC45</f>
        <v>26.455833333333331</v>
      </c>
      <c r="F105" s="51">
        <f>'Resumen-DiarioHorario-Solar'!AC100</f>
        <v>79.545666666666691</v>
      </c>
      <c r="G105" s="52">
        <f>'Resumen-DiarioHorario-Solar'!AC155</f>
        <v>12.509166666666671</v>
      </c>
      <c r="H105" s="51">
        <f>'Resumen-DiarioHorario-Solar'!AC210</f>
        <v>57.727333333333334</v>
      </c>
      <c r="I105" s="52">
        <f>'Resumen-DiarioHorario-Solar'!AC265</f>
        <v>70.556833333333316</v>
      </c>
      <c r="J105" s="51">
        <f>'Resumen-DiarioHorario-Solar'!AC320</f>
        <v>43.899833333333333</v>
      </c>
      <c r="K105" s="52">
        <f>'Resumen-DiarioHorario-Solar'!AC375</f>
        <v>0.5893333333333336</v>
      </c>
      <c r="L105" s="51">
        <f>'Resumen-DiarioHorario-Solar'!AC430</f>
        <v>0</v>
      </c>
      <c r="M105" s="52">
        <f>'Resumen-DiarioHorario-Solar'!AC485</f>
        <v>11.531333333333336</v>
      </c>
      <c r="N105" s="51">
        <f>'Resumen-DiarioHorario-Solar'!AC540</f>
        <v>0</v>
      </c>
      <c r="O105" s="52">
        <f>'Resumen-DiarioHorario-Solar'!AC595</f>
        <v>6.2038333333333382</v>
      </c>
      <c r="P105" s="51">
        <f>'Resumen-DiarioHorario-Solar'!AC650</f>
        <v>29.536666666666665</v>
      </c>
      <c r="Q105" s="52">
        <f>'Resumen-DiarioHorario-Solar'!AC705</f>
        <v>28.58733333333333</v>
      </c>
      <c r="R105" s="51">
        <f>'Resumen-DiarioHorario-Solar'!AC760</f>
        <v>0</v>
      </c>
      <c r="S105" s="52">
        <f>'Resumen-DiarioHorario-Solar'!AC815</f>
        <v>0.10183333333333332</v>
      </c>
      <c r="T105" s="51">
        <f>'Resumen-DiarioHorario-Solar'!AC870</f>
        <v>0</v>
      </c>
      <c r="U105" s="52">
        <f>'Resumen-DiarioHorario-Solar'!AC925</f>
        <v>6.639833333333339</v>
      </c>
      <c r="V105" s="51">
        <f>'Resumen-DiarioHorario-Solar'!AC980</f>
        <v>0</v>
      </c>
      <c r="W105" s="52">
        <f>'Resumen-DiarioHorario-Solar'!AC1035</f>
        <v>0</v>
      </c>
      <c r="X105" s="51">
        <f>'Resumen-DiarioHorario-Solar'!AC1090</f>
        <v>0</v>
      </c>
      <c r="Y105" s="52">
        <f>'Resumen-DiarioHorario-Solar'!AC1145</f>
        <v>0</v>
      </c>
      <c r="Z105" s="51">
        <f>'Resumen-DiarioHorario-Solar'!AC1200</f>
        <v>7.6666666666670357E-3</v>
      </c>
      <c r="AA105" s="52">
        <f>'Resumen-DiarioHorario-Solar'!AC1255</f>
        <v>0</v>
      </c>
      <c r="AB105" s="51">
        <f>'Resumen-DiarioHorario-Solar'!AC1310</f>
        <v>0</v>
      </c>
      <c r="AC105" s="52">
        <f>'Resumen-DiarioHorario-Solar'!AC1365</f>
        <v>0</v>
      </c>
      <c r="AD105" s="51">
        <f>'Resumen-DiarioHorario-Solar'!AC1420</f>
        <v>10.254833333333334</v>
      </c>
      <c r="AE105" s="52">
        <f>'Resumen-DiarioHorario-Solar'!AC1475</f>
        <v>30.145333333333344</v>
      </c>
      <c r="AF105" s="51">
        <f>'Resumen-DiarioHorario-Solar'!AC1530</f>
        <v>31.98</v>
      </c>
      <c r="AG105" s="52">
        <f>'Resumen-DiarioHorario-Solar'!AC1585</f>
        <v>58.228333333333332</v>
      </c>
      <c r="AH105" s="51">
        <f>'Resumen-DiarioHorario-Solar'!AC1640</f>
        <v>120.71900000000001</v>
      </c>
      <c r="AI105" s="100">
        <f>'Resumen-DiarioHorario-Solar'!AC1695</f>
        <v>0</v>
      </c>
      <c r="AJ105" s="238">
        <f t="shared" si="25"/>
        <v>625.22000000000014</v>
      </c>
      <c r="AK105" s="238"/>
      <c r="AL105" s="238"/>
    </row>
    <row r="106" spans="2:38" x14ac:dyDescent="0.3">
      <c r="B106" s="245" t="s">
        <v>71</v>
      </c>
      <c r="C106" s="245"/>
      <c r="D106" s="245"/>
      <c r="E106" s="52">
        <f>'Resumen-DiarioHorario-Solar'!AC46</f>
        <v>24.942833333333354</v>
      </c>
      <c r="F106" s="51">
        <f>'Resumen-DiarioHorario-Solar'!AC101</f>
        <v>191.67733333333339</v>
      </c>
      <c r="G106" s="52">
        <f>'Resumen-DiarioHorario-Solar'!AC156</f>
        <v>0</v>
      </c>
      <c r="H106" s="51">
        <f>'Resumen-DiarioHorario-Solar'!AC211</f>
        <v>50.170500000000011</v>
      </c>
      <c r="I106" s="52">
        <f>'Resumen-DiarioHorario-Solar'!AC266</f>
        <v>49.283500000000018</v>
      </c>
      <c r="J106" s="51">
        <f>'Resumen-DiarioHorario-Solar'!AC321</f>
        <v>4.76799999999999</v>
      </c>
      <c r="K106" s="52">
        <f>'Resumen-DiarioHorario-Solar'!AC376</f>
        <v>0</v>
      </c>
      <c r="L106" s="51">
        <f>'Resumen-DiarioHorario-Solar'!AC431</f>
        <v>0</v>
      </c>
      <c r="M106" s="52">
        <f>'Resumen-DiarioHorario-Solar'!AC486</f>
        <v>0.25050000000000028</v>
      </c>
      <c r="N106" s="51">
        <f>'Resumen-DiarioHorario-Solar'!AC541</f>
        <v>0</v>
      </c>
      <c r="O106" s="52">
        <f>'Resumen-DiarioHorario-Solar'!AC596</f>
        <v>0</v>
      </c>
      <c r="P106" s="51">
        <f>'Resumen-DiarioHorario-Solar'!AC651</f>
        <v>0</v>
      </c>
      <c r="Q106" s="52">
        <f>'Resumen-DiarioHorario-Solar'!AC706</f>
        <v>48.75333333333333</v>
      </c>
      <c r="R106" s="51">
        <f>'Resumen-DiarioHorario-Solar'!AC761</f>
        <v>0</v>
      </c>
      <c r="S106" s="52">
        <f>'Resumen-DiarioHorario-Solar'!AC816</f>
        <v>11.402499999999991</v>
      </c>
      <c r="T106" s="51">
        <f>'Resumen-DiarioHorario-Solar'!AC871</f>
        <v>14.820000000000004</v>
      </c>
      <c r="U106" s="52">
        <f>'Resumen-DiarioHorario-Solar'!AC926</f>
        <v>0</v>
      </c>
      <c r="V106" s="51">
        <f>'Resumen-DiarioHorario-Solar'!AC981</f>
        <v>0</v>
      </c>
      <c r="W106" s="52">
        <f>'Resumen-DiarioHorario-Solar'!AC1036</f>
        <v>0</v>
      </c>
      <c r="X106" s="51">
        <f>'Resumen-DiarioHorario-Solar'!AC1091</f>
        <v>0</v>
      </c>
      <c r="Y106" s="52">
        <f>'Resumen-DiarioHorario-Solar'!AC1146</f>
        <v>0</v>
      </c>
      <c r="Z106" s="51">
        <f>'Resumen-DiarioHorario-Solar'!AC1201</f>
        <v>0</v>
      </c>
      <c r="AA106" s="52">
        <f>'Resumen-DiarioHorario-Solar'!AC1256</f>
        <v>15.340833333333334</v>
      </c>
      <c r="AB106" s="51">
        <f>'Resumen-DiarioHorario-Solar'!AC1311</f>
        <v>0</v>
      </c>
      <c r="AC106" s="52">
        <f>'Resumen-DiarioHorario-Solar'!AC1366</f>
        <v>0</v>
      </c>
      <c r="AD106" s="51">
        <f>'Resumen-DiarioHorario-Solar'!AC1421</f>
        <v>0.29183333333333439</v>
      </c>
      <c r="AE106" s="52">
        <f>'Resumen-DiarioHorario-Solar'!AC1476</f>
        <v>0</v>
      </c>
      <c r="AF106" s="51">
        <f>'Resumen-DiarioHorario-Solar'!AC1531</f>
        <v>2.8690000000000104</v>
      </c>
      <c r="AG106" s="52">
        <f>'Resumen-DiarioHorario-Solar'!AC1586</f>
        <v>2.2500000000000617E-2</v>
      </c>
      <c r="AH106" s="51">
        <f>'Resumen-DiarioHorario-Solar'!AC1641</f>
        <v>5.6853333333333431</v>
      </c>
      <c r="AI106" s="100">
        <f>'Resumen-DiarioHorario-Solar'!AC1696</f>
        <v>0</v>
      </c>
      <c r="AJ106" s="238">
        <f t="shared" si="25"/>
        <v>420.27800000000002</v>
      </c>
      <c r="AK106" s="238"/>
      <c r="AL106" s="238"/>
    </row>
    <row r="107" spans="2:38" x14ac:dyDescent="0.3">
      <c r="B107" s="245" t="s">
        <v>72</v>
      </c>
      <c r="C107" s="245"/>
      <c r="D107" s="245"/>
      <c r="E107" s="52">
        <f>'Resumen-DiarioHorario-Solar'!AC47</f>
        <v>5.3369999999999962</v>
      </c>
      <c r="F107" s="51">
        <f>'Resumen-DiarioHorario-Solar'!AC102</f>
        <v>69.158833333333362</v>
      </c>
      <c r="G107" s="52">
        <f>'Resumen-DiarioHorario-Solar'!AC157</f>
        <v>3.2666666666666802E-2</v>
      </c>
      <c r="H107" s="51">
        <f>'Resumen-DiarioHorario-Solar'!AC212</f>
        <v>40.776000000000003</v>
      </c>
      <c r="I107" s="52">
        <f>'Resumen-DiarioHorario-Solar'!AC267</f>
        <v>30.469999999999992</v>
      </c>
      <c r="J107" s="51">
        <f>'Resumen-DiarioHorario-Solar'!AC322</f>
        <v>11.153666666666675</v>
      </c>
      <c r="K107" s="52">
        <f>'Resumen-DiarioHorario-Solar'!AC377</f>
        <v>1.0001666666666633</v>
      </c>
      <c r="L107" s="51">
        <f>'Resumen-DiarioHorario-Solar'!AC432</f>
        <v>0</v>
      </c>
      <c r="M107" s="52">
        <f>'Resumen-DiarioHorario-Solar'!AC487</f>
        <v>0.15699999999999992</v>
      </c>
      <c r="N107" s="51">
        <f>'Resumen-DiarioHorario-Solar'!AC542</f>
        <v>0</v>
      </c>
      <c r="O107" s="52">
        <f>'Resumen-DiarioHorario-Solar'!AC597</f>
        <v>0</v>
      </c>
      <c r="P107" s="51">
        <f>'Resumen-DiarioHorario-Solar'!AC652</f>
        <v>2.8166666666666628E-2</v>
      </c>
      <c r="Q107" s="52">
        <f>'Resumen-DiarioHorario-Solar'!AC707</f>
        <v>67.904499999999999</v>
      </c>
      <c r="R107" s="51">
        <f>'Resumen-DiarioHorario-Solar'!AC762</f>
        <v>0.29700000000000004</v>
      </c>
      <c r="S107" s="52">
        <f>'Resumen-DiarioHorario-Solar'!AC817</f>
        <v>5.639833333333331</v>
      </c>
      <c r="T107" s="51">
        <f>'Resumen-DiarioHorario-Solar'!AC872</f>
        <v>0</v>
      </c>
      <c r="U107" s="52">
        <f>'Resumen-DiarioHorario-Solar'!AC927</f>
        <v>3.1898333333333371</v>
      </c>
      <c r="V107" s="51">
        <f>'Resumen-DiarioHorario-Solar'!AC982</f>
        <v>2.2499999999999964E-2</v>
      </c>
      <c r="W107" s="52">
        <f>'Resumen-DiarioHorario-Solar'!AC1037</f>
        <v>2.2999999999999982E-2</v>
      </c>
      <c r="X107" s="51">
        <f>'Resumen-DiarioHorario-Solar'!AC1092</f>
        <v>0.55199999999999727</v>
      </c>
      <c r="Y107" s="52">
        <f>'Resumen-DiarioHorario-Solar'!AC1147</f>
        <v>4.0500000000000057E-2</v>
      </c>
      <c r="Z107" s="51">
        <f>'Resumen-DiarioHorario-Solar'!AC1202</f>
        <v>1.3486666666666711</v>
      </c>
      <c r="AA107" s="52">
        <f>'Resumen-DiarioHorario-Solar'!AC1257</f>
        <v>14.43733333333333</v>
      </c>
      <c r="AB107" s="51">
        <f>'Resumen-DiarioHorario-Solar'!AC1312</f>
        <v>0</v>
      </c>
      <c r="AC107" s="52">
        <f>'Resumen-DiarioHorario-Solar'!AC1367</f>
        <v>0</v>
      </c>
      <c r="AD107" s="51">
        <f>'Resumen-DiarioHorario-Solar'!AC1422</f>
        <v>0.64666666666666595</v>
      </c>
      <c r="AE107" s="52">
        <f>'Resumen-DiarioHorario-Solar'!AC1477</f>
        <v>0</v>
      </c>
      <c r="AF107" s="51">
        <f>'Resumen-DiarioHorario-Solar'!AC1532</f>
        <v>0.31033333333333224</v>
      </c>
      <c r="AG107" s="52">
        <f>'Resumen-DiarioHorario-Solar'!AC1587</f>
        <v>41.825000000000003</v>
      </c>
      <c r="AH107" s="51">
        <f>'Resumen-DiarioHorario-Solar'!AC1642</f>
        <v>112.94249999999998</v>
      </c>
      <c r="AI107" s="100">
        <f>'Resumen-DiarioHorario-Solar'!AC1697</f>
        <v>0</v>
      </c>
      <c r="AJ107" s="238">
        <f t="shared" si="25"/>
        <v>407.29316666666676</v>
      </c>
      <c r="AK107" s="238"/>
      <c r="AL107" s="238"/>
    </row>
    <row r="108" spans="2:38" x14ac:dyDescent="0.3">
      <c r="B108" s="245" t="s">
        <v>73</v>
      </c>
      <c r="C108" s="245"/>
      <c r="D108" s="245"/>
      <c r="E108" s="52">
        <f>'Resumen-DiarioHorario-Solar'!AC48</f>
        <v>19.906500000000005</v>
      </c>
      <c r="F108" s="51">
        <f>'Resumen-DiarioHorario-Solar'!AC103</f>
        <v>10.92683333333332</v>
      </c>
      <c r="G108" s="52">
        <f>'Resumen-DiarioHorario-Solar'!AC158</f>
        <v>1.033333333333341E-2</v>
      </c>
      <c r="H108" s="51">
        <f>'Resumen-DiarioHorario-Solar'!AC213</f>
        <v>87.228333333333353</v>
      </c>
      <c r="I108" s="52">
        <f>'Resumen-DiarioHorario-Solar'!AC268</f>
        <v>153.65249999999997</v>
      </c>
      <c r="J108" s="51">
        <f>'Resumen-DiarioHorario-Solar'!AC323</f>
        <v>59.080999999999975</v>
      </c>
      <c r="K108" s="52">
        <f>'Resumen-DiarioHorario-Solar'!AC378</f>
        <v>0.44783333333333342</v>
      </c>
      <c r="L108" s="51">
        <f>'Resumen-DiarioHorario-Solar'!AC433</f>
        <v>0</v>
      </c>
      <c r="M108" s="52">
        <f>'Resumen-DiarioHorario-Solar'!AC488</f>
        <v>9.9500000000001407E-2</v>
      </c>
      <c r="N108" s="51">
        <f>'Resumen-DiarioHorario-Solar'!AC543</f>
        <v>0</v>
      </c>
      <c r="O108" s="52">
        <f>'Resumen-DiarioHorario-Solar'!AC598</f>
        <v>0</v>
      </c>
      <c r="P108" s="51">
        <f>'Resumen-DiarioHorario-Solar'!AC653</f>
        <v>35.331166666666661</v>
      </c>
      <c r="Q108" s="52">
        <f>'Resumen-DiarioHorario-Solar'!AC708</f>
        <v>99.127833333333342</v>
      </c>
      <c r="R108" s="51">
        <f>'Resumen-DiarioHorario-Solar'!AC763</f>
        <v>11.454666666666666</v>
      </c>
      <c r="S108" s="52">
        <f>'Resumen-DiarioHorario-Solar'!AC818</f>
        <v>16.689666666666668</v>
      </c>
      <c r="T108" s="51">
        <f>'Resumen-DiarioHorario-Solar'!AC873</f>
        <v>142.95400000000004</v>
      </c>
      <c r="U108" s="52">
        <f>'Resumen-DiarioHorario-Solar'!AC928</f>
        <v>87.255999999999972</v>
      </c>
      <c r="V108" s="51">
        <f>'Resumen-DiarioHorario-Solar'!AC983</f>
        <v>331.98083333333335</v>
      </c>
      <c r="W108" s="52">
        <f>'Resumen-DiarioHorario-Solar'!AC1038</f>
        <v>4.5854999999999961</v>
      </c>
      <c r="X108" s="51">
        <f>'Resumen-DiarioHorario-Solar'!AC1093</f>
        <v>38.773666666666671</v>
      </c>
      <c r="Y108" s="52">
        <f>'Resumen-DiarioHorario-Solar'!AC1148</f>
        <v>63.108999999999995</v>
      </c>
      <c r="Z108" s="51">
        <f>'Resumen-DiarioHorario-Solar'!AC1203</f>
        <v>24.288166666666683</v>
      </c>
      <c r="AA108" s="52">
        <f>'Resumen-DiarioHorario-Solar'!AC1258</f>
        <v>341.69600000000003</v>
      </c>
      <c r="AB108" s="51">
        <f>'Resumen-DiarioHorario-Solar'!AC1313</f>
        <v>0</v>
      </c>
      <c r="AC108" s="52">
        <f>'Resumen-DiarioHorario-Solar'!AC1368</f>
        <v>0</v>
      </c>
      <c r="AD108" s="51">
        <f>'Resumen-DiarioHorario-Solar'!AC1423</f>
        <v>191.03516666666673</v>
      </c>
      <c r="AE108" s="52">
        <f>'Resumen-DiarioHorario-Solar'!AC1478</f>
        <v>51.989833333333337</v>
      </c>
      <c r="AF108" s="51">
        <f>'Resumen-DiarioHorario-Solar'!AC1533</f>
        <v>102.88233333333335</v>
      </c>
      <c r="AG108" s="52">
        <f>'Resumen-DiarioHorario-Solar'!AC1588</f>
        <v>0</v>
      </c>
      <c r="AH108" s="51">
        <f>'Resumen-DiarioHorario-Solar'!AC1643</f>
        <v>1221.8083333333334</v>
      </c>
      <c r="AI108" s="100">
        <f>'Resumen-DiarioHorario-Solar'!AC1698</f>
        <v>0</v>
      </c>
      <c r="AJ108" s="238">
        <f t="shared" si="25"/>
        <v>3096.3150000000001</v>
      </c>
      <c r="AK108" s="238"/>
      <c r="AL108" s="238"/>
    </row>
    <row r="109" spans="2:38" x14ac:dyDescent="0.3">
      <c r="B109" s="245" t="s">
        <v>74</v>
      </c>
      <c r="C109" s="245"/>
      <c r="D109" s="245"/>
      <c r="E109" s="52">
        <f>'Resumen-DiarioHorario-Solar'!AC49</f>
        <v>69.273666666666657</v>
      </c>
      <c r="F109" s="51">
        <f>'Resumen-DiarioHorario-Solar'!AC104</f>
        <v>52.768166666666659</v>
      </c>
      <c r="G109" s="52">
        <f>'Resumen-DiarioHorario-Solar'!AC159</f>
        <v>1.1346666666666665</v>
      </c>
      <c r="H109" s="51">
        <f>'Resumen-DiarioHorario-Solar'!AC214</f>
        <v>30.534833333333339</v>
      </c>
      <c r="I109" s="52">
        <f>'Resumen-DiarioHorario-Solar'!AC269</f>
        <v>30.427999999999983</v>
      </c>
      <c r="J109" s="51">
        <f>'Resumen-DiarioHorario-Solar'!AC324</f>
        <v>10.378666666666669</v>
      </c>
      <c r="K109" s="52">
        <f>'Resumen-DiarioHorario-Solar'!AC379</f>
        <v>1.7933333333333332</v>
      </c>
      <c r="L109" s="51">
        <f>'Resumen-DiarioHorario-Solar'!AC434</f>
        <v>0</v>
      </c>
      <c r="M109" s="52">
        <f>'Resumen-DiarioHorario-Solar'!AC489</f>
        <v>2.8631666666666664</v>
      </c>
      <c r="N109" s="51">
        <f>'Resumen-DiarioHorario-Solar'!AC544</f>
        <v>0</v>
      </c>
      <c r="O109" s="52">
        <f>'Resumen-DiarioHorario-Solar'!AC599</f>
        <v>1.9848333333333334</v>
      </c>
      <c r="P109" s="51">
        <f>'Resumen-DiarioHorario-Solar'!AC654</f>
        <v>8.5583333333333336</v>
      </c>
      <c r="Q109" s="52">
        <f>'Resumen-DiarioHorario-Solar'!AC709</f>
        <v>30.608500000000003</v>
      </c>
      <c r="R109" s="51">
        <f>'Resumen-DiarioHorario-Solar'!AC764</f>
        <v>4.3729999999999993</v>
      </c>
      <c r="S109" s="52">
        <f>'Resumen-DiarioHorario-Solar'!AC819</f>
        <v>8.9555000000000007</v>
      </c>
      <c r="T109" s="51">
        <f>'Resumen-DiarioHorario-Solar'!AC874</f>
        <v>25.357166666666668</v>
      </c>
      <c r="U109" s="52">
        <f>'Resumen-DiarioHorario-Solar'!AC929</f>
        <v>6.3176666666666659</v>
      </c>
      <c r="V109" s="51">
        <f>'Resumen-DiarioHorario-Solar'!AC984</f>
        <v>3.991166666666667</v>
      </c>
      <c r="W109" s="52">
        <f>'Resumen-DiarioHorario-Solar'!AC1039</f>
        <v>5.3193333333333328</v>
      </c>
      <c r="X109" s="51">
        <f>'Resumen-DiarioHorario-Solar'!AC1094</f>
        <v>9.3016666666666676</v>
      </c>
      <c r="Y109" s="52">
        <f>'Resumen-DiarioHorario-Solar'!AC1149</f>
        <v>3.3351666666666668</v>
      </c>
      <c r="Z109" s="51">
        <f>'Resumen-DiarioHorario-Solar'!AC1204</f>
        <v>17.164333333333339</v>
      </c>
      <c r="AA109" s="52">
        <f>'Resumen-DiarioHorario-Solar'!AC1259</f>
        <v>123.72916666666666</v>
      </c>
      <c r="AB109" s="51">
        <f>'Resumen-DiarioHorario-Solar'!AC1314</f>
        <v>0</v>
      </c>
      <c r="AC109" s="52">
        <f>'Resumen-DiarioHorario-Solar'!AC1369</f>
        <v>0</v>
      </c>
      <c r="AD109" s="51">
        <f>'Resumen-DiarioHorario-Solar'!AC1424</f>
        <v>4.246999999999999</v>
      </c>
      <c r="AE109" s="52">
        <f>'Resumen-DiarioHorario-Solar'!AC1479</f>
        <v>6.761333333333333</v>
      </c>
      <c r="AF109" s="51">
        <f>'Resumen-DiarioHorario-Solar'!AC1534</f>
        <v>11.8</v>
      </c>
      <c r="AG109" s="52">
        <f>'Resumen-DiarioHorario-Solar'!AC1589</f>
        <v>31.427333333333319</v>
      </c>
      <c r="AH109" s="51">
        <f>'Resumen-DiarioHorario-Solar'!AC1644</f>
        <v>80.77600000000001</v>
      </c>
      <c r="AI109" s="100">
        <f>'Resumen-DiarioHorario-Solar'!AC1699</f>
        <v>0</v>
      </c>
      <c r="AJ109" s="238">
        <f t="shared" si="25"/>
        <v>583.18200000000002</v>
      </c>
      <c r="AK109" s="238"/>
      <c r="AL109" s="238"/>
    </row>
    <row r="110" spans="2:38" x14ac:dyDescent="0.3">
      <c r="B110" s="245" t="s">
        <v>75</v>
      </c>
      <c r="C110" s="245"/>
      <c r="D110" s="245"/>
      <c r="E110" s="52">
        <f>'Resumen-DiarioHorario-Solar'!AC50</f>
        <v>507.96216666666663</v>
      </c>
      <c r="F110" s="51">
        <f>'Resumen-DiarioHorario-Solar'!AC105</f>
        <v>164.05400000000009</v>
      </c>
      <c r="G110" s="52">
        <f>'Resumen-DiarioHorario-Solar'!AC160</f>
        <v>4.4258333333333342</v>
      </c>
      <c r="H110" s="51">
        <f>'Resumen-DiarioHorario-Solar'!AC215</f>
        <v>164.19516666666664</v>
      </c>
      <c r="I110" s="52">
        <f>'Resumen-DiarioHorario-Solar'!AC270</f>
        <v>154.44650000000001</v>
      </c>
      <c r="J110" s="51">
        <f>'Resumen-DiarioHorario-Solar'!AC325</f>
        <v>18.909666666666659</v>
      </c>
      <c r="K110" s="52">
        <f>'Resumen-DiarioHorario-Solar'!AC380</f>
        <v>6.6085000000000012</v>
      </c>
      <c r="L110" s="51">
        <f>'Resumen-DiarioHorario-Solar'!AC435</f>
        <v>0</v>
      </c>
      <c r="M110" s="52">
        <f>'Resumen-DiarioHorario-Solar'!AC490</f>
        <v>0</v>
      </c>
      <c r="N110" s="51">
        <f>'Resumen-DiarioHorario-Solar'!AC545</f>
        <v>0</v>
      </c>
      <c r="O110" s="52">
        <f>'Resumen-DiarioHorario-Solar'!AC600</f>
        <v>1.0823333333333347</v>
      </c>
      <c r="P110" s="51">
        <f>'Resumen-DiarioHorario-Solar'!AC655</f>
        <v>5.3013333333333374</v>
      </c>
      <c r="Q110" s="52">
        <f>'Resumen-DiarioHorario-Solar'!AC710</f>
        <v>14.861666666666677</v>
      </c>
      <c r="R110" s="51">
        <f>'Resumen-DiarioHorario-Solar'!AC765</f>
        <v>0</v>
      </c>
      <c r="S110" s="52">
        <f>'Resumen-DiarioHorario-Solar'!AC820</f>
        <v>4.5499999999999832E-2</v>
      </c>
      <c r="T110" s="51">
        <f>'Resumen-DiarioHorario-Solar'!AC875</f>
        <v>37.826500000000003</v>
      </c>
      <c r="U110" s="52">
        <f>'Resumen-DiarioHorario-Solar'!AC930</f>
        <v>48.516999999999989</v>
      </c>
      <c r="V110" s="51">
        <f>'Resumen-DiarioHorario-Solar'!AC985</f>
        <v>13.226833333333328</v>
      </c>
      <c r="W110" s="52">
        <f>'Resumen-DiarioHorario-Solar'!AC1040</f>
        <v>14.719999999999997</v>
      </c>
      <c r="X110" s="51">
        <f>'Resumen-DiarioHorario-Solar'!AC1095</f>
        <v>33.319833333333335</v>
      </c>
      <c r="Y110" s="52">
        <f>'Resumen-DiarioHorario-Solar'!AC1150</f>
        <v>7.0435000000000025</v>
      </c>
      <c r="Z110" s="51">
        <f>'Resumen-DiarioHorario-Solar'!AC1205</f>
        <v>5.3048333333333249</v>
      </c>
      <c r="AA110" s="52">
        <f>'Resumen-DiarioHorario-Solar'!AC1260</f>
        <v>36.378166666666644</v>
      </c>
      <c r="AB110" s="51">
        <f>'Resumen-DiarioHorario-Solar'!AC1315</f>
        <v>0</v>
      </c>
      <c r="AC110" s="52">
        <f>'Resumen-DiarioHorario-Solar'!AC1370</f>
        <v>0</v>
      </c>
      <c r="AD110" s="51">
        <f>'Resumen-DiarioHorario-Solar'!AC1425</f>
        <v>6.0311666666666595</v>
      </c>
      <c r="AE110" s="52">
        <f>'Resumen-DiarioHorario-Solar'!AC1480</f>
        <v>3.1929999999999974</v>
      </c>
      <c r="AF110" s="51">
        <f>'Resumen-DiarioHorario-Solar'!AC1535</f>
        <v>41.511333333333305</v>
      </c>
      <c r="AG110" s="52">
        <f>'Resumen-DiarioHorario-Solar'!AC1590</f>
        <v>32.210166666666652</v>
      </c>
      <c r="AH110" s="51">
        <f>'Resumen-DiarioHorario-Solar'!AC1645</f>
        <v>276.21299999999997</v>
      </c>
      <c r="AI110" s="100">
        <f>'Resumen-DiarioHorario-Solar'!AC1700</f>
        <v>0</v>
      </c>
      <c r="AJ110" s="238">
        <f t="shared" si="25"/>
        <v>1597.3880000000001</v>
      </c>
      <c r="AK110" s="238"/>
      <c r="AL110" s="238"/>
    </row>
    <row r="111" spans="2:38" x14ac:dyDescent="0.3">
      <c r="B111" s="245" t="s">
        <v>76</v>
      </c>
      <c r="C111" s="245"/>
      <c r="D111" s="245"/>
      <c r="E111" s="52">
        <f>'Resumen-DiarioHorario-Solar'!AC51</f>
        <v>0</v>
      </c>
      <c r="F111" s="51">
        <f>'Resumen-DiarioHorario-Solar'!AC106</f>
        <v>246.19833333333327</v>
      </c>
      <c r="G111" s="52">
        <f>'Resumen-DiarioHorario-Solar'!AC161</f>
        <v>21.327999999999989</v>
      </c>
      <c r="H111" s="51">
        <f>'Resumen-DiarioHorario-Solar'!AC216</f>
        <v>0</v>
      </c>
      <c r="I111" s="52">
        <f>'Resumen-DiarioHorario-Solar'!AC271</f>
        <v>0</v>
      </c>
      <c r="J111" s="51">
        <f>'Resumen-DiarioHorario-Solar'!AC326</f>
        <v>0</v>
      </c>
      <c r="K111" s="52">
        <f>'Resumen-DiarioHorario-Solar'!AC381</f>
        <v>0</v>
      </c>
      <c r="L111" s="51">
        <f>'Resumen-DiarioHorario-Solar'!AC436</f>
        <v>0</v>
      </c>
      <c r="M111" s="52">
        <f>'Resumen-DiarioHorario-Solar'!AC491</f>
        <v>0</v>
      </c>
      <c r="N111" s="51">
        <f>'Resumen-DiarioHorario-Solar'!AC546</f>
        <v>0</v>
      </c>
      <c r="O111" s="52">
        <f>'Resumen-DiarioHorario-Solar'!AC601</f>
        <v>0</v>
      </c>
      <c r="P111" s="51">
        <f>'Resumen-DiarioHorario-Solar'!AC656</f>
        <v>0</v>
      </c>
      <c r="Q111" s="52">
        <f>'Resumen-DiarioHorario-Solar'!AC711</f>
        <v>0</v>
      </c>
      <c r="R111" s="51">
        <f>'Resumen-DiarioHorario-Solar'!AC766</f>
        <v>0</v>
      </c>
      <c r="S111" s="52">
        <f>'Resumen-DiarioHorario-Solar'!AC821</f>
        <v>0</v>
      </c>
      <c r="T111" s="51">
        <f>'Resumen-DiarioHorario-Solar'!AC876</f>
        <v>25.154500000000009</v>
      </c>
      <c r="U111" s="52">
        <f>'Resumen-DiarioHorario-Solar'!AC931</f>
        <v>0.2505000000000005</v>
      </c>
      <c r="V111" s="51">
        <f>'Resumen-DiarioHorario-Solar'!AC986</f>
        <v>0</v>
      </c>
      <c r="W111" s="52">
        <f>'Resumen-DiarioHorario-Solar'!AC1041</f>
        <v>0</v>
      </c>
      <c r="X111" s="51">
        <f>'Resumen-DiarioHorario-Solar'!AC1096</f>
        <v>0</v>
      </c>
      <c r="Y111" s="52">
        <f>'Resumen-DiarioHorario-Solar'!AC1151</f>
        <v>0</v>
      </c>
      <c r="Z111" s="51">
        <f>'Resumen-DiarioHorario-Solar'!AC1206</f>
        <v>6.2106666666666674</v>
      </c>
      <c r="AA111" s="52">
        <f>'Resumen-DiarioHorario-Solar'!AC1261</f>
        <v>9.7776666666666703</v>
      </c>
      <c r="AB111" s="51">
        <f>'Resumen-DiarioHorario-Solar'!AC1316</f>
        <v>0</v>
      </c>
      <c r="AC111" s="52">
        <f>'Resumen-DiarioHorario-Solar'!AC1371</f>
        <v>0</v>
      </c>
      <c r="AD111" s="51">
        <f>'Resumen-DiarioHorario-Solar'!AC1426</f>
        <v>0.79666666666666519</v>
      </c>
      <c r="AE111" s="52">
        <f>'Resumen-DiarioHorario-Solar'!AC1481</f>
        <v>0</v>
      </c>
      <c r="AF111" s="51">
        <f>'Resumen-DiarioHorario-Solar'!AC1536</f>
        <v>0</v>
      </c>
      <c r="AG111" s="52">
        <f>'Resumen-DiarioHorario-Solar'!AC1591</f>
        <v>0</v>
      </c>
      <c r="AH111" s="51">
        <f>'Resumen-DiarioHorario-Solar'!AC1646</f>
        <v>66.326333333333352</v>
      </c>
      <c r="AI111" s="100">
        <f>'Resumen-DiarioHorario-Solar'!AC1701</f>
        <v>0</v>
      </c>
      <c r="AJ111" s="238">
        <f t="shared" si="25"/>
        <v>376.04266666666661</v>
      </c>
      <c r="AK111" s="238"/>
      <c r="AL111" s="238"/>
    </row>
    <row r="112" spans="2:38" x14ac:dyDescent="0.3">
      <c r="B112" s="245" t="s">
        <v>77</v>
      </c>
      <c r="C112" s="245"/>
      <c r="D112" s="245"/>
      <c r="E112" s="52">
        <f>'Resumen-DiarioHorario-Solar'!AC52</f>
        <v>110.85266666666664</v>
      </c>
      <c r="F112" s="51">
        <f>'Resumen-DiarioHorario-Solar'!AC107</f>
        <v>90.645333333333326</v>
      </c>
      <c r="G112" s="52">
        <f>'Resumen-DiarioHorario-Solar'!AC162</f>
        <v>0.32200000000000056</v>
      </c>
      <c r="H112" s="51">
        <f>'Resumen-DiarioHorario-Solar'!AC217</f>
        <v>56.825833333333335</v>
      </c>
      <c r="I112" s="52">
        <f>'Resumen-DiarioHorario-Solar'!AC272</f>
        <v>74.894666666666652</v>
      </c>
      <c r="J112" s="51">
        <f>'Resumen-DiarioHorario-Solar'!AC327</f>
        <v>34.086500000000001</v>
      </c>
      <c r="K112" s="52">
        <f>'Resumen-DiarioHorario-Solar'!AC382</f>
        <v>1.720999999999997</v>
      </c>
      <c r="L112" s="51">
        <f>'Resumen-DiarioHorario-Solar'!AC437</f>
        <v>0</v>
      </c>
      <c r="M112" s="52">
        <f>'Resumen-DiarioHorario-Solar'!AC492</f>
        <v>0.14250000000000065</v>
      </c>
      <c r="N112" s="51">
        <f>'Resumen-DiarioHorario-Solar'!AC547</f>
        <v>0</v>
      </c>
      <c r="O112" s="52">
        <f>'Resumen-DiarioHorario-Solar'!AC602</f>
        <v>9.2386666666666635</v>
      </c>
      <c r="P112" s="51">
        <f>'Resumen-DiarioHorario-Solar'!AC657</f>
        <v>16.123333333333335</v>
      </c>
      <c r="Q112" s="52">
        <f>'Resumen-DiarioHorario-Solar'!AC712</f>
        <v>9.2834999999999877</v>
      </c>
      <c r="R112" s="51">
        <f>'Resumen-DiarioHorario-Solar'!AC767</f>
        <v>1.1279999999999948</v>
      </c>
      <c r="S112" s="52">
        <f>'Resumen-DiarioHorario-Solar'!AC822</f>
        <v>0</v>
      </c>
      <c r="T112" s="51">
        <f>'Resumen-DiarioHorario-Solar'!AC877</f>
        <v>4.4418333333333306</v>
      </c>
      <c r="U112" s="52">
        <f>'Resumen-DiarioHorario-Solar'!AC932</f>
        <v>16.668666666666667</v>
      </c>
      <c r="V112" s="51">
        <f>'Resumen-DiarioHorario-Solar'!AC987</f>
        <v>30.667833333333327</v>
      </c>
      <c r="W112" s="52">
        <f>'Resumen-DiarioHorario-Solar'!AC1042</f>
        <v>4.5531666666666695</v>
      </c>
      <c r="X112" s="51">
        <f>'Resumen-DiarioHorario-Solar'!AC1097</f>
        <v>28.778333333333311</v>
      </c>
      <c r="Y112" s="52">
        <f>'Resumen-DiarioHorario-Solar'!AC1152</f>
        <v>18.047666666666661</v>
      </c>
      <c r="Z112" s="51">
        <f>'Resumen-DiarioHorario-Solar'!AC1207</f>
        <v>43.741833333333339</v>
      </c>
      <c r="AA112" s="52">
        <f>'Resumen-DiarioHorario-Solar'!AC1262</f>
        <v>20.774166666666648</v>
      </c>
      <c r="AB112" s="51">
        <f>'Resumen-DiarioHorario-Solar'!AC1317</f>
        <v>0</v>
      </c>
      <c r="AC112" s="52">
        <f>'Resumen-DiarioHorario-Solar'!AC1372</f>
        <v>0</v>
      </c>
      <c r="AD112" s="51">
        <f>'Resumen-DiarioHorario-Solar'!AC1427</f>
        <v>5.0929999999999946</v>
      </c>
      <c r="AE112" s="52">
        <f>'Resumen-DiarioHorario-Solar'!AC1482</f>
        <v>7.2693333333333223</v>
      </c>
      <c r="AF112" s="51">
        <f>'Resumen-DiarioHorario-Solar'!AC1537</f>
        <v>27.423166666666667</v>
      </c>
      <c r="AG112" s="52">
        <f>'Resumen-DiarioHorario-Solar'!AC1592</f>
        <v>25.218833333333329</v>
      </c>
      <c r="AH112" s="51">
        <f>'Resumen-DiarioHorario-Solar'!AC1647</f>
        <v>111.23249999999999</v>
      </c>
      <c r="AI112" s="100">
        <f>'Resumen-DiarioHorario-Solar'!AC1702</f>
        <v>0</v>
      </c>
      <c r="AJ112" s="238">
        <f t="shared" si="25"/>
        <v>749.17433333333315</v>
      </c>
      <c r="AK112" s="238"/>
      <c r="AL112" s="238"/>
    </row>
    <row r="113" spans="2:38" x14ac:dyDescent="0.3">
      <c r="B113" s="245" t="s">
        <v>78</v>
      </c>
      <c r="C113" s="245"/>
      <c r="D113" s="245"/>
      <c r="E113" s="52">
        <f>'Resumen-DiarioHorario-Solar'!AC53</f>
        <v>0</v>
      </c>
      <c r="F113" s="51">
        <f>'Resumen-DiarioHorario-Solar'!AC108</f>
        <v>0</v>
      </c>
      <c r="G113" s="52">
        <f>'Resumen-DiarioHorario-Solar'!AC163</f>
        <v>1.9098333333333328</v>
      </c>
      <c r="H113" s="51">
        <f>'Resumen-DiarioHorario-Solar'!AC218</f>
        <v>29.001833333333327</v>
      </c>
      <c r="I113" s="52">
        <f>'Resumen-DiarioHorario-Solar'!AC273</f>
        <v>0</v>
      </c>
      <c r="J113" s="51">
        <f>'Resumen-DiarioHorario-Solar'!AC328</f>
        <v>45.299333333333301</v>
      </c>
      <c r="K113" s="52">
        <f>'Resumen-DiarioHorario-Solar'!AC383</f>
        <v>1.3136666666666661</v>
      </c>
      <c r="L113" s="51">
        <f>'Resumen-DiarioHorario-Solar'!AC438</f>
        <v>0</v>
      </c>
      <c r="M113" s="52">
        <f>'Resumen-DiarioHorario-Solar'!AC493</f>
        <v>0.71316666666666639</v>
      </c>
      <c r="N113" s="51">
        <f>'Resumen-DiarioHorario-Solar'!AC548</f>
        <v>0</v>
      </c>
      <c r="O113" s="52">
        <f>'Resumen-DiarioHorario-Solar'!AC603</f>
        <v>11.743333333333318</v>
      </c>
      <c r="P113" s="51">
        <f>'Resumen-DiarioHorario-Solar'!AC658</f>
        <v>0</v>
      </c>
      <c r="Q113" s="52">
        <f>'Resumen-DiarioHorario-Solar'!AC713</f>
        <v>5.2900000000000045</v>
      </c>
      <c r="R113" s="51">
        <f>'Resumen-DiarioHorario-Solar'!AC768</f>
        <v>15.823666666666654</v>
      </c>
      <c r="S113" s="52">
        <f>'Resumen-DiarioHorario-Solar'!AC823</f>
        <v>0</v>
      </c>
      <c r="T113" s="51">
        <f>'Resumen-DiarioHorario-Solar'!AC878</f>
        <v>0</v>
      </c>
      <c r="U113" s="52">
        <f>'Resumen-DiarioHorario-Solar'!AC933</f>
        <v>28.346500000000013</v>
      </c>
      <c r="V113" s="51">
        <f>'Resumen-DiarioHorario-Solar'!AC988</f>
        <v>12.502499999999987</v>
      </c>
      <c r="W113" s="52">
        <f>'Resumen-DiarioHorario-Solar'!AC1043</f>
        <v>29.60199999999999</v>
      </c>
      <c r="X113" s="51">
        <f>'Resumen-DiarioHorario-Solar'!AC1098</f>
        <v>0</v>
      </c>
      <c r="Y113" s="52">
        <f>'Resumen-DiarioHorario-Solar'!AC1153</f>
        <v>39.934999999999988</v>
      </c>
      <c r="Z113" s="51">
        <f>'Resumen-DiarioHorario-Solar'!AC1208</f>
        <v>84.254666666666651</v>
      </c>
      <c r="AA113" s="52">
        <f>'Resumen-DiarioHorario-Solar'!AC1263</f>
        <v>0</v>
      </c>
      <c r="AB113" s="51">
        <f>'Resumen-DiarioHorario-Solar'!AC1318</f>
        <v>0</v>
      </c>
      <c r="AC113" s="52">
        <f>'Resumen-DiarioHorario-Solar'!AC1373</f>
        <v>0</v>
      </c>
      <c r="AD113" s="51">
        <f>'Resumen-DiarioHorario-Solar'!AC1428</f>
        <v>6.9076666666666586</v>
      </c>
      <c r="AE113" s="52">
        <f>'Resumen-DiarioHorario-Solar'!AC1483</f>
        <v>4.7900000000000009</v>
      </c>
      <c r="AF113" s="51">
        <f>'Resumen-DiarioHorario-Solar'!AC1538</f>
        <v>16.384499999999996</v>
      </c>
      <c r="AG113" s="52">
        <f>'Resumen-DiarioHorario-Solar'!AC1593</f>
        <v>0</v>
      </c>
      <c r="AH113" s="51">
        <f>'Resumen-DiarioHorario-Solar'!AC1648</f>
        <v>0</v>
      </c>
      <c r="AI113" s="100">
        <f>'Resumen-DiarioHorario-Solar'!AC1703</f>
        <v>0</v>
      </c>
      <c r="AJ113" s="238">
        <f t="shared" si="25"/>
        <v>333.81766666666664</v>
      </c>
      <c r="AK113" s="238"/>
      <c r="AL113" s="238"/>
    </row>
    <row r="114" spans="2:38" x14ac:dyDescent="0.3">
      <c r="B114" s="245" t="s">
        <v>79</v>
      </c>
      <c r="C114" s="245"/>
      <c r="D114" s="245"/>
      <c r="E114" s="52">
        <f>'Resumen-DiarioHorario-Solar'!AC54</f>
        <v>194.49133333333336</v>
      </c>
      <c r="F114" s="51">
        <f>'Resumen-DiarioHorario-Solar'!AC109</f>
        <v>25.112333333333339</v>
      </c>
      <c r="G114" s="52">
        <f>'Resumen-DiarioHorario-Solar'!AC164</f>
        <v>0</v>
      </c>
      <c r="H114" s="51">
        <f>'Resumen-DiarioHorario-Solar'!AC219</f>
        <v>0</v>
      </c>
      <c r="I114" s="52">
        <f>'Resumen-DiarioHorario-Solar'!AC274</f>
        <v>0</v>
      </c>
      <c r="J114" s="51">
        <f>'Resumen-DiarioHorario-Solar'!AC329</f>
        <v>0</v>
      </c>
      <c r="K114" s="52">
        <f>'Resumen-DiarioHorario-Solar'!AC384</f>
        <v>0</v>
      </c>
      <c r="L114" s="51">
        <f>'Resumen-DiarioHorario-Solar'!AC439</f>
        <v>0</v>
      </c>
      <c r="M114" s="52">
        <f>'Resumen-DiarioHorario-Solar'!AC494</f>
        <v>15.049333333333333</v>
      </c>
      <c r="N114" s="51">
        <f>'Resumen-DiarioHorario-Solar'!AC549</f>
        <v>0</v>
      </c>
      <c r="O114" s="52">
        <f>'Resumen-DiarioHorario-Solar'!AC604</f>
        <v>0</v>
      </c>
      <c r="P114" s="51">
        <f>'Resumen-DiarioHorario-Solar'!AC659</f>
        <v>0</v>
      </c>
      <c r="Q114" s="52">
        <f>'Resumen-DiarioHorario-Solar'!AC714</f>
        <v>0</v>
      </c>
      <c r="R114" s="51">
        <f>'Resumen-DiarioHorario-Solar'!AC769</f>
        <v>0</v>
      </c>
      <c r="S114" s="52">
        <f>'Resumen-DiarioHorario-Solar'!AC824</f>
        <v>12.30916666666667</v>
      </c>
      <c r="T114" s="51">
        <f>'Resumen-DiarioHorario-Solar'!AC879</f>
        <v>67.06583333333333</v>
      </c>
      <c r="U114" s="52">
        <f>'Resumen-DiarioHorario-Solar'!AC934</f>
        <v>18.949000000000005</v>
      </c>
      <c r="V114" s="51">
        <f>'Resumen-DiarioHorario-Solar'!AC989</f>
        <v>22.352</v>
      </c>
      <c r="W114" s="52">
        <f>'Resumen-DiarioHorario-Solar'!AC1044</f>
        <v>47.638500000000001</v>
      </c>
      <c r="X114" s="51">
        <f>'Resumen-DiarioHorario-Solar'!AC1099</f>
        <v>153.54083333333335</v>
      </c>
      <c r="Y114" s="52">
        <f>'Resumen-DiarioHorario-Solar'!AC1154</f>
        <v>0</v>
      </c>
      <c r="Z114" s="51">
        <f>'Resumen-DiarioHorario-Solar'!AC1209</f>
        <v>0</v>
      </c>
      <c r="AA114" s="52">
        <f>'Resumen-DiarioHorario-Solar'!AC1264</f>
        <v>0</v>
      </c>
      <c r="AB114" s="51">
        <f>'Resumen-DiarioHorario-Solar'!AC1319</f>
        <v>0</v>
      </c>
      <c r="AC114" s="52">
        <f>'Resumen-DiarioHorario-Solar'!AC1374</f>
        <v>0</v>
      </c>
      <c r="AD114" s="51">
        <f>'Resumen-DiarioHorario-Solar'!AC1429</f>
        <v>5.7743333333333329</v>
      </c>
      <c r="AE114" s="52">
        <f>'Resumen-DiarioHorario-Solar'!AC1484</f>
        <v>0</v>
      </c>
      <c r="AF114" s="51">
        <f>'Resumen-DiarioHorario-Solar'!AC1539</f>
        <v>51.333166666666678</v>
      </c>
      <c r="AG114" s="52">
        <f>'Resumen-DiarioHorario-Solar'!AC1594</f>
        <v>102.38066666666667</v>
      </c>
      <c r="AH114" s="51">
        <f>'Resumen-DiarioHorario-Solar'!AC1649</f>
        <v>290.29466666666673</v>
      </c>
      <c r="AI114" s="100">
        <f>'Resumen-DiarioHorario-Solar'!AC1704</f>
        <v>0</v>
      </c>
      <c r="AJ114" s="238">
        <f>SUM(E114:AI114)</f>
        <v>1006.2911666666669</v>
      </c>
      <c r="AK114" s="238"/>
      <c r="AL114" s="238"/>
    </row>
    <row r="115" spans="2:38" x14ac:dyDescent="0.3">
      <c r="B115" s="245" t="s">
        <v>80</v>
      </c>
      <c r="C115" s="245"/>
      <c r="D115" s="245"/>
      <c r="E115" s="52">
        <f>'Resumen-DiarioHorario-Solar'!AC55</f>
        <v>190.30550000000005</v>
      </c>
      <c r="F115" s="51">
        <f>'Resumen-DiarioHorario-Solar'!AC110</f>
        <v>155.30350000000001</v>
      </c>
      <c r="G115" s="52">
        <f>'Resumen-DiarioHorario-Solar'!AC165</f>
        <v>0</v>
      </c>
      <c r="H115" s="51">
        <f>'Resumen-DiarioHorario-Solar'!AC220</f>
        <v>0</v>
      </c>
      <c r="I115" s="52">
        <f>'Resumen-DiarioHorario-Solar'!AC275</f>
        <v>0</v>
      </c>
      <c r="J115" s="51">
        <f>'Resumen-DiarioHorario-Solar'!AC330</f>
        <v>0</v>
      </c>
      <c r="K115" s="52">
        <f>'Resumen-DiarioHorario-Solar'!AC385</f>
        <v>0</v>
      </c>
      <c r="L115" s="51">
        <f>'Resumen-DiarioHorario-Solar'!AC440</f>
        <v>0</v>
      </c>
      <c r="M115" s="52">
        <f>'Resumen-DiarioHorario-Solar'!AC495</f>
        <v>0</v>
      </c>
      <c r="N115" s="51">
        <f>'Resumen-DiarioHorario-Solar'!AC550</f>
        <v>0</v>
      </c>
      <c r="O115" s="52">
        <f>'Resumen-DiarioHorario-Solar'!AC605</f>
        <v>0</v>
      </c>
      <c r="P115" s="51">
        <f>'Resumen-DiarioHorario-Solar'!AC660</f>
        <v>0</v>
      </c>
      <c r="Q115" s="52">
        <f>'Resumen-DiarioHorario-Solar'!AC715</f>
        <v>0</v>
      </c>
      <c r="R115" s="51">
        <f>'Resumen-DiarioHorario-Solar'!AC770</f>
        <v>0</v>
      </c>
      <c r="S115" s="52">
        <f>'Resumen-DiarioHorario-Solar'!AC825</f>
        <v>0.66733333333333245</v>
      </c>
      <c r="T115" s="51">
        <f>'Resumen-DiarioHorario-Solar'!AC880</f>
        <v>66.902500000000003</v>
      </c>
      <c r="U115" s="52">
        <f>'Resumen-DiarioHorario-Solar'!AC935</f>
        <v>56.792500000000004</v>
      </c>
      <c r="V115" s="51">
        <f>'Resumen-DiarioHorario-Solar'!AC990</f>
        <v>43.80333333333332</v>
      </c>
      <c r="W115" s="52">
        <f>'Resumen-DiarioHorario-Solar'!AC1045</f>
        <v>0.57950000000000135</v>
      </c>
      <c r="X115" s="51">
        <f>'Resumen-DiarioHorario-Solar'!AC1100</f>
        <v>33.585833333333355</v>
      </c>
      <c r="Y115" s="52">
        <f>'Resumen-DiarioHorario-Solar'!AC1155</f>
        <v>0</v>
      </c>
      <c r="Z115" s="51">
        <f>'Resumen-DiarioHorario-Solar'!AC1210</f>
        <v>0</v>
      </c>
      <c r="AA115" s="52">
        <f>'Resumen-DiarioHorario-Solar'!AC1265</f>
        <v>0</v>
      </c>
      <c r="AB115" s="51">
        <f>'Resumen-DiarioHorario-Solar'!AC1320</f>
        <v>0</v>
      </c>
      <c r="AC115" s="52">
        <f>'Resumen-DiarioHorario-Solar'!AC1375</f>
        <v>0</v>
      </c>
      <c r="AD115" s="51">
        <f>'Resumen-DiarioHorario-Solar'!AC1430</f>
        <v>0.43599999999999944</v>
      </c>
      <c r="AE115" s="52">
        <f>'Resumen-DiarioHorario-Solar'!AC1485</f>
        <v>0</v>
      </c>
      <c r="AF115" s="51">
        <f>'Resumen-DiarioHorario-Solar'!AC1540</f>
        <v>6.6321666666666506</v>
      </c>
      <c r="AG115" s="52">
        <f>'Resumen-DiarioHorario-Solar'!AC1595</f>
        <v>49.640833333333298</v>
      </c>
      <c r="AH115" s="51">
        <f>'Resumen-DiarioHorario-Solar'!AC1650</f>
        <v>128.13400000000001</v>
      </c>
      <c r="AI115" s="100">
        <f>'Resumen-DiarioHorario-Solar'!AC1705</f>
        <v>0</v>
      </c>
      <c r="AJ115" s="238">
        <f>SUM(E115:AI115)</f>
        <v>732.78300000000002</v>
      </c>
      <c r="AK115" s="238"/>
      <c r="AL115" s="238"/>
    </row>
    <row r="116" spans="2:38" x14ac:dyDescent="0.3">
      <c r="B116" s="245" t="s">
        <v>93</v>
      </c>
      <c r="C116" s="245"/>
      <c r="D116" s="245"/>
      <c r="E116" s="52">
        <f>'Resumen-DiarioHorario-Solar'!AC56</f>
        <v>22.561000000000011</v>
      </c>
      <c r="F116" s="51">
        <f>'Resumen-DiarioHorario-Solar'!AC111</f>
        <v>22.545666666666662</v>
      </c>
      <c r="G116" s="52">
        <f>'Resumen-DiarioHorario-Solar'!AC166</f>
        <v>21.310833333333338</v>
      </c>
      <c r="H116" s="51">
        <f>'Resumen-DiarioHorario-Solar'!AC221</f>
        <v>24.752666666666691</v>
      </c>
      <c r="I116" s="52">
        <f>'Resumen-DiarioHorario-Solar'!AC276</f>
        <v>23.336000000000016</v>
      </c>
      <c r="J116" s="51">
        <f>'Resumen-DiarioHorario-Solar'!AC331</f>
        <v>15.970166666666662</v>
      </c>
      <c r="K116" s="52">
        <f>'Resumen-DiarioHorario-Solar'!AC386</f>
        <v>14.12533333333332</v>
      </c>
      <c r="L116" s="51">
        <f>'Resumen-DiarioHorario-Solar'!AC441</f>
        <v>4.8315000000000001</v>
      </c>
      <c r="M116" s="52">
        <f>'Resumen-DiarioHorario-Solar'!AC496</f>
        <v>0.14599999999999999</v>
      </c>
      <c r="N116" s="51">
        <f>'Resumen-DiarioHorario-Solar'!AC551</f>
        <v>1.3981666666666659</v>
      </c>
      <c r="O116" s="52">
        <f>'Resumen-DiarioHorario-Solar'!AC606</f>
        <v>1.2089999999999992</v>
      </c>
      <c r="P116" s="51">
        <f>'Resumen-DiarioHorario-Solar'!AC661</f>
        <v>8.153499999999994</v>
      </c>
      <c r="Q116" s="52">
        <f>'Resumen-DiarioHorario-Solar'!AC716</f>
        <v>10.282499999999999</v>
      </c>
      <c r="R116" s="51">
        <f>'Resumen-DiarioHorario-Solar'!AC771</f>
        <v>6.878166666666667</v>
      </c>
      <c r="S116" s="52">
        <f>'Resumen-DiarioHorario-Solar'!AC826</f>
        <v>4.6914999999999987</v>
      </c>
      <c r="T116" s="51">
        <f>'Resumen-DiarioHorario-Solar'!AC881</f>
        <v>0.39033333333333303</v>
      </c>
      <c r="U116" s="52">
        <f>'Resumen-DiarioHorario-Solar'!AC936</f>
        <v>6.2221666666666664</v>
      </c>
      <c r="V116" s="51">
        <f>'Resumen-DiarioHorario-Solar'!AC991</f>
        <v>6.6408333333333376</v>
      </c>
      <c r="W116" s="52">
        <f>'Resumen-DiarioHorario-Solar'!AC1046</f>
        <v>8.0444999999999958</v>
      </c>
      <c r="X116" s="51">
        <f>'Resumen-DiarioHorario-Solar'!AC1101</f>
        <v>8.9000000000000024E-2</v>
      </c>
      <c r="Y116" s="52">
        <f>'Resumen-DiarioHorario-Solar'!AC1156</f>
        <v>2.8138333333333359</v>
      </c>
      <c r="Z116" s="51">
        <f>'Resumen-DiarioHorario-Solar'!AC1211</f>
        <v>14.228499999999997</v>
      </c>
      <c r="AA116" s="52">
        <f>'Resumen-DiarioHorario-Solar'!AC1266</f>
        <v>1.4015000000000004</v>
      </c>
      <c r="AB116" s="51">
        <f>'Resumen-DiarioHorario-Solar'!AC1321</f>
        <v>0.86566666666666559</v>
      </c>
      <c r="AC116" s="52">
        <f>'Resumen-DiarioHorario-Solar'!AC1376</f>
        <v>2.6078333333333337</v>
      </c>
      <c r="AD116" s="51">
        <f>'Resumen-DiarioHorario-Solar'!AC1431</f>
        <v>12.402333333333337</v>
      </c>
      <c r="AE116" s="52">
        <f>'Resumen-DiarioHorario-Solar'!AC1486</f>
        <v>4.4113333333333333</v>
      </c>
      <c r="AF116" s="51">
        <f>'Resumen-DiarioHorario-Solar'!AC1541</f>
        <v>4.4925000000000015</v>
      </c>
      <c r="AG116" s="52">
        <f>'Resumen-DiarioHorario-Solar'!AC1596</f>
        <v>5.4521666666666704</v>
      </c>
      <c r="AH116" s="51">
        <f>'Resumen-DiarioHorario-Solar'!AC1651</f>
        <v>16.165166666666675</v>
      </c>
      <c r="AI116" s="100">
        <f>'Resumen-DiarioHorario-Solar'!AC1706</f>
        <v>0</v>
      </c>
      <c r="AJ116" s="238">
        <f t="shared" si="25"/>
        <v>268.41966666666667</v>
      </c>
      <c r="AK116" s="238"/>
      <c r="AL116" s="238"/>
    </row>
    <row r="118" spans="2:38" x14ac:dyDescent="0.3">
      <c r="B118" s="42"/>
    </row>
    <row r="119" spans="2:38" x14ac:dyDescent="0.3">
      <c r="B119" s="42"/>
    </row>
    <row r="120" spans="2:38" x14ac:dyDescent="0.3">
      <c r="B120" s="4" t="s">
        <v>98</v>
      </c>
      <c r="AA120" s="43"/>
      <c r="AC120" s="44"/>
      <c r="AD120" s="17"/>
      <c r="AE120" s="43"/>
      <c r="AF120" s="43"/>
      <c r="AG120" s="43"/>
      <c r="AH120" s="43"/>
      <c r="AI120" s="43"/>
      <c r="AJ120" s="43"/>
      <c r="AK120" s="43"/>
    </row>
    <row r="121" spans="2:38" x14ac:dyDescent="0.3">
      <c r="AA121" s="18"/>
      <c r="AC121" s="45"/>
      <c r="AD121" s="17"/>
      <c r="AE121" s="18"/>
      <c r="AF121" s="18"/>
      <c r="AG121" s="18"/>
      <c r="AH121" s="18"/>
      <c r="AI121" s="18"/>
      <c r="AJ121" s="18"/>
      <c r="AK121" s="18"/>
    </row>
    <row r="122" spans="2:38" x14ac:dyDescent="0.3">
      <c r="AA122" s="18"/>
      <c r="AC122" s="45"/>
      <c r="AD122" s="17"/>
      <c r="AE122" s="18"/>
      <c r="AF122" s="18"/>
      <c r="AG122" s="18"/>
      <c r="AH122" s="18"/>
      <c r="AI122" s="18"/>
      <c r="AJ122" s="18"/>
      <c r="AK122" s="18"/>
    </row>
    <row r="123" spans="2:38" x14ac:dyDescent="0.3">
      <c r="B123" s="6" t="s">
        <v>99</v>
      </c>
      <c r="AA123" s="18"/>
      <c r="AC123" s="45"/>
      <c r="AD123" s="17"/>
      <c r="AE123" s="18"/>
      <c r="AF123" s="18"/>
      <c r="AG123" s="18"/>
      <c r="AH123" s="18"/>
      <c r="AI123" s="18"/>
      <c r="AJ123" s="18"/>
      <c r="AK123" s="18"/>
    </row>
    <row r="124" spans="2:38" x14ac:dyDescent="0.3">
      <c r="AA124" s="18"/>
      <c r="AC124" s="45"/>
      <c r="AD124" s="17"/>
      <c r="AE124" s="18"/>
      <c r="AF124" s="18"/>
      <c r="AG124" s="18"/>
      <c r="AH124" s="18"/>
      <c r="AI124" s="18"/>
      <c r="AJ124" s="18"/>
      <c r="AK124" s="18"/>
    </row>
    <row r="125" spans="2:38" x14ac:dyDescent="0.3">
      <c r="B125" s="16"/>
      <c r="C125" s="17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C125" s="45"/>
      <c r="AD125" s="17"/>
      <c r="AE125" s="18"/>
      <c r="AF125" s="18"/>
      <c r="AG125" s="18"/>
      <c r="AH125" s="18"/>
      <c r="AI125" s="18"/>
      <c r="AJ125" s="18"/>
      <c r="AK125" s="18"/>
    </row>
    <row r="126" spans="2:38" x14ac:dyDescent="0.3">
      <c r="B126" s="16"/>
      <c r="C126" s="17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C126" s="45"/>
      <c r="AD126" s="17"/>
      <c r="AE126" s="18"/>
      <c r="AF126" s="18"/>
      <c r="AG126" s="18"/>
      <c r="AH126" s="18"/>
      <c r="AI126" s="18"/>
      <c r="AJ126" s="18"/>
      <c r="AK126" s="18"/>
    </row>
    <row r="127" spans="2:38" x14ac:dyDescent="0.3">
      <c r="B127" s="16"/>
      <c r="C127" s="17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C127" s="45"/>
      <c r="AD127" s="17"/>
      <c r="AE127" s="18"/>
      <c r="AF127" s="18"/>
      <c r="AG127" s="18"/>
      <c r="AH127" s="18"/>
      <c r="AI127" s="18"/>
      <c r="AJ127" s="18"/>
      <c r="AK127" s="18"/>
    </row>
    <row r="128" spans="2:38" x14ac:dyDescent="0.3">
      <c r="B128" s="16"/>
      <c r="C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C128" s="45"/>
      <c r="AD128" s="17"/>
      <c r="AE128" s="18"/>
      <c r="AF128" s="18"/>
      <c r="AG128" s="18"/>
      <c r="AH128" s="18"/>
      <c r="AI128" s="18"/>
      <c r="AJ128" s="18"/>
      <c r="AK128" s="18"/>
    </row>
    <row r="129" spans="2:37" x14ac:dyDescent="0.3">
      <c r="B129" s="16"/>
      <c r="C129" s="17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C129" s="45"/>
      <c r="AD129" s="17"/>
      <c r="AE129" s="18"/>
      <c r="AF129" s="18"/>
      <c r="AG129" s="18"/>
      <c r="AH129" s="18"/>
      <c r="AI129" s="18"/>
      <c r="AJ129" s="18"/>
      <c r="AK129" s="18"/>
    </row>
    <row r="130" spans="2:37" x14ac:dyDescent="0.3">
      <c r="B130" s="16"/>
      <c r="C130" s="17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C130" s="45"/>
      <c r="AD130" s="17"/>
      <c r="AE130" s="18"/>
      <c r="AF130" s="18"/>
      <c r="AG130" s="18"/>
      <c r="AH130" s="18"/>
      <c r="AI130" s="18"/>
      <c r="AJ130" s="18"/>
      <c r="AK130" s="18"/>
    </row>
    <row r="131" spans="2:37" x14ac:dyDescent="0.3">
      <c r="B131" s="16"/>
      <c r="C131" s="17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C131" s="45"/>
      <c r="AD131" s="17"/>
      <c r="AE131" s="18"/>
      <c r="AF131" s="18"/>
      <c r="AG131" s="18"/>
      <c r="AH131" s="18"/>
      <c r="AI131" s="18"/>
      <c r="AJ131" s="18"/>
      <c r="AK131" s="18"/>
    </row>
    <row r="132" spans="2:37" x14ac:dyDescent="0.3">
      <c r="B132" s="16"/>
      <c r="C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C132" s="45"/>
      <c r="AD132" s="17"/>
      <c r="AE132" s="18"/>
      <c r="AF132" s="18"/>
      <c r="AG132" s="18"/>
      <c r="AH132" s="18"/>
      <c r="AI132" s="18"/>
      <c r="AJ132" s="18"/>
      <c r="AK132" s="18"/>
    </row>
    <row r="133" spans="2:37" x14ac:dyDescent="0.3">
      <c r="B133" s="16"/>
      <c r="C133" s="17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C133" s="45"/>
      <c r="AD133" s="17"/>
      <c r="AE133" s="18"/>
      <c r="AF133" s="18"/>
      <c r="AG133" s="18"/>
      <c r="AH133" s="18"/>
      <c r="AI133" s="18"/>
      <c r="AJ133" s="18"/>
      <c r="AK133" s="18"/>
    </row>
    <row r="134" spans="2:37" x14ac:dyDescent="0.3">
      <c r="B134" s="16"/>
      <c r="C134" s="17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C134" s="45"/>
      <c r="AD134" s="17"/>
      <c r="AE134" s="18"/>
      <c r="AF134" s="18"/>
      <c r="AG134" s="18"/>
      <c r="AH134" s="18"/>
      <c r="AI134" s="18"/>
      <c r="AJ134" s="18"/>
      <c r="AK134" s="18"/>
    </row>
    <row r="135" spans="2:37" x14ac:dyDescent="0.3">
      <c r="B135" s="16"/>
      <c r="C135" s="17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C135" s="45"/>
      <c r="AD135" s="17"/>
      <c r="AE135" s="18"/>
      <c r="AF135" s="18"/>
      <c r="AG135" s="18"/>
      <c r="AH135" s="18"/>
      <c r="AI135" s="18"/>
      <c r="AJ135" s="18"/>
      <c r="AK135" s="18"/>
    </row>
    <row r="136" spans="2:37" x14ac:dyDescent="0.3">
      <c r="B136" s="16"/>
      <c r="C136" s="17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C136" s="45"/>
      <c r="AD136" s="17"/>
      <c r="AE136" s="18"/>
      <c r="AF136" s="18"/>
      <c r="AG136" s="18"/>
      <c r="AH136" s="18"/>
      <c r="AI136" s="18"/>
      <c r="AJ136" s="18"/>
      <c r="AK136" s="18"/>
    </row>
    <row r="137" spans="2:37" x14ac:dyDescent="0.3">
      <c r="B137" s="4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C137" s="45"/>
      <c r="AD137" s="17"/>
      <c r="AE137" s="18"/>
      <c r="AF137" s="18"/>
      <c r="AG137" s="18"/>
      <c r="AH137" s="18"/>
      <c r="AI137" s="18"/>
      <c r="AJ137" s="18"/>
      <c r="AK137" s="18"/>
    </row>
    <row r="138" spans="2:37" x14ac:dyDescent="0.3">
      <c r="AC138" s="45"/>
      <c r="AD138" s="17"/>
      <c r="AE138" s="18"/>
      <c r="AF138" s="18"/>
      <c r="AG138" s="18"/>
      <c r="AH138" s="18"/>
      <c r="AI138" s="18"/>
      <c r="AJ138" s="18"/>
      <c r="AK138" s="18"/>
    </row>
    <row r="139" spans="2:37" x14ac:dyDescent="0.3">
      <c r="AC139" s="45"/>
      <c r="AD139" s="17"/>
      <c r="AE139" s="18"/>
      <c r="AF139" s="18"/>
      <c r="AG139" s="18"/>
      <c r="AH139" s="18"/>
      <c r="AI139" s="18"/>
      <c r="AJ139" s="18"/>
      <c r="AK139" s="18"/>
    </row>
    <row r="140" spans="2:37" x14ac:dyDescent="0.3">
      <c r="AC140" s="45"/>
      <c r="AD140" s="17"/>
      <c r="AE140" s="18"/>
      <c r="AF140" s="18"/>
      <c r="AG140" s="18"/>
      <c r="AH140" s="18"/>
      <c r="AI140" s="18"/>
      <c r="AJ140" s="18"/>
      <c r="AK140" s="18"/>
    </row>
    <row r="141" spans="2:37" x14ac:dyDescent="0.3">
      <c r="AC141" s="45"/>
      <c r="AD141" s="17"/>
      <c r="AE141" s="18"/>
      <c r="AF141" s="18"/>
      <c r="AG141" s="18"/>
      <c r="AH141" s="18"/>
      <c r="AI141" s="18"/>
      <c r="AJ141" s="18"/>
      <c r="AK141" s="18"/>
    </row>
    <row r="142" spans="2:37" x14ac:dyDescent="0.3">
      <c r="AC142" s="45"/>
      <c r="AD142" s="17"/>
      <c r="AE142" s="18"/>
      <c r="AF142" s="18"/>
      <c r="AG142" s="18"/>
      <c r="AH142" s="18"/>
      <c r="AI142" s="18"/>
      <c r="AJ142" s="18"/>
      <c r="AK142" s="18"/>
    </row>
    <row r="143" spans="2:37" x14ac:dyDescent="0.3">
      <c r="AC143" s="45"/>
      <c r="AD143" s="17"/>
      <c r="AE143" s="18"/>
      <c r="AF143" s="18"/>
      <c r="AG143" s="18"/>
      <c r="AH143" s="18"/>
      <c r="AI143" s="18"/>
      <c r="AJ143" s="18"/>
      <c r="AK143" s="18"/>
    </row>
    <row r="144" spans="2:37" x14ac:dyDescent="0.3">
      <c r="AC144" s="45"/>
      <c r="AD144" s="17"/>
      <c r="AE144" s="18"/>
      <c r="AF144" s="18"/>
      <c r="AG144" s="18"/>
      <c r="AH144" s="18"/>
      <c r="AI144" s="18"/>
      <c r="AJ144" s="18"/>
      <c r="AK144" s="18"/>
    </row>
    <row r="145" spans="2:37" x14ac:dyDescent="0.3">
      <c r="AD145" s="17"/>
      <c r="AE145" s="18"/>
      <c r="AF145" s="18"/>
      <c r="AG145" s="18"/>
      <c r="AH145" s="18"/>
      <c r="AI145" s="18"/>
      <c r="AJ145" s="18"/>
      <c r="AK145" s="18"/>
    </row>
    <row r="146" spans="2:37" x14ac:dyDescent="0.3">
      <c r="AC146" s="47"/>
      <c r="AD146" s="17"/>
      <c r="AE146" s="17"/>
      <c r="AF146" s="17"/>
      <c r="AG146" s="17"/>
      <c r="AH146" s="17"/>
      <c r="AI146" s="17"/>
      <c r="AJ146" s="17"/>
      <c r="AK146" s="17"/>
    </row>
    <row r="148" spans="2:37" x14ac:dyDescent="0.3">
      <c r="B148" s="42"/>
    </row>
    <row r="149" spans="2:37" x14ac:dyDescent="0.3">
      <c r="B149" s="42"/>
    </row>
    <row r="150" spans="2:37" x14ac:dyDescent="0.3">
      <c r="B150" s="39"/>
      <c r="C150" s="1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C150" s="44"/>
      <c r="AD150" s="17"/>
      <c r="AE150" s="43"/>
      <c r="AF150" s="43"/>
      <c r="AG150" s="43"/>
      <c r="AH150" s="43"/>
      <c r="AI150" s="43"/>
      <c r="AJ150" s="43"/>
      <c r="AK150" s="43"/>
    </row>
    <row r="151" spans="2:37" x14ac:dyDescent="0.3">
      <c r="B151" s="16"/>
      <c r="C151" s="17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C151" s="45"/>
      <c r="AD151" s="17"/>
      <c r="AE151" s="18"/>
      <c r="AF151" s="18"/>
      <c r="AG151" s="18"/>
      <c r="AH151" s="18"/>
      <c r="AI151" s="18"/>
      <c r="AJ151" s="18"/>
      <c r="AK151" s="18"/>
    </row>
    <row r="152" spans="2:37" x14ac:dyDescent="0.3">
      <c r="B152" s="16"/>
      <c r="C152" s="17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C152" s="45"/>
      <c r="AD152" s="17"/>
      <c r="AE152" s="18"/>
      <c r="AF152" s="18"/>
      <c r="AG152" s="18"/>
      <c r="AH152" s="18"/>
      <c r="AI152" s="18"/>
      <c r="AJ152" s="18"/>
      <c r="AK152" s="18"/>
    </row>
    <row r="153" spans="2:37" x14ac:dyDescent="0.3">
      <c r="B153" s="16"/>
      <c r="C153" s="17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C153" s="45"/>
      <c r="AD153" s="17"/>
      <c r="AE153" s="18"/>
      <c r="AF153" s="18"/>
      <c r="AG153" s="18"/>
      <c r="AH153" s="18"/>
      <c r="AI153" s="18"/>
      <c r="AJ153" s="18"/>
      <c r="AK153" s="18"/>
    </row>
    <row r="154" spans="2:37" x14ac:dyDescent="0.3">
      <c r="B154" s="16"/>
      <c r="C154" s="17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C154" s="45"/>
      <c r="AD154" s="17"/>
      <c r="AE154" s="18"/>
      <c r="AF154" s="18"/>
      <c r="AG154" s="18"/>
      <c r="AH154" s="18"/>
      <c r="AI154" s="18"/>
      <c r="AJ154" s="18"/>
      <c r="AK154" s="18"/>
    </row>
    <row r="155" spans="2:37" x14ac:dyDescent="0.3">
      <c r="B155" s="16"/>
      <c r="C155" s="17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C155" s="45"/>
      <c r="AD155" s="17"/>
      <c r="AE155" s="18"/>
      <c r="AF155" s="18"/>
      <c r="AG155" s="18"/>
      <c r="AH155" s="18"/>
      <c r="AI155" s="18"/>
      <c r="AJ155" s="18"/>
      <c r="AK155" s="18"/>
    </row>
    <row r="156" spans="2:37" x14ac:dyDescent="0.3">
      <c r="B156" s="16"/>
      <c r="C156" s="17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C156" s="45"/>
      <c r="AD156" s="17"/>
      <c r="AE156" s="18"/>
      <c r="AF156" s="18"/>
      <c r="AG156" s="18"/>
      <c r="AH156" s="18"/>
      <c r="AI156" s="18"/>
      <c r="AJ156" s="18"/>
      <c r="AK156" s="18"/>
    </row>
    <row r="157" spans="2:37" x14ac:dyDescent="0.3">
      <c r="B157" s="16"/>
      <c r="C157" s="17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C157" s="45"/>
      <c r="AD157" s="17"/>
      <c r="AE157" s="18"/>
      <c r="AF157" s="18"/>
      <c r="AG157" s="18"/>
      <c r="AH157" s="18"/>
      <c r="AI157" s="18"/>
      <c r="AJ157" s="18"/>
      <c r="AK157" s="18"/>
    </row>
    <row r="158" spans="2:37" x14ac:dyDescent="0.3">
      <c r="B158" s="16"/>
      <c r="C158" s="17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C158" s="45"/>
      <c r="AD158" s="17"/>
      <c r="AE158" s="18"/>
      <c r="AF158" s="18"/>
      <c r="AG158" s="18"/>
      <c r="AH158" s="18"/>
      <c r="AI158" s="18"/>
      <c r="AJ158" s="18"/>
      <c r="AK158" s="18"/>
    </row>
    <row r="159" spans="2:37" x14ac:dyDescent="0.3">
      <c r="B159" s="16"/>
      <c r="C159" s="17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C159" s="45"/>
      <c r="AD159" s="17"/>
      <c r="AE159" s="18"/>
      <c r="AF159" s="18"/>
      <c r="AG159" s="18"/>
      <c r="AH159" s="18"/>
      <c r="AI159" s="18"/>
      <c r="AJ159" s="18"/>
      <c r="AK159" s="18"/>
    </row>
    <row r="160" spans="2:37" x14ac:dyDescent="0.3">
      <c r="B160" s="16"/>
      <c r="C160" s="17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C160" s="45"/>
      <c r="AD160" s="17"/>
      <c r="AE160" s="18"/>
      <c r="AF160" s="18"/>
      <c r="AG160" s="18"/>
      <c r="AH160" s="18"/>
      <c r="AI160" s="18"/>
      <c r="AJ160" s="18"/>
      <c r="AK160" s="18"/>
    </row>
    <row r="161" spans="2:37" x14ac:dyDescent="0.3">
      <c r="B161" s="16"/>
      <c r="C161" s="17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C161" s="45"/>
      <c r="AD161" s="17"/>
      <c r="AE161" s="18"/>
      <c r="AF161" s="18"/>
      <c r="AG161" s="18"/>
      <c r="AH161" s="18"/>
      <c r="AI161" s="18"/>
      <c r="AJ161" s="18"/>
      <c r="AK161" s="18"/>
    </row>
    <row r="162" spans="2:37" x14ac:dyDescent="0.3">
      <c r="B162" s="16"/>
      <c r="C162" s="17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C162" s="45"/>
      <c r="AD162" s="17"/>
      <c r="AE162" s="18"/>
      <c r="AF162" s="18"/>
      <c r="AG162" s="18"/>
      <c r="AH162" s="18"/>
      <c r="AI162" s="18"/>
      <c r="AJ162" s="18"/>
      <c r="AK162" s="18"/>
    </row>
    <row r="163" spans="2:37" x14ac:dyDescent="0.3">
      <c r="B163" s="16"/>
      <c r="C163" s="17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C163" s="45"/>
      <c r="AD163" s="17"/>
      <c r="AE163" s="18"/>
      <c r="AF163" s="18"/>
      <c r="AG163" s="18"/>
      <c r="AH163" s="18"/>
      <c r="AI163" s="18"/>
      <c r="AJ163" s="18"/>
      <c r="AK163" s="18"/>
    </row>
    <row r="164" spans="2:37" x14ac:dyDescent="0.3">
      <c r="B164" s="16"/>
      <c r="C164" s="17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C164" s="45"/>
      <c r="AD164" s="17"/>
      <c r="AE164" s="18"/>
      <c r="AF164" s="18"/>
      <c r="AG164" s="18"/>
      <c r="AH164" s="18"/>
      <c r="AI164" s="18"/>
      <c r="AJ164" s="18"/>
      <c r="AK164" s="18"/>
    </row>
    <row r="165" spans="2:37" x14ac:dyDescent="0.3">
      <c r="B165" s="16"/>
      <c r="C165" s="17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C165" s="45"/>
      <c r="AD165" s="17"/>
      <c r="AE165" s="18"/>
      <c r="AF165" s="18"/>
      <c r="AG165" s="18"/>
      <c r="AH165" s="18"/>
      <c r="AI165" s="18"/>
      <c r="AJ165" s="18"/>
      <c r="AK165" s="18"/>
    </row>
    <row r="166" spans="2:37" x14ac:dyDescent="0.3">
      <c r="B166" s="16"/>
      <c r="C166" s="17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C166" s="45"/>
      <c r="AD166" s="17"/>
      <c r="AE166" s="18"/>
      <c r="AF166" s="18"/>
      <c r="AG166" s="18"/>
      <c r="AH166" s="18"/>
      <c r="AI166" s="18"/>
      <c r="AJ166" s="18"/>
      <c r="AK166" s="18"/>
    </row>
    <row r="167" spans="2:37" x14ac:dyDescent="0.3">
      <c r="B167" s="4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C167" s="45"/>
      <c r="AD167" s="17"/>
      <c r="AE167" s="18"/>
      <c r="AF167" s="18"/>
      <c r="AG167" s="18"/>
      <c r="AH167" s="18"/>
      <c r="AI167" s="18"/>
      <c r="AJ167" s="18"/>
      <c r="AK167" s="18"/>
    </row>
    <row r="168" spans="2:37" x14ac:dyDescent="0.3">
      <c r="AC168" s="45"/>
      <c r="AD168" s="17"/>
      <c r="AE168" s="18"/>
      <c r="AF168" s="18"/>
      <c r="AG168" s="18"/>
      <c r="AH168" s="18"/>
      <c r="AI168" s="18"/>
      <c r="AJ168" s="18"/>
      <c r="AK168" s="18"/>
    </row>
    <row r="169" spans="2:37" x14ac:dyDescent="0.3">
      <c r="AC169" s="45"/>
      <c r="AD169" s="17"/>
      <c r="AE169" s="18"/>
      <c r="AF169" s="18"/>
      <c r="AG169" s="18"/>
      <c r="AH169" s="18"/>
      <c r="AI169" s="18"/>
      <c r="AJ169" s="18"/>
      <c r="AK169" s="18"/>
    </row>
    <row r="170" spans="2:37" x14ac:dyDescent="0.3">
      <c r="AC170" s="45"/>
      <c r="AD170" s="17"/>
      <c r="AE170" s="18"/>
      <c r="AF170" s="18"/>
      <c r="AG170" s="18"/>
      <c r="AH170" s="18"/>
      <c r="AI170" s="18"/>
      <c r="AJ170" s="18"/>
      <c r="AK170" s="18"/>
    </row>
    <row r="171" spans="2:37" x14ac:dyDescent="0.3">
      <c r="AC171" s="45"/>
      <c r="AD171" s="17"/>
      <c r="AE171" s="18"/>
      <c r="AF171" s="18"/>
      <c r="AG171" s="18"/>
      <c r="AH171" s="18"/>
      <c r="AI171" s="18"/>
      <c r="AJ171" s="18"/>
      <c r="AK171" s="18"/>
    </row>
    <row r="172" spans="2:37" x14ac:dyDescent="0.3">
      <c r="AC172" s="45"/>
      <c r="AD172" s="17"/>
      <c r="AE172" s="18"/>
      <c r="AF172" s="18"/>
      <c r="AG172" s="18"/>
      <c r="AH172" s="18"/>
      <c r="AI172" s="18"/>
      <c r="AJ172" s="18"/>
      <c r="AK172" s="18"/>
    </row>
    <row r="173" spans="2:37" x14ac:dyDescent="0.3">
      <c r="AC173" s="45"/>
      <c r="AD173" s="17"/>
      <c r="AE173" s="18"/>
      <c r="AF173" s="18"/>
      <c r="AG173" s="18"/>
      <c r="AH173" s="18"/>
      <c r="AI173" s="18"/>
      <c r="AJ173" s="18"/>
      <c r="AK173" s="18"/>
    </row>
    <row r="174" spans="2:37" x14ac:dyDescent="0.3">
      <c r="AC174" s="45"/>
      <c r="AD174" s="17"/>
      <c r="AE174" s="18"/>
      <c r="AF174" s="18"/>
      <c r="AG174" s="18"/>
      <c r="AH174" s="18"/>
      <c r="AI174" s="18"/>
      <c r="AJ174" s="18"/>
      <c r="AK174" s="18"/>
    </row>
    <row r="175" spans="2:37" x14ac:dyDescent="0.3">
      <c r="AD175" s="17"/>
      <c r="AE175" s="18"/>
      <c r="AF175" s="18"/>
      <c r="AG175" s="18"/>
      <c r="AH175" s="18"/>
      <c r="AI175" s="18"/>
      <c r="AJ175" s="18"/>
      <c r="AK175" s="18"/>
    </row>
    <row r="176" spans="2:37" x14ac:dyDescent="0.3">
      <c r="AC176" s="47"/>
      <c r="AD176" s="17"/>
      <c r="AE176" s="17"/>
      <c r="AF176" s="17"/>
      <c r="AG176" s="17"/>
      <c r="AH176" s="17"/>
      <c r="AI176" s="17"/>
      <c r="AJ176" s="17"/>
      <c r="AK176" s="17"/>
    </row>
    <row r="178" spans="2:37" x14ac:dyDescent="0.3">
      <c r="B178" s="42"/>
    </row>
    <row r="179" spans="2:37" x14ac:dyDescent="0.3">
      <c r="B179" s="42"/>
    </row>
    <row r="180" spans="2:37" x14ac:dyDescent="0.3">
      <c r="B180" s="39"/>
      <c r="C180" s="1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C180" s="44"/>
      <c r="AD180" s="17"/>
      <c r="AE180" s="43"/>
      <c r="AF180" s="43"/>
      <c r="AG180" s="43"/>
      <c r="AH180" s="43"/>
      <c r="AI180" s="43"/>
      <c r="AJ180" s="43"/>
      <c r="AK180" s="43"/>
    </row>
    <row r="181" spans="2:37" x14ac:dyDescent="0.3">
      <c r="B181" s="16"/>
      <c r="C181" s="17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C181" s="45"/>
      <c r="AD181" s="17"/>
      <c r="AE181" s="18"/>
      <c r="AF181" s="18"/>
      <c r="AG181" s="18"/>
      <c r="AH181" s="18"/>
      <c r="AI181" s="18"/>
      <c r="AJ181" s="18"/>
      <c r="AK181" s="18"/>
    </row>
    <row r="182" spans="2:37" x14ac:dyDescent="0.3">
      <c r="B182" s="16"/>
      <c r="C182" s="17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C182" s="45"/>
      <c r="AD182" s="17"/>
      <c r="AE182" s="18"/>
      <c r="AF182" s="18"/>
      <c r="AG182" s="18"/>
      <c r="AH182" s="18"/>
      <c r="AI182" s="18"/>
      <c r="AJ182" s="18"/>
      <c r="AK182" s="18"/>
    </row>
    <row r="183" spans="2:37" x14ac:dyDescent="0.3">
      <c r="B183" s="16"/>
      <c r="C183" s="17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C183" s="45"/>
      <c r="AD183" s="17"/>
      <c r="AE183" s="18"/>
      <c r="AF183" s="18"/>
      <c r="AG183" s="18"/>
      <c r="AH183" s="18"/>
      <c r="AI183" s="18"/>
      <c r="AJ183" s="18"/>
      <c r="AK183" s="18"/>
    </row>
    <row r="184" spans="2:37" x14ac:dyDescent="0.3">
      <c r="B184" s="16"/>
      <c r="C184" s="17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C184" s="45"/>
      <c r="AD184" s="17"/>
      <c r="AE184" s="18"/>
      <c r="AF184" s="18"/>
      <c r="AG184" s="18"/>
      <c r="AH184" s="18"/>
      <c r="AI184" s="18"/>
      <c r="AJ184" s="18"/>
      <c r="AK184" s="18"/>
    </row>
    <row r="185" spans="2:37" x14ac:dyDescent="0.3">
      <c r="B185" s="16"/>
      <c r="C185" s="17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C185" s="45"/>
      <c r="AD185" s="17"/>
      <c r="AE185" s="18"/>
      <c r="AF185" s="18"/>
      <c r="AG185" s="18"/>
      <c r="AH185" s="18"/>
      <c r="AI185" s="18"/>
      <c r="AJ185" s="18"/>
      <c r="AK185" s="18"/>
    </row>
    <row r="186" spans="2:37" x14ac:dyDescent="0.3">
      <c r="B186" s="16"/>
      <c r="C186" s="17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C186" s="45"/>
      <c r="AD186" s="17"/>
      <c r="AE186" s="18"/>
      <c r="AF186" s="18"/>
      <c r="AG186" s="18"/>
      <c r="AH186" s="18"/>
      <c r="AI186" s="18"/>
      <c r="AJ186" s="18"/>
      <c r="AK186" s="18"/>
    </row>
    <row r="187" spans="2:37" x14ac:dyDescent="0.3">
      <c r="B187" s="16"/>
      <c r="C187" s="17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C187" s="45"/>
      <c r="AD187" s="17"/>
      <c r="AE187" s="18"/>
      <c r="AF187" s="18"/>
      <c r="AG187" s="18"/>
      <c r="AH187" s="18"/>
      <c r="AI187" s="18"/>
      <c r="AJ187" s="18"/>
      <c r="AK187" s="18"/>
    </row>
    <row r="188" spans="2:37" x14ac:dyDescent="0.3">
      <c r="B188" s="16"/>
      <c r="C188" s="17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C188" s="45"/>
      <c r="AD188" s="17"/>
      <c r="AE188" s="18"/>
      <c r="AF188" s="18"/>
      <c r="AG188" s="18"/>
      <c r="AH188" s="18"/>
      <c r="AI188" s="18"/>
      <c r="AJ188" s="18"/>
      <c r="AK188" s="18"/>
    </row>
    <row r="189" spans="2:37" x14ac:dyDescent="0.3">
      <c r="B189" s="16"/>
      <c r="C189" s="17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C189" s="45"/>
      <c r="AD189" s="17"/>
      <c r="AE189" s="18"/>
      <c r="AF189" s="18"/>
      <c r="AG189" s="18"/>
      <c r="AH189" s="18"/>
      <c r="AI189" s="18"/>
      <c r="AJ189" s="18"/>
      <c r="AK189" s="18"/>
    </row>
    <row r="190" spans="2:37" x14ac:dyDescent="0.3">
      <c r="B190" s="16"/>
      <c r="C190" s="17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C190" s="45"/>
      <c r="AD190" s="17"/>
      <c r="AE190" s="18"/>
      <c r="AF190" s="18"/>
      <c r="AG190" s="18"/>
      <c r="AH190" s="18"/>
      <c r="AI190" s="18"/>
      <c r="AJ190" s="18"/>
      <c r="AK190" s="18"/>
    </row>
    <row r="191" spans="2:37" x14ac:dyDescent="0.3">
      <c r="B191" s="16"/>
      <c r="C191" s="17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C191" s="45"/>
      <c r="AD191" s="17"/>
      <c r="AE191" s="18"/>
      <c r="AF191" s="18"/>
      <c r="AG191" s="18"/>
      <c r="AH191" s="18"/>
      <c r="AI191" s="18"/>
      <c r="AJ191" s="18"/>
      <c r="AK191" s="18"/>
    </row>
    <row r="192" spans="2:37" x14ac:dyDescent="0.3">
      <c r="B192" s="16"/>
      <c r="C192" s="17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C192" s="45"/>
      <c r="AD192" s="17"/>
      <c r="AE192" s="18"/>
      <c r="AF192" s="18"/>
      <c r="AG192" s="18"/>
      <c r="AH192" s="18"/>
      <c r="AI192" s="18"/>
      <c r="AJ192" s="18"/>
      <c r="AK192" s="18"/>
    </row>
    <row r="193" spans="2:37" x14ac:dyDescent="0.3">
      <c r="B193" s="16"/>
      <c r="C193" s="17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C193" s="45"/>
      <c r="AD193" s="17"/>
      <c r="AE193" s="18"/>
      <c r="AF193" s="18"/>
      <c r="AG193" s="18"/>
      <c r="AH193" s="18"/>
      <c r="AI193" s="18"/>
      <c r="AJ193" s="18"/>
      <c r="AK193" s="18"/>
    </row>
    <row r="194" spans="2:37" x14ac:dyDescent="0.3">
      <c r="B194" s="16"/>
      <c r="C194" s="17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C194" s="45"/>
      <c r="AD194" s="17"/>
      <c r="AE194" s="18"/>
      <c r="AF194" s="18"/>
      <c r="AG194" s="18"/>
      <c r="AH194" s="18"/>
      <c r="AI194" s="18"/>
      <c r="AJ194" s="18"/>
      <c r="AK194" s="18"/>
    </row>
    <row r="195" spans="2:37" x14ac:dyDescent="0.3">
      <c r="B195" s="16"/>
      <c r="C195" s="17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C195" s="45"/>
      <c r="AD195" s="17"/>
      <c r="AE195" s="18"/>
      <c r="AF195" s="18"/>
      <c r="AG195" s="18"/>
      <c r="AH195" s="18"/>
      <c r="AI195" s="18"/>
      <c r="AJ195" s="18"/>
      <c r="AK195" s="18"/>
    </row>
    <row r="196" spans="2:37" x14ac:dyDescent="0.3">
      <c r="B196" s="16"/>
      <c r="C196" s="17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C196" s="45"/>
      <c r="AD196" s="17"/>
      <c r="AE196" s="18"/>
      <c r="AF196" s="18"/>
      <c r="AG196" s="18"/>
      <c r="AH196" s="18"/>
      <c r="AI196" s="18"/>
      <c r="AJ196" s="18"/>
      <c r="AK196" s="18"/>
    </row>
    <row r="197" spans="2:37" x14ac:dyDescent="0.3">
      <c r="B197" s="4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C197" s="45"/>
      <c r="AD197" s="17"/>
      <c r="AE197" s="18"/>
      <c r="AF197" s="18"/>
      <c r="AG197" s="18"/>
      <c r="AH197" s="18"/>
      <c r="AI197" s="18"/>
      <c r="AJ197" s="18"/>
      <c r="AK197" s="18"/>
    </row>
    <row r="198" spans="2:37" x14ac:dyDescent="0.3">
      <c r="AC198" s="45"/>
      <c r="AD198" s="17"/>
      <c r="AE198" s="18"/>
      <c r="AF198" s="18"/>
      <c r="AG198" s="18"/>
      <c r="AH198" s="18"/>
      <c r="AI198" s="18"/>
      <c r="AJ198" s="18"/>
      <c r="AK198" s="18"/>
    </row>
    <row r="199" spans="2:37" x14ac:dyDescent="0.3">
      <c r="AC199" s="45"/>
      <c r="AD199" s="17"/>
      <c r="AE199" s="18"/>
      <c r="AF199" s="18"/>
      <c r="AG199" s="18"/>
      <c r="AH199" s="18"/>
      <c r="AI199" s="18"/>
      <c r="AJ199" s="18"/>
      <c r="AK199" s="18"/>
    </row>
    <row r="200" spans="2:37" x14ac:dyDescent="0.3">
      <c r="AC200" s="45"/>
      <c r="AD200" s="17"/>
      <c r="AE200" s="18"/>
      <c r="AF200" s="18"/>
      <c r="AG200" s="18"/>
      <c r="AH200" s="18"/>
      <c r="AI200" s="18"/>
      <c r="AJ200" s="18"/>
      <c r="AK200" s="18"/>
    </row>
    <row r="201" spans="2:37" x14ac:dyDescent="0.3">
      <c r="AC201" s="45"/>
      <c r="AD201" s="17"/>
      <c r="AE201" s="18"/>
      <c r="AF201" s="18"/>
      <c r="AG201" s="18"/>
      <c r="AH201" s="18"/>
      <c r="AI201" s="18"/>
      <c r="AJ201" s="18"/>
      <c r="AK201" s="18"/>
    </row>
    <row r="202" spans="2:37" x14ac:dyDescent="0.3">
      <c r="AC202" s="45"/>
      <c r="AD202" s="17"/>
      <c r="AE202" s="18"/>
      <c r="AF202" s="18"/>
      <c r="AG202" s="18"/>
      <c r="AH202" s="18"/>
      <c r="AI202" s="18"/>
      <c r="AJ202" s="18"/>
      <c r="AK202" s="18"/>
    </row>
    <row r="203" spans="2:37" x14ac:dyDescent="0.3">
      <c r="AC203" s="45"/>
      <c r="AD203" s="17"/>
      <c r="AE203" s="18"/>
      <c r="AF203" s="18"/>
      <c r="AG203" s="18"/>
      <c r="AH203" s="18"/>
      <c r="AI203" s="18"/>
      <c r="AJ203" s="18"/>
      <c r="AK203" s="18"/>
    </row>
    <row r="204" spans="2:37" x14ac:dyDescent="0.3">
      <c r="AC204" s="45"/>
      <c r="AD204" s="17"/>
      <c r="AE204" s="18"/>
      <c r="AF204" s="18"/>
      <c r="AG204" s="18"/>
      <c r="AH204" s="18"/>
      <c r="AI204" s="18"/>
      <c r="AJ204" s="18"/>
      <c r="AK204" s="18"/>
    </row>
    <row r="205" spans="2:37" x14ac:dyDescent="0.3">
      <c r="AD205" s="17"/>
      <c r="AE205" s="18"/>
      <c r="AF205" s="18"/>
      <c r="AG205" s="18"/>
      <c r="AH205" s="18"/>
      <c r="AI205" s="18"/>
      <c r="AJ205" s="18"/>
      <c r="AK205" s="18"/>
    </row>
    <row r="206" spans="2:37" x14ac:dyDescent="0.3">
      <c r="AC206" s="47"/>
      <c r="AD206" s="17"/>
      <c r="AE206" s="17"/>
      <c r="AF206" s="17"/>
      <c r="AG206" s="17"/>
      <c r="AH206" s="17"/>
      <c r="AI206" s="17"/>
      <c r="AJ206" s="17"/>
      <c r="AK206" s="17"/>
    </row>
    <row r="208" spans="2:37" x14ac:dyDescent="0.3">
      <c r="B208" s="42"/>
    </row>
    <row r="209" spans="2:37" x14ac:dyDescent="0.3">
      <c r="B209" s="42"/>
    </row>
    <row r="210" spans="2:37" x14ac:dyDescent="0.3">
      <c r="B210" s="39"/>
      <c r="C210" s="1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C210" s="44"/>
      <c r="AD210" s="17"/>
      <c r="AE210" s="43"/>
      <c r="AF210" s="43"/>
      <c r="AG210" s="43"/>
      <c r="AH210" s="43"/>
      <c r="AI210" s="43"/>
      <c r="AJ210" s="43"/>
      <c r="AK210" s="43"/>
    </row>
    <row r="211" spans="2:37" x14ac:dyDescent="0.3">
      <c r="B211" s="16"/>
      <c r="C211" s="17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C211" s="45"/>
      <c r="AD211" s="17"/>
      <c r="AE211" s="18"/>
      <c r="AF211" s="18"/>
      <c r="AG211" s="18"/>
      <c r="AH211" s="18"/>
      <c r="AI211" s="18"/>
      <c r="AJ211" s="18"/>
      <c r="AK211" s="18"/>
    </row>
    <row r="212" spans="2:37" x14ac:dyDescent="0.3">
      <c r="B212" s="16"/>
      <c r="C212" s="17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C212" s="45"/>
      <c r="AD212" s="17"/>
      <c r="AE212" s="18"/>
      <c r="AF212" s="18"/>
      <c r="AG212" s="18"/>
      <c r="AH212" s="18"/>
      <c r="AI212" s="18"/>
      <c r="AJ212" s="18"/>
      <c r="AK212" s="18"/>
    </row>
    <row r="213" spans="2:37" x14ac:dyDescent="0.3">
      <c r="B213" s="16"/>
      <c r="C213" s="17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C213" s="45"/>
      <c r="AD213" s="17"/>
      <c r="AE213" s="18"/>
      <c r="AF213" s="18"/>
      <c r="AG213" s="18"/>
      <c r="AH213" s="18"/>
      <c r="AI213" s="18"/>
      <c r="AJ213" s="18"/>
      <c r="AK213" s="18"/>
    </row>
    <row r="214" spans="2:37" x14ac:dyDescent="0.3">
      <c r="B214" s="16"/>
      <c r="C214" s="17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C214" s="45"/>
      <c r="AD214" s="17"/>
      <c r="AE214" s="18"/>
      <c r="AF214" s="18"/>
      <c r="AG214" s="18"/>
      <c r="AH214" s="18"/>
      <c r="AI214" s="18"/>
      <c r="AJ214" s="18"/>
      <c r="AK214" s="18"/>
    </row>
    <row r="215" spans="2:37" x14ac:dyDescent="0.3">
      <c r="B215" s="16"/>
      <c r="C215" s="17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C215" s="45"/>
      <c r="AD215" s="17"/>
      <c r="AE215" s="18"/>
      <c r="AF215" s="18"/>
      <c r="AG215" s="18"/>
      <c r="AH215" s="18"/>
      <c r="AI215" s="18"/>
      <c r="AJ215" s="18"/>
      <c r="AK215" s="18"/>
    </row>
    <row r="216" spans="2:37" x14ac:dyDescent="0.3">
      <c r="B216" s="16"/>
      <c r="C216" s="17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C216" s="45"/>
      <c r="AD216" s="17"/>
      <c r="AE216" s="18"/>
      <c r="AF216" s="18"/>
      <c r="AG216" s="18"/>
      <c r="AH216" s="18"/>
      <c r="AI216" s="18"/>
      <c r="AJ216" s="18"/>
      <c r="AK216" s="18"/>
    </row>
    <row r="217" spans="2:37" x14ac:dyDescent="0.3">
      <c r="B217" s="16"/>
      <c r="C217" s="17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C217" s="45"/>
      <c r="AD217" s="17"/>
      <c r="AE217" s="18"/>
      <c r="AF217" s="18"/>
      <c r="AG217" s="18"/>
      <c r="AH217" s="18"/>
      <c r="AI217" s="18"/>
      <c r="AJ217" s="18"/>
      <c r="AK217" s="18"/>
    </row>
    <row r="218" spans="2:37" x14ac:dyDescent="0.3">
      <c r="B218" s="16"/>
      <c r="C218" s="17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C218" s="45"/>
      <c r="AD218" s="17"/>
      <c r="AE218" s="18"/>
      <c r="AF218" s="18"/>
      <c r="AG218" s="18"/>
      <c r="AH218" s="18"/>
      <c r="AI218" s="18"/>
      <c r="AJ218" s="18"/>
      <c r="AK218" s="18"/>
    </row>
    <row r="219" spans="2:37" x14ac:dyDescent="0.3">
      <c r="B219" s="16"/>
      <c r="C219" s="17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C219" s="45"/>
      <c r="AD219" s="17"/>
      <c r="AE219" s="18"/>
      <c r="AF219" s="18"/>
      <c r="AG219" s="18"/>
      <c r="AH219" s="18"/>
      <c r="AI219" s="18"/>
      <c r="AJ219" s="18"/>
      <c r="AK219" s="18"/>
    </row>
    <row r="220" spans="2:37" x14ac:dyDescent="0.3">
      <c r="B220" s="16"/>
      <c r="C220" s="17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C220" s="45"/>
      <c r="AD220" s="17"/>
      <c r="AE220" s="18"/>
      <c r="AF220" s="18"/>
      <c r="AG220" s="18"/>
      <c r="AH220" s="18"/>
      <c r="AI220" s="18"/>
      <c r="AJ220" s="18"/>
      <c r="AK220" s="18"/>
    </row>
    <row r="221" spans="2:37" x14ac:dyDescent="0.3">
      <c r="B221" s="16"/>
      <c r="C221" s="17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C221" s="45"/>
      <c r="AD221" s="17"/>
      <c r="AE221" s="18"/>
      <c r="AF221" s="18"/>
      <c r="AG221" s="18"/>
      <c r="AH221" s="18"/>
      <c r="AI221" s="18"/>
      <c r="AJ221" s="18"/>
      <c r="AK221" s="18"/>
    </row>
    <row r="222" spans="2:37" x14ac:dyDescent="0.3">
      <c r="B222" s="16"/>
      <c r="C222" s="17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C222" s="45"/>
      <c r="AD222" s="17"/>
      <c r="AE222" s="18"/>
      <c r="AF222" s="18"/>
      <c r="AG222" s="18"/>
      <c r="AH222" s="18"/>
      <c r="AI222" s="18"/>
      <c r="AJ222" s="18"/>
      <c r="AK222" s="18"/>
    </row>
    <row r="223" spans="2:37" x14ac:dyDescent="0.3">
      <c r="B223" s="16"/>
      <c r="C223" s="17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C223" s="45"/>
      <c r="AD223" s="17"/>
      <c r="AE223" s="18"/>
      <c r="AF223" s="18"/>
      <c r="AG223" s="18"/>
      <c r="AH223" s="18"/>
      <c r="AI223" s="18"/>
      <c r="AJ223" s="18"/>
      <c r="AK223" s="18"/>
    </row>
    <row r="224" spans="2:37" x14ac:dyDescent="0.3">
      <c r="B224" s="16"/>
      <c r="C224" s="17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C224" s="45"/>
      <c r="AD224" s="17"/>
      <c r="AE224" s="18"/>
      <c r="AF224" s="18"/>
      <c r="AG224" s="18"/>
      <c r="AH224" s="18"/>
      <c r="AI224" s="18"/>
      <c r="AJ224" s="18"/>
      <c r="AK224" s="18"/>
    </row>
    <row r="225" spans="2:37" x14ac:dyDescent="0.3">
      <c r="B225" s="16"/>
      <c r="C225" s="17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C225" s="45"/>
      <c r="AD225" s="17"/>
      <c r="AE225" s="18"/>
      <c r="AF225" s="18"/>
      <c r="AG225" s="18"/>
      <c r="AH225" s="18"/>
      <c r="AI225" s="18"/>
      <c r="AJ225" s="18"/>
      <c r="AK225" s="18"/>
    </row>
    <row r="226" spans="2:37" x14ac:dyDescent="0.3">
      <c r="B226" s="16"/>
      <c r="C226" s="17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C226" s="45"/>
      <c r="AD226" s="17"/>
      <c r="AE226" s="18"/>
      <c r="AF226" s="18"/>
      <c r="AG226" s="18"/>
      <c r="AH226" s="18"/>
      <c r="AI226" s="18"/>
      <c r="AJ226" s="18"/>
      <c r="AK226" s="18"/>
    </row>
    <row r="227" spans="2:37" x14ac:dyDescent="0.3">
      <c r="B227" s="4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C227" s="45"/>
      <c r="AD227" s="17"/>
      <c r="AE227" s="18"/>
      <c r="AF227" s="18"/>
      <c r="AG227" s="18"/>
      <c r="AH227" s="18"/>
      <c r="AI227" s="18"/>
      <c r="AJ227" s="18"/>
      <c r="AK227" s="18"/>
    </row>
    <row r="228" spans="2:37" x14ac:dyDescent="0.3">
      <c r="AC228" s="45"/>
      <c r="AD228" s="17"/>
      <c r="AE228" s="18"/>
      <c r="AF228" s="18"/>
      <c r="AG228" s="18"/>
      <c r="AH228" s="18"/>
      <c r="AI228" s="18"/>
      <c r="AJ228" s="18"/>
      <c r="AK228" s="18"/>
    </row>
    <row r="229" spans="2:37" x14ac:dyDescent="0.3">
      <c r="AC229" s="45"/>
      <c r="AD229" s="17"/>
      <c r="AE229" s="18"/>
      <c r="AF229" s="18"/>
      <c r="AG229" s="18"/>
      <c r="AH229" s="18"/>
      <c r="AI229" s="18"/>
      <c r="AJ229" s="18"/>
      <c r="AK229" s="18"/>
    </row>
    <row r="230" spans="2:37" x14ac:dyDescent="0.3">
      <c r="AC230" s="45"/>
      <c r="AD230" s="17"/>
      <c r="AE230" s="18"/>
      <c r="AF230" s="18"/>
      <c r="AG230" s="18"/>
      <c r="AH230" s="18"/>
      <c r="AI230" s="18"/>
      <c r="AJ230" s="18"/>
      <c r="AK230" s="18"/>
    </row>
    <row r="231" spans="2:37" x14ac:dyDescent="0.3">
      <c r="AC231" s="45"/>
      <c r="AD231" s="17"/>
      <c r="AE231" s="18"/>
      <c r="AF231" s="18"/>
      <c r="AG231" s="18"/>
      <c r="AH231" s="18"/>
      <c r="AI231" s="18"/>
      <c r="AJ231" s="18"/>
      <c r="AK231" s="18"/>
    </row>
    <row r="232" spans="2:37" x14ac:dyDescent="0.3">
      <c r="AC232" s="45"/>
      <c r="AD232" s="17"/>
      <c r="AE232" s="18"/>
      <c r="AF232" s="18"/>
      <c r="AG232" s="18"/>
      <c r="AH232" s="18"/>
      <c r="AI232" s="18"/>
      <c r="AJ232" s="18"/>
      <c r="AK232" s="18"/>
    </row>
    <row r="233" spans="2:37" x14ac:dyDescent="0.3">
      <c r="AC233" s="45"/>
      <c r="AD233" s="17"/>
      <c r="AE233" s="18"/>
      <c r="AF233" s="18"/>
      <c r="AG233" s="18"/>
      <c r="AH233" s="18"/>
      <c r="AI233" s="18"/>
      <c r="AJ233" s="18"/>
      <c r="AK233" s="18"/>
    </row>
    <row r="234" spans="2:37" x14ac:dyDescent="0.3">
      <c r="AC234" s="45"/>
      <c r="AD234" s="17"/>
      <c r="AE234" s="18"/>
      <c r="AF234" s="18"/>
      <c r="AG234" s="18"/>
      <c r="AH234" s="18"/>
      <c r="AI234" s="18"/>
      <c r="AJ234" s="18"/>
      <c r="AK234" s="18"/>
    </row>
    <row r="235" spans="2:37" x14ac:dyDescent="0.3">
      <c r="AD235" s="17"/>
      <c r="AE235" s="18"/>
      <c r="AF235" s="18"/>
      <c r="AG235" s="18"/>
      <c r="AH235" s="18"/>
      <c r="AI235" s="18"/>
      <c r="AJ235" s="18"/>
      <c r="AK235" s="18"/>
    </row>
    <row r="236" spans="2:37" x14ac:dyDescent="0.3">
      <c r="AC236" s="47"/>
      <c r="AD236" s="17"/>
      <c r="AE236" s="17"/>
      <c r="AF236" s="17"/>
      <c r="AG236" s="17"/>
      <c r="AH236" s="17"/>
      <c r="AI236" s="17"/>
      <c r="AJ236" s="17"/>
      <c r="AK236" s="17"/>
    </row>
    <row r="238" spans="2:37" x14ac:dyDescent="0.3">
      <c r="B238" s="42"/>
    </row>
    <row r="239" spans="2:37" x14ac:dyDescent="0.3">
      <c r="B239" s="42"/>
    </row>
    <row r="240" spans="2:37" x14ac:dyDescent="0.3">
      <c r="B240" s="39"/>
      <c r="C240" s="17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C240" s="44"/>
      <c r="AD240" s="17"/>
      <c r="AE240" s="43"/>
      <c r="AF240" s="43"/>
      <c r="AG240" s="43"/>
      <c r="AH240" s="43"/>
      <c r="AI240" s="43"/>
      <c r="AJ240" s="43"/>
      <c r="AK240" s="43"/>
    </row>
    <row r="241" spans="2:37" x14ac:dyDescent="0.3">
      <c r="B241" s="16"/>
      <c r="C241" s="17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C241" s="45"/>
      <c r="AD241" s="17"/>
      <c r="AE241" s="18"/>
      <c r="AF241" s="18"/>
      <c r="AG241" s="18"/>
      <c r="AH241" s="18"/>
      <c r="AI241" s="18"/>
      <c r="AJ241" s="18"/>
      <c r="AK241" s="18"/>
    </row>
    <row r="242" spans="2:37" x14ac:dyDescent="0.3">
      <c r="B242" s="16"/>
      <c r="C242" s="17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C242" s="45"/>
      <c r="AD242" s="17"/>
      <c r="AE242" s="18"/>
      <c r="AF242" s="18"/>
      <c r="AG242" s="18"/>
      <c r="AH242" s="18"/>
      <c r="AI242" s="18"/>
      <c r="AJ242" s="18"/>
      <c r="AK242" s="18"/>
    </row>
    <row r="243" spans="2:37" x14ac:dyDescent="0.3">
      <c r="B243" s="16"/>
      <c r="C243" s="17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C243" s="45"/>
      <c r="AD243" s="17"/>
      <c r="AE243" s="18"/>
      <c r="AF243" s="18"/>
      <c r="AG243" s="18"/>
      <c r="AH243" s="18"/>
      <c r="AI243" s="18"/>
      <c r="AJ243" s="18"/>
      <c r="AK243" s="18"/>
    </row>
    <row r="244" spans="2:37" x14ac:dyDescent="0.3">
      <c r="B244" s="16"/>
      <c r="C244" s="17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C244" s="45"/>
      <c r="AD244" s="17"/>
      <c r="AE244" s="18"/>
      <c r="AF244" s="18"/>
      <c r="AG244" s="18"/>
      <c r="AH244" s="18"/>
      <c r="AI244" s="18"/>
      <c r="AJ244" s="18"/>
      <c r="AK244" s="18"/>
    </row>
    <row r="245" spans="2:37" x14ac:dyDescent="0.3">
      <c r="B245" s="16"/>
      <c r="C245" s="17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C245" s="45"/>
      <c r="AD245" s="17"/>
      <c r="AE245" s="18"/>
      <c r="AF245" s="18"/>
      <c r="AG245" s="18"/>
      <c r="AH245" s="18"/>
      <c r="AI245" s="18"/>
      <c r="AJ245" s="18"/>
      <c r="AK245" s="18"/>
    </row>
    <row r="246" spans="2:37" x14ac:dyDescent="0.3">
      <c r="B246" s="16"/>
      <c r="C246" s="17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C246" s="45"/>
      <c r="AD246" s="17"/>
      <c r="AE246" s="18"/>
      <c r="AF246" s="18"/>
      <c r="AG246" s="18"/>
      <c r="AH246" s="18"/>
      <c r="AI246" s="18"/>
      <c r="AJ246" s="18"/>
      <c r="AK246" s="18"/>
    </row>
    <row r="247" spans="2:37" x14ac:dyDescent="0.3">
      <c r="B247" s="16"/>
      <c r="C247" s="17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C247" s="45"/>
      <c r="AD247" s="17"/>
      <c r="AE247" s="18"/>
      <c r="AF247" s="18"/>
      <c r="AG247" s="18"/>
      <c r="AH247" s="18"/>
      <c r="AI247" s="18"/>
      <c r="AJ247" s="18"/>
      <c r="AK247" s="18"/>
    </row>
    <row r="248" spans="2:37" x14ac:dyDescent="0.3">
      <c r="B248" s="16"/>
      <c r="C248" s="17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C248" s="45"/>
      <c r="AD248" s="17"/>
      <c r="AE248" s="18"/>
      <c r="AF248" s="18"/>
      <c r="AG248" s="18"/>
      <c r="AH248" s="18"/>
      <c r="AI248" s="18"/>
      <c r="AJ248" s="18"/>
      <c r="AK248" s="18"/>
    </row>
    <row r="249" spans="2:37" x14ac:dyDescent="0.3">
      <c r="B249" s="16"/>
      <c r="C249" s="17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C249" s="45"/>
      <c r="AD249" s="17"/>
      <c r="AE249" s="18"/>
      <c r="AF249" s="18"/>
      <c r="AG249" s="18"/>
      <c r="AH249" s="18"/>
      <c r="AI249" s="18"/>
      <c r="AJ249" s="18"/>
      <c r="AK249" s="18"/>
    </row>
    <row r="250" spans="2:37" x14ac:dyDescent="0.3">
      <c r="B250" s="16"/>
      <c r="C250" s="17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C250" s="45"/>
      <c r="AD250" s="17"/>
      <c r="AE250" s="18"/>
      <c r="AF250" s="18"/>
      <c r="AG250" s="18"/>
      <c r="AH250" s="18"/>
      <c r="AI250" s="18"/>
      <c r="AJ250" s="18"/>
      <c r="AK250" s="18"/>
    </row>
    <row r="251" spans="2:37" x14ac:dyDescent="0.3">
      <c r="B251" s="16"/>
      <c r="C251" s="17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C251" s="45"/>
      <c r="AD251" s="17"/>
      <c r="AE251" s="18"/>
      <c r="AF251" s="18"/>
      <c r="AG251" s="18"/>
      <c r="AH251" s="18"/>
      <c r="AI251" s="18"/>
      <c r="AJ251" s="18"/>
      <c r="AK251" s="18"/>
    </row>
    <row r="252" spans="2:37" x14ac:dyDescent="0.3">
      <c r="B252" s="16"/>
      <c r="C252" s="17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C252" s="45"/>
      <c r="AD252" s="17"/>
      <c r="AE252" s="18"/>
      <c r="AF252" s="18"/>
      <c r="AG252" s="18"/>
      <c r="AH252" s="18"/>
      <c r="AI252" s="18"/>
      <c r="AJ252" s="18"/>
      <c r="AK252" s="18"/>
    </row>
    <row r="253" spans="2:37" x14ac:dyDescent="0.3">
      <c r="B253" s="16"/>
      <c r="C253" s="17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C253" s="45"/>
      <c r="AD253" s="17"/>
      <c r="AE253" s="18"/>
      <c r="AF253" s="18"/>
      <c r="AG253" s="18"/>
      <c r="AH253" s="18"/>
      <c r="AI253" s="18"/>
      <c r="AJ253" s="18"/>
      <c r="AK253" s="18"/>
    </row>
    <row r="254" spans="2:37" x14ac:dyDescent="0.3">
      <c r="B254" s="16"/>
      <c r="C254" s="17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C254" s="45"/>
      <c r="AD254" s="17"/>
      <c r="AE254" s="18"/>
      <c r="AF254" s="18"/>
      <c r="AG254" s="18"/>
      <c r="AH254" s="18"/>
      <c r="AI254" s="18"/>
      <c r="AJ254" s="18"/>
      <c r="AK254" s="18"/>
    </row>
    <row r="255" spans="2:37" x14ac:dyDescent="0.3">
      <c r="B255" s="16"/>
      <c r="C255" s="17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C255" s="45"/>
      <c r="AD255" s="17"/>
      <c r="AE255" s="18"/>
      <c r="AF255" s="18"/>
      <c r="AG255" s="18"/>
      <c r="AH255" s="18"/>
      <c r="AI255" s="18"/>
      <c r="AJ255" s="18"/>
      <c r="AK255" s="18"/>
    </row>
    <row r="256" spans="2:37" x14ac:dyDescent="0.3">
      <c r="B256" s="16"/>
      <c r="C256" s="17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C256" s="45"/>
      <c r="AD256" s="17"/>
      <c r="AE256" s="18"/>
      <c r="AF256" s="18"/>
      <c r="AG256" s="18"/>
      <c r="AH256" s="18"/>
      <c r="AI256" s="18"/>
      <c r="AJ256" s="18"/>
      <c r="AK256" s="18"/>
    </row>
    <row r="257" spans="2:37" x14ac:dyDescent="0.3">
      <c r="B257" s="4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C257" s="45"/>
      <c r="AD257" s="17"/>
      <c r="AE257" s="18"/>
      <c r="AF257" s="18"/>
      <c r="AG257" s="18"/>
      <c r="AH257" s="18"/>
      <c r="AI257" s="18"/>
      <c r="AJ257" s="18"/>
      <c r="AK257" s="18"/>
    </row>
    <row r="258" spans="2:37" x14ac:dyDescent="0.3">
      <c r="AC258" s="45"/>
      <c r="AD258" s="17"/>
      <c r="AE258" s="18"/>
      <c r="AF258" s="18"/>
      <c r="AG258" s="18"/>
      <c r="AH258" s="18"/>
      <c r="AI258" s="18"/>
      <c r="AJ258" s="18"/>
      <c r="AK258" s="18"/>
    </row>
    <row r="259" spans="2:37" x14ac:dyDescent="0.3">
      <c r="AC259" s="45"/>
      <c r="AD259" s="17"/>
      <c r="AE259" s="18"/>
      <c r="AF259" s="18"/>
      <c r="AG259" s="18"/>
      <c r="AH259" s="18"/>
      <c r="AI259" s="18"/>
      <c r="AJ259" s="18"/>
      <c r="AK259" s="18"/>
    </row>
    <row r="260" spans="2:37" x14ac:dyDescent="0.3">
      <c r="AC260" s="45"/>
      <c r="AD260" s="17"/>
      <c r="AE260" s="18"/>
      <c r="AF260" s="18"/>
      <c r="AG260" s="18"/>
      <c r="AH260" s="18"/>
      <c r="AI260" s="18"/>
      <c r="AJ260" s="18"/>
      <c r="AK260" s="18"/>
    </row>
    <row r="261" spans="2:37" x14ac:dyDescent="0.3">
      <c r="AC261" s="45"/>
      <c r="AD261" s="17"/>
      <c r="AE261" s="18"/>
      <c r="AF261" s="18"/>
      <c r="AG261" s="18"/>
      <c r="AH261" s="18"/>
      <c r="AI261" s="18"/>
      <c r="AJ261" s="18"/>
      <c r="AK261" s="18"/>
    </row>
    <row r="262" spans="2:37" x14ac:dyDescent="0.3">
      <c r="AC262" s="45"/>
      <c r="AD262" s="17"/>
      <c r="AE262" s="18"/>
      <c r="AF262" s="18"/>
      <c r="AG262" s="18"/>
      <c r="AH262" s="18"/>
      <c r="AI262" s="18"/>
      <c r="AJ262" s="18"/>
      <c r="AK262" s="18"/>
    </row>
    <row r="263" spans="2:37" x14ac:dyDescent="0.3">
      <c r="AC263" s="45"/>
      <c r="AD263" s="17"/>
      <c r="AE263" s="18"/>
      <c r="AF263" s="18"/>
      <c r="AG263" s="18"/>
      <c r="AH263" s="18"/>
      <c r="AI263" s="18"/>
      <c r="AJ263" s="18"/>
      <c r="AK263" s="18"/>
    </row>
    <row r="264" spans="2:37" x14ac:dyDescent="0.3">
      <c r="AC264" s="45"/>
      <c r="AD264" s="17"/>
      <c r="AE264" s="18"/>
      <c r="AF264" s="18"/>
      <c r="AG264" s="18"/>
      <c r="AH264" s="18"/>
      <c r="AI264" s="18"/>
      <c r="AJ264" s="18"/>
      <c r="AK264" s="18"/>
    </row>
    <row r="265" spans="2:37" x14ac:dyDescent="0.3">
      <c r="AD265" s="17"/>
      <c r="AE265" s="18"/>
      <c r="AF265" s="18"/>
      <c r="AG265" s="18"/>
      <c r="AH265" s="18"/>
      <c r="AI265" s="18"/>
      <c r="AJ265" s="18"/>
      <c r="AK265" s="18"/>
    </row>
    <row r="266" spans="2:37" x14ac:dyDescent="0.3">
      <c r="AC266" s="47"/>
      <c r="AD266" s="17"/>
      <c r="AE266" s="17"/>
      <c r="AF266" s="17"/>
      <c r="AG266" s="17"/>
      <c r="AH266" s="17"/>
      <c r="AI266" s="17"/>
      <c r="AJ266" s="17"/>
      <c r="AK266" s="17"/>
    </row>
    <row r="268" spans="2:37" x14ac:dyDescent="0.3">
      <c r="B268" s="42"/>
    </row>
    <row r="269" spans="2:37" x14ac:dyDescent="0.3">
      <c r="B269" s="42"/>
    </row>
    <row r="270" spans="2:37" x14ac:dyDescent="0.3">
      <c r="B270" s="39"/>
      <c r="C270" s="17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C270" s="44"/>
      <c r="AD270" s="17"/>
      <c r="AE270" s="43"/>
      <c r="AF270" s="43"/>
      <c r="AG270" s="43"/>
      <c r="AH270" s="43"/>
      <c r="AI270" s="43"/>
      <c r="AJ270" s="43"/>
      <c r="AK270" s="43"/>
    </row>
    <row r="271" spans="2:37" x14ac:dyDescent="0.3">
      <c r="B271" s="16"/>
      <c r="C271" s="17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C271" s="45"/>
      <c r="AD271" s="17"/>
      <c r="AE271" s="18"/>
      <c r="AF271" s="18"/>
      <c r="AG271" s="18"/>
      <c r="AH271" s="18"/>
      <c r="AI271" s="18"/>
      <c r="AJ271" s="18"/>
      <c r="AK271" s="18"/>
    </row>
    <row r="272" spans="2:37" x14ac:dyDescent="0.3">
      <c r="B272" s="16"/>
      <c r="C272" s="17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C272" s="45"/>
      <c r="AD272" s="17"/>
      <c r="AE272" s="18"/>
      <c r="AF272" s="18"/>
      <c r="AG272" s="18"/>
      <c r="AH272" s="18"/>
      <c r="AI272" s="18"/>
      <c r="AJ272" s="18"/>
      <c r="AK272" s="18"/>
    </row>
    <row r="273" spans="2:37" x14ac:dyDescent="0.3">
      <c r="B273" s="16"/>
      <c r="C273" s="17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C273" s="45"/>
      <c r="AD273" s="17"/>
      <c r="AE273" s="18"/>
      <c r="AF273" s="18"/>
      <c r="AG273" s="18"/>
      <c r="AH273" s="18"/>
      <c r="AI273" s="18"/>
      <c r="AJ273" s="18"/>
      <c r="AK273" s="18"/>
    </row>
    <row r="274" spans="2:37" x14ac:dyDescent="0.3">
      <c r="B274" s="16"/>
      <c r="C274" s="17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C274" s="45"/>
      <c r="AD274" s="17"/>
      <c r="AE274" s="18"/>
      <c r="AF274" s="18"/>
      <c r="AG274" s="18"/>
      <c r="AH274" s="18"/>
      <c r="AI274" s="18"/>
      <c r="AJ274" s="18"/>
      <c r="AK274" s="18"/>
    </row>
    <row r="275" spans="2:37" x14ac:dyDescent="0.3">
      <c r="B275" s="16"/>
      <c r="C275" s="17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C275" s="45"/>
      <c r="AD275" s="17"/>
      <c r="AE275" s="18"/>
      <c r="AF275" s="18"/>
      <c r="AG275" s="18"/>
      <c r="AH275" s="18"/>
      <c r="AI275" s="18"/>
      <c r="AJ275" s="18"/>
      <c r="AK275" s="18"/>
    </row>
    <row r="276" spans="2:37" x14ac:dyDescent="0.3">
      <c r="B276" s="16"/>
      <c r="C276" s="17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C276" s="45"/>
      <c r="AD276" s="17"/>
      <c r="AE276" s="18"/>
      <c r="AF276" s="18"/>
      <c r="AG276" s="18"/>
      <c r="AH276" s="18"/>
      <c r="AI276" s="18"/>
      <c r="AJ276" s="18"/>
      <c r="AK276" s="18"/>
    </row>
    <row r="277" spans="2:37" x14ac:dyDescent="0.3">
      <c r="B277" s="16"/>
      <c r="C277" s="17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C277" s="45"/>
      <c r="AD277" s="17"/>
      <c r="AE277" s="18"/>
      <c r="AF277" s="18"/>
      <c r="AG277" s="18"/>
      <c r="AH277" s="18"/>
      <c r="AI277" s="18"/>
      <c r="AJ277" s="18"/>
      <c r="AK277" s="18"/>
    </row>
    <row r="278" spans="2:37" x14ac:dyDescent="0.3">
      <c r="B278" s="16"/>
      <c r="C278" s="17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C278" s="45"/>
      <c r="AD278" s="17"/>
      <c r="AE278" s="18"/>
      <c r="AF278" s="18"/>
      <c r="AG278" s="18"/>
      <c r="AH278" s="18"/>
      <c r="AI278" s="18"/>
      <c r="AJ278" s="18"/>
      <c r="AK278" s="18"/>
    </row>
    <row r="279" spans="2:37" x14ac:dyDescent="0.3">
      <c r="B279" s="16"/>
      <c r="C279" s="17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C279" s="45"/>
      <c r="AD279" s="17"/>
      <c r="AE279" s="18"/>
      <c r="AF279" s="18"/>
      <c r="AG279" s="18"/>
      <c r="AH279" s="18"/>
      <c r="AI279" s="18"/>
      <c r="AJ279" s="18"/>
      <c r="AK279" s="18"/>
    </row>
    <row r="280" spans="2:37" x14ac:dyDescent="0.3">
      <c r="B280" s="16"/>
      <c r="C280" s="17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C280" s="45"/>
      <c r="AD280" s="17"/>
      <c r="AE280" s="18"/>
      <c r="AF280" s="18"/>
      <c r="AG280" s="18"/>
      <c r="AH280" s="18"/>
      <c r="AI280" s="18"/>
      <c r="AJ280" s="18"/>
      <c r="AK280" s="18"/>
    </row>
    <row r="281" spans="2:37" x14ac:dyDescent="0.3">
      <c r="B281" s="16"/>
      <c r="C281" s="17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C281" s="45"/>
      <c r="AD281" s="17"/>
      <c r="AE281" s="18"/>
      <c r="AF281" s="18"/>
      <c r="AG281" s="18"/>
      <c r="AH281" s="18"/>
      <c r="AI281" s="18"/>
      <c r="AJ281" s="18"/>
      <c r="AK281" s="18"/>
    </row>
    <row r="282" spans="2:37" x14ac:dyDescent="0.3">
      <c r="B282" s="16"/>
      <c r="C282" s="17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C282" s="45"/>
      <c r="AD282" s="17"/>
      <c r="AE282" s="18"/>
      <c r="AF282" s="18"/>
      <c r="AG282" s="18"/>
      <c r="AH282" s="18"/>
      <c r="AI282" s="18"/>
      <c r="AJ282" s="18"/>
      <c r="AK282" s="18"/>
    </row>
    <row r="283" spans="2:37" x14ac:dyDescent="0.3">
      <c r="B283" s="16"/>
      <c r="C283" s="17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C283" s="45"/>
      <c r="AD283" s="17"/>
      <c r="AE283" s="18"/>
      <c r="AF283" s="18"/>
      <c r="AG283" s="18"/>
      <c r="AH283" s="18"/>
      <c r="AI283" s="18"/>
      <c r="AJ283" s="18"/>
      <c r="AK283" s="18"/>
    </row>
    <row r="284" spans="2:37" x14ac:dyDescent="0.3">
      <c r="B284" s="16"/>
      <c r="C284" s="17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C284" s="45"/>
      <c r="AD284" s="17"/>
      <c r="AE284" s="18"/>
      <c r="AF284" s="18"/>
      <c r="AG284" s="18"/>
      <c r="AH284" s="18"/>
      <c r="AI284" s="18"/>
      <c r="AJ284" s="18"/>
      <c r="AK284" s="18"/>
    </row>
    <row r="285" spans="2:37" x14ac:dyDescent="0.3">
      <c r="B285" s="16"/>
      <c r="C285" s="17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C285" s="45"/>
      <c r="AD285" s="17"/>
      <c r="AE285" s="18"/>
      <c r="AF285" s="18"/>
      <c r="AG285" s="18"/>
      <c r="AH285" s="18"/>
      <c r="AI285" s="18"/>
      <c r="AJ285" s="18"/>
      <c r="AK285" s="18"/>
    </row>
    <row r="286" spans="2:37" x14ac:dyDescent="0.3">
      <c r="B286" s="16"/>
      <c r="C286" s="17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C286" s="45"/>
      <c r="AD286" s="17"/>
      <c r="AE286" s="18"/>
      <c r="AF286" s="18"/>
      <c r="AG286" s="18"/>
      <c r="AH286" s="18"/>
      <c r="AI286" s="18"/>
      <c r="AJ286" s="18"/>
      <c r="AK286" s="18"/>
    </row>
    <row r="287" spans="2:37" x14ac:dyDescent="0.3">
      <c r="B287" s="46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C287" s="45"/>
      <c r="AD287" s="17"/>
      <c r="AE287" s="18"/>
      <c r="AF287" s="18"/>
      <c r="AG287" s="18"/>
      <c r="AH287" s="18"/>
      <c r="AI287" s="18"/>
      <c r="AJ287" s="18"/>
      <c r="AK287" s="18"/>
    </row>
    <row r="288" spans="2:37" x14ac:dyDescent="0.3">
      <c r="AC288" s="45"/>
      <c r="AD288" s="17"/>
      <c r="AE288" s="18"/>
      <c r="AF288" s="18"/>
      <c r="AG288" s="18"/>
      <c r="AH288" s="18"/>
      <c r="AI288" s="18"/>
      <c r="AJ288" s="18"/>
      <c r="AK288" s="18"/>
    </row>
    <row r="289" spans="2:37" x14ac:dyDescent="0.3">
      <c r="AC289" s="45"/>
      <c r="AD289" s="17"/>
      <c r="AE289" s="18"/>
      <c r="AF289" s="18"/>
      <c r="AG289" s="18"/>
      <c r="AH289" s="18"/>
      <c r="AI289" s="18"/>
      <c r="AJ289" s="18"/>
      <c r="AK289" s="18"/>
    </row>
    <row r="290" spans="2:37" x14ac:dyDescent="0.3">
      <c r="AC290" s="45"/>
      <c r="AD290" s="17"/>
      <c r="AE290" s="18"/>
      <c r="AF290" s="18"/>
      <c r="AG290" s="18"/>
      <c r="AH290" s="18"/>
      <c r="AI290" s="18"/>
      <c r="AJ290" s="18"/>
      <c r="AK290" s="18"/>
    </row>
    <row r="291" spans="2:37" x14ac:dyDescent="0.3">
      <c r="AC291" s="45"/>
      <c r="AD291" s="17"/>
      <c r="AE291" s="18"/>
      <c r="AF291" s="18"/>
      <c r="AG291" s="18"/>
      <c r="AH291" s="18"/>
      <c r="AI291" s="18"/>
      <c r="AJ291" s="18"/>
      <c r="AK291" s="18"/>
    </row>
    <row r="292" spans="2:37" x14ac:dyDescent="0.3">
      <c r="AC292" s="45"/>
      <c r="AD292" s="17"/>
      <c r="AE292" s="18"/>
      <c r="AF292" s="18"/>
      <c r="AG292" s="18"/>
      <c r="AH292" s="18"/>
      <c r="AI292" s="18"/>
      <c r="AJ292" s="18"/>
      <c r="AK292" s="18"/>
    </row>
    <row r="293" spans="2:37" x14ac:dyDescent="0.3">
      <c r="AC293" s="45"/>
      <c r="AD293" s="17"/>
      <c r="AE293" s="18"/>
      <c r="AF293" s="18"/>
      <c r="AG293" s="18"/>
      <c r="AH293" s="18"/>
      <c r="AI293" s="18"/>
      <c r="AJ293" s="18"/>
      <c r="AK293" s="18"/>
    </row>
    <row r="294" spans="2:37" x14ac:dyDescent="0.3">
      <c r="AC294" s="45"/>
      <c r="AD294" s="17"/>
      <c r="AE294" s="18"/>
      <c r="AF294" s="18"/>
      <c r="AG294" s="18"/>
      <c r="AH294" s="18"/>
      <c r="AI294" s="18"/>
      <c r="AJ294" s="18"/>
      <c r="AK294" s="18"/>
    </row>
    <row r="295" spans="2:37" x14ac:dyDescent="0.3">
      <c r="AD295" s="17"/>
      <c r="AE295" s="18"/>
      <c r="AF295" s="18"/>
      <c r="AG295" s="18"/>
      <c r="AH295" s="18"/>
      <c r="AI295" s="18"/>
      <c r="AJ295" s="18"/>
      <c r="AK295" s="18"/>
    </row>
    <row r="296" spans="2:37" x14ac:dyDescent="0.3">
      <c r="AC296" s="47"/>
      <c r="AD296" s="17"/>
      <c r="AE296" s="17"/>
      <c r="AF296" s="17"/>
      <c r="AG296" s="17"/>
      <c r="AH296" s="17"/>
      <c r="AI296" s="17"/>
      <c r="AJ296" s="17"/>
      <c r="AK296" s="17"/>
    </row>
    <row r="298" spans="2:37" x14ac:dyDescent="0.3">
      <c r="B298" s="42"/>
    </row>
    <row r="299" spans="2:37" x14ac:dyDescent="0.3">
      <c r="B299" s="42"/>
    </row>
    <row r="300" spans="2:37" x14ac:dyDescent="0.3">
      <c r="B300" s="39"/>
      <c r="C300" s="17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C300" s="44"/>
      <c r="AD300" s="17"/>
      <c r="AE300" s="43"/>
      <c r="AF300" s="43"/>
      <c r="AG300" s="43"/>
      <c r="AH300" s="43"/>
      <c r="AI300" s="43"/>
      <c r="AJ300" s="43"/>
      <c r="AK300" s="43"/>
    </row>
    <row r="301" spans="2:37" x14ac:dyDescent="0.3">
      <c r="B301" s="16"/>
      <c r="C301" s="17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C301" s="45"/>
      <c r="AD301" s="17"/>
      <c r="AE301" s="18"/>
      <c r="AF301" s="18"/>
      <c r="AG301" s="18"/>
      <c r="AH301" s="18"/>
      <c r="AI301" s="18"/>
      <c r="AJ301" s="18"/>
      <c r="AK301" s="18"/>
    </row>
    <row r="302" spans="2:37" x14ac:dyDescent="0.3">
      <c r="B302" s="16"/>
      <c r="C302" s="17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C302" s="45"/>
      <c r="AD302" s="17"/>
      <c r="AE302" s="18"/>
      <c r="AF302" s="18"/>
      <c r="AG302" s="18"/>
      <c r="AH302" s="18"/>
      <c r="AI302" s="18"/>
      <c r="AJ302" s="18"/>
      <c r="AK302" s="18"/>
    </row>
    <row r="303" spans="2:37" x14ac:dyDescent="0.3">
      <c r="B303" s="16"/>
      <c r="C303" s="17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C303" s="45"/>
      <c r="AD303" s="17"/>
      <c r="AE303" s="18"/>
      <c r="AF303" s="18"/>
      <c r="AG303" s="18"/>
      <c r="AH303" s="18"/>
      <c r="AI303" s="18"/>
      <c r="AJ303" s="18"/>
      <c r="AK303" s="18"/>
    </row>
    <row r="304" spans="2:37" x14ac:dyDescent="0.3">
      <c r="B304" s="16"/>
      <c r="C304" s="17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C304" s="45"/>
      <c r="AD304" s="17"/>
      <c r="AE304" s="18"/>
      <c r="AF304" s="18"/>
      <c r="AG304" s="18"/>
      <c r="AH304" s="18"/>
      <c r="AI304" s="18"/>
      <c r="AJ304" s="18"/>
      <c r="AK304" s="18"/>
    </row>
    <row r="305" spans="2:37" x14ac:dyDescent="0.3">
      <c r="B305" s="16"/>
      <c r="C305" s="17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C305" s="45"/>
      <c r="AD305" s="17"/>
      <c r="AE305" s="18"/>
      <c r="AF305" s="18"/>
      <c r="AG305" s="18"/>
      <c r="AH305" s="18"/>
      <c r="AI305" s="18"/>
      <c r="AJ305" s="18"/>
      <c r="AK305" s="18"/>
    </row>
    <row r="306" spans="2:37" x14ac:dyDescent="0.3">
      <c r="B306" s="16"/>
      <c r="C306" s="17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C306" s="45"/>
      <c r="AD306" s="17"/>
      <c r="AE306" s="18"/>
      <c r="AF306" s="18"/>
      <c r="AG306" s="18"/>
      <c r="AH306" s="18"/>
      <c r="AI306" s="18"/>
      <c r="AJ306" s="18"/>
      <c r="AK306" s="18"/>
    </row>
    <row r="307" spans="2:37" x14ac:dyDescent="0.3">
      <c r="B307" s="16"/>
      <c r="C307" s="17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C307" s="45"/>
      <c r="AD307" s="17"/>
      <c r="AE307" s="18"/>
      <c r="AF307" s="18"/>
      <c r="AG307" s="18"/>
      <c r="AH307" s="18"/>
      <c r="AI307" s="18"/>
      <c r="AJ307" s="18"/>
      <c r="AK307" s="18"/>
    </row>
    <row r="308" spans="2:37" x14ac:dyDescent="0.3">
      <c r="B308" s="16"/>
      <c r="C308" s="17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C308" s="45"/>
      <c r="AD308" s="17"/>
      <c r="AE308" s="18"/>
      <c r="AF308" s="18"/>
      <c r="AG308" s="18"/>
      <c r="AH308" s="18"/>
      <c r="AI308" s="18"/>
      <c r="AJ308" s="18"/>
      <c r="AK308" s="18"/>
    </row>
    <row r="309" spans="2:37" x14ac:dyDescent="0.3">
      <c r="B309" s="16"/>
      <c r="C309" s="17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C309" s="45"/>
      <c r="AD309" s="17"/>
      <c r="AE309" s="18"/>
      <c r="AF309" s="18"/>
      <c r="AG309" s="18"/>
      <c r="AH309" s="18"/>
      <c r="AI309" s="18"/>
      <c r="AJ309" s="18"/>
      <c r="AK309" s="18"/>
    </row>
    <row r="310" spans="2:37" x14ac:dyDescent="0.3">
      <c r="B310" s="16"/>
      <c r="C310" s="17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C310" s="45"/>
      <c r="AD310" s="17"/>
      <c r="AE310" s="18"/>
      <c r="AF310" s="18"/>
      <c r="AG310" s="18"/>
      <c r="AH310" s="18"/>
      <c r="AI310" s="18"/>
      <c r="AJ310" s="18"/>
      <c r="AK310" s="18"/>
    </row>
    <row r="311" spans="2:37" x14ac:dyDescent="0.3">
      <c r="B311" s="16"/>
      <c r="C311" s="17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C311" s="45"/>
      <c r="AD311" s="17"/>
      <c r="AE311" s="18"/>
      <c r="AF311" s="18"/>
      <c r="AG311" s="18"/>
      <c r="AH311" s="18"/>
      <c r="AI311" s="18"/>
      <c r="AJ311" s="18"/>
      <c r="AK311" s="18"/>
    </row>
    <row r="312" spans="2:37" x14ac:dyDescent="0.3">
      <c r="B312" s="16"/>
      <c r="C312" s="17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C312" s="45"/>
      <c r="AD312" s="17"/>
      <c r="AE312" s="18"/>
      <c r="AF312" s="18"/>
      <c r="AG312" s="18"/>
      <c r="AH312" s="18"/>
      <c r="AI312" s="18"/>
      <c r="AJ312" s="18"/>
      <c r="AK312" s="18"/>
    </row>
    <row r="313" spans="2:37" x14ac:dyDescent="0.3">
      <c r="B313" s="16"/>
      <c r="C313" s="17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C313" s="45"/>
      <c r="AD313" s="17"/>
      <c r="AE313" s="18"/>
      <c r="AF313" s="18"/>
      <c r="AG313" s="18"/>
      <c r="AH313" s="18"/>
      <c r="AI313" s="18"/>
      <c r="AJ313" s="18"/>
      <c r="AK313" s="18"/>
    </row>
    <row r="314" spans="2:37" x14ac:dyDescent="0.3">
      <c r="B314" s="16"/>
      <c r="C314" s="17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C314" s="45"/>
      <c r="AD314" s="17"/>
      <c r="AE314" s="18"/>
      <c r="AF314" s="18"/>
      <c r="AG314" s="18"/>
      <c r="AH314" s="18"/>
      <c r="AI314" s="18"/>
      <c r="AJ314" s="18"/>
      <c r="AK314" s="18"/>
    </row>
    <row r="315" spans="2:37" x14ac:dyDescent="0.3">
      <c r="B315" s="16"/>
      <c r="C315" s="17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C315" s="45"/>
      <c r="AD315" s="17"/>
      <c r="AE315" s="18"/>
      <c r="AF315" s="18"/>
      <c r="AG315" s="18"/>
      <c r="AH315" s="18"/>
      <c r="AI315" s="18"/>
      <c r="AJ315" s="18"/>
      <c r="AK315" s="18"/>
    </row>
    <row r="316" spans="2:37" x14ac:dyDescent="0.3">
      <c r="B316" s="16"/>
      <c r="C316" s="17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C316" s="45"/>
      <c r="AD316" s="17"/>
      <c r="AE316" s="18"/>
      <c r="AF316" s="18"/>
      <c r="AG316" s="18"/>
      <c r="AH316" s="18"/>
      <c r="AI316" s="18"/>
      <c r="AJ316" s="18"/>
      <c r="AK316" s="18"/>
    </row>
    <row r="317" spans="2:37" x14ac:dyDescent="0.3">
      <c r="B317" s="46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C317" s="45"/>
      <c r="AD317" s="17"/>
      <c r="AE317" s="18"/>
      <c r="AF317" s="18"/>
      <c r="AG317" s="18"/>
      <c r="AH317" s="18"/>
      <c r="AI317" s="18"/>
      <c r="AJ317" s="18"/>
      <c r="AK317" s="18"/>
    </row>
    <row r="318" spans="2:37" x14ac:dyDescent="0.3">
      <c r="AC318" s="45"/>
      <c r="AD318" s="17"/>
      <c r="AE318" s="18"/>
      <c r="AF318" s="18"/>
      <c r="AG318" s="18"/>
      <c r="AH318" s="18"/>
      <c r="AI318" s="18"/>
      <c r="AJ318" s="18"/>
      <c r="AK318" s="18"/>
    </row>
    <row r="319" spans="2:37" x14ac:dyDescent="0.3">
      <c r="AC319" s="45"/>
      <c r="AD319" s="17"/>
      <c r="AE319" s="18"/>
      <c r="AF319" s="18"/>
      <c r="AG319" s="18"/>
      <c r="AH319" s="18"/>
      <c r="AI319" s="18"/>
      <c r="AJ319" s="18"/>
      <c r="AK319" s="18"/>
    </row>
    <row r="320" spans="2:37" x14ac:dyDescent="0.3">
      <c r="AC320" s="45"/>
      <c r="AD320" s="17"/>
      <c r="AE320" s="18"/>
      <c r="AF320" s="18"/>
      <c r="AG320" s="18"/>
      <c r="AH320" s="18"/>
      <c r="AI320" s="18"/>
      <c r="AJ320" s="18"/>
      <c r="AK320" s="18"/>
    </row>
    <row r="321" spans="2:37" x14ac:dyDescent="0.3">
      <c r="AC321" s="45"/>
      <c r="AD321" s="17"/>
      <c r="AE321" s="18"/>
      <c r="AF321" s="18"/>
      <c r="AG321" s="18"/>
      <c r="AH321" s="18"/>
      <c r="AI321" s="18"/>
      <c r="AJ321" s="18"/>
      <c r="AK321" s="18"/>
    </row>
    <row r="322" spans="2:37" x14ac:dyDescent="0.3">
      <c r="AC322" s="45"/>
      <c r="AD322" s="17"/>
      <c r="AE322" s="18"/>
      <c r="AF322" s="18"/>
      <c r="AG322" s="18"/>
      <c r="AH322" s="18"/>
      <c r="AI322" s="18"/>
      <c r="AJ322" s="18"/>
      <c r="AK322" s="18"/>
    </row>
    <row r="323" spans="2:37" x14ac:dyDescent="0.3">
      <c r="AC323" s="45"/>
      <c r="AD323" s="17"/>
      <c r="AE323" s="18"/>
      <c r="AF323" s="18"/>
      <c r="AG323" s="18"/>
      <c r="AH323" s="18"/>
      <c r="AI323" s="18"/>
      <c r="AJ323" s="18"/>
      <c r="AK323" s="18"/>
    </row>
    <row r="324" spans="2:37" x14ac:dyDescent="0.3">
      <c r="AC324" s="45"/>
      <c r="AD324" s="17"/>
      <c r="AE324" s="18"/>
      <c r="AF324" s="18"/>
      <c r="AG324" s="18"/>
      <c r="AH324" s="18"/>
      <c r="AI324" s="18"/>
      <c r="AJ324" s="18"/>
      <c r="AK324" s="18"/>
    </row>
    <row r="325" spans="2:37" x14ac:dyDescent="0.3">
      <c r="AD325" s="17"/>
      <c r="AE325" s="18"/>
      <c r="AF325" s="18"/>
      <c r="AG325" s="18"/>
      <c r="AH325" s="18"/>
      <c r="AI325" s="18"/>
      <c r="AJ325" s="18"/>
      <c r="AK325" s="18"/>
    </row>
    <row r="326" spans="2:37" x14ac:dyDescent="0.3">
      <c r="AC326" s="47"/>
      <c r="AD326" s="17"/>
      <c r="AE326" s="17"/>
      <c r="AF326" s="17"/>
      <c r="AG326" s="17"/>
      <c r="AH326" s="17"/>
      <c r="AI326" s="17"/>
      <c r="AJ326" s="17"/>
      <c r="AK326" s="17"/>
    </row>
    <row r="328" spans="2:37" x14ac:dyDescent="0.3">
      <c r="B328" s="42"/>
    </row>
    <row r="329" spans="2:37" x14ac:dyDescent="0.3">
      <c r="B329" s="42"/>
    </row>
    <row r="330" spans="2:37" x14ac:dyDescent="0.3">
      <c r="B330" s="39"/>
      <c r="C330" s="17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C330" s="44"/>
      <c r="AD330" s="17"/>
      <c r="AE330" s="43"/>
      <c r="AF330" s="43"/>
      <c r="AG330" s="43"/>
      <c r="AH330" s="43"/>
      <c r="AI330" s="43"/>
      <c r="AJ330" s="43"/>
      <c r="AK330" s="43"/>
    </row>
    <row r="331" spans="2:37" x14ac:dyDescent="0.3">
      <c r="B331" s="16"/>
      <c r="C331" s="17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C331" s="45"/>
      <c r="AD331" s="17"/>
      <c r="AE331" s="18"/>
      <c r="AF331" s="18"/>
      <c r="AG331" s="18"/>
      <c r="AH331" s="18"/>
      <c r="AI331" s="18"/>
      <c r="AJ331" s="18"/>
      <c r="AK331" s="18"/>
    </row>
    <row r="332" spans="2:37" x14ac:dyDescent="0.3">
      <c r="B332" s="16"/>
      <c r="C332" s="17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C332" s="45"/>
      <c r="AD332" s="17"/>
      <c r="AE332" s="18"/>
      <c r="AF332" s="18"/>
      <c r="AG332" s="18"/>
      <c r="AH332" s="18"/>
      <c r="AI332" s="18"/>
      <c r="AJ332" s="18"/>
      <c r="AK332" s="18"/>
    </row>
    <row r="333" spans="2:37" x14ac:dyDescent="0.3">
      <c r="B333" s="16"/>
      <c r="C333" s="17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C333" s="45"/>
      <c r="AD333" s="17"/>
      <c r="AE333" s="18"/>
      <c r="AF333" s="18"/>
      <c r="AG333" s="18"/>
      <c r="AH333" s="18"/>
      <c r="AI333" s="18"/>
      <c r="AJ333" s="18"/>
      <c r="AK333" s="18"/>
    </row>
    <row r="334" spans="2:37" x14ac:dyDescent="0.3">
      <c r="B334" s="16"/>
      <c r="C334" s="17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C334" s="45"/>
      <c r="AD334" s="17"/>
      <c r="AE334" s="18"/>
      <c r="AF334" s="18"/>
      <c r="AG334" s="18"/>
      <c r="AH334" s="18"/>
      <c r="AI334" s="18"/>
      <c r="AJ334" s="18"/>
      <c r="AK334" s="18"/>
    </row>
    <row r="335" spans="2:37" x14ac:dyDescent="0.3">
      <c r="B335" s="16"/>
      <c r="C335" s="17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C335" s="45"/>
      <c r="AD335" s="17"/>
      <c r="AE335" s="18"/>
      <c r="AF335" s="18"/>
      <c r="AG335" s="18"/>
      <c r="AH335" s="18"/>
      <c r="AI335" s="18"/>
      <c r="AJ335" s="18"/>
      <c r="AK335" s="18"/>
    </row>
    <row r="336" spans="2:37" x14ac:dyDescent="0.3">
      <c r="B336" s="16"/>
      <c r="C336" s="17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C336" s="45"/>
      <c r="AD336" s="17"/>
      <c r="AE336" s="18"/>
      <c r="AF336" s="18"/>
      <c r="AG336" s="18"/>
      <c r="AH336" s="18"/>
      <c r="AI336" s="18"/>
      <c r="AJ336" s="18"/>
      <c r="AK336" s="18"/>
    </row>
    <row r="337" spans="2:37" x14ac:dyDescent="0.3">
      <c r="B337" s="16"/>
      <c r="C337" s="17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C337" s="45"/>
      <c r="AD337" s="17"/>
      <c r="AE337" s="18"/>
      <c r="AF337" s="18"/>
      <c r="AG337" s="18"/>
      <c r="AH337" s="18"/>
      <c r="AI337" s="18"/>
      <c r="AJ337" s="18"/>
      <c r="AK337" s="18"/>
    </row>
    <row r="338" spans="2:37" x14ac:dyDescent="0.3">
      <c r="B338" s="16"/>
      <c r="C338" s="17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C338" s="45"/>
      <c r="AD338" s="17"/>
      <c r="AE338" s="18"/>
      <c r="AF338" s="18"/>
      <c r="AG338" s="18"/>
      <c r="AH338" s="18"/>
      <c r="AI338" s="18"/>
      <c r="AJ338" s="18"/>
      <c r="AK338" s="18"/>
    </row>
    <row r="339" spans="2:37" x14ac:dyDescent="0.3">
      <c r="B339" s="16"/>
      <c r="C339" s="17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C339" s="45"/>
      <c r="AD339" s="17"/>
      <c r="AE339" s="18"/>
      <c r="AF339" s="18"/>
      <c r="AG339" s="18"/>
      <c r="AH339" s="18"/>
      <c r="AI339" s="18"/>
      <c r="AJ339" s="18"/>
      <c r="AK339" s="18"/>
    </row>
    <row r="340" spans="2:37" x14ac:dyDescent="0.3">
      <c r="B340" s="16"/>
      <c r="C340" s="17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C340" s="45"/>
      <c r="AD340" s="17"/>
      <c r="AE340" s="18"/>
      <c r="AF340" s="18"/>
      <c r="AG340" s="18"/>
      <c r="AH340" s="18"/>
      <c r="AI340" s="18"/>
      <c r="AJ340" s="18"/>
      <c r="AK340" s="18"/>
    </row>
    <row r="341" spans="2:37" x14ac:dyDescent="0.3">
      <c r="B341" s="16"/>
      <c r="C341" s="17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C341" s="45"/>
      <c r="AD341" s="17"/>
      <c r="AE341" s="18"/>
      <c r="AF341" s="18"/>
      <c r="AG341" s="18"/>
      <c r="AH341" s="18"/>
      <c r="AI341" s="18"/>
      <c r="AJ341" s="18"/>
      <c r="AK341" s="18"/>
    </row>
    <row r="342" spans="2:37" x14ac:dyDescent="0.3">
      <c r="B342" s="16"/>
      <c r="C342" s="17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C342" s="45"/>
      <c r="AD342" s="17"/>
      <c r="AE342" s="18"/>
      <c r="AF342" s="18"/>
      <c r="AG342" s="18"/>
      <c r="AH342" s="18"/>
      <c r="AI342" s="18"/>
      <c r="AJ342" s="18"/>
      <c r="AK342" s="18"/>
    </row>
    <row r="343" spans="2:37" x14ac:dyDescent="0.3">
      <c r="B343" s="16"/>
      <c r="C343" s="17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C343" s="45"/>
      <c r="AD343" s="17"/>
      <c r="AE343" s="18"/>
      <c r="AF343" s="18"/>
      <c r="AG343" s="18"/>
      <c r="AH343" s="18"/>
      <c r="AI343" s="18"/>
      <c r="AJ343" s="18"/>
      <c r="AK343" s="18"/>
    </row>
    <row r="344" spans="2:37" x14ac:dyDescent="0.3">
      <c r="B344" s="16"/>
      <c r="C344" s="17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C344" s="45"/>
      <c r="AD344" s="17"/>
      <c r="AE344" s="18"/>
      <c r="AF344" s="18"/>
      <c r="AG344" s="18"/>
      <c r="AH344" s="18"/>
      <c r="AI344" s="18"/>
      <c r="AJ344" s="18"/>
      <c r="AK344" s="18"/>
    </row>
    <row r="345" spans="2:37" x14ac:dyDescent="0.3">
      <c r="B345" s="16"/>
      <c r="C345" s="17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C345" s="45"/>
      <c r="AD345" s="17"/>
      <c r="AE345" s="18"/>
      <c r="AF345" s="18"/>
      <c r="AG345" s="18"/>
      <c r="AH345" s="18"/>
      <c r="AI345" s="18"/>
      <c r="AJ345" s="18"/>
      <c r="AK345" s="18"/>
    </row>
    <row r="346" spans="2:37" x14ac:dyDescent="0.3">
      <c r="B346" s="16"/>
      <c r="C346" s="17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C346" s="45"/>
      <c r="AD346" s="17"/>
      <c r="AE346" s="18"/>
      <c r="AF346" s="18"/>
      <c r="AG346" s="18"/>
      <c r="AH346" s="18"/>
      <c r="AI346" s="18"/>
      <c r="AJ346" s="18"/>
      <c r="AK346" s="18"/>
    </row>
    <row r="347" spans="2:37" x14ac:dyDescent="0.3">
      <c r="B347" s="46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C347" s="45"/>
      <c r="AD347" s="17"/>
      <c r="AE347" s="18"/>
      <c r="AF347" s="18"/>
      <c r="AG347" s="18"/>
      <c r="AH347" s="18"/>
      <c r="AI347" s="18"/>
      <c r="AJ347" s="18"/>
      <c r="AK347" s="18"/>
    </row>
    <row r="348" spans="2:37" x14ac:dyDescent="0.3">
      <c r="AC348" s="45"/>
      <c r="AD348" s="17"/>
      <c r="AE348" s="18"/>
      <c r="AF348" s="18"/>
      <c r="AG348" s="18"/>
      <c r="AH348" s="18"/>
      <c r="AI348" s="18"/>
      <c r="AJ348" s="18"/>
      <c r="AK348" s="18"/>
    </row>
    <row r="349" spans="2:37" x14ac:dyDescent="0.3">
      <c r="AC349" s="45"/>
      <c r="AD349" s="17"/>
      <c r="AE349" s="18"/>
      <c r="AF349" s="18"/>
      <c r="AG349" s="18"/>
      <c r="AH349" s="18"/>
      <c r="AI349" s="18"/>
      <c r="AJ349" s="18"/>
      <c r="AK349" s="18"/>
    </row>
    <row r="350" spans="2:37" x14ac:dyDescent="0.3">
      <c r="AC350" s="45"/>
      <c r="AD350" s="17"/>
      <c r="AE350" s="18"/>
      <c r="AF350" s="18"/>
      <c r="AG350" s="18"/>
      <c r="AH350" s="18"/>
      <c r="AI350" s="18"/>
      <c r="AJ350" s="18"/>
      <c r="AK350" s="18"/>
    </row>
    <row r="351" spans="2:37" x14ac:dyDescent="0.3">
      <c r="AC351" s="45"/>
      <c r="AD351" s="17"/>
      <c r="AE351" s="18"/>
      <c r="AF351" s="18"/>
      <c r="AG351" s="18"/>
      <c r="AH351" s="18"/>
      <c r="AI351" s="18"/>
      <c r="AJ351" s="18"/>
      <c r="AK351" s="18"/>
    </row>
    <row r="352" spans="2:37" x14ac:dyDescent="0.3">
      <c r="AC352" s="45"/>
      <c r="AD352" s="17"/>
      <c r="AE352" s="18"/>
      <c r="AF352" s="18"/>
      <c r="AG352" s="18"/>
      <c r="AH352" s="18"/>
      <c r="AI352" s="18"/>
      <c r="AJ352" s="18"/>
      <c r="AK352" s="18"/>
    </row>
    <row r="353" spans="2:37" x14ac:dyDescent="0.3">
      <c r="AC353" s="45"/>
      <c r="AD353" s="17"/>
      <c r="AE353" s="18"/>
      <c r="AF353" s="18"/>
      <c r="AG353" s="18"/>
      <c r="AH353" s="18"/>
      <c r="AI353" s="18"/>
      <c r="AJ353" s="18"/>
      <c r="AK353" s="18"/>
    </row>
    <row r="354" spans="2:37" x14ac:dyDescent="0.3">
      <c r="AC354" s="45"/>
      <c r="AD354" s="17"/>
      <c r="AE354" s="18"/>
      <c r="AF354" s="18"/>
      <c r="AG354" s="18"/>
      <c r="AH354" s="18"/>
      <c r="AI354" s="18"/>
      <c r="AJ354" s="18"/>
      <c r="AK354" s="18"/>
    </row>
    <row r="355" spans="2:37" x14ac:dyDescent="0.3">
      <c r="AD355" s="17"/>
      <c r="AE355" s="18"/>
      <c r="AF355" s="18"/>
      <c r="AG355" s="18"/>
      <c r="AH355" s="18"/>
      <c r="AI355" s="18"/>
      <c r="AJ355" s="18"/>
      <c r="AK355" s="18"/>
    </row>
    <row r="356" spans="2:37" x14ac:dyDescent="0.3">
      <c r="AC356" s="47"/>
      <c r="AD356" s="17"/>
      <c r="AE356" s="17"/>
      <c r="AF356" s="17"/>
      <c r="AG356" s="17"/>
      <c r="AH356" s="17"/>
      <c r="AI356" s="17"/>
      <c r="AJ356" s="17"/>
      <c r="AK356" s="17"/>
    </row>
    <row r="358" spans="2:37" x14ac:dyDescent="0.3">
      <c r="B358" s="42"/>
    </row>
    <row r="359" spans="2:37" x14ac:dyDescent="0.3">
      <c r="B359" s="42"/>
    </row>
    <row r="360" spans="2:37" x14ac:dyDescent="0.3">
      <c r="B360" s="39"/>
      <c r="C360" s="17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C360" s="44"/>
      <c r="AD360" s="17"/>
      <c r="AE360" s="43"/>
      <c r="AF360" s="43"/>
      <c r="AG360" s="43"/>
      <c r="AH360" s="43"/>
      <c r="AI360" s="43"/>
      <c r="AJ360" s="43"/>
      <c r="AK360" s="43"/>
    </row>
    <row r="361" spans="2:37" x14ac:dyDescent="0.3">
      <c r="B361" s="16"/>
      <c r="C361" s="17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C361" s="45"/>
      <c r="AD361" s="17"/>
      <c r="AE361" s="18"/>
      <c r="AF361" s="18"/>
      <c r="AG361" s="18"/>
      <c r="AH361" s="18"/>
      <c r="AI361" s="18"/>
      <c r="AJ361" s="18"/>
      <c r="AK361" s="18"/>
    </row>
    <row r="362" spans="2:37" x14ac:dyDescent="0.3">
      <c r="B362" s="16"/>
      <c r="C362" s="17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C362" s="45"/>
      <c r="AD362" s="17"/>
      <c r="AE362" s="18"/>
      <c r="AF362" s="18"/>
      <c r="AG362" s="18"/>
      <c r="AH362" s="18"/>
      <c r="AI362" s="18"/>
      <c r="AJ362" s="18"/>
      <c r="AK362" s="18"/>
    </row>
    <row r="363" spans="2:37" x14ac:dyDescent="0.3">
      <c r="B363" s="16"/>
      <c r="C363" s="17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C363" s="45"/>
      <c r="AD363" s="17"/>
      <c r="AE363" s="18"/>
      <c r="AF363" s="18"/>
      <c r="AG363" s="18"/>
      <c r="AH363" s="18"/>
      <c r="AI363" s="18"/>
      <c r="AJ363" s="18"/>
      <c r="AK363" s="18"/>
    </row>
    <row r="364" spans="2:37" x14ac:dyDescent="0.3">
      <c r="B364" s="16"/>
      <c r="C364" s="17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C364" s="45"/>
      <c r="AD364" s="17"/>
      <c r="AE364" s="18"/>
      <c r="AF364" s="18"/>
      <c r="AG364" s="18"/>
      <c r="AH364" s="18"/>
      <c r="AI364" s="18"/>
      <c r="AJ364" s="18"/>
      <c r="AK364" s="18"/>
    </row>
    <row r="365" spans="2:37" x14ac:dyDescent="0.3">
      <c r="B365" s="16"/>
      <c r="C365" s="17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C365" s="45"/>
      <c r="AD365" s="17"/>
      <c r="AE365" s="18"/>
      <c r="AF365" s="18"/>
      <c r="AG365" s="18"/>
      <c r="AH365" s="18"/>
      <c r="AI365" s="18"/>
      <c r="AJ365" s="18"/>
      <c r="AK365" s="18"/>
    </row>
    <row r="366" spans="2:37" x14ac:dyDescent="0.3">
      <c r="B366" s="16"/>
      <c r="C366" s="17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C366" s="45"/>
      <c r="AD366" s="17"/>
      <c r="AE366" s="18"/>
      <c r="AF366" s="18"/>
      <c r="AG366" s="18"/>
      <c r="AH366" s="18"/>
      <c r="AI366" s="18"/>
      <c r="AJ366" s="18"/>
      <c r="AK366" s="18"/>
    </row>
    <row r="367" spans="2:37" x14ac:dyDescent="0.3">
      <c r="B367" s="16"/>
      <c r="C367" s="17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C367" s="45"/>
      <c r="AD367" s="17"/>
      <c r="AE367" s="18"/>
      <c r="AF367" s="18"/>
      <c r="AG367" s="18"/>
      <c r="AH367" s="18"/>
      <c r="AI367" s="18"/>
      <c r="AJ367" s="18"/>
      <c r="AK367" s="18"/>
    </row>
    <row r="368" spans="2:37" x14ac:dyDescent="0.3">
      <c r="B368" s="16"/>
      <c r="C368" s="17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C368" s="45"/>
      <c r="AD368" s="17"/>
      <c r="AE368" s="18"/>
      <c r="AF368" s="18"/>
      <c r="AG368" s="18"/>
      <c r="AH368" s="18"/>
      <c r="AI368" s="18"/>
      <c r="AJ368" s="18"/>
      <c r="AK368" s="18"/>
    </row>
    <row r="369" spans="2:37" x14ac:dyDescent="0.3">
      <c r="B369" s="16"/>
      <c r="C369" s="17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C369" s="45"/>
      <c r="AD369" s="17"/>
      <c r="AE369" s="18"/>
      <c r="AF369" s="18"/>
      <c r="AG369" s="18"/>
      <c r="AH369" s="18"/>
      <c r="AI369" s="18"/>
      <c r="AJ369" s="18"/>
      <c r="AK369" s="18"/>
    </row>
    <row r="370" spans="2:37" x14ac:dyDescent="0.3">
      <c r="B370" s="16"/>
      <c r="C370" s="17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C370" s="45"/>
      <c r="AD370" s="17"/>
      <c r="AE370" s="18"/>
      <c r="AF370" s="18"/>
      <c r="AG370" s="18"/>
      <c r="AH370" s="18"/>
      <c r="AI370" s="18"/>
      <c r="AJ370" s="18"/>
      <c r="AK370" s="18"/>
    </row>
    <row r="371" spans="2:37" x14ac:dyDescent="0.3">
      <c r="B371" s="16"/>
      <c r="C371" s="17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C371" s="45"/>
      <c r="AD371" s="17"/>
      <c r="AE371" s="18"/>
      <c r="AF371" s="18"/>
      <c r="AG371" s="18"/>
      <c r="AH371" s="18"/>
      <c r="AI371" s="18"/>
      <c r="AJ371" s="18"/>
      <c r="AK371" s="18"/>
    </row>
    <row r="372" spans="2:37" x14ac:dyDescent="0.3">
      <c r="B372" s="16"/>
      <c r="C372" s="17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C372" s="45"/>
      <c r="AD372" s="17"/>
      <c r="AE372" s="18"/>
      <c r="AF372" s="18"/>
      <c r="AG372" s="18"/>
      <c r="AH372" s="18"/>
      <c r="AI372" s="18"/>
      <c r="AJ372" s="18"/>
      <c r="AK372" s="18"/>
    </row>
    <row r="373" spans="2:37" x14ac:dyDescent="0.3">
      <c r="B373" s="16"/>
      <c r="C373" s="17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C373" s="45"/>
      <c r="AD373" s="17"/>
      <c r="AE373" s="18"/>
      <c r="AF373" s="18"/>
      <c r="AG373" s="18"/>
      <c r="AH373" s="18"/>
      <c r="AI373" s="18"/>
      <c r="AJ373" s="18"/>
      <c r="AK373" s="18"/>
    </row>
    <row r="374" spans="2:37" x14ac:dyDescent="0.3">
      <c r="B374" s="16"/>
      <c r="C374" s="17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C374" s="45"/>
      <c r="AD374" s="17"/>
      <c r="AE374" s="18"/>
      <c r="AF374" s="18"/>
      <c r="AG374" s="18"/>
      <c r="AH374" s="18"/>
      <c r="AI374" s="18"/>
      <c r="AJ374" s="18"/>
      <c r="AK374" s="18"/>
    </row>
    <row r="375" spans="2:37" x14ac:dyDescent="0.3">
      <c r="B375" s="16"/>
      <c r="C375" s="17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C375" s="45"/>
      <c r="AD375" s="17"/>
      <c r="AE375" s="18"/>
      <c r="AF375" s="18"/>
      <c r="AG375" s="18"/>
      <c r="AH375" s="18"/>
      <c r="AI375" s="18"/>
      <c r="AJ375" s="18"/>
      <c r="AK375" s="18"/>
    </row>
    <row r="376" spans="2:37" x14ac:dyDescent="0.3">
      <c r="B376" s="16"/>
      <c r="C376" s="17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C376" s="45"/>
      <c r="AD376" s="17"/>
      <c r="AE376" s="18"/>
      <c r="AF376" s="18"/>
      <c r="AG376" s="18"/>
      <c r="AH376" s="18"/>
      <c r="AI376" s="18"/>
      <c r="AJ376" s="18"/>
      <c r="AK376" s="18"/>
    </row>
    <row r="377" spans="2:37" x14ac:dyDescent="0.3">
      <c r="B377" s="46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C377" s="45"/>
      <c r="AD377" s="17"/>
      <c r="AE377" s="18"/>
      <c r="AF377" s="18"/>
      <c r="AG377" s="18"/>
      <c r="AH377" s="18"/>
      <c r="AI377" s="18"/>
      <c r="AJ377" s="18"/>
      <c r="AK377" s="18"/>
    </row>
    <row r="378" spans="2:37" x14ac:dyDescent="0.3">
      <c r="AC378" s="45"/>
      <c r="AD378" s="17"/>
      <c r="AE378" s="18"/>
      <c r="AF378" s="18"/>
      <c r="AG378" s="18"/>
      <c r="AH378" s="18"/>
      <c r="AI378" s="18"/>
      <c r="AJ378" s="18"/>
      <c r="AK378" s="18"/>
    </row>
    <row r="379" spans="2:37" x14ac:dyDescent="0.3">
      <c r="AC379" s="45"/>
      <c r="AD379" s="17"/>
      <c r="AE379" s="18"/>
      <c r="AF379" s="18"/>
      <c r="AG379" s="18"/>
      <c r="AH379" s="18"/>
      <c r="AI379" s="18"/>
      <c r="AJ379" s="18"/>
      <c r="AK379" s="18"/>
    </row>
    <row r="380" spans="2:37" x14ac:dyDescent="0.3">
      <c r="AC380" s="45"/>
      <c r="AD380" s="17"/>
      <c r="AE380" s="18"/>
      <c r="AF380" s="18"/>
      <c r="AG380" s="18"/>
      <c r="AH380" s="18"/>
      <c r="AI380" s="18"/>
      <c r="AJ380" s="18"/>
      <c r="AK380" s="18"/>
    </row>
    <row r="381" spans="2:37" x14ac:dyDescent="0.3">
      <c r="AC381" s="45"/>
      <c r="AD381" s="17"/>
      <c r="AE381" s="18"/>
      <c r="AF381" s="18"/>
      <c r="AG381" s="18"/>
      <c r="AH381" s="18"/>
      <c r="AI381" s="18"/>
      <c r="AJ381" s="18"/>
      <c r="AK381" s="18"/>
    </row>
    <row r="382" spans="2:37" x14ac:dyDescent="0.3">
      <c r="AC382" s="45"/>
      <c r="AD382" s="17"/>
      <c r="AE382" s="18"/>
      <c r="AF382" s="18"/>
      <c r="AG382" s="18"/>
      <c r="AH382" s="18"/>
      <c r="AI382" s="18"/>
      <c r="AJ382" s="18"/>
      <c r="AK382" s="18"/>
    </row>
    <row r="383" spans="2:37" x14ac:dyDescent="0.3">
      <c r="AC383" s="45"/>
      <c r="AD383" s="17"/>
      <c r="AE383" s="18"/>
      <c r="AF383" s="18"/>
      <c r="AG383" s="18"/>
      <c r="AH383" s="18"/>
      <c r="AI383" s="18"/>
      <c r="AJ383" s="18"/>
      <c r="AK383" s="18"/>
    </row>
    <row r="384" spans="2:37" x14ac:dyDescent="0.3">
      <c r="AC384" s="45"/>
      <c r="AD384" s="17"/>
      <c r="AE384" s="18"/>
      <c r="AF384" s="18"/>
      <c r="AG384" s="18"/>
      <c r="AH384" s="18"/>
      <c r="AI384" s="18"/>
      <c r="AJ384" s="18"/>
      <c r="AK384" s="18"/>
    </row>
    <row r="385" spans="2:37" x14ac:dyDescent="0.3">
      <c r="AD385" s="17"/>
      <c r="AE385" s="18"/>
      <c r="AF385" s="18"/>
      <c r="AG385" s="18"/>
      <c r="AH385" s="18"/>
      <c r="AI385" s="18"/>
      <c r="AJ385" s="18"/>
      <c r="AK385" s="18"/>
    </row>
    <row r="386" spans="2:37" x14ac:dyDescent="0.3">
      <c r="AC386" s="47"/>
      <c r="AD386" s="17"/>
      <c r="AE386" s="17"/>
      <c r="AF386" s="17"/>
      <c r="AG386" s="17"/>
      <c r="AH386" s="17"/>
      <c r="AI386" s="17"/>
      <c r="AJ386" s="17"/>
      <c r="AK386" s="17"/>
    </row>
    <row r="388" spans="2:37" x14ac:dyDescent="0.3">
      <c r="B388" s="42"/>
    </row>
    <row r="389" spans="2:37" x14ac:dyDescent="0.3">
      <c r="B389" s="42"/>
    </row>
    <row r="390" spans="2:37" x14ac:dyDescent="0.3">
      <c r="B390" s="39"/>
      <c r="C390" s="17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C390" s="44"/>
      <c r="AD390" s="17"/>
      <c r="AE390" s="43"/>
      <c r="AF390" s="43"/>
      <c r="AG390" s="43"/>
      <c r="AH390" s="43"/>
      <c r="AI390" s="43"/>
      <c r="AJ390" s="43"/>
      <c r="AK390" s="43"/>
    </row>
    <row r="391" spans="2:37" x14ac:dyDescent="0.3">
      <c r="B391" s="16"/>
      <c r="C391" s="17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C391" s="45"/>
      <c r="AD391" s="17"/>
      <c r="AE391" s="18"/>
      <c r="AF391" s="18"/>
      <c r="AG391" s="18"/>
      <c r="AH391" s="18"/>
      <c r="AI391" s="18"/>
      <c r="AJ391" s="18"/>
      <c r="AK391" s="18"/>
    </row>
    <row r="392" spans="2:37" x14ac:dyDescent="0.3">
      <c r="B392" s="16"/>
      <c r="C392" s="17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C392" s="45"/>
      <c r="AD392" s="17"/>
      <c r="AE392" s="18"/>
      <c r="AF392" s="18"/>
      <c r="AG392" s="18"/>
      <c r="AH392" s="18"/>
      <c r="AI392" s="18"/>
      <c r="AJ392" s="18"/>
      <c r="AK392" s="18"/>
    </row>
    <row r="393" spans="2:37" x14ac:dyDescent="0.3">
      <c r="B393" s="16"/>
      <c r="C393" s="17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C393" s="45"/>
      <c r="AD393" s="17"/>
      <c r="AE393" s="18"/>
      <c r="AF393" s="18"/>
      <c r="AG393" s="18"/>
      <c r="AH393" s="18"/>
      <c r="AI393" s="18"/>
      <c r="AJ393" s="18"/>
      <c r="AK393" s="18"/>
    </row>
    <row r="394" spans="2:37" x14ac:dyDescent="0.3">
      <c r="B394" s="16"/>
      <c r="C394" s="17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C394" s="45"/>
      <c r="AD394" s="17"/>
      <c r="AE394" s="18"/>
      <c r="AF394" s="18"/>
      <c r="AG394" s="18"/>
      <c r="AH394" s="18"/>
      <c r="AI394" s="18"/>
      <c r="AJ394" s="18"/>
      <c r="AK394" s="18"/>
    </row>
    <row r="395" spans="2:37" x14ac:dyDescent="0.3">
      <c r="B395" s="16"/>
      <c r="C395" s="17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C395" s="45"/>
      <c r="AD395" s="17"/>
      <c r="AE395" s="18"/>
      <c r="AF395" s="18"/>
      <c r="AG395" s="18"/>
      <c r="AH395" s="18"/>
      <c r="AI395" s="18"/>
      <c r="AJ395" s="18"/>
      <c r="AK395" s="18"/>
    </row>
    <row r="396" spans="2:37" x14ac:dyDescent="0.3">
      <c r="B396" s="16"/>
      <c r="C396" s="17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C396" s="45"/>
      <c r="AD396" s="17"/>
      <c r="AE396" s="18"/>
      <c r="AF396" s="18"/>
      <c r="AG396" s="18"/>
      <c r="AH396" s="18"/>
      <c r="AI396" s="18"/>
      <c r="AJ396" s="18"/>
      <c r="AK396" s="18"/>
    </row>
    <row r="397" spans="2:37" x14ac:dyDescent="0.3">
      <c r="B397" s="16"/>
      <c r="C397" s="17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C397" s="45"/>
      <c r="AD397" s="17"/>
      <c r="AE397" s="18"/>
      <c r="AF397" s="18"/>
      <c r="AG397" s="18"/>
      <c r="AH397" s="18"/>
      <c r="AI397" s="18"/>
      <c r="AJ397" s="18"/>
      <c r="AK397" s="18"/>
    </row>
    <row r="398" spans="2:37" x14ac:dyDescent="0.3">
      <c r="B398" s="16"/>
      <c r="C398" s="17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C398" s="45"/>
      <c r="AD398" s="17"/>
      <c r="AE398" s="18"/>
      <c r="AF398" s="18"/>
      <c r="AG398" s="18"/>
      <c r="AH398" s="18"/>
      <c r="AI398" s="18"/>
      <c r="AJ398" s="18"/>
      <c r="AK398" s="18"/>
    </row>
    <row r="399" spans="2:37" x14ac:dyDescent="0.3">
      <c r="B399" s="16"/>
      <c r="C399" s="17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C399" s="45"/>
      <c r="AD399" s="17"/>
      <c r="AE399" s="18"/>
      <c r="AF399" s="18"/>
      <c r="AG399" s="18"/>
      <c r="AH399" s="18"/>
      <c r="AI399" s="18"/>
      <c r="AJ399" s="18"/>
      <c r="AK399" s="18"/>
    </row>
    <row r="400" spans="2:37" x14ac:dyDescent="0.3">
      <c r="B400" s="16"/>
      <c r="C400" s="17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C400" s="45"/>
      <c r="AD400" s="17"/>
      <c r="AE400" s="18"/>
      <c r="AF400" s="18"/>
      <c r="AG400" s="18"/>
      <c r="AH400" s="18"/>
      <c r="AI400" s="18"/>
      <c r="AJ400" s="18"/>
      <c r="AK400" s="18"/>
    </row>
    <row r="401" spans="2:37" x14ac:dyDescent="0.3">
      <c r="B401" s="16"/>
      <c r="C401" s="17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C401" s="45"/>
      <c r="AD401" s="17"/>
      <c r="AE401" s="18"/>
      <c r="AF401" s="18"/>
      <c r="AG401" s="18"/>
      <c r="AH401" s="18"/>
      <c r="AI401" s="18"/>
      <c r="AJ401" s="18"/>
      <c r="AK401" s="18"/>
    </row>
    <row r="402" spans="2:37" x14ac:dyDescent="0.3">
      <c r="B402" s="16"/>
      <c r="C402" s="17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C402" s="45"/>
      <c r="AD402" s="17"/>
      <c r="AE402" s="18"/>
      <c r="AF402" s="18"/>
      <c r="AG402" s="18"/>
      <c r="AH402" s="18"/>
      <c r="AI402" s="18"/>
      <c r="AJ402" s="18"/>
      <c r="AK402" s="18"/>
    </row>
    <row r="403" spans="2:37" x14ac:dyDescent="0.3">
      <c r="B403" s="16"/>
      <c r="C403" s="17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C403" s="45"/>
      <c r="AD403" s="17"/>
      <c r="AE403" s="18"/>
      <c r="AF403" s="18"/>
      <c r="AG403" s="18"/>
      <c r="AH403" s="18"/>
      <c r="AI403" s="18"/>
      <c r="AJ403" s="18"/>
      <c r="AK403" s="18"/>
    </row>
    <row r="404" spans="2:37" x14ac:dyDescent="0.3">
      <c r="B404" s="16"/>
      <c r="C404" s="17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C404" s="45"/>
      <c r="AD404" s="17"/>
      <c r="AE404" s="18"/>
      <c r="AF404" s="18"/>
      <c r="AG404" s="18"/>
      <c r="AH404" s="18"/>
      <c r="AI404" s="18"/>
      <c r="AJ404" s="18"/>
      <c r="AK404" s="18"/>
    </row>
    <row r="405" spans="2:37" x14ac:dyDescent="0.3">
      <c r="B405" s="16"/>
      <c r="C405" s="17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C405" s="45"/>
      <c r="AD405" s="17"/>
      <c r="AE405" s="18"/>
      <c r="AF405" s="18"/>
      <c r="AG405" s="18"/>
      <c r="AH405" s="18"/>
      <c r="AI405" s="18"/>
      <c r="AJ405" s="18"/>
      <c r="AK405" s="18"/>
    </row>
    <row r="406" spans="2:37" x14ac:dyDescent="0.3">
      <c r="B406" s="16"/>
      <c r="C406" s="17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C406" s="45"/>
      <c r="AD406" s="17"/>
      <c r="AE406" s="18"/>
      <c r="AF406" s="18"/>
      <c r="AG406" s="18"/>
      <c r="AH406" s="18"/>
      <c r="AI406" s="18"/>
      <c r="AJ406" s="18"/>
      <c r="AK406" s="18"/>
    </row>
    <row r="407" spans="2:37" x14ac:dyDescent="0.3">
      <c r="B407" s="46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C407" s="45"/>
      <c r="AD407" s="17"/>
      <c r="AE407" s="18"/>
      <c r="AF407" s="18"/>
      <c r="AG407" s="18"/>
      <c r="AH407" s="18"/>
      <c r="AI407" s="18"/>
      <c r="AJ407" s="18"/>
      <c r="AK407" s="18"/>
    </row>
    <row r="408" spans="2:37" x14ac:dyDescent="0.3">
      <c r="AC408" s="45"/>
      <c r="AD408" s="17"/>
      <c r="AE408" s="18"/>
      <c r="AF408" s="18"/>
      <c r="AG408" s="18"/>
      <c r="AH408" s="18"/>
      <c r="AI408" s="18"/>
      <c r="AJ408" s="18"/>
      <c r="AK408" s="18"/>
    </row>
    <row r="409" spans="2:37" x14ac:dyDescent="0.3">
      <c r="AC409" s="45"/>
      <c r="AD409" s="17"/>
      <c r="AE409" s="18"/>
      <c r="AF409" s="18"/>
      <c r="AG409" s="18"/>
      <c r="AH409" s="18"/>
      <c r="AI409" s="18"/>
      <c r="AJ409" s="18"/>
      <c r="AK409" s="18"/>
    </row>
    <row r="410" spans="2:37" x14ac:dyDescent="0.3">
      <c r="AC410" s="45"/>
      <c r="AD410" s="17"/>
      <c r="AE410" s="18"/>
      <c r="AF410" s="18"/>
      <c r="AG410" s="18"/>
      <c r="AH410" s="18"/>
      <c r="AI410" s="18"/>
      <c r="AJ410" s="18"/>
      <c r="AK410" s="18"/>
    </row>
    <row r="411" spans="2:37" x14ac:dyDescent="0.3">
      <c r="AC411" s="45"/>
      <c r="AD411" s="17"/>
      <c r="AE411" s="18"/>
      <c r="AF411" s="18"/>
      <c r="AG411" s="18"/>
      <c r="AH411" s="18"/>
      <c r="AI411" s="18"/>
      <c r="AJ411" s="18"/>
      <c r="AK411" s="18"/>
    </row>
    <row r="412" spans="2:37" x14ac:dyDescent="0.3">
      <c r="AC412" s="45"/>
      <c r="AD412" s="17"/>
      <c r="AE412" s="18"/>
      <c r="AF412" s="18"/>
      <c r="AG412" s="18"/>
      <c r="AH412" s="18"/>
      <c r="AI412" s="18"/>
      <c r="AJ412" s="18"/>
      <c r="AK412" s="18"/>
    </row>
    <row r="413" spans="2:37" x14ac:dyDescent="0.3">
      <c r="AC413" s="45"/>
      <c r="AD413" s="17"/>
      <c r="AE413" s="18"/>
      <c r="AF413" s="18"/>
      <c r="AG413" s="18"/>
      <c r="AH413" s="18"/>
      <c r="AI413" s="18"/>
      <c r="AJ413" s="18"/>
      <c r="AK413" s="18"/>
    </row>
    <row r="414" spans="2:37" x14ac:dyDescent="0.3">
      <c r="AC414" s="45"/>
      <c r="AD414" s="17"/>
      <c r="AE414" s="18"/>
      <c r="AF414" s="18"/>
      <c r="AG414" s="18"/>
      <c r="AH414" s="18"/>
      <c r="AI414" s="18"/>
      <c r="AJ414" s="18"/>
      <c r="AK414" s="18"/>
    </row>
    <row r="415" spans="2:37" x14ac:dyDescent="0.3">
      <c r="AD415" s="17"/>
      <c r="AE415" s="18"/>
      <c r="AF415" s="18"/>
      <c r="AG415" s="18"/>
      <c r="AH415" s="18"/>
      <c r="AI415" s="18"/>
      <c r="AJ415" s="18"/>
      <c r="AK415" s="18"/>
    </row>
    <row r="416" spans="2:37" x14ac:dyDescent="0.3">
      <c r="AC416" s="47"/>
      <c r="AD416" s="17"/>
      <c r="AE416" s="17"/>
      <c r="AF416" s="17"/>
      <c r="AG416" s="17"/>
      <c r="AH416" s="17"/>
      <c r="AI416" s="17"/>
      <c r="AJ416" s="17"/>
      <c r="AK416" s="17"/>
    </row>
    <row r="418" spans="2:37" x14ac:dyDescent="0.3">
      <c r="B418" s="42"/>
    </row>
    <row r="419" spans="2:37" x14ac:dyDescent="0.3">
      <c r="B419" s="42"/>
    </row>
    <row r="420" spans="2:37" x14ac:dyDescent="0.3">
      <c r="B420" s="39"/>
      <c r="C420" s="17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C420" s="44"/>
      <c r="AD420" s="17"/>
      <c r="AE420" s="43"/>
      <c r="AF420" s="43"/>
      <c r="AG420" s="43"/>
      <c r="AH420" s="43"/>
      <c r="AI420" s="43"/>
      <c r="AJ420" s="43"/>
      <c r="AK420" s="43"/>
    </row>
    <row r="421" spans="2:37" x14ac:dyDescent="0.3">
      <c r="B421" s="16"/>
      <c r="C421" s="17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C421" s="45"/>
      <c r="AD421" s="17"/>
      <c r="AE421" s="18"/>
      <c r="AF421" s="18"/>
      <c r="AG421" s="18"/>
      <c r="AH421" s="18"/>
      <c r="AI421" s="18"/>
      <c r="AJ421" s="18"/>
      <c r="AK421" s="18"/>
    </row>
    <row r="422" spans="2:37" x14ac:dyDescent="0.3">
      <c r="B422" s="16"/>
      <c r="C422" s="17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C422" s="45"/>
      <c r="AD422" s="17"/>
      <c r="AE422" s="18"/>
      <c r="AF422" s="18"/>
      <c r="AG422" s="18"/>
      <c r="AH422" s="18"/>
      <c r="AI422" s="18"/>
      <c r="AJ422" s="18"/>
      <c r="AK422" s="18"/>
    </row>
    <row r="423" spans="2:37" x14ac:dyDescent="0.3">
      <c r="B423" s="16"/>
      <c r="C423" s="17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C423" s="45"/>
      <c r="AD423" s="17"/>
      <c r="AE423" s="18"/>
      <c r="AF423" s="18"/>
      <c r="AG423" s="18"/>
      <c r="AH423" s="18"/>
      <c r="AI423" s="18"/>
      <c r="AJ423" s="18"/>
      <c r="AK423" s="18"/>
    </row>
    <row r="424" spans="2:37" x14ac:dyDescent="0.3">
      <c r="B424" s="16"/>
      <c r="C424" s="17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C424" s="45"/>
      <c r="AD424" s="17"/>
      <c r="AE424" s="18"/>
      <c r="AF424" s="18"/>
      <c r="AG424" s="18"/>
      <c r="AH424" s="18"/>
      <c r="AI424" s="18"/>
      <c r="AJ424" s="18"/>
      <c r="AK424" s="18"/>
    </row>
    <row r="425" spans="2:37" x14ac:dyDescent="0.3">
      <c r="B425" s="16"/>
      <c r="C425" s="17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C425" s="45"/>
      <c r="AD425" s="17"/>
      <c r="AE425" s="18"/>
      <c r="AF425" s="18"/>
      <c r="AG425" s="18"/>
      <c r="AH425" s="18"/>
      <c r="AI425" s="18"/>
      <c r="AJ425" s="18"/>
      <c r="AK425" s="18"/>
    </row>
    <row r="426" spans="2:37" x14ac:dyDescent="0.3">
      <c r="B426" s="16"/>
      <c r="C426" s="17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C426" s="45"/>
      <c r="AD426" s="17"/>
      <c r="AE426" s="18"/>
      <c r="AF426" s="18"/>
      <c r="AG426" s="18"/>
      <c r="AH426" s="18"/>
      <c r="AI426" s="18"/>
      <c r="AJ426" s="18"/>
      <c r="AK426" s="18"/>
    </row>
    <row r="427" spans="2:37" x14ac:dyDescent="0.3">
      <c r="B427" s="16"/>
      <c r="C427" s="17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C427" s="45"/>
      <c r="AD427" s="17"/>
      <c r="AE427" s="18"/>
      <c r="AF427" s="18"/>
      <c r="AG427" s="18"/>
      <c r="AH427" s="18"/>
      <c r="AI427" s="18"/>
      <c r="AJ427" s="18"/>
      <c r="AK427" s="18"/>
    </row>
    <row r="428" spans="2:37" x14ac:dyDescent="0.3">
      <c r="B428" s="16"/>
      <c r="C428" s="17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C428" s="45"/>
      <c r="AD428" s="17"/>
      <c r="AE428" s="18"/>
      <c r="AF428" s="18"/>
      <c r="AG428" s="18"/>
      <c r="AH428" s="18"/>
      <c r="AI428" s="18"/>
      <c r="AJ428" s="18"/>
      <c r="AK428" s="18"/>
    </row>
    <row r="429" spans="2:37" x14ac:dyDescent="0.3">
      <c r="B429" s="16"/>
      <c r="C429" s="17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C429" s="45"/>
      <c r="AD429" s="17"/>
      <c r="AE429" s="18"/>
      <c r="AF429" s="18"/>
      <c r="AG429" s="18"/>
      <c r="AH429" s="18"/>
      <c r="AI429" s="18"/>
      <c r="AJ429" s="18"/>
      <c r="AK429" s="18"/>
    </row>
    <row r="430" spans="2:37" x14ac:dyDescent="0.3">
      <c r="B430" s="16"/>
      <c r="C430" s="17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C430" s="45"/>
      <c r="AD430" s="17"/>
      <c r="AE430" s="18"/>
      <c r="AF430" s="18"/>
      <c r="AG430" s="18"/>
      <c r="AH430" s="18"/>
      <c r="AI430" s="18"/>
      <c r="AJ430" s="18"/>
      <c r="AK430" s="18"/>
    </row>
    <row r="431" spans="2:37" x14ac:dyDescent="0.3">
      <c r="B431" s="16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C431" s="45"/>
      <c r="AD431" s="17"/>
      <c r="AE431" s="18"/>
      <c r="AF431" s="18"/>
      <c r="AG431" s="18"/>
      <c r="AH431" s="18"/>
      <c r="AI431" s="18"/>
      <c r="AJ431" s="18"/>
      <c r="AK431" s="18"/>
    </row>
    <row r="432" spans="2:37" x14ac:dyDescent="0.3">
      <c r="B432" s="16"/>
      <c r="C432" s="17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C432" s="45"/>
      <c r="AD432" s="17"/>
      <c r="AE432" s="18"/>
      <c r="AF432" s="18"/>
      <c r="AG432" s="18"/>
      <c r="AH432" s="18"/>
      <c r="AI432" s="18"/>
      <c r="AJ432" s="18"/>
      <c r="AK432" s="18"/>
    </row>
    <row r="433" spans="2:37" x14ac:dyDescent="0.3">
      <c r="B433" s="16"/>
      <c r="C433" s="17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C433" s="45"/>
      <c r="AD433" s="17"/>
      <c r="AE433" s="18"/>
      <c r="AF433" s="18"/>
      <c r="AG433" s="18"/>
      <c r="AH433" s="18"/>
      <c r="AI433" s="18"/>
      <c r="AJ433" s="18"/>
      <c r="AK433" s="18"/>
    </row>
    <row r="434" spans="2:37" x14ac:dyDescent="0.3">
      <c r="B434" s="16"/>
      <c r="C434" s="17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C434" s="45"/>
      <c r="AD434" s="17"/>
      <c r="AE434" s="18"/>
      <c r="AF434" s="18"/>
      <c r="AG434" s="18"/>
      <c r="AH434" s="18"/>
      <c r="AI434" s="18"/>
      <c r="AJ434" s="18"/>
      <c r="AK434" s="18"/>
    </row>
    <row r="435" spans="2:37" x14ac:dyDescent="0.3">
      <c r="B435" s="16"/>
      <c r="C435" s="17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C435" s="45"/>
      <c r="AD435" s="17"/>
      <c r="AE435" s="18"/>
      <c r="AF435" s="18"/>
      <c r="AG435" s="18"/>
      <c r="AH435" s="18"/>
      <c r="AI435" s="18"/>
      <c r="AJ435" s="18"/>
      <c r="AK435" s="18"/>
    </row>
    <row r="436" spans="2:37" x14ac:dyDescent="0.3">
      <c r="B436" s="16"/>
      <c r="C436" s="17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C436" s="45"/>
      <c r="AD436" s="17"/>
      <c r="AE436" s="18"/>
      <c r="AF436" s="18"/>
      <c r="AG436" s="18"/>
      <c r="AH436" s="18"/>
      <c r="AI436" s="18"/>
      <c r="AJ436" s="18"/>
      <c r="AK436" s="18"/>
    </row>
    <row r="437" spans="2:37" x14ac:dyDescent="0.3">
      <c r="B437" s="46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C437" s="45"/>
      <c r="AD437" s="17"/>
      <c r="AE437" s="18"/>
      <c r="AF437" s="18"/>
      <c r="AG437" s="18"/>
      <c r="AH437" s="18"/>
      <c r="AI437" s="18"/>
      <c r="AJ437" s="18"/>
      <c r="AK437" s="18"/>
    </row>
    <row r="438" spans="2:37" x14ac:dyDescent="0.3">
      <c r="AC438" s="45"/>
      <c r="AD438" s="17"/>
      <c r="AE438" s="18"/>
      <c r="AF438" s="18"/>
      <c r="AG438" s="18"/>
      <c r="AH438" s="18"/>
      <c r="AI438" s="18"/>
      <c r="AJ438" s="18"/>
      <c r="AK438" s="18"/>
    </row>
    <row r="439" spans="2:37" x14ac:dyDescent="0.3">
      <c r="AC439" s="45"/>
      <c r="AD439" s="17"/>
      <c r="AE439" s="18"/>
      <c r="AF439" s="18"/>
      <c r="AG439" s="18"/>
      <c r="AH439" s="18"/>
      <c r="AI439" s="18"/>
      <c r="AJ439" s="18"/>
      <c r="AK439" s="18"/>
    </row>
    <row r="440" spans="2:37" x14ac:dyDescent="0.3">
      <c r="AC440" s="45"/>
      <c r="AD440" s="17"/>
      <c r="AE440" s="18"/>
      <c r="AF440" s="18"/>
      <c r="AG440" s="18"/>
      <c r="AH440" s="18"/>
      <c r="AI440" s="18"/>
      <c r="AJ440" s="18"/>
      <c r="AK440" s="18"/>
    </row>
    <row r="441" spans="2:37" x14ac:dyDescent="0.3">
      <c r="AC441" s="45"/>
      <c r="AD441" s="17"/>
      <c r="AE441" s="18"/>
      <c r="AF441" s="18"/>
      <c r="AG441" s="18"/>
      <c r="AH441" s="18"/>
      <c r="AI441" s="18"/>
      <c r="AJ441" s="18"/>
      <c r="AK441" s="18"/>
    </row>
    <row r="442" spans="2:37" x14ac:dyDescent="0.3">
      <c r="AC442" s="45"/>
      <c r="AD442" s="17"/>
      <c r="AE442" s="18"/>
      <c r="AF442" s="18"/>
      <c r="AG442" s="18"/>
      <c r="AH442" s="18"/>
      <c r="AI442" s="18"/>
      <c r="AJ442" s="18"/>
      <c r="AK442" s="18"/>
    </row>
    <row r="443" spans="2:37" x14ac:dyDescent="0.3">
      <c r="AC443" s="45"/>
      <c r="AD443" s="17"/>
      <c r="AE443" s="18"/>
      <c r="AF443" s="18"/>
      <c r="AG443" s="18"/>
      <c r="AH443" s="18"/>
      <c r="AI443" s="18"/>
      <c r="AJ443" s="18"/>
      <c r="AK443" s="18"/>
    </row>
    <row r="444" spans="2:37" x14ac:dyDescent="0.3">
      <c r="AC444" s="45"/>
      <c r="AD444" s="17"/>
      <c r="AE444" s="18"/>
      <c r="AF444" s="18"/>
      <c r="AG444" s="18"/>
      <c r="AH444" s="18"/>
      <c r="AI444" s="18"/>
      <c r="AJ444" s="18"/>
      <c r="AK444" s="18"/>
    </row>
    <row r="445" spans="2:37" x14ac:dyDescent="0.3">
      <c r="AD445" s="17"/>
      <c r="AE445" s="18"/>
      <c r="AF445" s="18"/>
      <c r="AG445" s="18"/>
      <c r="AH445" s="18"/>
      <c r="AI445" s="18"/>
      <c r="AJ445" s="18"/>
      <c r="AK445" s="18"/>
    </row>
    <row r="446" spans="2:37" x14ac:dyDescent="0.3">
      <c r="AC446" s="47"/>
      <c r="AD446" s="17"/>
      <c r="AE446" s="17"/>
      <c r="AF446" s="17"/>
      <c r="AG446" s="17"/>
      <c r="AH446" s="17"/>
      <c r="AI446" s="17"/>
      <c r="AJ446" s="17"/>
      <c r="AK446" s="17"/>
    </row>
    <row r="448" spans="2:37" x14ac:dyDescent="0.3">
      <c r="B448" s="42"/>
    </row>
    <row r="449" spans="2:37" x14ac:dyDescent="0.3">
      <c r="B449" s="42"/>
    </row>
    <row r="450" spans="2:37" x14ac:dyDescent="0.3">
      <c r="B450" s="39"/>
      <c r="C450" s="17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C450" s="44"/>
      <c r="AD450" s="17"/>
      <c r="AE450" s="43"/>
      <c r="AF450" s="43"/>
      <c r="AG450" s="43"/>
      <c r="AH450" s="43"/>
      <c r="AI450" s="43"/>
      <c r="AJ450" s="43"/>
      <c r="AK450" s="43"/>
    </row>
    <row r="451" spans="2:37" x14ac:dyDescent="0.3">
      <c r="B451" s="16"/>
      <c r="C451" s="17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C451" s="45"/>
      <c r="AD451" s="17"/>
      <c r="AE451" s="18"/>
      <c r="AF451" s="18"/>
      <c r="AG451" s="18"/>
      <c r="AH451" s="18"/>
      <c r="AI451" s="18"/>
      <c r="AJ451" s="18"/>
      <c r="AK451" s="18"/>
    </row>
    <row r="452" spans="2:37" x14ac:dyDescent="0.3">
      <c r="B452" s="16"/>
      <c r="C452" s="17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C452" s="45"/>
      <c r="AD452" s="17"/>
      <c r="AE452" s="18"/>
      <c r="AF452" s="18"/>
      <c r="AG452" s="18"/>
      <c r="AH452" s="18"/>
      <c r="AI452" s="18"/>
      <c r="AJ452" s="18"/>
      <c r="AK452" s="18"/>
    </row>
    <row r="453" spans="2:37" x14ac:dyDescent="0.3">
      <c r="B453" s="16"/>
      <c r="C453" s="17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C453" s="45"/>
      <c r="AD453" s="17"/>
      <c r="AE453" s="18"/>
      <c r="AF453" s="18"/>
      <c r="AG453" s="18"/>
      <c r="AH453" s="18"/>
      <c r="AI453" s="18"/>
      <c r="AJ453" s="18"/>
      <c r="AK453" s="18"/>
    </row>
    <row r="454" spans="2:37" x14ac:dyDescent="0.3">
      <c r="B454" s="16"/>
      <c r="C454" s="17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C454" s="45"/>
      <c r="AD454" s="17"/>
      <c r="AE454" s="18"/>
      <c r="AF454" s="18"/>
      <c r="AG454" s="18"/>
      <c r="AH454" s="18"/>
      <c r="AI454" s="18"/>
      <c r="AJ454" s="18"/>
      <c r="AK454" s="18"/>
    </row>
    <row r="455" spans="2:37" x14ac:dyDescent="0.3">
      <c r="B455" s="16"/>
      <c r="C455" s="17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C455" s="45"/>
      <c r="AD455" s="17"/>
      <c r="AE455" s="18"/>
      <c r="AF455" s="18"/>
      <c r="AG455" s="18"/>
      <c r="AH455" s="18"/>
      <c r="AI455" s="18"/>
      <c r="AJ455" s="18"/>
      <c r="AK455" s="18"/>
    </row>
    <row r="456" spans="2:37" x14ac:dyDescent="0.3">
      <c r="B456" s="16"/>
      <c r="C456" s="17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C456" s="45"/>
      <c r="AD456" s="17"/>
      <c r="AE456" s="18"/>
      <c r="AF456" s="18"/>
      <c r="AG456" s="18"/>
      <c r="AH456" s="18"/>
      <c r="AI456" s="18"/>
      <c r="AJ456" s="18"/>
      <c r="AK456" s="18"/>
    </row>
    <row r="457" spans="2:37" x14ac:dyDescent="0.3">
      <c r="B457" s="16"/>
      <c r="C457" s="17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C457" s="45"/>
      <c r="AD457" s="17"/>
      <c r="AE457" s="18"/>
      <c r="AF457" s="18"/>
      <c r="AG457" s="18"/>
      <c r="AH457" s="18"/>
      <c r="AI457" s="18"/>
      <c r="AJ457" s="18"/>
      <c r="AK457" s="18"/>
    </row>
    <row r="458" spans="2:37" x14ac:dyDescent="0.3">
      <c r="B458" s="16"/>
      <c r="C458" s="17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C458" s="45"/>
      <c r="AD458" s="17"/>
      <c r="AE458" s="18"/>
      <c r="AF458" s="18"/>
      <c r="AG458" s="18"/>
      <c r="AH458" s="18"/>
      <c r="AI458" s="18"/>
      <c r="AJ458" s="18"/>
      <c r="AK458" s="18"/>
    </row>
    <row r="459" spans="2:37" x14ac:dyDescent="0.3">
      <c r="B459" s="16"/>
      <c r="C459" s="17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C459" s="45"/>
      <c r="AD459" s="17"/>
      <c r="AE459" s="18"/>
      <c r="AF459" s="18"/>
      <c r="AG459" s="18"/>
      <c r="AH459" s="18"/>
      <c r="AI459" s="18"/>
      <c r="AJ459" s="18"/>
      <c r="AK459" s="18"/>
    </row>
    <row r="460" spans="2:37" x14ac:dyDescent="0.3">
      <c r="B460" s="16"/>
      <c r="C460" s="17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C460" s="45"/>
      <c r="AD460" s="17"/>
      <c r="AE460" s="18"/>
      <c r="AF460" s="18"/>
      <c r="AG460" s="18"/>
      <c r="AH460" s="18"/>
      <c r="AI460" s="18"/>
      <c r="AJ460" s="18"/>
      <c r="AK460" s="18"/>
    </row>
    <row r="461" spans="2:37" x14ac:dyDescent="0.3">
      <c r="B461" s="16"/>
      <c r="C461" s="17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C461" s="45"/>
      <c r="AD461" s="17"/>
      <c r="AE461" s="18"/>
      <c r="AF461" s="18"/>
      <c r="AG461" s="18"/>
      <c r="AH461" s="18"/>
      <c r="AI461" s="18"/>
      <c r="AJ461" s="18"/>
      <c r="AK461" s="18"/>
    </row>
    <row r="462" spans="2:37" x14ac:dyDescent="0.3">
      <c r="B462" s="16"/>
      <c r="C462" s="17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C462" s="45"/>
      <c r="AD462" s="17"/>
      <c r="AE462" s="18"/>
      <c r="AF462" s="18"/>
      <c r="AG462" s="18"/>
      <c r="AH462" s="18"/>
      <c r="AI462" s="18"/>
      <c r="AJ462" s="18"/>
      <c r="AK462" s="18"/>
    </row>
    <row r="463" spans="2:37" x14ac:dyDescent="0.3">
      <c r="B463" s="16"/>
      <c r="C463" s="17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C463" s="45"/>
      <c r="AD463" s="17"/>
      <c r="AE463" s="18"/>
      <c r="AF463" s="18"/>
      <c r="AG463" s="18"/>
      <c r="AH463" s="18"/>
      <c r="AI463" s="18"/>
      <c r="AJ463" s="18"/>
      <c r="AK463" s="18"/>
    </row>
    <row r="464" spans="2:37" x14ac:dyDescent="0.3">
      <c r="B464" s="16"/>
      <c r="C464" s="17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C464" s="45"/>
      <c r="AD464" s="17"/>
      <c r="AE464" s="18"/>
      <c r="AF464" s="18"/>
      <c r="AG464" s="18"/>
      <c r="AH464" s="18"/>
      <c r="AI464" s="18"/>
      <c r="AJ464" s="18"/>
      <c r="AK464" s="18"/>
    </row>
    <row r="465" spans="2:37" x14ac:dyDescent="0.3">
      <c r="B465" s="16"/>
      <c r="C465" s="17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C465" s="45"/>
      <c r="AD465" s="17"/>
      <c r="AE465" s="18"/>
      <c r="AF465" s="18"/>
      <c r="AG465" s="18"/>
      <c r="AH465" s="18"/>
      <c r="AI465" s="18"/>
      <c r="AJ465" s="18"/>
      <c r="AK465" s="18"/>
    </row>
    <row r="466" spans="2:37" x14ac:dyDescent="0.3">
      <c r="B466" s="16"/>
      <c r="C466" s="17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C466" s="45"/>
      <c r="AD466" s="17"/>
      <c r="AE466" s="18"/>
      <c r="AF466" s="18"/>
      <c r="AG466" s="18"/>
      <c r="AH466" s="18"/>
      <c r="AI466" s="18"/>
      <c r="AJ466" s="18"/>
      <c r="AK466" s="18"/>
    </row>
    <row r="467" spans="2:37" x14ac:dyDescent="0.3">
      <c r="B467" s="46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C467" s="45"/>
      <c r="AD467" s="17"/>
      <c r="AE467" s="18"/>
      <c r="AF467" s="18"/>
      <c r="AG467" s="18"/>
      <c r="AH467" s="18"/>
      <c r="AI467" s="18"/>
      <c r="AJ467" s="18"/>
      <c r="AK467" s="18"/>
    </row>
    <row r="468" spans="2:37" x14ac:dyDescent="0.3">
      <c r="AC468" s="45"/>
      <c r="AD468" s="17"/>
      <c r="AE468" s="18"/>
      <c r="AF468" s="18"/>
      <c r="AG468" s="18"/>
      <c r="AH468" s="18"/>
      <c r="AI468" s="18"/>
      <c r="AJ468" s="18"/>
      <c r="AK468" s="18"/>
    </row>
    <row r="469" spans="2:37" x14ac:dyDescent="0.3">
      <c r="AC469" s="45"/>
      <c r="AD469" s="17"/>
      <c r="AE469" s="18"/>
      <c r="AF469" s="18"/>
      <c r="AG469" s="18"/>
      <c r="AH469" s="18"/>
      <c r="AI469" s="18"/>
      <c r="AJ469" s="18"/>
      <c r="AK469" s="18"/>
    </row>
    <row r="470" spans="2:37" x14ac:dyDescent="0.3">
      <c r="AC470" s="45"/>
      <c r="AD470" s="17"/>
      <c r="AE470" s="18"/>
      <c r="AF470" s="18"/>
      <c r="AG470" s="18"/>
      <c r="AH470" s="18"/>
      <c r="AI470" s="18"/>
      <c r="AJ470" s="18"/>
      <c r="AK470" s="18"/>
    </row>
    <row r="471" spans="2:37" x14ac:dyDescent="0.3">
      <c r="AC471" s="45"/>
      <c r="AD471" s="17"/>
      <c r="AE471" s="18"/>
      <c r="AF471" s="18"/>
      <c r="AG471" s="18"/>
      <c r="AH471" s="18"/>
      <c r="AI471" s="18"/>
      <c r="AJ471" s="18"/>
      <c r="AK471" s="18"/>
    </row>
    <row r="472" spans="2:37" x14ac:dyDescent="0.3">
      <c r="AC472" s="45"/>
      <c r="AD472" s="17"/>
      <c r="AE472" s="18"/>
      <c r="AF472" s="18"/>
      <c r="AG472" s="18"/>
      <c r="AH472" s="18"/>
      <c r="AI472" s="18"/>
      <c r="AJ472" s="18"/>
      <c r="AK472" s="18"/>
    </row>
    <row r="473" spans="2:37" x14ac:dyDescent="0.3">
      <c r="AC473" s="45"/>
      <c r="AD473" s="17"/>
      <c r="AE473" s="18"/>
      <c r="AF473" s="18"/>
      <c r="AG473" s="18"/>
      <c r="AH473" s="18"/>
      <c r="AI473" s="18"/>
      <c r="AJ473" s="18"/>
      <c r="AK473" s="18"/>
    </row>
    <row r="474" spans="2:37" x14ac:dyDescent="0.3">
      <c r="AC474" s="45"/>
      <c r="AD474" s="17"/>
      <c r="AE474" s="18"/>
      <c r="AF474" s="18"/>
      <c r="AG474" s="18"/>
      <c r="AH474" s="18"/>
      <c r="AI474" s="18"/>
      <c r="AJ474" s="18"/>
      <c r="AK474" s="18"/>
    </row>
    <row r="475" spans="2:37" x14ac:dyDescent="0.3">
      <c r="AD475" s="17"/>
      <c r="AE475" s="18"/>
      <c r="AF475" s="18"/>
      <c r="AG475" s="18"/>
      <c r="AH475" s="18"/>
      <c r="AI475" s="18"/>
      <c r="AJ475" s="18"/>
      <c r="AK475" s="18"/>
    </row>
    <row r="476" spans="2:37" x14ac:dyDescent="0.3">
      <c r="AC476" s="47"/>
      <c r="AD476" s="17"/>
      <c r="AE476" s="17"/>
      <c r="AF476" s="17"/>
      <c r="AG476" s="17"/>
      <c r="AH476" s="17"/>
      <c r="AI476" s="17"/>
      <c r="AJ476" s="17"/>
      <c r="AK476" s="17"/>
    </row>
    <row r="478" spans="2:37" x14ac:dyDescent="0.3">
      <c r="B478" s="42"/>
    </row>
    <row r="479" spans="2:37" x14ac:dyDescent="0.3">
      <c r="B479" s="42"/>
    </row>
    <row r="480" spans="2:37" x14ac:dyDescent="0.3">
      <c r="B480" s="39"/>
      <c r="C480" s="17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C480" s="44"/>
      <c r="AD480" s="17"/>
      <c r="AE480" s="43"/>
      <c r="AF480" s="43"/>
      <c r="AG480" s="43"/>
      <c r="AH480" s="43"/>
      <c r="AI480" s="43"/>
      <c r="AJ480" s="43"/>
      <c r="AK480" s="43"/>
    </row>
    <row r="481" spans="2:37" x14ac:dyDescent="0.3">
      <c r="B481" s="16"/>
      <c r="C481" s="17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C481" s="45"/>
      <c r="AD481" s="17"/>
      <c r="AE481" s="18"/>
      <c r="AF481" s="18"/>
      <c r="AG481" s="18"/>
      <c r="AH481" s="18"/>
      <c r="AI481" s="18"/>
      <c r="AJ481" s="18"/>
      <c r="AK481" s="18"/>
    </row>
    <row r="482" spans="2:37" x14ac:dyDescent="0.3">
      <c r="B482" s="16"/>
      <c r="C482" s="17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C482" s="45"/>
      <c r="AD482" s="17"/>
      <c r="AE482" s="18"/>
      <c r="AF482" s="18"/>
      <c r="AG482" s="18"/>
      <c r="AH482" s="18"/>
      <c r="AI482" s="18"/>
      <c r="AJ482" s="18"/>
      <c r="AK482" s="18"/>
    </row>
    <row r="483" spans="2:37" x14ac:dyDescent="0.3">
      <c r="B483" s="16"/>
      <c r="C483" s="17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C483" s="45"/>
      <c r="AD483" s="17"/>
      <c r="AE483" s="18"/>
      <c r="AF483" s="18"/>
      <c r="AG483" s="18"/>
      <c r="AH483" s="18"/>
      <c r="AI483" s="18"/>
      <c r="AJ483" s="18"/>
      <c r="AK483" s="18"/>
    </row>
    <row r="484" spans="2:37" x14ac:dyDescent="0.3">
      <c r="B484" s="16"/>
      <c r="C484" s="17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C484" s="45"/>
      <c r="AD484" s="17"/>
      <c r="AE484" s="18"/>
      <c r="AF484" s="18"/>
      <c r="AG484" s="18"/>
      <c r="AH484" s="18"/>
      <c r="AI484" s="18"/>
      <c r="AJ484" s="18"/>
      <c r="AK484" s="18"/>
    </row>
    <row r="485" spans="2:37" x14ac:dyDescent="0.3">
      <c r="B485" s="16"/>
      <c r="C485" s="17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C485" s="45"/>
      <c r="AD485" s="17"/>
      <c r="AE485" s="18"/>
      <c r="AF485" s="18"/>
      <c r="AG485" s="18"/>
      <c r="AH485" s="18"/>
      <c r="AI485" s="18"/>
      <c r="AJ485" s="18"/>
      <c r="AK485" s="18"/>
    </row>
    <row r="486" spans="2:37" x14ac:dyDescent="0.3">
      <c r="B486" s="16"/>
      <c r="C486" s="17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C486" s="45"/>
      <c r="AD486" s="17"/>
      <c r="AE486" s="18"/>
      <c r="AF486" s="18"/>
      <c r="AG486" s="18"/>
      <c r="AH486" s="18"/>
      <c r="AI486" s="18"/>
      <c r="AJ486" s="18"/>
      <c r="AK486" s="18"/>
    </row>
    <row r="487" spans="2:37" x14ac:dyDescent="0.3">
      <c r="B487" s="16"/>
      <c r="C487" s="17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C487" s="45"/>
      <c r="AD487" s="17"/>
      <c r="AE487" s="18"/>
      <c r="AF487" s="18"/>
      <c r="AG487" s="18"/>
      <c r="AH487" s="18"/>
      <c r="AI487" s="18"/>
      <c r="AJ487" s="18"/>
      <c r="AK487" s="18"/>
    </row>
    <row r="488" spans="2:37" x14ac:dyDescent="0.3">
      <c r="B488" s="16"/>
      <c r="C488" s="17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C488" s="45"/>
      <c r="AD488" s="17"/>
      <c r="AE488" s="18"/>
      <c r="AF488" s="18"/>
      <c r="AG488" s="18"/>
      <c r="AH488" s="18"/>
      <c r="AI488" s="18"/>
      <c r="AJ488" s="18"/>
      <c r="AK488" s="18"/>
    </row>
    <row r="489" spans="2:37" x14ac:dyDescent="0.3">
      <c r="B489" s="16"/>
      <c r="C489" s="17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C489" s="45"/>
      <c r="AD489" s="17"/>
      <c r="AE489" s="18"/>
      <c r="AF489" s="18"/>
      <c r="AG489" s="18"/>
      <c r="AH489" s="18"/>
      <c r="AI489" s="18"/>
      <c r="AJ489" s="18"/>
      <c r="AK489" s="18"/>
    </row>
    <row r="490" spans="2:37" x14ac:dyDescent="0.3">
      <c r="B490" s="16"/>
      <c r="C490" s="17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C490" s="45"/>
      <c r="AD490" s="17"/>
      <c r="AE490" s="18"/>
      <c r="AF490" s="18"/>
      <c r="AG490" s="18"/>
      <c r="AH490" s="18"/>
      <c r="AI490" s="18"/>
      <c r="AJ490" s="18"/>
      <c r="AK490" s="18"/>
    </row>
    <row r="491" spans="2:37" x14ac:dyDescent="0.3">
      <c r="B491" s="16"/>
      <c r="C491" s="17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C491" s="45"/>
      <c r="AD491" s="17"/>
      <c r="AE491" s="18"/>
      <c r="AF491" s="18"/>
      <c r="AG491" s="18"/>
      <c r="AH491" s="18"/>
      <c r="AI491" s="18"/>
      <c r="AJ491" s="18"/>
      <c r="AK491" s="18"/>
    </row>
    <row r="492" spans="2:37" x14ac:dyDescent="0.3">
      <c r="B492" s="16"/>
      <c r="C492" s="17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C492" s="45"/>
      <c r="AD492" s="17"/>
      <c r="AE492" s="18"/>
      <c r="AF492" s="18"/>
      <c r="AG492" s="18"/>
      <c r="AH492" s="18"/>
      <c r="AI492" s="18"/>
      <c r="AJ492" s="18"/>
      <c r="AK492" s="18"/>
    </row>
    <row r="493" spans="2:37" x14ac:dyDescent="0.3">
      <c r="B493" s="16"/>
      <c r="C493" s="17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C493" s="45"/>
      <c r="AD493" s="17"/>
      <c r="AE493" s="18"/>
      <c r="AF493" s="18"/>
      <c r="AG493" s="18"/>
      <c r="AH493" s="18"/>
      <c r="AI493" s="18"/>
      <c r="AJ493" s="18"/>
      <c r="AK493" s="18"/>
    </row>
    <row r="494" spans="2:37" x14ac:dyDescent="0.3">
      <c r="B494" s="16"/>
      <c r="C494" s="17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C494" s="45"/>
      <c r="AD494" s="17"/>
      <c r="AE494" s="18"/>
      <c r="AF494" s="18"/>
      <c r="AG494" s="18"/>
      <c r="AH494" s="18"/>
      <c r="AI494" s="18"/>
      <c r="AJ494" s="18"/>
      <c r="AK494" s="18"/>
    </row>
    <row r="495" spans="2:37" x14ac:dyDescent="0.3">
      <c r="B495" s="16"/>
      <c r="C495" s="17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C495" s="45"/>
      <c r="AD495" s="17"/>
      <c r="AE495" s="18"/>
      <c r="AF495" s="18"/>
      <c r="AG495" s="18"/>
      <c r="AH495" s="18"/>
      <c r="AI495" s="18"/>
      <c r="AJ495" s="18"/>
      <c r="AK495" s="18"/>
    </row>
    <row r="496" spans="2:37" x14ac:dyDescent="0.3">
      <c r="B496" s="16"/>
      <c r="C496" s="17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C496" s="45"/>
      <c r="AD496" s="17"/>
      <c r="AE496" s="18"/>
      <c r="AF496" s="18"/>
      <c r="AG496" s="18"/>
      <c r="AH496" s="18"/>
      <c r="AI496" s="18"/>
      <c r="AJ496" s="18"/>
      <c r="AK496" s="18"/>
    </row>
    <row r="497" spans="2:37" x14ac:dyDescent="0.3">
      <c r="B497" s="46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C497" s="45"/>
      <c r="AD497" s="17"/>
      <c r="AE497" s="18"/>
      <c r="AF497" s="18"/>
      <c r="AG497" s="18"/>
      <c r="AH497" s="18"/>
      <c r="AI497" s="18"/>
      <c r="AJ497" s="18"/>
      <c r="AK497" s="18"/>
    </row>
    <row r="498" spans="2:37" x14ac:dyDescent="0.3">
      <c r="AC498" s="45"/>
      <c r="AD498" s="17"/>
      <c r="AE498" s="18"/>
      <c r="AF498" s="18"/>
      <c r="AG498" s="18"/>
      <c r="AH498" s="18"/>
      <c r="AI498" s="18"/>
      <c r="AJ498" s="18"/>
      <c r="AK498" s="18"/>
    </row>
    <row r="499" spans="2:37" x14ac:dyDescent="0.3">
      <c r="AC499" s="45"/>
      <c r="AD499" s="17"/>
      <c r="AE499" s="18"/>
      <c r="AF499" s="18"/>
      <c r="AG499" s="18"/>
      <c r="AH499" s="18"/>
      <c r="AI499" s="18"/>
      <c r="AJ499" s="18"/>
      <c r="AK499" s="18"/>
    </row>
    <row r="500" spans="2:37" x14ac:dyDescent="0.3">
      <c r="AC500" s="45"/>
      <c r="AD500" s="17"/>
      <c r="AE500" s="18"/>
      <c r="AF500" s="18"/>
      <c r="AG500" s="18"/>
      <c r="AH500" s="18"/>
      <c r="AI500" s="18"/>
      <c r="AJ500" s="18"/>
      <c r="AK500" s="18"/>
    </row>
    <row r="501" spans="2:37" x14ac:dyDescent="0.3">
      <c r="AC501" s="45"/>
      <c r="AD501" s="17"/>
      <c r="AE501" s="18"/>
      <c r="AF501" s="18"/>
      <c r="AG501" s="18"/>
      <c r="AH501" s="18"/>
      <c r="AI501" s="18"/>
      <c r="AJ501" s="18"/>
      <c r="AK501" s="18"/>
    </row>
    <row r="502" spans="2:37" x14ac:dyDescent="0.3">
      <c r="AC502" s="45"/>
      <c r="AD502" s="17"/>
      <c r="AE502" s="18"/>
      <c r="AF502" s="18"/>
      <c r="AG502" s="18"/>
      <c r="AH502" s="18"/>
      <c r="AI502" s="18"/>
      <c r="AJ502" s="18"/>
      <c r="AK502" s="18"/>
    </row>
    <row r="503" spans="2:37" x14ac:dyDescent="0.3">
      <c r="AC503" s="45"/>
      <c r="AD503" s="17"/>
      <c r="AE503" s="18"/>
      <c r="AF503" s="18"/>
      <c r="AG503" s="18"/>
      <c r="AH503" s="18"/>
      <c r="AI503" s="18"/>
      <c r="AJ503" s="18"/>
      <c r="AK503" s="18"/>
    </row>
    <row r="504" spans="2:37" x14ac:dyDescent="0.3">
      <c r="AC504" s="45"/>
      <c r="AD504" s="17"/>
      <c r="AE504" s="18"/>
      <c r="AF504" s="18"/>
      <c r="AG504" s="18"/>
      <c r="AH504" s="18"/>
      <c r="AI504" s="18"/>
      <c r="AJ504" s="18"/>
      <c r="AK504" s="18"/>
    </row>
    <row r="505" spans="2:37" x14ac:dyDescent="0.3">
      <c r="AD505" s="17"/>
      <c r="AE505" s="18"/>
      <c r="AF505" s="18"/>
      <c r="AG505" s="18"/>
      <c r="AH505" s="18"/>
      <c r="AI505" s="18"/>
      <c r="AJ505" s="18"/>
      <c r="AK505" s="18"/>
    </row>
    <row r="506" spans="2:37" x14ac:dyDescent="0.3">
      <c r="AC506" s="47"/>
      <c r="AD506" s="17"/>
      <c r="AE506" s="17"/>
      <c r="AF506" s="17"/>
      <c r="AG506" s="17"/>
      <c r="AH506" s="17"/>
      <c r="AI506" s="17"/>
      <c r="AJ506" s="17"/>
      <c r="AK506" s="17"/>
    </row>
    <row r="508" spans="2:37" x14ac:dyDescent="0.3">
      <c r="B508" s="42"/>
    </row>
    <row r="509" spans="2:37" x14ac:dyDescent="0.3">
      <c r="B509" s="42"/>
    </row>
    <row r="510" spans="2:37" x14ac:dyDescent="0.3">
      <c r="B510" s="39"/>
      <c r="C510" s="17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C510" s="44"/>
      <c r="AD510" s="17"/>
      <c r="AE510" s="43"/>
      <c r="AF510" s="43"/>
      <c r="AG510" s="43"/>
      <c r="AH510" s="43"/>
      <c r="AI510" s="43"/>
      <c r="AJ510" s="43"/>
      <c r="AK510" s="43"/>
    </row>
    <row r="511" spans="2:37" x14ac:dyDescent="0.3">
      <c r="B511" s="16"/>
      <c r="C511" s="17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C511" s="45"/>
      <c r="AD511" s="17"/>
      <c r="AE511" s="18"/>
      <c r="AF511" s="18"/>
      <c r="AG511" s="18"/>
      <c r="AH511" s="18"/>
      <c r="AI511" s="18"/>
      <c r="AJ511" s="18"/>
      <c r="AK511" s="18"/>
    </row>
    <row r="512" spans="2:37" x14ac:dyDescent="0.3">
      <c r="B512" s="16"/>
      <c r="C512" s="17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C512" s="45"/>
      <c r="AD512" s="17"/>
      <c r="AE512" s="18"/>
      <c r="AF512" s="18"/>
      <c r="AG512" s="18"/>
      <c r="AH512" s="18"/>
      <c r="AI512" s="18"/>
      <c r="AJ512" s="18"/>
      <c r="AK512" s="18"/>
    </row>
    <row r="513" spans="2:37" x14ac:dyDescent="0.3">
      <c r="B513" s="16"/>
      <c r="C513" s="17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C513" s="45"/>
      <c r="AD513" s="17"/>
      <c r="AE513" s="18"/>
      <c r="AF513" s="18"/>
      <c r="AG513" s="18"/>
      <c r="AH513" s="18"/>
      <c r="AI513" s="18"/>
      <c r="AJ513" s="18"/>
      <c r="AK513" s="18"/>
    </row>
    <row r="514" spans="2:37" x14ac:dyDescent="0.3">
      <c r="B514" s="16"/>
      <c r="C514" s="17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C514" s="45"/>
      <c r="AD514" s="17"/>
      <c r="AE514" s="18"/>
      <c r="AF514" s="18"/>
      <c r="AG514" s="18"/>
      <c r="AH514" s="18"/>
      <c r="AI514" s="18"/>
      <c r="AJ514" s="18"/>
      <c r="AK514" s="18"/>
    </row>
    <row r="515" spans="2:37" x14ac:dyDescent="0.3">
      <c r="B515" s="16"/>
      <c r="C515" s="17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C515" s="45"/>
      <c r="AD515" s="17"/>
      <c r="AE515" s="18"/>
      <c r="AF515" s="18"/>
      <c r="AG515" s="18"/>
      <c r="AH515" s="18"/>
      <c r="AI515" s="18"/>
      <c r="AJ515" s="18"/>
      <c r="AK515" s="18"/>
    </row>
    <row r="516" spans="2:37" x14ac:dyDescent="0.3">
      <c r="B516" s="16"/>
      <c r="C516" s="17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C516" s="45"/>
      <c r="AD516" s="17"/>
      <c r="AE516" s="18"/>
      <c r="AF516" s="18"/>
      <c r="AG516" s="18"/>
      <c r="AH516" s="18"/>
      <c r="AI516" s="18"/>
      <c r="AJ516" s="18"/>
      <c r="AK516" s="18"/>
    </row>
    <row r="517" spans="2:37" x14ac:dyDescent="0.3">
      <c r="B517" s="16"/>
      <c r="C517" s="17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C517" s="45"/>
      <c r="AD517" s="17"/>
      <c r="AE517" s="18"/>
      <c r="AF517" s="18"/>
      <c r="AG517" s="18"/>
      <c r="AH517" s="18"/>
      <c r="AI517" s="18"/>
      <c r="AJ517" s="18"/>
      <c r="AK517" s="18"/>
    </row>
    <row r="518" spans="2:37" x14ac:dyDescent="0.3">
      <c r="B518" s="16"/>
      <c r="C518" s="17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C518" s="45"/>
      <c r="AD518" s="17"/>
      <c r="AE518" s="18"/>
      <c r="AF518" s="18"/>
      <c r="AG518" s="18"/>
      <c r="AH518" s="18"/>
      <c r="AI518" s="18"/>
      <c r="AJ518" s="18"/>
      <c r="AK518" s="18"/>
    </row>
    <row r="519" spans="2:37" x14ac:dyDescent="0.3">
      <c r="B519" s="16"/>
      <c r="C519" s="17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C519" s="45"/>
      <c r="AD519" s="17"/>
      <c r="AE519" s="18"/>
      <c r="AF519" s="18"/>
      <c r="AG519" s="18"/>
      <c r="AH519" s="18"/>
      <c r="AI519" s="18"/>
      <c r="AJ519" s="18"/>
      <c r="AK519" s="18"/>
    </row>
    <row r="520" spans="2:37" x14ac:dyDescent="0.3">
      <c r="B520" s="16"/>
      <c r="C520" s="17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C520" s="45"/>
      <c r="AD520" s="17"/>
      <c r="AE520" s="18"/>
      <c r="AF520" s="18"/>
      <c r="AG520" s="18"/>
      <c r="AH520" s="18"/>
      <c r="AI520" s="18"/>
      <c r="AJ520" s="18"/>
      <c r="AK520" s="18"/>
    </row>
    <row r="521" spans="2:37" x14ac:dyDescent="0.3">
      <c r="B521" s="16"/>
      <c r="C521" s="17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C521" s="45"/>
      <c r="AD521" s="17"/>
      <c r="AE521" s="18"/>
      <c r="AF521" s="18"/>
      <c r="AG521" s="18"/>
      <c r="AH521" s="18"/>
      <c r="AI521" s="18"/>
      <c r="AJ521" s="18"/>
      <c r="AK521" s="18"/>
    </row>
    <row r="522" spans="2:37" x14ac:dyDescent="0.3">
      <c r="B522" s="16"/>
      <c r="C522" s="17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C522" s="45"/>
      <c r="AD522" s="17"/>
      <c r="AE522" s="18"/>
      <c r="AF522" s="18"/>
      <c r="AG522" s="18"/>
      <c r="AH522" s="18"/>
      <c r="AI522" s="18"/>
      <c r="AJ522" s="18"/>
      <c r="AK522" s="18"/>
    </row>
    <row r="523" spans="2:37" x14ac:dyDescent="0.3">
      <c r="B523" s="16"/>
      <c r="C523" s="17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C523" s="45"/>
      <c r="AD523" s="17"/>
      <c r="AE523" s="18"/>
      <c r="AF523" s="18"/>
      <c r="AG523" s="18"/>
      <c r="AH523" s="18"/>
      <c r="AI523" s="18"/>
      <c r="AJ523" s="18"/>
      <c r="AK523" s="18"/>
    </row>
    <row r="524" spans="2:37" x14ac:dyDescent="0.3">
      <c r="B524" s="16"/>
      <c r="C524" s="17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C524" s="45"/>
      <c r="AD524" s="17"/>
      <c r="AE524" s="18"/>
      <c r="AF524" s="18"/>
      <c r="AG524" s="18"/>
      <c r="AH524" s="18"/>
      <c r="AI524" s="18"/>
      <c r="AJ524" s="18"/>
      <c r="AK524" s="18"/>
    </row>
    <row r="525" spans="2:37" x14ac:dyDescent="0.3">
      <c r="B525" s="16"/>
      <c r="C525" s="17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C525" s="45"/>
      <c r="AD525" s="17"/>
      <c r="AE525" s="18"/>
      <c r="AF525" s="18"/>
      <c r="AG525" s="18"/>
      <c r="AH525" s="18"/>
      <c r="AI525" s="18"/>
      <c r="AJ525" s="18"/>
      <c r="AK525" s="18"/>
    </row>
    <row r="526" spans="2:37" x14ac:dyDescent="0.3">
      <c r="B526" s="16"/>
      <c r="C526" s="17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C526" s="45"/>
      <c r="AD526" s="17"/>
      <c r="AE526" s="18"/>
      <c r="AF526" s="18"/>
      <c r="AG526" s="18"/>
      <c r="AH526" s="18"/>
      <c r="AI526" s="18"/>
      <c r="AJ526" s="18"/>
      <c r="AK526" s="18"/>
    </row>
    <row r="527" spans="2:37" x14ac:dyDescent="0.3">
      <c r="B527" s="46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C527" s="45"/>
      <c r="AD527" s="17"/>
      <c r="AE527" s="18"/>
      <c r="AF527" s="18"/>
      <c r="AG527" s="18"/>
      <c r="AH527" s="18"/>
      <c r="AI527" s="18"/>
      <c r="AJ527" s="18"/>
      <c r="AK527" s="18"/>
    </row>
    <row r="528" spans="2:37" x14ac:dyDescent="0.3">
      <c r="AC528" s="45"/>
      <c r="AD528" s="17"/>
      <c r="AE528" s="18"/>
      <c r="AF528" s="18"/>
      <c r="AG528" s="18"/>
      <c r="AH528" s="18"/>
      <c r="AI528" s="18"/>
      <c r="AJ528" s="18"/>
      <c r="AK528" s="18"/>
    </row>
    <row r="529" spans="2:37" x14ac:dyDescent="0.3">
      <c r="AC529" s="45"/>
      <c r="AD529" s="17"/>
      <c r="AE529" s="18"/>
      <c r="AF529" s="18"/>
      <c r="AG529" s="18"/>
      <c r="AH529" s="18"/>
      <c r="AI529" s="18"/>
      <c r="AJ529" s="18"/>
      <c r="AK529" s="18"/>
    </row>
    <row r="530" spans="2:37" x14ac:dyDescent="0.3">
      <c r="AC530" s="45"/>
      <c r="AD530" s="17"/>
      <c r="AE530" s="18"/>
      <c r="AF530" s="18"/>
      <c r="AG530" s="18"/>
      <c r="AH530" s="18"/>
      <c r="AI530" s="18"/>
      <c r="AJ530" s="18"/>
      <c r="AK530" s="18"/>
    </row>
    <row r="531" spans="2:37" x14ac:dyDescent="0.3">
      <c r="AC531" s="45"/>
      <c r="AD531" s="17"/>
      <c r="AE531" s="18"/>
      <c r="AF531" s="18"/>
      <c r="AG531" s="18"/>
      <c r="AH531" s="18"/>
      <c r="AI531" s="18"/>
      <c r="AJ531" s="18"/>
      <c r="AK531" s="18"/>
    </row>
    <row r="532" spans="2:37" x14ac:dyDescent="0.3">
      <c r="AC532" s="45"/>
      <c r="AD532" s="17"/>
      <c r="AE532" s="18"/>
      <c r="AF532" s="18"/>
      <c r="AG532" s="18"/>
      <c r="AH532" s="18"/>
      <c r="AI532" s="18"/>
      <c r="AJ532" s="18"/>
      <c r="AK532" s="18"/>
    </row>
    <row r="533" spans="2:37" x14ac:dyDescent="0.3">
      <c r="AC533" s="45"/>
      <c r="AD533" s="17"/>
      <c r="AE533" s="18"/>
      <c r="AF533" s="18"/>
      <c r="AG533" s="18"/>
      <c r="AH533" s="18"/>
      <c r="AI533" s="18"/>
      <c r="AJ533" s="18"/>
      <c r="AK533" s="18"/>
    </row>
    <row r="534" spans="2:37" x14ac:dyDescent="0.3">
      <c r="AC534" s="45"/>
      <c r="AD534" s="17"/>
      <c r="AE534" s="18"/>
      <c r="AF534" s="18"/>
      <c r="AG534" s="18"/>
      <c r="AH534" s="18"/>
      <c r="AI534" s="18"/>
      <c r="AJ534" s="18"/>
      <c r="AK534" s="18"/>
    </row>
    <row r="535" spans="2:37" x14ac:dyDescent="0.3">
      <c r="AD535" s="17"/>
      <c r="AE535" s="18"/>
      <c r="AF535" s="18"/>
      <c r="AG535" s="18"/>
      <c r="AH535" s="18"/>
      <c r="AI535" s="18"/>
      <c r="AJ535" s="18"/>
      <c r="AK535" s="18"/>
    </row>
    <row r="536" spans="2:37" x14ac:dyDescent="0.3">
      <c r="AC536" s="47"/>
      <c r="AD536" s="17"/>
      <c r="AE536" s="17"/>
      <c r="AF536" s="17"/>
      <c r="AG536" s="17"/>
      <c r="AH536" s="17"/>
      <c r="AI536" s="17"/>
      <c r="AJ536" s="17"/>
      <c r="AK536" s="17"/>
    </row>
    <row r="538" spans="2:37" x14ac:dyDescent="0.3">
      <c r="B538" s="42"/>
    </row>
    <row r="539" spans="2:37" x14ac:dyDescent="0.3">
      <c r="B539" s="42"/>
    </row>
    <row r="540" spans="2:37" x14ac:dyDescent="0.3">
      <c r="B540" s="39"/>
      <c r="C540" s="17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C540" s="44"/>
      <c r="AD540" s="17"/>
      <c r="AE540" s="43"/>
      <c r="AF540" s="43"/>
      <c r="AG540" s="43"/>
      <c r="AH540" s="43"/>
      <c r="AI540" s="43"/>
      <c r="AJ540" s="43"/>
      <c r="AK540" s="43"/>
    </row>
    <row r="541" spans="2:37" x14ac:dyDescent="0.3">
      <c r="B541" s="16"/>
      <c r="C541" s="17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C541" s="45"/>
      <c r="AD541" s="17"/>
      <c r="AE541" s="18"/>
      <c r="AF541" s="18"/>
      <c r="AG541" s="18"/>
      <c r="AH541" s="18"/>
      <c r="AI541" s="18"/>
      <c r="AJ541" s="18"/>
      <c r="AK541" s="18"/>
    </row>
    <row r="542" spans="2:37" x14ac:dyDescent="0.3">
      <c r="B542" s="16"/>
      <c r="C542" s="17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C542" s="45"/>
      <c r="AD542" s="17"/>
      <c r="AE542" s="18"/>
      <c r="AF542" s="18"/>
      <c r="AG542" s="18"/>
      <c r="AH542" s="18"/>
      <c r="AI542" s="18"/>
      <c r="AJ542" s="18"/>
      <c r="AK542" s="18"/>
    </row>
    <row r="543" spans="2:37" x14ac:dyDescent="0.3">
      <c r="B543" s="16"/>
      <c r="C543" s="17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C543" s="45"/>
      <c r="AD543" s="17"/>
      <c r="AE543" s="18"/>
      <c r="AF543" s="18"/>
      <c r="AG543" s="18"/>
      <c r="AH543" s="18"/>
      <c r="AI543" s="18"/>
      <c r="AJ543" s="18"/>
      <c r="AK543" s="18"/>
    </row>
    <row r="544" spans="2:37" x14ac:dyDescent="0.3">
      <c r="B544" s="16"/>
      <c r="C544" s="17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C544" s="45"/>
      <c r="AD544" s="17"/>
      <c r="AE544" s="18"/>
      <c r="AF544" s="18"/>
      <c r="AG544" s="18"/>
      <c r="AH544" s="18"/>
      <c r="AI544" s="18"/>
      <c r="AJ544" s="18"/>
      <c r="AK544" s="18"/>
    </row>
    <row r="545" spans="2:37" x14ac:dyDescent="0.3">
      <c r="B545" s="16"/>
      <c r="C545" s="17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C545" s="45"/>
      <c r="AD545" s="17"/>
      <c r="AE545" s="18"/>
      <c r="AF545" s="18"/>
      <c r="AG545" s="18"/>
      <c r="AH545" s="18"/>
      <c r="AI545" s="18"/>
      <c r="AJ545" s="18"/>
      <c r="AK545" s="18"/>
    </row>
    <row r="546" spans="2:37" x14ac:dyDescent="0.3">
      <c r="B546" s="16"/>
      <c r="C546" s="17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C546" s="45"/>
      <c r="AD546" s="17"/>
      <c r="AE546" s="18"/>
      <c r="AF546" s="18"/>
      <c r="AG546" s="18"/>
      <c r="AH546" s="18"/>
      <c r="AI546" s="18"/>
      <c r="AJ546" s="18"/>
      <c r="AK546" s="18"/>
    </row>
    <row r="547" spans="2:37" x14ac:dyDescent="0.3">
      <c r="B547" s="16"/>
      <c r="C547" s="17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C547" s="45"/>
      <c r="AD547" s="17"/>
      <c r="AE547" s="18"/>
      <c r="AF547" s="18"/>
      <c r="AG547" s="18"/>
      <c r="AH547" s="18"/>
      <c r="AI547" s="18"/>
      <c r="AJ547" s="18"/>
      <c r="AK547" s="18"/>
    </row>
    <row r="548" spans="2:37" x14ac:dyDescent="0.3">
      <c r="B548" s="16"/>
      <c r="C548" s="17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C548" s="45"/>
      <c r="AD548" s="17"/>
      <c r="AE548" s="18"/>
      <c r="AF548" s="18"/>
      <c r="AG548" s="18"/>
      <c r="AH548" s="18"/>
      <c r="AI548" s="18"/>
      <c r="AJ548" s="18"/>
      <c r="AK548" s="18"/>
    </row>
    <row r="549" spans="2:37" x14ac:dyDescent="0.3">
      <c r="B549" s="16"/>
      <c r="C549" s="17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C549" s="45"/>
      <c r="AD549" s="17"/>
      <c r="AE549" s="18"/>
      <c r="AF549" s="18"/>
      <c r="AG549" s="18"/>
      <c r="AH549" s="18"/>
      <c r="AI549" s="18"/>
      <c r="AJ549" s="18"/>
      <c r="AK549" s="18"/>
    </row>
    <row r="550" spans="2:37" x14ac:dyDescent="0.3">
      <c r="B550" s="16"/>
      <c r="C550" s="17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C550" s="45"/>
      <c r="AD550" s="17"/>
      <c r="AE550" s="18"/>
      <c r="AF550" s="18"/>
      <c r="AG550" s="18"/>
      <c r="AH550" s="18"/>
      <c r="AI550" s="18"/>
      <c r="AJ550" s="18"/>
      <c r="AK550" s="18"/>
    </row>
    <row r="551" spans="2:37" x14ac:dyDescent="0.3">
      <c r="B551" s="16"/>
      <c r="C551" s="17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C551" s="45"/>
      <c r="AD551" s="17"/>
      <c r="AE551" s="18"/>
      <c r="AF551" s="18"/>
      <c r="AG551" s="18"/>
      <c r="AH551" s="18"/>
      <c r="AI551" s="18"/>
      <c r="AJ551" s="18"/>
      <c r="AK551" s="18"/>
    </row>
    <row r="552" spans="2:37" x14ac:dyDescent="0.3">
      <c r="B552" s="16"/>
      <c r="C552" s="17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C552" s="45"/>
      <c r="AD552" s="17"/>
      <c r="AE552" s="18"/>
      <c r="AF552" s="18"/>
      <c r="AG552" s="18"/>
      <c r="AH552" s="18"/>
      <c r="AI552" s="18"/>
      <c r="AJ552" s="18"/>
      <c r="AK552" s="18"/>
    </row>
    <row r="553" spans="2:37" x14ac:dyDescent="0.3">
      <c r="B553" s="16"/>
      <c r="C553" s="17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C553" s="45"/>
      <c r="AD553" s="17"/>
      <c r="AE553" s="18"/>
      <c r="AF553" s="18"/>
      <c r="AG553" s="18"/>
      <c r="AH553" s="18"/>
      <c r="AI553" s="18"/>
      <c r="AJ553" s="18"/>
      <c r="AK553" s="18"/>
    </row>
    <row r="554" spans="2:37" x14ac:dyDescent="0.3">
      <c r="B554" s="16"/>
      <c r="C554" s="17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C554" s="45"/>
      <c r="AD554" s="17"/>
      <c r="AE554" s="18"/>
      <c r="AF554" s="18"/>
      <c r="AG554" s="18"/>
      <c r="AH554" s="18"/>
      <c r="AI554" s="18"/>
      <c r="AJ554" s="18"/>
      <c r="AK554" s="18"/>
    </row>
    <row r="555" spans="2:37" x14ac:dyDescent="0.3">
      <c r="B555" s="16"/>
      <c r="C555" s="17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C555" s="45"/>
      <c r="AD555" s="17"/>
      <c r="AE555" s="18"/>
      <c r="AF555" s="18"/>
      <c r="AG555" s="18"/>
      <c r="AH555" s="18"/>
      <c r="AI555" s="18"/>
      <c r="AJ555" s="18"/>
      <c r="AK555" s="18"/>
    </row>
    <row r="556" spans="2:37" x14ac:dyDescent="0.3">
      <c r="B556" s="16"/>
      <c r="C556" s="17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C556" s="45"/>
      <c r="AD556" s="17"/>
      <c r="AE556" s="18"/>
      <c r="AF556" s="18"/>
      <c r="AG556" s="18"/>
      <c r="AH556" s="18"/>
      <c r="AI556" s="18"/>
      <c r="AJ556" s="18"/>
      <c r="AK556" s="18"/>
    </row>
    <row r="557" spans="2:37" x14ac:dyDescent="0.3">
      <c r="B557" s="46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C557" s="45"/>
      <c r="AD557" s="17"/>
      <c r="AE557" s="18"/>
      <c r="AF557" s="18"/>
      <c r="AG557" s="18"/>
      <c r="AH557" s="18"/>
      <c r="AI557" s="18"/>
      <c r="AJ557" s="18"/>
      <c r="AK557" s="18"/>
    </row>
    <row r="558" spans="2:37" x14ac:dyDescent="0.3">
      <c r="AC558" s="45"/>
      <c r="AD558" s="17"/>
      <c r="AE558" s="18"/>
      <c r="AF558" s="18"/>
      <c r="AG558" s="18"/>
      <c r="AH558" s="18"/>
      <c r="AI558" s="18"/>
      <c r="AJ558" s="18"/>
      <c r="AK558" s="18"/>
    </row>
    <row r="559" spans="2:37" x14ac:dyDescent="0.3">
      <c r="AC559" s="45"/>
      <c r="AD559" s="17"/>
      <c r="AE559" s="18"/>
      <c r="AF559" s="18"/>
      <c r="AG559" s="18"/>
      <c r="AH559" s="18"/>
      <c r="AI559" s="18"/>
      <c r="AJ559" s="18"/>
      <c r="AK559" s="18"/>
    </row>
    <row r="560" spans="2:37" x14ac:dyDescent="0.3">
      <c r="AC560" s="45"/>
      <c r="AD560" s="17"/>
      <c r="AE560" s="18"/>
      <c r="AF560" s="18"/>
      <c r="AG560" s="18"/>
      <c r="AH560" s="18"/>
      <c r="AI560" s="18"/>
      <c r="AJ560" s="18"/>
      <c r="AK560" s="18"/>
    </row>
    <row r="561" spans="2:37" x14ac:dyDescent="0.3">
      <c r="AC561" s="45"/>
      <c r="AD561" s="17"/>
      <c r="AE561" s="18"/>
      <c r="AF561" s="18"/>
      <c r="AG561" s="18"/>
      <c r="AH561" s="18"/>
      <c r="AI561" s="18"/>
      <c r="AJ561" s="18"/>
      <c r="AK561" s="18"/>
    </row>
    <row r="562" spans="2:37" x14ac:dyDescent="0.3">
      <c r="AC562" s="45"/>
      <c r="AD562" s="17"/>
      <c r="AE562" s="18"/>
      <c r="AF562" s="18"/>
      <c r="AG562" s="18"/>
      <c r="AH562" s="18"/>
      <c r="AI562" s="18"/>
      <c r="AJ562" s="18"/>
      <c r="AK562" s="18"/>
    </row>
    <row r="563" spans="2:37" x14ac:dyDescent="0.3">
      <c r="AC563" s="45"/>
      <c r="AD563" s="17"/>
      <c r="AE563" s="18"/>
      <c r="AF563" s="18"/>
      <c r="AG563" s="18"/>
      <c r="AH563" s="18"/>
      <c r="AI563" s="18"/>
      <c r="AJ563" s="18"/>
      <c r="AK563" s="18"/>
    </row>
    <row r="564" spans="2:37" x14ac:dyDescent="0.3">
      <c r="AC564" s="45"/>
      <c r="AD564" s="17"/>
      <c r="AE564" s="18"/>
      <c r="AF564" s="18"/>
      <c r="AG564" s="18"/>
      <c r="AH564" s="18"/>
      <c r="AI564" s="18"/>
      <c r="AJ564" s="18"/>
      <c r="AK564" s="18"/>
    </row>
    <row r="565" spans="2:37" x14ac:dyDescent="0.3">
      <c r="AD565" s="17"/>
      <c r="AE565" s="18"/>
      <c r="AF565" s="18"/>
      <c r="AG565" s="18"/>
      <c r="AH565" s="18"/>
      <c r="AI565" s="18"/>
      <c r="AJ565" s="18"/>
      <c r="AK565" s="18"/>
    </row>
    <row r="566" spans="2:37" x14ac:dyDescent="0.3">
      <c r="AC566" s="47"/>
      <c r="AD566" s="17"/>
      <c r="AE566" s="17"/>
      <c r="AF566" s="17"/>
      <c r="AG566" s="17"/>
      <c r="AH566" s="17"/>
      <c r="AI566" s="17"/>
      <c r="AJ566" s="17"/>
      <c r="AK566" s="17"/>
    </row>
    <row r="568" spans="2:37" x14ac:dyDescent="0.3">
      <c r="B568" s="42"/>
    </row>
    <row r="569" spans="2:37" x14ac:dyDescent="0.3">
      <c r="B569" s="42"/>
    </row>
    <row r="570" spans="2:37" x14ac:dyDescent="0.3">
      <c r="B570" s="39"/>
      <c r="C570" s="17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C570" s="44"/>
      <c r="AD570" s="17"/>
      <c r="AE570" s="43"/>
      <c r="AF570" s="43"/>
      <c r="AG570" s="43"/>
      <c r="AH570" s="43"/>
      <c r="AI570" s="43"/>
      <c r="AJ570" s="43"/>
      <c r="AK570" s="43"/>
    </row>
    <row r="571" spans="2:37" x14ac:dyDescent="0.3">
      <c r="B571" s="16"/>
      <c r="C571" s="17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C571" s="45"/>
      <c r="AD571" s="17"/>
      <c r="AE571" s="18"/>
      <c r="AF571" s="18"/>
      <c r="AG571" s="18"/>
      <c r="AH571" s="18"/>
      <c r="AI571" s="18"/>
      <c r="AJ571" s="18"/>
      <c r="AK571" s="18"/>
    </row>
    <row r="572" spans="2:37" x14ac:dyDescent="0.3">
      <c r="B572" s="16"/>
      <c r="C572" s="17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C572" s="45"/>
      <c r="AD572" s="17"/>
      <c r="AE572" s="18"/>
      <c r="AF572" s="18"/>
      <c r="AG572" s="18"/>
      <c r="AH572" s="18"/>
      <c r="AI572" s="18"/>
      <c r="AJ572" s="18"/>
      <c r="AK572" s="18"/>
    </row>
    <row r="573" spans="2:37" x14ac:dyDescent="0.3">
      <c r="B573" s="16"/>
      <c r="C573" s="17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C573" s="45"/>
      <c r="AD573" s="17"/>
      <c r="AE573" s="18"/>
      <c r="AF573" s="18"/>
      <c r="AG573" s="18"/>
      <c r="AH573" s="18"/>
      <c r="AI573" s="18"/>
      <c r="AJ573" s="18"/>
      <c r="AK573" s="18"/>
    </row>
    <row r="574" spans="2:37" x14ac:dyDescent="0.3">
      <c r="B574" s="16"/>
      <c r="C574" s="17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C574" s="45"/>
      <c r="AD574" s="17"/>
      <c r="AE574" s="18"/>
      <c r="AF574" s="18"/>
      <c r="AG574" s="18"/>
      <c r="AH574" s="18"/>
      <c r="AI574" s="18"/>
      <c r="AJ574" s="18"/>
      <c r="AK574" s="18"/>
    </row>
    <row r="575" spans="2:37" x14ac:dyDescent="0.3">
      <c r="B575" s="16"/>
      <c r="C575" s="17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C575" s="45"/>
      <c r="AD575" s="17"/>
      <c r="AE575" s="18"/>
      <c r="AF575" s="18"/>
      <c r="AG575" s="18"/>
      <c r="AH575" s="18"/>
      <c r="AI575" s="18"/>
      <c r="AJ575" s="18"/>
      <c r="AK575" s="18"/>
    </row>
    <row r="576" spans="2:37" x14ac:dyDescent="0.3">
      <c r="B576" s="16"/>
      <c r="C576" s="17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C576" s="45"/>
      <c r="AD576" s="17"/>
      <c r="AE576" s="18"/>
      <c r="AF576" s="18"/>
      <c r="AG576" s="18"/>
      <c r="AH576" s="18"/>
      <c r="AI576" s="18"/>
      <c r="AJ576" s="18"/>
      <c r="AK576" s="18"/>
    </row>
    <row r="577" spans="2:37" x14ac:dyDescent="0.3">
      <c r="B577" s="16"/>
      <c r="C577" s="17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C577" s="45"/>
      <c r="AD577" s="17"/>
      <c r="AE577" s="18"/>
      <c r="AF577" s="18"/>
      <c r="AG577" s="18"/>
      <c r="AH577" s="18"/>
      <c r="AI577" s="18"/>
      <c r="AJ577" s="18"/>
      <c r="AK577" s="18"/>
    </row>
    <row r="578" spans="2:37" x14ac:dyDescent="0.3">
      <c r="B578" s="16"/>
      <c r="C578" s="17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C578" s="45"/>
      <c r="AD578" s="17"/>
      <c r="AE578" s="18"/>
      <c r="AF578" s="18"/>
      <c r="AG578" s="18"/>
      <c r="AH578" s="18"/>
      <c r="AI578" s="18"/>
      <c r="AJ578" s="18"/>
      <c r="AK578" s="18"/>
    </row>
    <row r="579" spans="2:37" x14ac:dyDescent="0.3">
      <c r="B579" s="16"/>
      <c r="C579" s="17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C579" s="45"/>
      <c r="AD579" s="17"/>
      <c r="AE579" s="18"/>
      <c r="AF579" s="18"/>
      <c r="AG579" s="18"/>
      <c r="AH579" s="18"/>
      <c r="AI579" s="18"/>
      <c r="AJ579" s="18"/>
      <c r="AK579" s="18"/>
    </row>
    <row r="580" spans="2:37" x14ac:dyDescent="0.3">
      <c r="B580" s="16"/>
      <c r="C580" s="17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C580" s="45"/>
      <c r="AD580" s="17"/>
      <c r="AE580" s="18"/>
      <c r="AF580" s="18"/>
      <c r="AG580" s="18"/>
      <c r="AH580" s="18"/>
      <c r="AI580" s="18"/>
      <c r="AJ580" s="18"/>
      <c r="AK580" s="18"/>
    </row>
    <row r="581" spans="2:37" x14ac:dyDescent="0.3">
      <c r="B581" s="16"/>
      <c r="C581" s="17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C581" s="45"/>
      <c r="AD581" s="17"/>
      <c r="AE581" s="18"/>
      <c r="AF581" s="18"/>
      <c r="AG581" s="18"/>
      <c r="AH581" s="18"/>
      <c r="AI581" s="18"/>
      <c r="AJ581" s="18"/>
      <c r="AK581" s="18"/>
    </row>
    <row r="582" spans="2:37" x14ac:dyDescent="0.3">
      <c r="B582" s="16"/>
      <c r="C582" s="17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C582" s="45"/>
      <c r="AD582" s="17"/>
      <c r="AE582" s="18"/>
      <c r="AF582" s="18"/>
      <c r="AG582" s="18"/>
      <c r="AH582" s="18"/>
      <c r="AI582" s="18"/>
      <c r="AJ582" s="18"/>
      <c r="AK582" s="18"/>
    </row>
    <row r="583" spans="2:37" x14ac:dyDescent="0.3">
      <c r="B583" s="16"/>
      <c r="C583" s="17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C583" s="45"/>
      <c r="AD583" s="17"/>
      <c r="AE583" s="18"/>
      <c r="AF583" s="18"/>
      <c r="AG583" s="18"/>
      <c r="AH583" s="18"/>
      <c r="AI583" s="18"/>
      <c r="AJ583" s="18"/>
      <c r="AK583" s="18"/>
    </row>
    <row r="584" spans="2:37" x14ac:dyDescent="0.3">
      <c r="B584" s="16"/>
      <c r="C584" s="17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C584" s="45"/>
      <c r="AD584" s="17"/>
      <c r="AE584" s="18"/>
      <c r="AF584" s="18"/>
      <c r="AG584" s="18"/>
      <c r="AH584" s="18"/>
      <c r="AI584" s="18"/>
      <c r="AJ584" s="18"/>
      <c r="AK584" s="18"/>
    </row>
    <row r="585" spans="2:37" x14ac:dyDescent="0.3">
      <c r="B585" s="16"/>
      <c r="C585" s="17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C585" s="45"/>
      <c r="AD585" s="17"/>
      <c r="AE585" s="18"/>
      <c r="AF585" s="18"/>
      <c r="AG585" s="18"/>
      <c r="AH585" s="18"/>
      <c r="AI585" s="18"/>
      <c r="AJ585" s="18"/>
      <c r="AK585" s="18"/>
    </row>
    <row r="586" spans="2:37" x14ac:dyDescent="0.3">
      <c r="B586" s="16"/>
      <c r="C586" s="17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C586" s="45"/>
      <c r="AD586" s="17"/>
      <c r="AE586" s="18"/>
      <c r="AF586" s="18"/>
      <c r="AG586" s="18"/>
      <c r="AH586" s="18"/>
      <c r="AI586" s="18"/>
      <c r="AJ586" s="18"/>
      <c r="AK586" s="18"/>
    </row>
    <row r="587" spans="2:37" x14ac:dyDescent="0.3">
      <c r="B587" s="46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C587" s="45"/>
      <c r="AD587" s="17"/>
      <c r="AE587" s="18"/>
      <c r="AF587" s="18"/>
      <c r="AG587" s="18"/>
      <c r="AH587" s="18"/>
      <c r="AI587" s="18"/>
      <c r="AJ587" s="18"/>
      <c r="AK587" s="18"/>
    </row>
    <row r="588" spans="2:37" x14ac:dyDescent="0.3">
      <c r="AC588" s="45"/>
      <c r="AD588" s="17"/>
      <c r="AE588" s="18"/>
      <c r="AF588" s="18"/>
      <c r="AG588" s="18"/>
      <c r="AH588" s="18"/>
      <c r="AI588" s="18"/>
      <c r="AJ588" s="18"/>
      <c r="AK588" s="18"/>
    </row>
    <row r="589" spans="2:37" x14ac:dyDescent="0.3">
      <c r="AC589" s="45"/>
      <c r="AD589" s="17"/>
      <c r="AE589" s="18"/>
      <c r="AF589" s="18"/>
      <c r="AG589" s="18"/>
      <c r="AH589" s="18"/>
      <c r="AI589" s="18"/>
      <c r="AJ589" s="18"/>
      <c r="AK589" s="18"/>
    </row>
    <row r="590" spans="2:37" x14ac:dyDescent="0.3">
      <c r="AC590" s="45"/>
      <c r="AD590" s="17"/>
      <c r="AE590" s="18"/>
      <c r="AF590" s="18"/>
      <c r="AG590" s="18"/>
      <c r="AH590" s="18"/>
      <c r="AI590" s="18"/>
      <c r="AJ590" s="18"/>
      <c r="AK590" s="18"/>
    </row>
    <row r="591" spans="2:37" x14ac:dyDescent="0.3">
      <c r="AC591" s="45"/>
      <c r="AD591" s="17"/>
      <c r="AE591" s="18"/>
      <c r="AF591" s="18"/>
      <c r="AG591" s="18"/>
      <c r="AH591" s="18"/>
      <c r="AI591" s="18"/>
      <c r="AJ591" s="18"/>
      <c r="AK591" s="18"/>
    </row>
    <row r="592" spans="2:37" x14ac:dyDescent="0.3">
      <c r="AC592" s="45"/>
      <c r="AD592" s="17"/>
      <c r="AE592" s="18"/>
      <c r="AF592" s="18"/>
      <c r="AG592" s="18"/>
      <c r="AH592" s="18"/>
      <c r="AI592" s="18"/>
      <c r="AJ592" s="18"/>
      <c r="AK592" s="18"/>
    </row>
    <row r="593" spans="2:37" x14ac:dyDescent="0.3">
      <c r="AC593" s="45"/>
      <c r="AD593" s="17"/>
      <c r="AE593" s="18"/>
      <c r="AF593" s="18"/>
      <c r="AG593" s="18"/>
      <c r="AH593" s="18"/>
      <c r="AI593" s="18"/>
      <c r="AJ593" s="18"/>
      <c r="AK593" s="18"/>
    </row>
    <row r="594" spans="2:37" x14ac:dyDescent="0.3">
      <c r="AC594" s="45"/>
      <c r="AD594" s="17"/>
      <c r="AE594" s="18"/>
      <c r="AF594" s="18"/>
      <c r="AG594" s="18"/>
      <c r="AH594" s="18"/>
      <c r="AI594" s="18"/>
      <c r="AJ594" s="18"/>
      <c r="AK594" s="18"/>
    </row>
    <row r="595" spans="2:37" x14ac:dyDescent="0.3">
      <c r="AD595" s="17"/>
      <c r="AE595" s="18"/>
      <c r="AF595" s="18"/>
      <c r="AG595" s="18"/>
      <c r="AH595" s="18"/>
      <c r="AI595" s="18"/>
      <c r="AJ595" s="18"/>
      <c r="AK595" s="18"/>
    </row>
    <row r="596" spans="2:37" x14ac:dyDescent="0.3">
      <c r="AC596" s="47"/>
      <c r="AD596" s="17"/>
      <c r="AE596" s="17"/>
      <c r="AF596" s="17"/>
      <c r="AG596" s="17"/>
      <c r="AH596" s="17"/>
      <c r="AI596" s="17"/>
      <c r="AJ596" s="17"/>
      <c r="AK596" s="17"/>
    </row>
    <row r="598" spans="2:37" x14ac:dyDescent="0.3">
      <c r="B598" s="42"/>
    </row>
    <row r="599" spans="2:37" x14ac:dyDescent="0.3">
      <c r="B599" s="42"/>
    </row>
    <row r="600" spans="2:37" x14ac:dyDescent="0.3">
      <c r="B600" s="39"/>
      <c r="C600" s="17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C600" s="44"/>
      <c r="AD600" s="17"/>
      <c r="AE600" s="43"/>
      <c r="AF600" s="43"/>
      <c r="AG600" s="43"/>
      <c r="AH600" s="43"/>
      <c r="AI600" s="43"/>
      <c r="AJ600" s="43"/>
      <c r="AK600" s="43"/>
    </row>
    <row r="601" spans="2:37" x14ac:dyDescent="0.3">
      <c r="B601" s="16"/>
      <c r="C601" s="17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C601" s="45"/>
      <c r="AD601" s="17"/>
      <c r="AE601" s="18"/>
      <c r="AF601" s="18"/>
      <c r="AG601" s="18"/>
      <c r="AH601" s="18"/>
      <c r="AI601" s="18"/>
      <c r="AJ601" s="18"/>
      <c r="AK601" s="18"/>
    </row>
    <row r="602" spans="2:37" x14ac:dyDescent="0.3">
      <c r="B602" s="16"/>
      <c r="C602" s="17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C602" s="45"/>
      <c r="AD602" s="17"/>
      <c r="AE602" s="18"/>
      <c r="AF602" s="18"/>
      <c r="AG602" s="18"/>
      <c r="AH602" s="18"/>
      <c r="AI602" s="18"/>
      <c r="AJ602" s="18"/>
      <c r="AK602" s="18"/>
    </row>
    <row r="603" spans="2:37" x14ac:dyDescent="0.3">
      <c r="B603" s="16"/>
      <c r="C603" s="17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C603" s="45"/>
      <c r="AD603" s="17"/>
      <c r="AE603" s="18"/>
      <c r="AF603" s="18"/>
      <c r="AG603" s="18"/>
      <c r="AH603" s="18"/>
      <c r="AI603" s="18"/>
      <c r="AJ603" s="18"/>
      <c r="AK603" s="18"/>
    </row>
    <row r="604" spans="2:37" x14ac:dyDescent="0.3">
      <c r="B604" s="16"/>
      <c r="C604" s="17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C604" s="45"/>
      <c r="AD604" s="17"/>
      <c r="AE604" s="18"/>
      <c r="AF604" s="18"/>
      <c r="AG604" s="18"/>
      <c r="AH604" s="18"/>
      <c r="AI604" s="18"/>
      <c r="AJ604" s="18"/>
      <c r="AK604" s="18"/>
    </row>
    <row r="605" spans="2:37" x14ac:dyDescent="0.3">
      <c r="B605" s="16"/>
      <c r="C605" s="17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C605" s="45"/>
      <c r="AD605" s="17"/>
      <c r="AE605" s="18"/>
      <c r="AF605" s="18"/>
      <c r="AG605" s="18"/>
      <c r="AH605" s="18"/>
      <c r="AI605" s="18"/>
      <c r="AJ605" s="18"/>
      <c r="AK605" s="18"/>
    </row>
    <row r="606" spans="2:37" x14ac:dyDescent="0.3">
      <c r="B606" s="16"/>
      <c r="C606" s="17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C606" s="45"/>
      <c r="AD606" s="17"/>
      <c r="AE606" s="18"/>
      <c r="AF606" s="18"/>
      <c r="AG606" s="18"/>
      <c r="AH606" s="18"/>
      <c r="AI606" s="18"/>
      <c r="AJ606" s="18"/>
      <c r="AK606" s="18"/>
    </row>
    <row r="607" spans="2:37" x14ac:dyDescent="0.3">
      <c r="B607" s="16"/>
      <c r="C607" s="17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C607" s="45"/>
      <c r="AD607" s="17"/>
      <c r="AE607" s="18"/>
      <c r="AF607" s="18"/>
      <c r="AG607" s="18"/>
      <c r="AH607" s="18"/>
      <c r="AI607" s="18"/>
      <c r="AJ607" s="18"/>
      <c r="AK607" s="18"/>
    </row>
    <row r="608" spans="2:37" x14ac:dyDescent="0.3">
      <c r="B608" s="16"/>
      <c r="C608" s="17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C608" s="45"/>
      <c r="AD608" s="17"/>
      <c r="AE608" s="18"/>
      <c r="AF608" s="18"/>
      <c r="AG608" s="18"/>
      <c r="AH608" s="18"/>
      <c r="AI608" s="18"/>
      <c r="AJ608" s="18"/>
      <c r="AK608" s="18"/>
    </row>
    <row r="609" spans="2:37" x14ac:dyDescent="0.3">
      <c r="B609" s="16"/>
      <c r="C609" s="17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C609" s="45"/>
      <c r="AD609" s="17"/>
      <c r="AE609" s="18"/>
      <c r="AF609" s="18"/>
      <c r="AG609" s="18"/>
      <c r="AH609" s="18"/>
      <c r="AI609" s="18"/>
      <c r="AJ609" s="18"/>
      <c r="AK609" s="18"/>
    </row>
    <row r="610" spans="2:37" x14ac:dyDescent="0.3">
      <c r="B610" s="16"/>
      <c r="C610" s="17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C610" s="45"/>
      <c r="AD610" s="17"/>
      <c r="AE610" s="18"/>
      <c r="AF610" s="18"/>
      <c r="AG610" s="18"/>
      <c r="AH610" s="18"/>
      <c r="AI610" s="18"/>
      <c r="AJ610" s="18"/>
      <c r="AK610" s="18"/>
    </row>
    <row r="611" spans="2:37" x14ac:dyDescent="0.3">
      <c r="B611" s="16"/>
      <c r="C611" s="17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C611" s="45"/>
      <c r="AD611" s="17"/>
      <c r="AE611" s="18"/>
      <c r="AF611" s="18"/>
      <c r="AG611" s="18"/>
      <c r="AH611" s="18"/>
      <c r="AI611" s="18"/>
      <c r="AJ611" s="18"/>
      <c r="AK611" s="18"/>
    </row>
    <row r="612" spans="2:37" x14ac:dyDescent="0.3">
      <c r="B612" s="16"/>
      <c r="C612" s="17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C612" s="45"/>
      <c r="AD612" s="17"/>
      <c r="AE612" s="18"/>
      <c r="AF612" s="18"/>
      <c r="AG612" s="18"/>
      <c r="AH612" s="18"/>
      <c r="AI612" s="18"/>
      <c r="AJ612" s="18"/>
      <c r="AK612" s="18"/>
    </row>
    <row r="613" spans="2:37" x14ac:dyDescent="0.3">
      <c r="B613" s="16"/>
      <c r="C613" s="17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C613" s="45"/>
      <c r="AD613" s="17"/>
      <c r="AE613" s="18"/>
      <c r="AF613" s="18"/>
      <c r="AG613" s="18"/>
      <c r="AH613" s="18"/>
      <c r="AI613" s="18"/>
      <c r="AJ613" s="18"/>
      <c r="AK613" s="18"/>
    </row>
    <row r="614" spans="2:37" x14ac:dyDescent="0.3">
      <c r="B614" s="16"/>
      <c r="C614" s="17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C614" s="45"/>
      <c r="AD614" s="17"/>
      <c r="AE614" s="18"/>
      <c r="AF614" s="18"/>
      <c r="AG614" s="18"/>
      <c r="AH614" s="18"/>
      <c r="AI614" s="18"/>
      <c r="AJ614" s="18"/>
      <c r="AK614" s="18"/>
    </row>
    <row r="615" spans="2:37" x14ac:dyDescent="0.3">
      <c r="B615" s="16"/>
      <c r="C615" s="17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C615" s="45"/>
      <c r="AD615" s="17"/>
      <c r="AE615" s="18"/>
      <c r="AF615" s="18"/>
      <c r="AG615" s="18"/>
      <c r="AH615" s="18"/>
      <c r="AI615" s="18"/>
      <c r="AJ615" s="18"/>
      <c r="AK615" s="18"/>
    </row>
    <row r="616" spans="2:37" x14ac:dyDescent="0.3">
      <c r="B616" s="16"/>
      <c r="C616" s="17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C616" s="45"/>
      <c r="AD616" s="17"/>
      <c r="AE616" s="18"/>
      <c r="AF616" s="18"/>
      <c r="AG616" s="18"/>
      <c r="AH616" s="18"/>
      <c r="AI616" s="18"/>
      <c r="AJ616" s="18"/>
      <c r="AK616" s="18"/>
    </row>
    <row r="617" spans="2:37" x14ac:dyDescent="0.3">
      <c r="B617" s="46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C617" s="45"/>
      <c r="AD617" s="17"/>
      <c r="AE617" s="18"/>
      <c r="AF617" s="18"/>
      <c r="AG617" s="18"/>
      <c r="AH617" s="18"/>
      <c r="AI617" s="18"/>
      <c r="AJ617" s="18"/>
      <c r="AK617" s="18"/>
    </row>
    <row r="618" spans="2:37" x14ac:dyDescent="0.3">
      <c r="AC618" s="45"/>
      <c r="AD618" s="17"/>
      <c r="AE618" s="18"/>
      <c r="AF618" s="18"/>
      <c r="AG618" s="18"/>
      <c r="AH618" s="18"/>
      <c r="AI618" s="18"/>
      <c r="AJ618" s="18"/>
      <c r="AK618" s="18"/>
    </row>
    <row r="619" spans="2:37" x14ac:dyDescent="0.3">
      <c r="AC619" s="45"/>
      <c r="AD619" s="17"/>
      <c r="AE619" s="18"/>
      <c r="AF619" s="18"/>
      <c r="AG619" s="18"/>
      <c r="AH619" s="18"/>
      <c r="AI619" s="18"/>
      <c r="AJ619" s="18"/>
      <c r="AK619" s="18"/>
    </row>
    <row r="620" spans="2:37" x14ac:dyDescent="0.3">
      <c r="AC620" s="45"/>
      <c r="AD620" s="17"/>
      <c r="AE620" s="18"/>
      <c r="AF620" s="18"/>
      <c r="AG620" s="18"/>
      <c r="AH620" s="18"/>
      <c r="AI620" s="18"/>
      <c r="AJ620" s="18"/>
      <c r="AK620" s="18"/>
    </row>
    <row r="621" spans="2:37" x14ac:dyDescent="0.3">
      <c r="AC621" s="45"/>
      <c r="AD621" s="17"/>
      <c r="AE621" s="18"/>
      <c r="AF621" s="18"/>
      <c r="AG621" s="18"/>
      <c r="AH621" s="18"/>
      <c r="AI621" s="18"/>
      <c r="AJ621" s="18"/>
      <c r="AK621" s="18"/>
    </row>
    <row r="622" spans="2:37" x14ac:dyDescent="0.3">
      <c r="AC622" s="45"/>
      <c r="AD622" s="17"/>
      <c r="AE622" s="18"/>
      <c r="AF622" s="18"/>
      <c r="AG622" s="18"/>
      <c r="AH622" s="18"/>
      <c r="AI622" s="18"/>
      <c r="AJ622" s="18"/>
      <c r="AK622" s="18"/>
    </row>
    <row r="623" spans="2:37" x14ac:dyDescent="0.3">
      <c r="AC623" s="45"/>
      <c r="AD623" s="17"/>
      <c r="AE623" s="18"/>
      <c r="AF623" s="18"/>
      <c r="AG623" s="18"/>
      <c r="AH623" s="18"/>
      <c r="AI623" s="18"/>
      <c r="AJ623" s="18"/>
      <c r="AK623" s="18"/>
    </row>
    <row r="624" spans="2:37" x14ac:dyDescent="0.3">
      <c r="AC624" s="45"/>
      <c r="AD624" s="17"/>
      <c r="AE624" s="18"/>
      <c r="AF624" s="18"/>
      <c r="AG624" s="18"/>
      <c r="AH624" s="18"/>
      <c r="AI624" s="18"/>
      <c r="AJ624" s="18"/>
      <c r="AK624" s="18"/>
    </row>
    <row r="625" spans="2:37" x14ac:dyDescent="0.3">
      <c r="AD625" s="17"/>
      <c r="AE625" s="18"/>
      <c r="AF625" s="18"/>
      <c r="AG625" s="18"/>
      <c r="AH625" s="18"/>
      <c r="AI625" s="18"/>
      <c r="AJ625" s="18"/>
      <c r="AK625" s="18"/>
    </row>
    <row r="626" spans="2:37" x14ac:dyDescent="0.3">
      <c r="AC626" s="47"/>
      <c r="AD626" s="17"/>
      <c r="AE626" s="17"/>
      <c r="AF626" s="17"/>
      <c r="AG626" s="17"/>
      <c r="AH626" s="17"/>
      <c r="AI626" s="17"/>
      <c r="AJ626" s="17"/>
      <c r="AK626" s="17"/>
    </row>
    <row r="628" spans="2:37" x14ac:dyDescent="0.3">
      <c r="B628" s="42"/>
    </row>
    <row r="629" spans="2:37" x14ac:dyDescent="0.3">
      <c r="B629" s="42"/>
    </row>
    <row r="630" spans="2:37" x14ac:dyDescent="0.3">
      <c r="B630" s="39"/>
      <c r="C630" s="17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C630" s="44"/>
      <c r="AD630" s="17"/>
      <c r="AE630" s="43"/>
      <c r="AF630" s="43"/>
      <c r="AG630" s="43"/>
      <c r="AH630" s="43"/>
      <c r="AI630" s="43"/>
      <c r="AJ630" s="43"/>
      <c r="AK630" s="43"/>
    </row>
    <row r="631" spans="2:37" x14ac:dyDescent="0.3">
      <c r="B631" s="16"/>
      <c r="C631" s="17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C631" s="45"/>
      <c r="AD631" s="17"/>
      <c r="AE631" s="18"/>
      <c r="AF631" s="18"/>
      <c r="AG631" s="18"/>
      <c r="AH631" s="18"/>
      <c r="AI631" s="18"/>
      <c r="AJ631" s="18"/>
      <c r="AK631" s="18"/>
    </row>
    <row r="632" spans="2:37" x14ac:dyDescent="0.3">
      <c r="B632" s="16"/>
      <c r="C632" s="17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C632" s="45"/>
      <c r="AD632" s="17"/>
      <c r="AE632" s="18"/>
      <c r="AF632" s="18"/>
      <c r="AG632" s="18"/>
      <c r="AH632" s="18"/>
      <c r="AI632" s="18"/>
      <c r="AJ632" s="18"/>
      <c r="AK632" s="18"/>
    </row>
    <row r="633" spans="2:37" x14ac:dyDescent="0.3">
      <c r="B633" s="16"/>
      <c r="C633" s="17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C633" s="45"/>
      <c r="AD633" s="17"/>
      <c r="AE633" s="18"/>
      <c r="AF633" s="18"/>
      <c r="AG633" s="18"/>
      <c r="AH633" s="18"/>
      <c r="AI633" s="18"/>
      <c r="AJ633" s="18"/>
      <c r="AK633" s="18"/>
    </row>
    <row r="634" spans="2:37" x14ac:dyDescent="0.3">
      <c r="B634" s="16"/>
      <c r="C634" s="17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C634" s="45"/>
      <c r="AD634" s="17"/>
      <c r="AE634" s="18"/>
      <c r="AF634" s="18"/>
      <c r="AG634" s="18"/>
      <c r="AH634" s="18"/>
      <c r="AI634" s="18"/>
      <c r="AJ634" s="18"/>
      <c r="AK634" s="18"/>
    </row>
    <row r="635" spans="2:37" x14ac:dyDescent="0.3">
      <c r="B635" s="16"/>
      <c r="C635" s="17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C635" s="45"/>
      <c r="AD635" s="17"/>
      <c r="AE635" s="18"/>
      <c r="AF635" s="18"/>
      <c r="AG635" s="18"/>
      <c r="AH635" s="18"/>
      <c r="AI635" s="18"/>
      <c r="AJ635" s="18"/>
      <c r="AK635" s="18"/>
    </row>
    <row r="636" spans="2:37" x14ac:dyDescent="0.3">
      <c r="B636" s="16"/>
      <c r="C636" s="17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C636" s="45"/>
      <c r="AD636" s="17"/>
      <c r="AE636" s="18"/>
      <c r="AF636" s="18"/>
      <c r="AG636" s="18"/>
      <c r="AH636" s="18"/>
      <c r="AI636" s="18"/>
      <c r="AJ636" s="18"/>
      <c r="AK636" s="18"/>
    </row>
    <row r="637" spans="2:37" x14ac:dyDescent="0.3">
      <c r="B637" s="16"/>
      <c r="C637" s="17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C637" s="45"/>
      <c r="AD637" s="17"/>
      <c r="AE637" s="18"/>
      <c r="AF637" s="18"/>
      <c r="AG637" s="18"/>
      <c r="AH637" s="18"/>
      <c r="AI637" s="18"/>
      <c r="AJ637" s="18"/>
      <c r="AK637" s="18"/>
    </row>
    <row r="638" spans="2:37" x14ac:dyDescent="0.3">
      <c r="B638" s="16"/>
      <c r="C638" s="17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C638" s="45"/>
      <c r="AD638" s="17"/>
      <c r="AE638" s="18"/>
      <c r="AF638" s="18"/>
      <c r="AG638" s="18"/>
      <c r="AH638" s="18"/>
      <c r="AI638" s="18"/>
      <c r="AJ638" s="18"/>
      <c r="AK638" s="18"/>
    </row>
    <row r="639" spans="2:37" x14ac:dyDescent="0.3">
      <c r="B639" s="16"/>
      <c r="C639" s="17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C639" s="45"/>
      <c r="AD639" s="17"/>
      <c r="AE639" s="18"/>
      <c r="AF639" s="18"/>
      <c r="AG639" s="18"/>
      <c r="AH639" s="18"/>
      <c r="AI639" s="18"/>
      <c r="AJ639" s="18"/>
      <c r="AK639" s="18"/>
    </row>
    <row r="640" spans="2:37" x14ac:dyDescent="0.3">
      <c r="B640" s="16"/>
      <c r="C640" s="17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C640" s="45"/>
      <c r="AD640" s="17"/>
      <c r="AE640" s="18"/>
      <c r="AF640" s="18"/>
      <c r="AG640" s="18"/>
      <c r="AH640" s="18"/>
      <c r="AI640" s="18"/>
      <c r="AJ640" s="18"/>
      <c r="AK640" s="18"/>
    </row>
    <row r="641" spans="2:37" x14ac:dyDescent="0.3">
      <c r="B641" s="16"/>
      <c r="C641" s="17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C641" s="45"/>
      <c r="AD641" s="17"/>
      <c r="AE641" s="18"/>
      <c r="AF641" s="18"/>
      <c r="AG641" s="18"/>
      <c r="AH641" s="18"/>
      <c r="AI641" s="18"/>
      <c r="AJ641" s="18"/>
      <c r="AK641" s="18"/>
    </row>
    <row r="642" spans="2:37" x14ac:dyDescent="0.3">
      <c r="B642" s="16"/>
      <c r="C642" s="17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C642" s="45"/>
      <c r="AD642" s="17"/>
      <c r="AE642" s="18"/>
      <c r="AF642" s="18"/>
      <c r="AG642" s="18"/>
      <c r="AH642" s="18"/>
      <c r="AI642" s="18"/>
      <c r="AJ642" s="18"/>
      <c r="AK642" s="18"/>
    </row>
    <row r="643" spans="2:37" x14ac:dyDescent="0.3">
      <c r="B643" s="16"/>
      <c r="C643" s="17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C643" s="45"/>
      <c r="AD643" s="17"/>
      <c r="AE643" s="18"/>
      <c r="AF643" s="18"/>
      <c r="AG643" s="18"/>
      <c r="AH643" s="18"/>
      <c r="AI643" s="18"/>
      <c r="AJ643" s="18"/>
      <c r="AK643" s="18"/>
    </row>
    <row r="644" spans="2:37" x14ac:dyDescent="0.3">
      <c r="B644" s="16"/>
      <c r="C644" s="17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C644" s="45"/>
      <c r="AD644" s="17"/>
      <c r="AE644" s="18"/>
      <c r="AF644" s="18"/>
      <c r="AG644" s="18"/>
      <c r="AH644" s="18"/>
      <c r="AI644" s="18"/>
      <c r="AJ644" s="18"/>
      <c r="AK644" s="18"/>
    </row>
    <row r="645" spans="2:37" x14ac:dyDescent="0.3">
      <c r="B645" s="16"/>
      <c r="C645" s="17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C645" s="45"/>
      <c r="AD645" s="17"/>
      <c r="AE645" s="18"/>
      <c r="AF645" s="18"/>
      <c r="AG645" s="18"/>
      <c r="AH645" s="18"/>
      <c r="AI645" s="18"/>
      <c r="AJ645" s="18"/>
      <c r="AK645" s="18"/>
    </row>
    <row r="646" spans="2:37" x14ac:dyDescent="0.3">
      <c r="B646" s="16"/>
      <c r="C646" s="17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C646" s="45"/>
      <c r="AD646" s="17"/>
      <c r="AE646" s="18"/>
      <c r="AF646" s="18"/>
      <c r="AG646" s="18"/>
      <c r="AH646" s="18"/>
      <c r="AI646" s="18"/>
      <c r="AJ646" s="18"/>
      <c r="AK646" s="18"/>
    </row>
    <row r="647" spans="2:37" x14ac:dyDescent="0.3">
      <c r="B647" s="46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C647" s="45"/>
      <c r="AD647" s="17"/>
      <c r="AE647" s="18"/>
      <c r="AF647" s="18"/>
      <c r="AG647" s="18"/>
      <c r="AH647" s="18"/>
      <c r="AI647" s="18"/>
      <c r="AJ647" s="18"/>
      <c r="AK647" s="18"/>
    </row>
    <row r="648" spans="2:37" x14ac:dyDescent="0.3">
      <c r="AC648" s="45"/>
      <c r="AD648" s="17"/>
      <c r="AE648" s="18"/>
      <c r="AF648" s="18"/>
      <c r="AG648" s="18"/>
      <c r="AH648" s="18"/>
      <c r="AI648" s="18"/>
      <c r="AJ648" s="18"/>
      <c r="AK648" s="18"/>
    </row>
    <row r="649" spans="2:37" x14ac:dyDescent="0.3">
      <c r="AC649" s="45"/>
      <c r="AD649" s="17"/>
      <c r="AE649" s="18"/>
      <c r="AF649" s="18"/>
      <c r="AG649" s="18"/>
      <c r="AH649" s="18"/>
      <c r="AI649" s="18"/>
      <c r="AJ649" s="18"/>
      <c r="AK649" s="18"/>
    </row>
    <row r="650" spans="2:37" x14ac:dyDescent="0.3">
      <c r="AC650" s="45"/>
      <c r="AD650" s="17"/>
      <c r="AE650" s="18"/>
      <c r="AF650" s="18"/>
      <c r="AG650" s="18"/>
      <c r="AH650" s="18"/>
      <c r="AI650" s="18"/>
      <c r="AJ650" s="18"/>
      <c r="AK650" s="18"/>
    </row>
    <row r="651" spans="2:37" x14ac:dyDescent="0.3">
      <c r="AC651" s="45"/>
      <c r="AD651" s="17"/>
      <c r="AE651" s="18"/>
      <c r="AF651" s="18"/>
      <c r="AG651" s="18"/>
      <c r="AH651" s="18"/>
      <c r="AI651" s="18"/>
      <c r="AJ651" s="18"/>
      <c r="AK651" s="18"/>
    </row>
    <row r="652" spans="2:37" x14ac:dyDescent="0.3">
      <c r="AC652" s="45"/>
      <c r="AD652" s="17"/>
      <c r="AE652" s="18"/>
      <c r="AF652" s="18"/>
      <c r="AG652" s="18"/>
      <c r="AH652" s="18"/>
      <c r="AI652" s="18"/>
      <c r="AJ652" s="18"/>
      <c r="AK652" s="18"/>
    </row>
    <row r="653" spans="2:37" x14ac:dyDescent="0.3">
      <c r="AC653" s="45"/>
      <c r="AD653" s="17"/>
      <c r="AE653" s="18"/>
      <c r="AF653" s="18"/>
      <c r="AG653" s="18"/>
      <c r="AH653" s="18"/>
      <c r="AI653" s="18"/>
      <c r="AJ653" s="18"/>
      <c r="AK653" s="18"/>
    </row>
    <row r="654" spans="2:37" x14ac:dyDescent="0.3">
      <c r="AC654" s="45"/>
      <c r="AD654" s="17"/>
      <c r="AE654" s="18"/>
      <c r="AF654" s="18"/>
      <c r="AG654" s="18"/>
      <c r="AH654" s="18"/>
      <c r="AI654" s="18"/>
      <c r="AJ654" s="18"/>
      <c r="AK654" s="18"/>
    </row>
    <row r="655" spans="2:37" x14ac:dyDescent="0.3">
      <c r="AD655" s="17"/>
      <c r="AE655" s="18"/>
      <c r="AF655" s="18"/>
      <c r="AG655" s="18"/>
      <c r="AH655" s="18"/>
      <c r="AI655" s="18"/>
      <c r="AJ655" s="18"/>
      <c r="AK655" s="18"/>
    </row>
    <row r="656" spans="2:37" x14ac:dyDescent="0.3">
      <c r="AC656" s="47"/>
      <c r="AD656" s="17"/>
      <c r="AE656" s="17"/>
      <c r="AF656" s="17"/>
      <c r="AG656" s="17"/>
      <c r="AH656" s="17"/>
      <c r="AI656" s="17"/>
      <c r="AJ656" s="17"/>
      <c r="AK656" s="17"/>
    </row>
    <row r="658" spans="2:37" x14ac:dyDescent="0.3">
      <c r="B658" s="42"/>
    </row>
    <row r="659" spans="2:37" x14ac:dyDescent="0.3">
      <c r="B659" s="42"/>
    </row>
    <row r="660" spans="2:37" x14ac:dyDescent="0.3">
      <c r="B660" s="39"/>
      <c r="C660" s="17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C660" s="44"/>
      <c r="AD660" s="17"/>
      <c r="AE660" s="43"/>
      <c r="AF660" s="43"/>
      <c r="AG660" s="43"/>
      <c r="AH660" s="43"/>
      <c r="AI660" s="43"/>
      <c r="AJ660" s="43"/>
      <c r="AK660" s="43"/>
    </row>
    <row r="661" spans="2:37" x14ac:dyDescent="0.3">
      <c r="B661" s="16"/>
      <c r="C661" s="17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C661" s="45"/>
      <c r="AD661" s="17"/>
      <c r="AE661" s="18"/>
      <c r="AF661" s="18"/>
      <c r="AG661" s="18"/>
      <c r="AH661" s="18"/>
      <c r="AI661" s="18"/>
      <c r="AJ661" s="18"/>
      <c r="AK661" s="18"/>
    </row>
    <row r="662" spans="2:37" x14ac:dyDescent="0.3">
      <c r="B662" s="16"/>
      <c r="C662" s="17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C662" s="45"/>
      <c r="AD662" s="17"/>
      <c r="AE662" s="18"/>
      <c r="AF662" s="18"/>
      <c r="AG662" s="18"/>
      <c r="AH662" s="18"/>
      <c r="AI662" s="18"/>
      <c r="AJ662" s="18"/>
      <c r="AK662" s="18"/>
    </row>
    <row r="663" spans="2:37" x14ac:dyDescent="0.3">
      <c r="B663" s="16"/>
      <c r="C663" s="17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C663" s="45"/>
      <c r="AD663" s="17"/>
      <c r="AE663" s="18"/>
      <c r="AF663" s="18"/>
      <c r="AG663" s="18"/>
      <c r="AH663" s="18"/>
      <c r="AI663" s="18"/>
      <c r="AJ663" s="18"/>
      <c r="AK663" s="18"/>
    </row>
    <row r="664" spans="2:37" x14ac:dyDescent="0.3">
      <c r="B664" s="16"/>
      <c r="C664" s="17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C664" s="45"/>
      <c r="AD664" s="17"/>
      <c r="AE664" s="18"/>
      <c r="AF664" s="18"/>
      <c r="AG664" s="18"/>
      <c r="AH664" s="18"/>
      <c r="AI664" s="18"/>
      <c r="AJ664" s="18"/>
      <c r="AK664" s="18"/>
    </row>
    <row r="665" spans="2:37" x14ac:dyDescent="0.3">
      <c r="B665" s="16"/>
      <c r="C665" s="17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C665" s="45"/>
      <c r="AD665" s="17"/>
      <c r="AE665" s="18"/>
      <c r="AF665" s="18"/>
      <c r="AG665" s="18"/>
      <c r="AH665" s="18"/>
      <c r="AI665" s="18"/>
      <c r="AJ665" s="18"/>
      <c r="AK665" s="18"/>
    </row>
    <row r="666" spans="2:37" x14ac:dyDescent="0.3">
      <c r="B666" s="16"/>
      <c r="C666" s="17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C666" s="45"/>
      <c r="AD666" s="17"/>
      <c r="AE666" s="18"/>
      <c r="AF666" s="18"/>
      <c r="AG666" s="18"/>
      <c r="AH666" s="18"/>
      <c r="AI666" s="18"/>
      <c r="AJ666" s="18"/>
      <c r="AK666" s="18"/>
    </row>
    <row r="667" spans="2:37" x14ac:dyDescent="0.3">
      <c r="B667" s="16"/>
      <c r="C667" s="17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C667" s="45"/>
      <c r="AD667" s="17"/>
      <c r="AE667" s="18"/>
      <c r="AF667" s="18"/>
      <c r="AG667" s="18"/>
      <c r="AH667" s="18"/>
      <c r="AI667" s="18"/>
      <c r="AJ667" s="18"/>
      <c r="AK667" s="18"/>
    </row>
    <row r="668" spans="2:37" x14ac:dyDescent="0.3">
      <c r="B668" s="16"/>
      <c r="C668" s="17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C668" s="45"/>
      <c r="AD668" s="17"/>
      <c r="AE668" s="18"/>
      <c r="AF668" s="18"/>
      <c r="AG668" s="18"/>
      <c r="AH668" s="18"/>
      <c r="AI668" s="18"/>
      <c r="AJ668" s="18"/>
      <c r="AK668" s="18"/>
    </row>
    <row r="669" spans="2:37" x14ac:dyDescent="0.3">
      <c r="B669" s="16"/>
      <c r="C669" s="17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C669" s="45"/>
      <c r="AD669" s="17"/>
      <c r="AE669" s="18"/>
      <c r="AF669" s="18"/>
      <c r="AG669" s="18"/>
      <c r="AH669" s="18"/>
      <c r="AI669" s="18"/>
      <c r="AJ669" s="18"/>
      <c r="AK669" s="18"/>
    </row>
    <row r="670" spans="2:37" x14ac:dyDescent="0.3">
      <c r="B670" s="16"/>
      <c r="C670" s="17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C670" s="45"/>
      <c r="AD670" s="17"/>
      <c r="AE670" s="18"/>
      <c r="AF670" s="18"/>
      <c r="AG670" s="18"/>
      <c r="AH670" s="18"/>
      <c r="AI670" s="18"/>
      <c r="AJ670" s="18"/>
      <c r="AK670" s="18"/>
    </row>
    <row r="671" spans="2:37" x14ac:dyDescent="0.3">
      <c r="B671" s="16"/>
      <c r="C671" s="17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C671" s="45"/>
      <c r="AD671" s="17"/>
      <c r="AE671" s="18"/>
      <c r="AF671" s="18"/>
      <c r="AG671" s="18"/>
      <c r="AH671" s="18"/>
      <c r="AI671" s="18"/>
      <c r="AJ671" s="18"/>
      <c r="AK671" s="18"/>
    </row>
    <row r="672" spans="2:37" x14ac:dyDescent="0.3">
      <c r="B672" s="16"/>
      <c r="C672" s="17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C672" s="45"/>
      <c r="AD672" s="17"/>
      <c r="AE672" s="18"/>
      <c r="AF672" s="18"/>
      <c r="AG672" s="18"/>
      <c r="AH672" s="18"/>
      <c r="AI672" s="18"/>
      <c r="AJ672" s="18"/>
      <c r="AK672" s="18"/>
    </row>
    <row r="673" spans="2:37" x14ac:dyDescent="0.3">
      <c r="B673" s="16"/>
      <c r="C673" s="17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C673" s="45"/>
      <c r="AD673" s="17"/>
      <c r="AE673" s="18"/>
      <c r="AF673" s="18"/>
      <c r="AG673" s="18"/>
      <c r="AH673" s="18"/>
      <c r="AI673" s="18"/>
      <c r="AJ673" s="18"/>
      <c r="AK673" s="18"/>
    </row>
    <row r="674" spans="2:37" x14ac:dyDescent="0.3">
      <c r="B674" s="16"/>
      <c r="C674" s="17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C674" s="45"/>
      <c r="AD674" s="17"/>
      <c r="AE674" s="18"/>
      <c r="AF674" s="18"/>
      <c r="AG674" s="18"/>
      <c r="AH674" s="18"/>
      <c r="AI674" s="18"/>
      <c r="AJ674" s="18"/>
      <c r="AK674" s="18"/>
    </row>
    <row r="675" spans="2:37" x14ac:dyDescent="0.3">
      <c r="B675" s="16"/>
      <c r="C675" s="17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C675" s="45"/>
      <c r="AD675" s="17"/>
      <c r="AE675" s="18"/>
      <c r="AF675" s="18"/>
      <c r="AG675" s="18"/>
      <c r="AH675" s="18"/>
      <c r="AI675" s="18"/>
      <c r="AJ675" s="18"/>
      <c r="AK675" s="18"/>
    </row>
    <row r="676" spans="2:37" x14ac:dyDescent="0.3">
      <c r="B676" s="16"/>
      <c r="C676" s="17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C676" s="45"/>
      <c r="AD676" s="17"/>
      <c r="AE676" s="18"/>
      <c r="AF676" s="18"/>
      <c r="AG676" s="18"/>
      <c r="AH676" s="18"/>
      <c r="AI676" s="18"/>
      <c r="AJ676" s="18"/>
      <c r="AK676" s="18"/>
    </row>
    <row r="677" spans="2:37" x14ac:dyDescent="0.3">
      <c r="B677" s="46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C677" s="45"/>
      <c r="AD677" s="17"/>
      <c r="AE677" s="18"/>
      <c r="AF677" s="18"/>
      <c r="AG677" s="18"/>
      <c r="AH677" s="18"/>
      <c r="AI677" s="18"/>
      <c r="AJ677" s="18"/>
      <c r="AK677" s="18"/>
    </row>
    <row r="678" spans="2:37" x14ac:dyDescent="0.3">
      <c r="AC678" s="45"/>
      <c r="AD678" s="17"/>
      <c r="AE678" s="18"/>
      <c r="AF678" s="18"/>
      <c r="AG678" s="18"/>
      <c r="AH678" s="18"/>
      <c r="AI678" s="18"/>
      <c r="AJ678" s="18"/>
      <c r="AK678" s="18"/>
    </row>
    <row r="679" spans="2:37" x14ac:dyDescent="0.3">
      <c r="AC679" s="45"/>
      <c r="AD679" s="17"/>
      <c r="AE679" s="18"/>
      <c r="AF679" s="18"/>
      <c r="AG679" s="18"/>
      <c r="AH679" s="18"/>
      <c r="AI679" s="18"/>
      <c r="AJ679" s="18"/>
      <c r="AK679" s="18"/>
    </row>
    <row r="680" spans="2:37" x14ac:dyDescent="0.3">
      <c r="AC680" s="45"/>
      <c r="AD680" s="17"/>
      <c r="AE680" s="18"/>
      <c r="AF680" s="18"/>
      <c r="AG680" s="18"/>
      <c r="AH680" s="18"/>
      <c r="AI680" s="18"/>
      <c r="AJ680" s="18"/>
      <c r="AK680" s="18"/>
    </row>
    <row r="681" spans="2:37" x14ac:dyDescent="0.3">
      <c r="AC681" s="45"/>
      <c r="AD681" s="17"/>
      <c r="AE681" s="18"/>
      <c r="AF681" s="18"/>
      <c r="AG681" s="18"/>
      <c r="AH681" s="18"/>
      <c r="AI681" s="18"/>
      <c r="AJ681" s="18"/>
      <c r="AK681" s="18"/>
    </row>
    <row r="682" spans="2:37" x14ac:dyDescent="0.3">
      <c r="AC682" s="45"/>
      <c r="AD682" s="17"/>
      <c r="AE682" s="18"/>
      <c r="AF682" s="18"/>
      <c r="AG682" s="18"/>
      <c r="AH682" s="18"/>
      <c r="AI682" s="18"/>
      <c r="AJ682" s="18"/>
      <c r="AK682" s="18"/>
    </row>
    <row r="683" spans="2:37" x14ac:dyDescent="0.3">
      <c r="AC683" s="45"/>
      <c r="AD683" s="17"/>
      <c r="AE683" s="18"/>
      <c r="AF683" s="18"/>
      <c r="AG683" s="18"/>
      <c r="AH683" s="18"/>
      <c r="AI683" s="18"/>
      <c r="AJ683" s="18"/>
      <c r="AK683" s="18"/>
    </row>
    <row r="684" spans="2:37" x14ac:dyDescent="0.3">
      <c r="AC684" s="45"/>
      <c r="AD684" s="17"/>
      <c r="AE684" s="18"/>
      <c r="AF684" s="18"/>
      <c r="AG684" s="18"/>
      <c r="AH684" s="18"/>
      <c r="AI684" s="18"/>
      <c r="AJ684" s="18"/>
      <c r="AK684" s="18"/>
    </row>
    <row r="685" spans="2:37" x14ac:dyDescent="0.3">
      <c r="AD685" s="17"/>
      <c r="AE685" s="18"/>
      <c r="AF685" s="18"/>
      <c r="AG685" s="18"/>
      <c r="AH685" s="18"/>
      <c r="AI685" s="18"/>
      <c r="AJ685" s="18"/>
      <c r="AK685" s="18"/>
    </row>
    <row r="686" spans="2:37" x14ac:dyDescent="0.3">
      <c r="AC686" s="47"/>
      <c r="AD686" s="17"/>
      <c r="AE686" s="17"/>
      <c r="AF686" s="17"/>
      <c r="AG686" s="17"/>
      <c r="AH686" s="17"/>
      <c r="AI686" s="17"/>
      <c r="AJ686" s="17"/>
      <c r="AK686" s="17"/>
    </row>
  </sheetData>
  <mergeCells count="228">
    <mergeCell ref="C6:E6"/>
    <mergeCell ref="C7:D7"/>
    <mergeCell ref="C8:D8"/>
    <mergeCell ref="C9:D9"/>
    <mergeCell ref="C4:G4"/>
    <mergeCell ref="B109:D109"/>
    <mergeCell ref="B110:D110"/>
    <mergeCell ref="B111:D111"/>
    <mergeCell ref="B112:D112"/>
    <mergeCell ref="B113:D113"/>
    <mergeCell ref="B114:D114"/>
    <mergeCell ref="B116:D116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15:D115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72:D72"/>
    <mergeCell ref="B73:D73"/>
    <mergeCell ref="B74:D74"/>
    <mergeCell ref="B76:D76"/>
    <mergeCell ref="B77:D77"/>
    <mergeCell ref="B78:D78"/>
    <mergeCell ref="B79:D79"/>
    <mergeCell ref="B80:D80"/>
    <mergeCell ref="B81:D81"/>
    <mergeCell ref="B75:D75"/>
    <mergeCell ref="AJ81:AL81"/>
    <mergeCell ref="AJ82:AL82"/>
    <mergeCell ref="AJ83:AL83"/>
    <mergeCell ref="AJ84:AL84"/>
    <mergeCell ref="AJ85:AL85"/>
    <mergeCell ref="AJ86:AL86"/>
    <mergeCell ref="AJ87:AL87"/>
    <mergeCell ref="AJ88:AL88"/>
    <mergeCell ref="AJ89:AL89"/>
    <mergeCell ref="AJ68:AL68"/>
    <mergeCell ref="AJ69:AL69"/>
    <mergeCell ref="AJ70:AL70"/>
    <mergeCell ref="AJ71:AL71"/>
    <mergeCell ref="B67:D67"/>
    <mergeCell ref="B68:D68"/>
    <mergeCell ref="B69:D69"/>
    <mergeCell ref="B70:D70"/>
    <mergeCell ref="B71:D71"/>
    <mergeCell ref="B52:D52"/>
    <mergeCell ref="B53:D53"/>
    <mergeCell ref="B54:D54"/>
    <mergeCell ref="B55:D55"/>
    <mergeCell ref="B56:D56"/>
    <mergeCell ref="B57:D57"/>
    <mergeCell ref="B58:D58"/>
    <mergeCell ref="AJ66:AL66"/>
    <mergeCell ref="AJ67:AL67"/>
    <mergeCell ref="AJ58:AL58"/>
    <mergeCell ref="AJ59:AL59"/>
    <mergeCell ref="AJ60:AL60"/>
    <mergeCell ref="B29:D29"/>
    <mergeCell ref="B30:D30"/>
    <mergeCell ref="B31:D31"/>
    <mergeCell ref="B32:D32"/>
    <mergeCell ref="B47:D47"/>
    <mergeCell ref="B48:D48"/>
    <mergeCell ref="B49:D49"/>
    <mergeCell ref="B50:D50"/>
    <mergeCell ref="B51:D51"/>
    <mergeCell ref="AG11:AI11"/>
    <mergeCell ref="AG12:AH12"/>
    <mergeCell ref="AG13:AH13"/>
    <mergeCell ref="AG14:AH14"/>
    <mergeCell ref="AJ11:AL11"/>
    <mergeCell ref="AJ12:AK12"/>
    <mergeCell ref="AJ13:AK13"/>
    <mergeCell ref="AJ14:AK14"/>
    <mergeCell ref="B42:D42"/>
    <mergeCell ref="AJ30:AL30"/>
    <mergeCell ref="AJ31:AL31"/>
    <mergeCell ref="AJ32:AL32"/>
    <mergeCell ref="AJ33:AL33"/>
    <mergeCell ref="AJ34:AL34"/>
    <mergeCell ref="AJ35:AL35"/>
    <mergeCell ref="AJ36:AL36"/>
    <mergeCell ref="AJ37:AL37"/>
    <mergeCell ref="AJ38:AL38"/>
    <mergeCell ref="B33:D33"/>
    <mergeCell ref="B34:D34"/>
    <mergeCell ref="B35:D35"/>
    <mergeCell ref="B36:D36"/>
    <mergeCell ref="B37:D37"/>
    <mergeCell ref="B38:D38"/>
    <mergeCell ref="R11:T11"/>
    <mergeCell ref="R12:S12"/>
    <mergeCell ref="R13:S13"/>
    <mergeCell ref="R14:S14"/>
    <mergeCell ref="U11:W11"/>
    <mergeCell ref="U12:V12"/>
    <mergeCell ref="O11:Q11"/>
    <mergeCell ref="O12:P12"/>
    <mergeCell ref="F11:H11"/>
    <mergeCell ref="F12:G12"/>
    <mergeCell ref="F13:G13"/>
    <mergeCell ref="F14:G14"/>
    <mergeCell ref="I11:K11"/>
    <mergeCell ref="I12:J12"/>
    <mergeCell ref="I13:J13"/>
    <mergeCell ref="I14:J14"/>
    <mergeCell ref="L11:N11"/>
    <mergeCell ref="L12:M12"/>
    <mergeCell ref="L13:M13"/>
    <mergeCell ref="L14:M14"/>
    <mergeCell ref="X11:Z11"/>
    <mergeCell ref="X12:Y12"/>
    <mergeCell ref="X13:Y13"/>
    <mergeCell ref="X14:Y14"/>
    <mergeCell ref="AJ72:AL72"/>
    <mergeCell ref="AJ55:AL55"/>
    <mergeCell ref="AJ56:AL56"/>
    <mergeCell ref="AJ57:AL57"/>
    <mergeCell ref="AA11:AC11"/>
    <mergeCell ref="AA12:AB12"/>
    <mergeCell ref="AA13:AB13"/>
    <mergeCell ref="AA14:AB14"/>
    <mergeCell ref="AJ22:AL22"/>
    <mergeCell ref="AJ23:AL23"/>
    <mergeCell ref="AJ24:AL24"/>
    <mergeCell ref="AJ25:AL25"/>
    <mergeCell ref="AJ26:AL26"/>
    <mergeCell ref="AJ27:AL27"/>
    <mergeCell ref="AJ28:AL28"/>
    <mergeCell ref="AJ29:AL29"/>
    <mergeCell ref="AD11:AF11"/>
    <mergeCell ref="AD12:AE12"/>
    <mergeCell ref="AD13:AE13"/>
    <mergeCell ref="AD14:AE14"/>
    <mergeCell ref="AJ51:AL51"/>
    <mergeCell ref="AJ52:AL52"/>
    <mergeCell ref="AJ53:AL53"/>
    <mergeCell ref="AJ54:AL54"/>
    <mergeCell ref="C12:D12"/>
    <mergeCell ref="C13:D13"/>
    <mergeCell ref="C14:D14"/>
    <mergeCell ref="O13:P13"/>
    <mergeCell ref="O14:P14"/>
    <mergeCell ref="U13:V13"/>
    <mergeCell ref="U14:V14"/>
    <mergeCell ref="B43:D43"/>
    <mergeCell ref="B44:D44"/>
    <mergeCell ref="B45:D45"/>
    <mergeCell ref="B46:D46"/>
    <mergeCell ref="B39:D39"/>
    <mergeCell ref="B40:D40"/>
    <mergeCell ref="B41:D41"/>
    <mergeCell ref="AJ46:AL46"/>
    <mergeCell ref="B24:D24"/>
    <mergeCell ref="B25:D25"/>
    <mergeCell ref="B26:D26"/>
    <mergeCell ref="B27:D27"/>
    <mergeCell ref="B28:D28"/>
    <mergeCell ref="C11:E11"/>
    <mergeCell ref="AJ90:AL90"/>
    <mergeCell ref="AJ91:AL91"/>
    <mergeCell ref="AJ92:AL92"/>
    <mergeCell ref="AJ93:AL93"/>
    <mergeCell ref="AJ73:AL73"/>
    <mergeCell ref="AJ74:AL74"/>
    <mergeCell ref="AJ75:AL75"/>
    <mergeCell ref="AJ76:AL76"/>
    <mergeCell ref="AJ77:AL77"/>
    <mergeCell ref="AJ78:AL78"/>
    <mergeCell ref="AJ79:AL79"/>
    <mergeCell ref="AJ80:AL80"/>
    <mergeCell ref="AJ39:AL39"/>
    <mergeCell ref="AJ40:AL40"/>
    <mergeCell ref="AJ41:AL41"/>
    <mergeCell ref="AJ42:AL42"/>
    <mergeCell ref="AJ43:AL43"/>
    <mergeCell ref="AJ44:AL44"/>
    <mergeCell ref="AJ45:AL45"/>
    <mergeCell ref="AJ47:AL47"/>
    <mergeCell ref="AJ48:AL48"/>
    <mergeCell ref="AJ49:AL49"/>
    <mergeCell ref="AJ50:AL50"/>
    <mergeCell ref="AJ94:AL94"/>
    <mergeCell ref="AJ95:AL95"/>
    <mergeCell ref="AJ96:AL96"/>
    <mergeCell ref="AJ97:AL97"/>
    <mergeCell ref="AJ98:AL98"/>
    <mergeCell ref="AJ99:AL99"/>
    <mergeCell ref="AJ100:AL100"/>
    <mergeCell ref="AJ101:AL101"/>
    <mergeCell ref="AJ102:AL102"/>
    <mergeCell ref="AJ112:AL112"/>
    <mergeCell ref="AJ113:AL113"/>
    <mergeCell ref="AJ114:AL114"/>
    <mergeCell ref="AJ116:AL116"/>
    <mergeCell ref="AJ103:AL103"/>
    <mergeCell ref="AJ104:AL104"/>
    <mergeCell ref="AJ105:AL105"/>
    <mergeCell ref="AJ106:AL106"/>
    <mergeCell ref="AJ107:AL107"/>
    <mergeCell ref="AJ108:AL108"/>
    <mergeCell ref="AJ109:AL109"/>
    <mergeCell ref="AJ110:AL110"/>
    <mergeCell ref="AJ111:AL111"/>
    <mergeCell ref="AJ115:AL115"/>
  </mergeCells>
  <pageMargins left="0.7" right="0.7" top="0.75" bottom="0.75" header="0.3" footer="0.3"/>
  <pageSetup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4B79-DB09-47BE-B722-8B769B05644E}">
  <sheetPr codeName="Hoja1"/>
  <dimension ref="B1:AE1334"/>
  <sheetViews>
    <sheetView view="pageBreakPreview" zoomScale="60" zoomScaleNormal="70" workbookViewId="0">
      <selection activeCell="B4" sqref="B3:B4"/>
    </sheetView>
  </sheetViews>
  <sheetFormatPr baseColWidth="10" defaultColWidth="11.42578125" defaultRowHeight="18.75" x14ac:dyDescent="0.3"/>
  <cols>
    <col min="1" max="1" width="2.42578125" style="12" customWidth="1"/>
    <col min="2" max="2" width="32.5703125" style="12" customWidth="1"/>
    <col min="3" max="28" width="10.140625" style="19" customWidth="1"/>
    <col min="29" max="16384" width="11.42578125" style="12"/>
  </cols>
  <sheetData>
    <row r="1" spans="2:31" s="4" customFormat="1" x14ac:dyDescent="0.3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2:31" s="4" customFormat="1" x14ac:dyDescent="0.3">
      <c r="B2" s="7" t="s">
        <v>82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s="4" customFormat="1" ht="16.5" customHeight="1" x14ac:dyDescent="0.3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2:31" s="4" customFormat="1" x14ac:dyDescent="0.3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2:31" s="4" customFormat="1" x14ac:dyDescent="0.3">
      <c r="B5" s="8">
        <f>'Resumen-Mensual'!$E$22</f>
        <v>44562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2:31" s="4" customFormat="1" x14ac:dyDescent="0.3">
      <c r="B6" s="8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2:31" s="4" customFormat="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248" t="s">
        <v>2</v>
      </c>
      <c r="AD7" s="248"/>
      <c r="AE7" s="248"/>
    </row>
    <row r="8" spans="2:31" s="4" customFormat="1" x14ac:dyDescent="0.3">
      <c r="B8" s="245" t="s">
        <v>4</v>
      </c>
      <c r="C8" s="245"/>
      <c r="D8" s="245"/>
      <c r="E8" s="232">
        <v>0</v>
      </c>
      <c r="F8" s="233">
        <v>0</v>
      </c>
      <c r="G8" s="232">
        <v>0</v>
      </c>
      <c r="H8" s="233">
        <v>0</v>
      </c>
      <c r="I8" s="232">
        <v>0</v>
      </c>
      <c r="J8" s="233">
        <v>0</v>
      </c>
      <c r="K8" s="232">
        <v>0</v>
      </c>
      <c r="L8" s="233">
        <v>0</v>
      </c>
      <c r="M8" s="232">
        <v>0</v>
      </c>
      <c r="N8" s="233">
        <v>0</v>
      </c>
      <c r="O8" s="232">
        <v>4.8538333333333323</v>
      </c>
      <c r="P8" s="233">
        <v>11.19866666666667</v>
      </c>
      <c r="Q8" s="232">
        <v>1.0118333333333334</v>
      </c>
      <c r="R8" s="233">
        <v>0</v>
      </c>
      <c r="S8" s="232">
        <v>0.32183333333333303</v>
      </c>
      <c r="T8" s="233">
        <v>0</v>
      </c>
      <c r="U8" s="232">
        <v>0</v>
      </c>
      <c r="V8" s="233">
        <v>0</v>
      </c>
      <c r="W8" s="232">
        <v>9.8930000000000025</v>
      </c>
      <c r="X8" s="233">
        <v>12.756499999999999</v>
      </c>
      <c r="Y8" s="232">
        <v>0</v>
      </c>
      <c r="Z8" s="233">
        <v>0</v>
      </c>
      <c r="AA8" s="232">
        <v>0</v>
      </c>
      <c r="AB8" s="233">
        <v>0</v>
      </c>
      <c r="AC8" s="238">
        <f>SUM(E8:AB8)</f>
        <v>40.035666666666671</v>
      </c>
      <c r="AD8" s="238"/>
      <c r="AE8" s="238"/>
    </row>
    <row r="9" spans="2:31" s="4" customFormat="1" x14ac:dyDescent="0.3">
      <c r="B9" s="245" t="s">
        <v>5</v>
      </c>
      <c r="C9" s="245"/>
      <c r="D9" s="245"/>
      <c r="E9" s="231">
        <v>0</v>
      </c>
      <c r="F9" s="234">
        <v>0</v>
      </c>
      <c r="G9" s="231">
        <v>0</v>
      </c>
      <c r="H9" s="234">
        <v>0</v>
      </c>
      <c r="I9" s="231">
        <v>0</v>
      </c>
      <c r="J9" s="234">
        <v>0</v>
      </c>
      <c r="K9" s="231">
        <v>0</v>
      </c>
      <c r="L9" s="234">
        <v>0</v>
      </c>
      <c r="M9" s="231">
        <v>0</v>
      </c>
      <c r="N9" s="234">
        <v>0</v>
      </c>
      <c r="O9" s="231">
        <v>0</v>
      </c>
      <c r="P9" s="234">
        <v>1.7170000000000003</v>
      </c>
      <c r="Q9" s="231">
        <v>18.22283333333333</v>
      </c>
      <c r="R9" s="234">
        <v>31.246166666666667</v>
      </c>
      <c r="S9" s="231">
        <v>44.260833333333331</v>
      </c>
      <c r="T9" s="234">
        <v>58.359333333333325</v>
      </c>
      <c r="U9" s="231">
        <v>68.075999999999993</v>
      </c>
      <c r="V9" s="234">
        <v>65.919666666666686</v>
      </c>
      <c r="W9" s="231">
        <v>67.092500000000001</v>
      </c>
      <c r="X9" s="234">
        <v>21.053666666666668</v>
      </c>
      <c r="Y9" s="231">
        <v>0</v>
      </c>
      <c r="Z9" s="234">
        <v>0</v>
      </c>
      <c r="AA9" s="231">
        <v>0</v>
      </c>
      <c r="AB9" s="234">
        <v>0</v>
      </c>
      <c r="AC9" s="238">
        <f t="shared" ref="AC9:AC42" si="0">SUM(E9:AB9)</f>
        <v>375.94799999999998</v>
      </c>
      <c r="AD9" s="238"/>
      <c r="AE9" s="238"/>
    </row>
    <row r="10" spans="2:31" s="4" customFormat="1" x14ac:dyDescent="0.3">
      <c r="B10" s="245" t="s">
        <v>6</v>
      </c>
      <c r="C10" s="245"/>
      <c r="D10" s="245"/>
      <c r="E10" s="231">
        <v>0</v>
      </c>
      <c r="F10" s="234">
        <v>0</v>
      </c>
      <c r="G10" s="231">
        <v>0</v>
      </c>
      <c r="H10" s="234">
        <v>0</v>
      </c>
      <c r="I10" s="231">
        <v>0</v>
      </c>
      <c r="J10" s="234">
        <v>0</v>
      </c>
      <c r="K10" s="231">
        <v>0</v>
      </c>
      <c r="L10" s="234">
        <v>0</v>
      </c>
      <c r="M10" s="231">
        <v>0</v>
      </c>
      <c r="N10" s="234">
        <v>0</v>
      </c>
      <c r="O10" s="231">
        <v>0</v>
      </c>
      <c r="P10" s="234">
        <v>1.1998333333333349</v>
      </c>
      <c r="Q10" s="231">
        <v>13.1035</v>
      </c>
      <c r="R10" s="234">
        <v>20.352499999999988</v>
      </c>
      <c r="S10" s="231">
        <v>7.8423333333333316</v>
      </c>
      <c r="T10" s="234">
        <v>0</v>
      </c>
      <c r="U10" s="231">
        <v>28.677500000000013</v>
      </c>
      <c r="V10" s="234">
        <v>11.487166666666665</v>
      </c>
      <c r="W10" s="231">
        <v>27.094499999999986</v>
      </c>
      <c r="X10" s="234">
        <v>22.052666666666664</v>
      </c>
      <c r="Y10" s="231">
        <v>0</v>
      </c>
      <c r="Z10" s="234">
        <v>0</v>
      </c>
      <c r="AA10" s="231">
        <v>0</v>
      </c>
      <c r="AB10" s="234">
        <v>0</v>
      </c>
      <c r="AC10" s="238">
        <f t="shared" si="0"/>
        <v>131.80999999999997</v>
      </c>
      <c r="AD10" s="238"/>
      <c r="AE10" s="238"/>
    </row>
    <row r="11" spans="2:31" s="4" customFormat="1" x14ac:dyDescent="0.3">
      <c r="B11" s="245" t="s">
        <v>91</v>
      </c>
      <c r="C11" s="245"/>
      <c r="D11" s="245"/>
      <c r="E11" s="231">
        <v>0</v>
      </c>
      <c r="F11" s="234">
        <v>0</v>
      </c>
      <c r="G11" s="231">
        <v>0</v>
      </c>
      <c r="H11" s="234">
        <v>0</v>
      </c>
      <c r="I11" s="231">
        <v>0</v>
      </c>
      <c r="J11" s="234">
        <v>0</v>
      </c>
      <c r="K11" s="231">
        <v>0</v>
      </c>
      <c r="L11" s="234">
        <v>0</v>
      </c>
      <c r="M11" s="231">
        <v>0</v>
      </c>
      <c r="N11" s="234">
        <v>0</v>
      </c>
      <c r="O11" s="231">
        <v>0</v>
      </c>
      <c r="P11" s="234">
        <v>0</v>
      </c>
      <c r="Q11" s="231">
        <v>0</v>
      </c>
      <c r="R11" s="234">
        <v>0</v>
      </c>
      <c r="S11" s="231">
        <v>0</v>
      </c>
      <c r="T11" s="234">
        <v>0</v>
      </c>
      <c r="U11" s="231">
        <v>0</v>
      </c>
      <c r="V11" s="234">
        <v>0</v>
      </c>
      <c r="W11" s="231">
        <v>0</v>
      </c>
      <c r="X11" s="234">
        <v>0</v>
      </c>
      <c r="Y11" s="231">
        <v>0</v>
      </c>
      <c r="Z11" s="234">
        <v>0</v>
      </c>
      <c r="AA11" s="231">
        <v>0</v>
      </c>
      <c r="AB11" s="234">
        <v>0</v>
      </c>
      <c r="AC11" s="238">
        <f t="shared" si="0"/>
        <v>0</v>
      </c>
      <c r="AD11" s="238"/>
      <c r="AE11" s="238"/>
    </row>
    <row r="12" spans="2:31" s="4" customFormat="1" x14ac:dyDescent="0.3">
      <c r="B12" s="245" t="s">
        <v>7</v>
      </c>
      <c r="C12" s="245"/>
      <c r="D12" s="245"/>
      <c r="E12" s="231">
        <v>0</v>
      </c>
      <c r="F12" s="234">
        <v>0</v>
      </c>
      <c r="G12" s="231">
        <v>0</v>
      </c>
      <c r="H12" s="234">
        <v>0</v>
      </c>
      <c r="I12" s="231">
        <v>0</v>
      </c>
      <c r="J12" s="234">
        <v>0</v>
      </c>
      <c r="K12" s="231">
        <v>0</v>
      </c>
      <c r="L12" s="234">
        <v>0</v>
      </c>
      <c r="M12" s="231">
        <v>6.4090000000000016</v>
      </c>
      <c r="N12" s="234">
        <v>3.5953333333333335</v>
      </c>
      <c r="O12" s="231">
        <v>0.15533333333333352</v>
      </c>
      <c r="P12" s="234">
        <v>11.230833333333328</v>
      </c>
      <c r="Q12" s="231">
        <v>5.4459999999999971</v>
      </c>
      <c r="R12" s="234">
        <v>31.667166666666663</v>
      </c>
      <c r="S12" s="231">
        <v>0</v>
      </c>
      <c r="T12" s="234">
        <v>1.666666666666572E-3</v>
      </c>
      <c r="U12" s="231">
        <v>0</v>
      </c>
      <c r="V12" s="234">
        <v>0.17433333333333323</v>
      </c>
      <c r="W12" s="231">
        <v>2.3333333333331058E-3</v>
      </c>
      <c r="X12" s="234">
        <v>11.967500000000005</v>
      </c>
      <c r="Y12" s="231">
        <v>0</v>
      </c>
      <c r="Z12" s="234">
        <v>0</v>
      </c>
      <c r="AA12" s="231">
        <v>0</v>
      </c>
      <c r="AB12" s="234">
        <v>0</v>
      </c>
      <c r="AC12" s="238">
        <f t="shared" si="0"/>
        <v>70.649500000000003</v>
      </c>
      <c r="AD12" s="238"/>
      <c r="AE12" s="238"/>
    </row>
    <row r="13" spans="2:31" s="4" customFormat="1" x14ac:dyDescent="0.3">
      <c r="B13" s="245" t="s">
        <v>8</v>
      </c>
      <c r="C13" s="245"/>
      <c r="D13" s="245"/>
      <c r="E13" s="231">
        <v>0</v>
      </c>
      <c r="F13" s="234">
        <v>0</v>
      </c>
      <c r="G13" s="231">
        <v>0</v>
      </c>
      <c r="H13" s="234">
        <v>0</v>
      </c>
      <c r="I13" s="231">
        <v>0</v>
      </c>
      <c r="J13" s="234">
        <v>0</v>
      </c>
      <c r="K13" s="231">
        <v>0</v>
      </c>
      <c r="L13" s="234">
        <v>0</v>
      </c>
      <c r="M13" s="231">
        <v>0</v>
      </c>
      <c r="N13" s="234">
        <v>0</v>
      </c>
      <c r="O13" s="231">
        <v>0</v>
      </c>
      <c r="P13" s="234">
        <v>0</v>
      </c>
      <c r="Q13" s="231">
        <v>0</v>
      </c>
      <c r="R13" s="234">
        <v>0</v>
      </c>
      <c r="S13" s="231">
        <v>0</v>
      </c>
      <c r="T13" s="234">
        <v>0</v>
      </c>
      <c r="U13" s="231">
        <v>0</v>
      </c>
      <c r="V13" s="234">
        <v>0</v>
      </c>
      <c r="W13" s="231">
        <v>0</v>
      </c>
      <c r="X13" s="234">
        <v>0</v>
      </c>
      <c r="Y13" s="231">
        <v>0</v>
      </c>
      <c r="Z13" s="234">
        <v>0</v>
      </c>
      <c r="AA13" s="231">
        <v>0</v>
      </c>
      <c r="AB13" s="234">
        <v>0</v>
      </c>
      <c r="AC13" s="238">
        <f t="shared" si="0"/>
        <v>0</v>
      </c>
      <c r="AD13" s="238"/>
      <c r="AE13" s="238"/>
    </row>
    <row r="14" spans="2:31" s="4" customFormat="1" x14ac:dyDescent="0.3">
      <c r="B14" s="245" t="s">
        <v>9</v>
      </c>
      <c r="C14" s="245"/>
      <c r="D14" s="245"/>
      <c r="E14" s="231">
        <v>0</v>
      </c>
      <c r="F14" s="234">
        <v>0</v>
      </c>
      <c r="G14" s="231">
        <v>0</v>
      </c>
      <c r="H14" s="234">
        <v>0</v>
      </c>
      <c r="I14" s="231">
        <v>0</v>
      </c>
      <c r="J14" s="234">
        <v>0</v>
      </c>
      <c r="K14" s="231">
        <v>0</v>
      </c>
      <c r="L14" s="234">
        <v>0</v>
      </c>
      <c r="M14" s="231">
        <v>1.4563333333333337</v>
      </c>
      <c r="N14" s="234">
        <v>2.6985000000000006</v>
      </c>
      <c r="O14" s="231">
        <v>5.0588333333333351</v>
      </c>
      <c r="P14" s="234">
        <v>10.98316666666666</v>
      </c>
      <c r="Q14" s="231">
        <v>16.426333333333329</v>
      </c>
      <c r="R14" s="234">
        <v>25.166333333333331</v>
      </c>
      <c r="S14" s="231">
        <v>37.801666666666662</v>
      </c>
      <c r="T14" s="234">
        <v>63.855999999999995</v>
      </c>
      <c r="U14" s="231">
        <v>94.180333333333337</v>
      </c>
      <c r="V14" s="234">
        <v>99.478666666666655</v>
      </c>
      <c r="W14" s="231">
        <v>103.83450000000002</v>
      </c>
      <c r="X14" s="234">
        <v>35.603833333333334</v>
      </c>
      <c r="Y14" s="231">
        <v>0</v>
      </c>
      <c r="Z14" s="234">
        <v>0</v>
      </c>
      <c r="AA14" s="231">
        <v>0</v>
      </c>
      <c r="AB14" s="234">
        <v>0</v>
      </c>
      <c r="AC14" s="238">
        <f t="shared" si="0"/>
        <v>496.54449999999997</v>
      </c>
      <c r="AD14" s="238"/>
      <c r="AE14" s="238"/>
    </row>
    <row r="15" spans="2:31" s="4" customFormat="1" x14ac:dyDescent="0.3">
      <c r="B15" s="245" t="s">
        <v>10</v>
      </c>
      <c r="C15" s="245"/>
      <c r="D15" s="245"/>
      <c r="E15" s="231">
        <v>0</v>
      </c>
      <c r="F15" s="234">
        <v>0</v>
      </c>
      <c r="G15" s="231">
        <v>0</v>
      </c>
      <c r="H15" s="234">
        <v>0</v>
      </c>
      <c r="I15" s="231">
        <v>0</v>
      </c>
      <c r="J15" s="234">
        <v>0</v>
      </c>
      <c r="K15" s="231">
        <v>0</v>
      </c>
      <c r="L15" s="234">
        <v>0</v>
      </c>
      <c r="M15" s="231">
        <v>0.33983333333333327</v>
      </c>
      <c r="N15" s="234">
        <v>1.7859999999999998</v>
      </c>
      <c r="O15" s="231">
        <v>5.5664999999999987</v>
      </c>
      <c r="P15" s="234">
        <v>11.641833333333333</v>
      </c>
      <c r="Q15" s="231">
        <v>19.981500000000004</v>
      </c>
      <c r="R15" s="234">
        <v>17.277333333333331</v>
      </c>
      <c r="S15" s="231">
        <v>18.460000000000004</v>
      </c>
      <c r="T15" s="234">
        <v>39.501999999999995</v>
      </c>
      <c r="U15" s="231">
        <v>58.686666666666639</v>
      </c>
      <c r="V15" s="234">
        <v>63.329166666666659</v>
      </c>
      <c r="W15" s="231">
        <v>50.479333333333308</v>
      </c>
      <c r="X15" s="234">
        <v>3.2676666666666665</v>
      </c>
      <c r="Y15" s="231">
        <v>0</v>
      </c>
      <c r="Z15" s="234">
        <v>0</v>
      </c>
      <c r="AA15" s="231">
        <v>0</v>
      </c>
      <c r="AB15" s="234">
        <v>0</v>
      </c>
      <c r="AC15" s="238">
        <f t="shared" si="0"/>
        <v>290.31783333333328</v>
      </c>
      <c r="AD15" s="238"/>
      <c r="AE15" s="238"/>
    </row>
    <row r="16" spans="2:31" s="4" customFormat="1" x14ac:dyDescent="0.3">
      <c r="B16" s="245" t="s">
        <v>11</v>
      </c>
      <c r="C16" s="245"/>
      <c r="D16" s="245"/>
      <c r="E16" s="231">
        <v>0</v>
      </c>
      <c r="F16" s="234">
        <v>0</v>
      </c>
      <c r="G16" s="231">
        <v>0</v>
      </c>
      <c r="H16" s="234">
        <v>0</v>
      </c>
      <c r="I16" s="231">
        <v>0</v>
      </c>
      <c r="J16" s="234">
        <v>0</v>
      </c>
      <c r="K16" s="231">
        <v>0</v>
      </c>
      <c r="L16" s="234">
        <v>0</v>
      </c>
      <c r="M16" s="231">
        <v>1.3101666666666667</v>
      </c>
      <c r="N16" s="234">
        <v>2.8199999999999958</v>
      </c>
      <c r="O16" s="231">
        <v>3.5200000000000031</v>
      </c>
      <c r="P16" s="234">
        <v>6.7594999999999974</v>
      </c>
      <c r="Q16" s="231">
        <v>14.734166666666654</v>
      </c>
      <c r="R16" s="234">
        <v>29.065833333333348</v>
      </c>
      <c r="S16" s="231">
        <v>49.842333333333343</v>
      </c>
      <c r="T16" s="234">
        <v>70.680833333333325</v>
      </c>
      <c r="U16" s="231">
        <v>88.881666666666675</v>
      </c>
      <c r="V16" s="234">
        <v>86.727000000000004</v>
      </c>
      <c r="W16" s="231">
        <v>83.968833333333336</v>
      </c>
      <c r="X16" s="234">
        <v>22.430833333333339</v>
      </c>
      <c r="Y16" s="231">
        <v>0</v>
      </c>
      <c r="Z16" s="234">
        <v>0</v>
      </c>
      <c r="AA16" s="231">
        <v>0</v>
      </c>
      <c r="AB16" s="234">
        <v>0</v>
      </c>
      <c r="AC16" s="238">
        <f t="shared" si="0"/>
        <v>460.74116666666669</v>
      </c>
      <c r="AD16" s="238"/>
      <c r="AE16" s="238"/>
    </row>
    <row r="17" spans="2:31" s="4" customFormat="1" x14ac:dyDescent="0.3">
      <c r="B17" s="245" t="s">
        <v>12</v>
      </c>
      <c r="C17" s="245"/>
      <c r="D17" s="245"/>
      <c r="E17" s="231">
        <v>0</v>
      </c>
      <c r="F17" s="234">
        <v>0</v>
      </c>
      <c r="G17" s="231">
        <v>0</v>
      </c>
      <c r="H17" s="234">
        <v>0</v>
      </c>
      <c r="I17" s="231">
        <v>0</v>
      </c>
      <c r="J17" s="234">
        <v>0</v>
      </c>
      <c r="K17" s="231">
        <v>0</v>
      </c>
      <c r="L17" s="234">
        <v>0</v>
      </c>
      <c r="M17" s="231">
        <v>4.0558333333333332</v>
      </c>
      <c r="N17" s="234">
        <v>6.017333333333335</v>
      </c>
      <c r="O17" s="231">
        <v>10.1455</v>
      </c>
      <c r="P17" s="234">
        <v>22.4085</v>
      </c>
      <c r="Q17" s="231">
        <v>43.294833333333322</v>
      </c>
      <c r="R17" s="234">
        <v>65.253166666666672</v>
      </c>
      <c r="S17" s="231">
        <v>92.705500000000029</v>
      </c>
      <c r="T17" s="234">
        <v>116.67616666666665</v>
      </c>
      <c r="U17" s="231">
        <v>130.97733333333332</v>
      </c>
      <c r="V17" s="234">
        <v>114.12349999999996</v>
      </c>
      <c r="W17" s="231">
        <v>98.133000000000038</v>
      </c>
      <c r="X17" s="234">
        <v>25.737666666666652</v>
      </c>
      <c r="Y17" s="231">
        <v>0</v>
      </c>
      <c r="Z17" s="234">
        <v>0</v>
      </c>
      <c r="AA17" s="231">
        <v>0</v>
      </c>
      <c r="AB17" s="234">
        <v>0</v>
      </c>
      <c r="AC17" s="238">
        <f t="shared" si="0"/>
        <v>729.52833333333331</v>
      </c>
      <c r="AD17" s="238"/>
      <c r="AE17" s="238"/>
    </row>
    <row r="18" spans="2:31" s="4" customFormat="1" x14ac:dyDescent="0.3">
      <c r="B18" s="245" t="s">
        <v>13</v>
      </c>
      <c r="C18" s="245"/>
      <c r="D18" s="245"/>
      <c r="E18" s="231">
        <v>0</v>
      </c>
      <c r="F18" s="234">
        <v>0</v>
      </c>
      <c r="G18" s="231">
        <v>0</v>
      </c>
      <c r="H18" s="234">
        <v>0</v>
      </c>
      <c r="I18" s="231">
        <v>0</v>
      </c>
      <c r="J18" s="234">
        <v>0</v>
      </c>
      <c r="K18" s="231">
        <v>0</v>
      </c>
      <c r="L18" s="234">
        <v>0</v>
      </c>
      <c r="M18" s="231">
        <v>3.6725000000000008</v>
      </c>
      <c r="N18" s="234">
        <v>3.3281666666666672</v>
      </c>
      <c r="O18" s="231">
        <v>8.9013333333333353</v>
      </c>
      <c r="P18" s="234">
        <v>15.738666666666665</v>
      </c>
      <c r="Q18" s="231">
        <v>31.228666666666662</v>
      </c>
      <c r="R18" s="234">
        <v>52.901500000000013</v>
      </c>
      <c r="S18" s="231">
        <v>75.967666666666645</v>
      </c>
      <c r="T18" s="234">
        <v>102.29950000000005</v>
      </c>
      <c r="U18" s="231">
        <v>131.33599999999996</v>
      </c>
      <c r="V18" s="234">
        <v>115.20416666666668</v>
      </c>
      <c r="W18" s="231">
        <v>120.21883333333328</v>
      </c>
      <c r="X18" s="234">
        <v>31.155499999999996</v>
      </c>
      <c r="Y18" s="231">
        <v>0</v>
      </c>
      <c r="Z18" s="234">
        <v>0</v>
      </c>
      <c r="AA18" s="231">
        <v>0</v>
      </c>
      <c r="AB18" s="234">
        <v>0</v>
      </c>
      <c r="AC18" s="238">
        <f t="shared" si="0"/>
        <v>691.95249999999987</v>
      </c>
      <c r="AD18" s="238"/>
      <c r="AE18" s="238"/>
    </row>
    <row r="19" spans="2:31" s="4" customFormat="1" x14ac:dyDescent="0.3">
      <c r="B19" s="245" t="s">
        <v>14</v>
      </c>
      <c r="C19" s="245"/>
      <c r="D19" s="245"/>
      <c r="E19" s="231">
        <v>0</v>
      </c>
      <c r="F19" s="234">
        <v>0</v>
      </c>
      <c r="G19" s="231">
        <v>0</v>
      </c>
      <c r="H19" s="234">
        <v>0</v>
      </c>
      <c r="I19" s="231">
        <v>0</v>
      </c>
      <c r="J19" s="234">
        <v>0</v>
      </c>
      <c r="K19" s="231">
        <v>0</v>
      </c>
      <c r="L19" s="234">
        <v>0</v>
      </c>
      <c r="M19" s="231">
        <v>1.7500000000000012E-2</v>
      </c>
      <c r="N19" s="234">
        <v>0.12999999999999992</v>
      </c>
      <c r="O19" s="231">
        <v>0.42999999999999977</v>
      </c>
      <c r="P19" s="234">
        <v>1.8299999999999985</v>
      </c>
      <c r="Q19" s="231">
        <v>4.1299999999999972</v>
      </c>
      <c r="R19" s="234">
        <v>5.6299999999999972</v>
      </c>
      <c r="S19" s="231">
        <v>6.0299999999999923</v>
      </c>
      <c r="T19" s="234">
        <v>5.7361666666666729</v>
      </c>
      <c r="U19" s="231">
        <v>5.5400000000000027</v>
      </c>
      <c r="V19" s="234">
        <v>4.84</v>
      </c>
      <c r="W19" s="231">
        <v>5.1399999999999917</v>
      </c>
      <c r="X19" s="234">
        <v>2.758500000000002</v>
      </c>
      <c r="Y19" s="231">
        <v>0</v>
      </c>
      <c r="Z19" s="234">
        <v>0</v>
      </c>
      <c r="AA19" s="231">
        <v>0</v>
      </c>
      <c r="AB19" s="234">
        <v>0</v>
      </c>
      <c r="AC19" s="238">
        <f t="shared" si="0"/>
        <v>42.212166666666661</v>
      </c>
      <c r="AD19" s="238"/>
      <c r="AE19" s="238"/>
    </row>
    <row r="20" spans="2:31" s="4" customFormat="1" x14ac:dyDescent="0.3">
      <c r="B20" s="245" t="s">
        <v>15</v>
      </c>
      <c r="C20" s="245"/>
      <c r="D20" s="245"/>
      <c r="E20" s="231">
        <v>0</v>
      </c>
      <c r="F20" s="234">
        <v>0</v>
      </c>
      <c r="G20" s="231">
        <v>0</v>
      </c>
      <c r="H20" s="234">
        <v>0</v>
      </c>
      <c r="I20" s="231">
        <v>0</v>
      </c>
      <c r="J20" s="234">
        <v>0</v>
      </c>
      <c r="K20" s="231">
        <v>0</v>
      </c>
      <c r="L20" s="234">
        <v>0</v>
      </c>
      <c r="M20" s="231">
        <v>11.695833333333335</v>
      </c>
      <c r="N20" s="234">
        <v>1.8448333333333333</v>
      </c>
      <c r="O20" s="231">
        <v>0</v>
      </c>
      <c r="P20" s="234">
        <v>0</v>
      </c>
      <c r="Q20" s="231">
        <v>0</v>
      </c>
      <c r="R20" s="234">
        <v>0</v>
      </c>
      <c r="S20" s="231">
        <v>0</v>
      </c>
      <c r="T20" s="234">
        <v>7.3858333333333377</v>
      </c>
      <c r="U20" s="231">
        <v>29.519333333333318</v>
      </c>
      <c r="V20" s="234">
        <v>37.012499999999982</v>
      </c>
      <c r="W20" s="231">
        <v>0</v>
      </c>
      <c r="X20" s="234">
        <v>6.0078333333333331</v>
      </c>
      <c r="Y20" s="231">
        <v>0</v>
      </c>
      <c r="Z20" s="234">
        <v>0</v>
      </c>
      <c r="AA20" s="231">
        <v>0</v>
      </c>
      <c r="AB20" s="234">
        <v>0</v>
      </c>
      <c r="AC20" s="238">
        <f t="shared" si="0"/>
        <v>93.466166666666652</v>
      </c>
      <c r="AD20" s="238"/>
      <c r="AE20" s="238"/>
    </row>
    <row r="21" spans="2:31" s="4" customFormat="1" x14ac:dyDescent="0.3">
      <c r="B21" s="245" t="s">
        <v>16</v>
      </c>
      <c r="C21" s="245"/>
      <c r="D21" s="245"/>
      <c r="E21" s="231">
        <v>0</v>
      </c>
      <c r="F21" s="234">
        <v>0</v>
      </c>
      <c r="G21" s="231">
        <v>0</v>
      </c>
      <c r="H21" s="234">
        <v>0</v>
      </c>
      <c r="I21" s="231">
        <v>0</v>
      </c>
      <c r="J21" s="234">
        <v>0</v>
      </c>
      <c r="K21" s="231">
        <v>0</v>
      </c>
      <c r="L21" s="234">
        <v>0</v>
      </c>
      <c r="M21" s="231">
        <v>11.306833333333335</v>
      </c>
      <c r="N21" s="234">
        <v>17.350833333333334</v>
      </c>
      <c r="O21" s="231">
        <v>20.541166666666655</v>
      </c>
      <c r="P21" s="234">
        <v>1.779166666666667</v>
      </c>
      <c r="Q21" s="231">
        <v>4.5680000000000023</v>
      </c>
      <c r="R21" s="234">
        <v>10.784666666666665</v>
      </c>
      <c r="S21" s="231">
        <v>15.534666666666643</v>
      </c>
      <c r="T21" s="234">
        <v>19.064500000000013</v>
      </c>
      <c r="U21" s="231">
        <v>21.438000000000024</v>
      </c>
      <c r="V21" s="234">
        <v>0</v>
      </c>
      <c r="W21" s="231">
        <v>0</v>
      </c>
      <c r="X21" s="234">
        <v>0</v>
      </c>
      <c r="Y21" s="231">
        <v>0</v>
      </c>
      <c r="Z21" s="234">
        <v>0</v>
      </c>
      <c r="AA21" s="231">
        <v>0</v>
      </c>
      <c r="AB21" s="234">
        <v>0</v>
      </c>
      <c r="AC21" s="238">
        <f t="shared" si="0"/>
        <v>122.36783333333332</v>
      </c>
      <c r="AD21" s="238"/>
      <c r="AE21" s="238"/>
    </row>
    <row r="22" spans="2:31" s="4" customFormat="1" x14ac:dyDescent="0.3">
      <c r="B22" s="245" t="s">
        <v>17</v>
      </c>
      <c r="C22" s="245"/>
      <c r="D22" s="245"/>
      <c r="E22" s="231">
        <v>0</v>
      </c>
      <c r="F22" s="234">
        <v>0</v>
      </c>
      <c r="G22" s="231">
        <v>0</v>
      </c>
      <c r="H22" s="234">
        <v>0</v>
      </c>
      <c r="I22" s="231">
        <v>0</v>
      </c>
      <c r="J22" s="234">
        <v>0</v>
      </c>
      <c r="K22" s="231">
        <v>0</v>
      </c>
      <c r="L22" s="234">
        <v>0</v>
      </c>
      <c r="M22" s="231">
        <v>0</v>
      </c>
      <c r="N22" s="234">
        <v>0</v>
      </c>
      <c r="O22" s="231">
        <v>9.5666666666666664E-2</v>
      </c>
      <c r="P22" s="234">
        <v>0</v>
      </c>
      <c r="Q22" s="231">
        <v>8.9683333333333373</v>
      </c>
      <c r="R22" s="234">
        <v>25.785833333333326</v>
      </c>
      <c r="S22" s="231">
        <v>33.715333333333326</v>
      </c>
      <c r="T22" s="234">
        <v>38.477333333333313</v>
      </c>
      <c r="U22" s="231">
        <v>28.160499999999988</v>
      </c>
      <c r="V22" s="234">
        <v>0</v>
      </c>
      <c r="W22" s="231">
        <v>0</v>
      </c>
      <c r="X22" s="234">
        <v>14.7835</v>
      </c>
      <c r="Y22" s="231">
        <v>0</v>
      </c>
      <c r="Z22" s="234">
        <v>0</v>
      </c>
      <c r="AA22" s="231">
        <v>0</v>
      </c>
      <c r="AB22" s="234">
        <v>0</v>
      </c>
      <c r="AC22" s="238">
        <f t="shared" si="0"/>
        <v>149.98649999999995</v>
      </c>
      <c r="AD22" s="238"/>
      <c r="AE22" s="238"/>
    </row>
    <row r="23" spans="2:31" s="4" customFormat="1" x14ac:dyDescent="0.3">
      <c r="B23" s="245" t="s">
        <v>18</v>
      </c>
      <c r="C23" s="245"/>
      <c r="D23" s="245"/>
      <c r="E23" s="231">
        <v>0</v>
      </c>
      <c r="F23" s="234">
        <v>0</v>
      </c>
      <c r="G23" s="231">
        <v>0</v>
      </c>
      <c r="H23" s="234">
        <v>0</v>
      </c>
      <c r="I23" s="231">
        <v>0</v>
      </c>
      <c r="J23" s="234">
        <v>0</v>
      </c>
      <c r="K23" s="231">
        <v>0</v>
      </c>
      <c r="L23" s="234">
        <v>0</v>
      </c>
      <c r="M23" s="231">
        <v>0</v>
      </c>
      <c r="N23" s="234">
        <v>0</v>
      </c>
      <c r="O23" s="231">
        <v>0.71316666666666706</v>
      </c>
      <c r="P23" s="234">
        <v>0</v>
      </c>
      <c r="Q23" s="231">
        <v>0</v>
      </c>
      <c r="R23" s="234">
        <v>0</v>
      </c>
      <c r="S23" s="231">
        <v>0</v>
      </c>
      <c r="T23" s="234">
        <v>0</v>
      </c>
      <c r="U23" s="231">
        <v>0</v>
      </c>
      <c r="V23" s="234">
        <v>4.2584999999999997</v>
      </c>
      <c r="W23" s="231">
        <v>0</v>
      </c>
      <c r="X23" s="234">
        <v>0</v>
      </c>
      <c r="Y23" s="231">
        <v>0</v>
      </c>
      <c r="Z23" s="234">
        <v>0</v>
      </c>
      <c r="AA23" s="231">
        <v>0</v>
      </c>
      <c r="AB23" s="234">
        <v>0</v>
      </c>
      <c r="AC23" s="238">
        <f t="shared" si="0"/>
        <v>4.9716666666666667</v>
      </c>
      <c r="AD23" s="238"/>
      <c r="AE23" s="238"/>
    </row>
    <row r="24" spans="2:31" s="4" customFormat="1" x14ac:dyDescent="0.3">
      <c r="B24" s="245" t="s">
        <v>19</v>
      </c>
      <c r="C24" s="245"/>
      <c r="D24" s="245"/>
      <c r="E24" s="231">
        <v>0</v>
      </c>
      <c r="F24" s="234">
        <v>0</v>
      </c>
      <c r="G24" s="231">
        <v>0</v>
      </c>
      <c r="H24" s="234">
        <v>0</v>
      </c>
      <c r="I24" s="231">
        <v>0</v>
      </c>
      <c r="J24" s="234">
        <v>0</v>
      </c>
      <c r="K24" s="231">
        <v>0</v>
      </c>
      <c r="L24" s="234">
        <v>0</v>
      </c>
      <c r="M24" s="231">
        <v>0</v>
      </c>
      <c r="N24" s="234">
        <v>5.5690000000000008</v>
      </c>
      <c r="O24" s="231">
        <v>9.7304999999999993</v>
      </c>
      <c r="P24" s="234">
        <v>0.79233333333333322</v>
      </c>
      <c r="Q24" s="231">
        <v>6.1043333333333303</v>
      </c>
      <c r="R24" s="234">
        <v>20.098999999999993</v>
      </c>
      <c r="S24" s="231">
        <v>26.737166666666671</v>
      </c>
      <c r="T24" s="234">
        <v>40.80116666666666</v>
      </c>
      <c r="U24" s="231">
        <v>57.700333333333319</v>
      </c>
      <c r="V24" s="234">
        <v>0</v>
      </c>
      <c r="W24" s="231">
        <v>49.736666666666636</v>
      </c>
      <c r="X24" s="234">
        <v>7.1850000000000005</v>
      </c>
      <c r="Y24" s="231">
        <v>0</v>
      </c>
      <c r="Z24" s="234">
        <v>0</v>
      </c>
      <c r="AA24" s="231">
        <v>0</v>
      </c>
      <c r="AB24" s="234">
        <v>0</v>
      </c>
      <c r="AC24" s="238">
        <f t="shared" si="0"/>
        <v>224.45549999999992</v>
      </c>
      <c r="AD24" s="238"/>
      <c r="AE24" s="238"/>
    </row>
    <row r="25" spans="2:31" s="4" customFormat="1" x14ac:dyDescent="0.3">
      <c r="B25" s="245" t="s">
        <v>20</v>
      </c>
      <c r="C25" s="245"/>
      <c r="D25" s="245"/>
      <c r="E25" s="231">
        <v>0</v>
      </c>
      <c r="F25" s="234">
        <v>0</v>
      </c>
      <c r="G25" s="231">
        <v>0</v>
      </c>
      <c r="H25" s="234">
        <v>0</v>
      </c>
      <c r="I25" s="231">
        <v>0</v>
      </c>
      <c r="J25" s="234">
        <v>0</v>
      </c>
      <c r="K25" s="231">
        <v>0</v>
      </c>
      <c r="L25" s="234">
        <v>0</v>
      </c>
      <c r="M25" s="231">
        <v>0</v>
      </c>
      <c r="N25" s="234">
        <v>0.1868333333333333</v>
      </c>
      <c r="O25" s="231">
        <v>0.48483333333333317</v>
      </c>
      <c r="P25" s="234">
        <v>0.29999999999999882</v>
      </c>
      <c r="Q25" s="231">
        <v>5.199999999999994</v>
      </c>
      <c r="R25" s="234">
        <v>10.999999999999998</v>
      </c>
      <c r="S25" s="231">
        <v>0</v>
      </c>
      <c r="T25" s="234">
        <v>21.099999999999998</v>
      </c>
      <c r="U25" s="231">
        <v>0</v>
      </c>
      <c r="V25" s="234">
        <v>25.299999999999972</v>
      </c>
      <c r="W25" s="231">
        <v>26.200000000000028</v>
      </c>
      <c r="X25" s="234">
        <v>13.639999999999992</v>
      </c>
      <c r="Y25" s="231">
        <v>0</v>
      </c>
      <c r="Z25" s="234">
        <v>0</v>
      </c>
      <c r="AA25" s="231">
        <v>0</v>
      </c>
      <c r="AB25" s="234">
        <v>0</v>
      </c>
      <c r="AC25" s="238">
        <f t="shared" si="0"/>
        <v>103.41166666666665</v>
      </c>
      <c r="AD25" s="238"/>
      <c r="AE25" s="238"/>
    </row>
    <row r="26" spans="2:31" s="4" customFormat="1" x14ac:dyDescent="0.3">
      <c r="B26" s="245" t="s">
        <v>21</v>
      </c>
      <c r="C26" s="245"/>
      <c r="D26" s="245"/>
      <c r="E26" s="231">
        <v>0</v>
      </c>
      <c r="F26" s="234">
        <v>0</v>
      </c>
      <c r="G26" s="231">
        <v>0</v>
      </c>
      <c r="H26" s="234">
        <v>0</v>
      </c>
      <c r="I26" s="231">
        <v>0</v>
      </c>
      <c r="J26" s="234">
        <v>0</v>
      </c>
      <c r="K26" s="231">
        <v>0</v>
      </c>
      <c r="L26" s="234">
        <v>0</v>
      </c>
      <c r="M26" s="231">
        <v>0.53283333333333349</v>
      </c>
      <c r="N26" s="234">
        <v>0</v>
      </c>
      <c r="O26" s="231">
        <v>0</v>
      </c>
      <c r="P26" s="234">
        <v>0</v>
      </c>
      <c r="Q26" s="231">
        <v>0</v>
      </c>
      <c r="R26" s="234">
        <v>0</v>
      </c>
      <c r="S26" s="231">
        <v>2.0686666666666649</v>
      </c>
      <c r="T26" s="234">
        <v>7.6225000000000014</v>
      </c>
      <c r="U26" s="231">
        <v>9.5766666666666609</v>
      </c>
      <c r="V26" s="234">
        <v>13.144833333333327</v>
      </c>
      <c r="W26" s="231">
        <v>13.203333333333338</v>
      </c>
      <c r="X26" s="234">
        <v>4.4499999999999908E-2</v>
      </c>
      <c r="Y26" s="231">
        <v>0</v>
      </c>
      <c r="Z26" s="234">
        <v>0</v>
      </c>
      <c r="AA26" s="231">
        <v>0</v>
      </c>
      <c r="AB26" s="234">
        <v>0</v>
      </c>
      <c r="AC26" s="238">
        <f t="shared" si="0"/>
        <v>46.193333333333328</v>
      </c>
      <c r="AD26" s="238"/>
      <c r="AE26" s="238"/>
    </row>
    <row r="27" spans="2:31" s="4" customFormat="1" x14ac:dyDescent="0.3">
      <c r="B27" s="245" t="s">
        <v>22</v>
      </c>
      <c r="C27" s="245"/>
      <c r="D27" s="245"/>
      <c r="E27" s="231">
        <v>0</v>
      </c>
      <c r="F27" s="234">
        <v>0</v>
      </c>
      <c r="G27" s="231">
        <v>0</v>
      </c>
      <c r="H27" s="234">
        <v>0</v>
      </c>
      <c r="I27" s="231">
        <v>0</v>
      </c>
      <c r="J27" s="234">
        <v>0</v>
      </c>
      <c r="K27" s="231">
        <v>0</v>
      </c>
      <c r="L27" s="234">
        <v>0</v>
      </c>
      <c r="M27" s="231">
        <v>0.22883333333333333</v>
      </c>
      <c r="N27" s="234">
        <v>3.6499999999999984E-2</v>
      </c>
      <c r="O27" s="231">
        <v>0</v>
      </c>
      <c r="P27" s="234">
        <v>0</v>
      </c>
      <c r="Q27" s="231">
        <v>0</v>
      </c>
      <c r="R27" s="234">
        <v>0</v>
      </c>
      <c r="S27" s="231">
        <v>0.14083333333333309</v>
      </c>
      <c r="T27" s="234">
        <v>1.1781666666666675</v>
      </c>
      <c r="U27" s="231">
        <v>0.81883333333333341</v>
      </c>
      <c r="V27" s="234">
        <v>0.30616666666666675</v>
      </c>
      <c r="W27" s="231">
        <v>1.0183333333333331</v>
      </c>
      <c r="X27" s="234">
        <v>9.2833333333333184E-2</v>
      </c>
      <c r="Y27" s="231">
        <v>0</v>
      </c>
      <c r="Z27" s="234">
        <v>0</v>
      </c>
      <c r="AA27" s="231">
        <v>0</v>
      </c>
      <c r="AB27" s="234">
        <v>0</v>
      </c>
      <c r="AC27" s="238">
        <f t="shared" si="0"/>
        <v>3.8205000000000005</v>
      </c>
      <c r="AD27" s="238"/>
      <c r="AE27" s="238"/>
    </row>
    <row r="28" spans="2:31" s="4" customFormat="1" x14ac:dyDescent="0.3">
      <c r="B28" s="245" t="s">
        <v>23</v>
      </c>
      <c r="C28" s="245"/>
      <c r="D28" s="245"/>
      <c r="E28" s="231">
        <v>0</v>
      </c>
      <c r="F28" s="234">
        <v>0</v>
      </c>
      <c r="G28" s="231">
        <v>0</v>
      </c>
      <c r="H28" s="234">
        <v>0</v>
      </c>
      <c r="I28" s="231">
        <v>0</v>
      </c>
      <c r="J28" s="234">
        <v>0</v>
      </c>
      <c r="K28" s="231">
        <v>0</v>
      </c>
      <c r="L28" s="234">
        <v>0</v>
      </c>
      <c r="M28" s="231">
        <v>0</v>
      </c>
      <c r="N28" s="234">
        <v>0</v>
      </c>
      <c r="O28" s="231">
        <v>0</v>
      </c>
      <c r="P28" s="234">
        <v>0</v>
      </c>
      <c r="Q28" s="231">
        <v>0</v>
      </c>
      <c r="R28" s="234">
        <v>0</v>
      </c>
      <c r="S28" s="231">
        <v>0</v>
      </c>
      <c r="T28" s="234">
        <v>0</v>
      </c>
      <c r="U28" s="231">
        <v>0</v>
      </c>
      <c r="V28" s="234">
        <v>0</v>
      </c>
      <c r="W28" s="231">
        <v>0.25883333333333169</v>
      </c>
      <c r="X28" s="234">
        <v>0</v>
      </c>
      <c r="Y28" s="231">
        <v>0</v>
      </c>
      <c r="Z28" s="234">
        <v>0</v>
      </c>
      <c r="AA28" s="231">
        <v>0</v>
      </c>
      <c r="AB28" s="234">
        <v>0</v>
      </c>
      <c r="AC28" s="238">
        <f t="shared" si="0"/>
        <v>0.25883333333333169</v>
      </c>
      <c r="AD28" s="238"/>
      <c r="AE28" s="238"/>
    </row>
    <row r="29" spans="2:31" s="4" customFormat="1" x14ac:dyDescent="0.3">
      <c r="B29" s="245" t="s">
        <v>24</v>
      </c>
      <c r="C29" s="245"/>
      <c r="D29" s="245"/>
      <c r="E29" s="231">
        <v>0</v>
      </c>
      <c r="F29" s="234">
        <v>0</v>
      </c>
      <c r="G29" s="231">
        <v>0</v>
      </c>
      <c r="H29" s="234">
        <v>0</v>
      </c>
      <c r="I29" s="231">
        <v>0</v>
      </c>
      <c r="J29" s="234">
        <v>0</v>
      </c>
      <c r="K29" s="231">
        <v>0</v>
      </c>
      <c r="L29" s="234">
        <v>0</v>
      </c>
      <c r="M29" s="231">
        <v>0.92683333333333329</v>
      </c>
      <c r="N29" s="234">
        <v>3.3669999999999987</v>
      </c>
      <c r="O29" s="231">
        <v>0.21866666666666665</v>
      </c>
      <c r="P29" s="234">
        <v>0</v>
      </c>
      <c r="Q29" s="231">
        <v>0</v>
      </c>
      <c r="R29" s="234">
        <v>0</v>
      </c>
      <c r="S29" s="231">
        <v>0</v>
      </c>
      <c r="T29" s="234">
        <v>0</v>
      </c>
      <c r="U29" s="231">
        <v>0</v>
      </c>
      <c r="V29" s="234">
        <v>9.283833333333332</v>
      </c>
      <c r="W29" s="231">
        <v>10.355499999999999</v>
      </c>
      <c r="X29" s="234">
        <v>0</v>
      </c>
      <c r="Y29" s="231">
        <v>0</v>
      </c>
      <c r="Z29" s="234">
        <v>0</v>
      </c>
      <c r="AA29" s="231">
        <v>0</v>
      </c>
      <c r="AB29" s="234">
        <v>0</v>
      </c>
      <c r="AC29" s="238">
        <f t="shared" si="0"/>
        <v>24.151833333333329</v>
      </c>
      <c r="AD29" s="238"/>
      <c r="AE29" s="238"/>
    </row>
    <row r="30" spans="2:31" s="4" customFormat="1" x14ac:dyDescent="0.3">
      <c r="B30" s="245" t="s">
        <v>25</v>
      </c>
      <c r="C30" s="245"/>
      <c r="D30" s="245"/>
      <c r="E30" s="231">
        <v>0</v>
      </c>
      <c r="F30" s="234">
        <v>0</v>
      </c>
      <c r="G30" s="231">
        <v>0</v>
      </c>
      <c r="H30" s="234">
        <v>0</v>
      </c>
      <c r="I30" s="231">
        <v>0</v>
      </c>
      <c r="J30" s="234">
        <v>0</v>
      </c>
      <c r="K30" s="231">
        <v>0</v>
      </c>
      <c r="L30" s="234">
        <v>0</v>
      </c>
      <c r="M30" s="231">
        <v>4.6491666666666678</v>
      </c>
      <c r="N30" s="234">
        <v>3.2700000000000018</v>
      </c>
      <c r="O30" s="231">
        <v>0.76999999999999857</v>
      </c>
      <c r="P30" s="234">
        <v>0</v>
      </c>
      <c r="Q30" s="231">
        <v>0</v>
      </c>
      <c r="R30" s="234">
        <v>0</v>
      </c>
      <c r="S30" s="231">
        <v>0</v>
      </c>
      <c r="T30" s="234">
        <v>3.1553333333333344</v>
      </c>
      <c r="U30" s="231">
        <v>0</v>
      </c>
      <c r="V30" s="234">
        <v>0.5788333333333332</v>
      </c>
      <c r="W30" s="231">
        <v>4.3369999999999997</v>
      </c>
      <c r="X30" s="234">
        <v>3.3869999999999996</v>
      </c>
      <c r="Y30" s="231">
        <v>0</v>
      </c>
      <c r="Z30" s="234">
        <v>0</v>
      </c>
      <c r="AA30" s="231">
        <v>0</v>
      </c>
      <c r="AB30" s="234">
        <v>0</v>
      </c>
      <c r="AC30" s="238">
        <f t="shared" si="0"/>
        <v>20.147333333333336</v>
      </c>
      <c r="AD30" s="238"/>
      <c r="AE30" s="238"/>
    </row>
    <row r="31" spans="2:31" s="4" customFormat="1" x14ac:dyDescent="0.3">
      <c r="B31" s="245" t="s">
        <v>26</v>
      </c>
      <c r="C31" s="245"/>
      <c r="D31" s="245"/>
      <c r="E31" s="231">
        <v>0</v>
      </c>
      <c r="F31" s="234">
        <v>0</v>
      </c>
      <c r="G31" s="231">
        <v>0</v>
      </c>
      <c r="H31" s="234">
        <v>0</v>
      </c>
      <c r="I31" s="231">
        <v>0</v>
      </c>
      <c r="J31" s="234">
        <v>0</v>
      </c>
      <c r="K31" s="231">
        <v>0</v>
      </c>
      <c r="L31" s="234">
        <v>0</v>
      </c>
      <c r="M31" s="231">
        <v>0</v>
      </c>
      <c r="N31" s="234">
        <v>0</v>
      </c>
      <c r="O31" s="231">
        <v>0</v>
      </c>
      <c r="P31" s="234">
        <v>0</v>
      </c>
      <c r="Q31" s="231">
        <v>0</v>
      </c>
      <c r="R31" s="234">
        <v>0</v>
      </c>
      <c r="S31" s="231">
        <v>0</v>
      </c>
      <c r="T31" s="234">
        <v>0</v>
      </c>
      <c r="U31" s="231">
        <v>0</v>
      </c>
      <c r="V31" s="234">
        <v>0</v>
      </c>
      <c r="W31" s="231">
        <v>0</v>
      </c>
      <c r="X31" s="234">
        <v>0</v>
      </c>
      <c r="Y31" s="231">
        <v>0</v>
      </c>
      <c r="Z31" s="234">
        <v>0</v>
      </c>
      <c r="AA31" s="231">
        <v>0</v>
      </c>
      <c r="AB31" s="234">
        <v>0</v>
      </c>
      <c r="AC31" s="238">
        <f t="shared" si="0"/>
        <v>0</v>
      </c>
      <c r="AD31" s="238"/>
      <c r="AE31" s="238"/>
    </row>
    <row r="32" spans="2:31" s="4" customFormat="1" x14ac:dyDescent="0.3">
      <c r="B32" s="245" t="s">
        <v>27</v>
      </c>
      <c r="C32" s="245"/>
      <c r="D32" s="245"/>
      <c r="E32" s="231">
        <v>0</v>
      </c>
      <c r="F32" s="234">
        <v>0</v>
      </c>
      <c r="G32" s="231">
        <v>0</v>
      </c>
      <c r="H32" s="234">
        <v>0</v>
      </c>
      <c r="I32" s="231">
        <v>0</v>
      </c>
      <c r="J32" s="234">
        <v>0</v>
      </c>
      <c r="K32" s="231">
        <v>0</v>
      </c>
      <c r="L32" s="234">
        <v>0</v>
      </c>
      <c r="M32" s="231">
        <v>0</v>
      </c>
      <c r="N32" s="234">
        <v>1.3500000000000009E-2</v>
      </c>
      <c r="O32" s="231">
        <v>4.4346666666666685</v>
      </c>
      <c r="P32" s="234">
        <v>7.7298333333333327</v>
      </c>
      <c r="Q32" s="231">
        <v>9.1149999999999984</v>
      </c>
      <c r="R32" s="234">
        <v>2.0846666666666658</v>
      </c>
      <c r="S32" s="231">
        <v>2.5990000000000006</v>
      </c>
      <c r="T32" s="234">
        <v>2.187166666666668</v>
      </c>
      <c r="U32" s="231">
        <v>0</v>
      </c>
      <c r="V32" s="234">
        <v>1.2568333333333324</v>
      </c>
      <c r="W32" s="231">
        <v>1.1166666666666695E-2</v>
      </c>
      <c r="X32" s="234">
        <v>5.1999999999999956E-2</v>
      </c>
      <c r="Y32" s="231">
        <v>0</v>
      </c>
      <c r="Z32" s="234">
        <v>0</v>
      </c>
      <c r="AA32" s="231">
        <v>0</v>
      </c>
      <c r="AB32" s="234">
        <v>0</v>
      </c>
      <c r="AC32" s="238">
        <f t="shared" si="0"/>
        <v>29.483833333333337</v>
      </c>
      <c r="AD32" s="238"/>
      <c r="AE32" s="238"/>
    </row>
    <row r="33" spans="2:31" s="4" customFormat="1" x14ac:dyDescent="0.3">
      <c r="B33" s="245" t="s">
        <v>28</v>
      </c>
      <c r="C33" s="245"/>
      <c r="D33" s="245"/>
      <c r="E33" s="231">
        <v>0</v>
      </c>
      <c r="F33" s="234">
        <v>0</v>
      </c>
      <c r="G33" s="231">
        <v>0</v>
      </c>
      <c r="H33" s="234">
        <v>0</v>
      </c>
      <c r="I33" s="231">
        <v>0</v>
      </c>
      <c r="J33" s="234">
        <v>0</v>
      </c>
      <c r="K33" s="231">
        <v>0</v>
      </c>
      <c r="L33" s="234">
        <v>0</v>
      </c>
      <c r="M33" s="231">
        <v>0</v>
      </c>
      <c r="N33" s="234">
        <v>8.5166666666666627E-2</v>
      </c>
      <c r="O33" s="231">
        <v>6.1904999999999948</v>
      </c>
      <c r="P33" s="234">
        <v>12.929999999999986</v>
      </c>
      <c r="Q33" s="231">
        <v>19.736833333333337</v>
      </c>
      <c r="R33" s="234">
        <v>24.342833333333324</v>
      </c>
      <c r="S33" s="231">
        <v>29.950000000000031</v>
      </c>
      <c r="T33" s="234">
        <v>34.258833333333328</v>
      </c>
      <c r="U33" s="231">
        <v>37.964833333333331</v>
      </c>
      <c r="V33" s="234">
        <v>38.270833333333343</v>
      </c>
      <c r="W33" s="231">
        <v>35.948500000000045</v>
      </c>
      <c r="X33" s="234">
        <v>16.430166666666658</v>
      </c>
      <c r="Y33" s="231">
        <v>0</v>
      </c>
      <c r="Z33" s="234">
        <v>0</v>
      </c>
      <c r="AA33" s="231">
        <v>0</v>
      </c>
      <c r="AB33" s="234">
        <v>0</v>
      </c>
      <c r="AC33" s="238">
        <f t="shared" si="0"/>
        <v>256.10850000000005</v>
      </c>
      <c r="AD33" s="238"/>
      <c r="AE33" s="238"/>
    </row>
    <row r="34" spans="2:31" x14ac:dyDescent="0.3">
      <c r="B34" s="245" t="s">
        <v>92</v>
      </c>
      <c r="C34" s="245"/>
      <c r="D34" s="245"/>
      <c r="E34" s="231">
        <v>0</v>
      </c>
      <c r="F34" s="234">
        <v>0</v>
      </c>
      <c r="G34" s="231">
        <v>0</v>
      </c>
      <c r="H34" s="234">
        <v>0</v>
      </c>
      <c r="I34" s="231">
        <v>0</v>
      </c>
      <c r="J34" s="234">
        <v>0</v>
      </c>
      <c r="K34" s="231">
        <v>0</v>
      </c>
      <c r="L34" s="234">
        <v>0</v>
      </c>
      <c r="M34" s="231">
        <v>0</v>
      </c>
      <c r="N34" s="234">
        <v>0</v>
      </c>
      <c r="O34" s="231">
        <v>0</v>
      </c>
      <c r="P34" s="234">
        <v>0</v>
      </c>
      <c r="Q34" s="231">
        <v>0</v>
      </c>
      <c r="R34" s="234">
        <v>0</v>
      </c>
      <c r="S34" s="231">
        <v>0</v>
      </c>
      <c r="T34" s="234">
        <v>0</v>
      </c>
      <c r="U34" s="231">
        <v>0</v>
      </c>
      <c r="V34" s="234">
        <v>0</v>
      </c>
      <c r="W34" s="231">
        <v>0</v>
      </c>
      <c r="X34" s="234">
        <v>0</v>
      </c>
      <c r="Y34" s="231">
        <v>0</v>
      </c>
      <c r="Z34" s="234">
        <v>0</v>
      </c>
      <c r="AA34" s="231">
        <v>0</v>
      </c>
      <c r="AB34" s="234">
        <v>0</v>
      </c>
      <c r="AC34" s="238">
        <f t="shared" si="0"/>
        <v>0</v>
      </c>
      <c r="AD34" s="238"/>
      <c r="AE34" s="238"/>
    </row>
    <row r="35" spans="2:31" x14ac:dyDescent="0.3">
      <c r="B35" s="245" t="s">
        <v>29</v>
      </c>
      <c r="C35" s="245"/>
      <c r="D35" s="245"/>
      <c r="E35" s="231">
        <v>0</v>
      </c>
      <c r="F35" s="234">
        <v>0</v>
      </c>
      <c r="G35" s="231">
        <v>0</v>
      </c>
      <c r="H35" s="234">
        <v>0</v>
      </c>
      <c r="I35" s="231">
        <v>0</v>
      </c>
      <c r="J35" s="234">
        <v>0</v>
      </c>
      <c r="K35" s="231">
        <v>0</v>
      </c>
      <c r="L35" s="234">
        <v>0</v>
      </c>
      <c r="M35" s="231">
        <v>0.27016666666666661</v>
      </c>
      <c r="N35" s="234">
        <v>11.474000000000006</v>
      </c>
      <c r="O35" s="231">
        <v>7.5150000000000015</v>
      </c>
      <c r="P35" s="234">
        <v>5.1666666666666812E-2</v>
      </c>
      <c r="Q35" s="231">
        <v>0.63149999999999917</v>
      </c>
      <c r="R35" s="234">
        <v>0</v>
      </c>
      <c r="S35" s="231">
        <v>0</v>
      </c>
      <c r="T35" s="234">
        <v>0</v>
      </c>
      <c r="U35" s="231">
        <v>0</v>
      </c>
      <c r="V35" s="234">
        <v>0</v>
      </c>
      <c r="W35" s="231">
        <v>0.53100000000000047</v>
      </c>
      <c r="X35" s="234">
        <v>0</v>
      </c>
      <c r="Y35" s="231">
        <v>0</v>
      </c>
      <c r="Z35" s="234">
        <v>0</v>
      </c>
      <c r="AA35" s="231">
        <v>0</v>
      </c>
      <c r="AB35" s="234">
        <v>0</v>
      </c>
      <c r="AC35" s="238">
        <f t="shared" si="0"/>
        <v>20.473333333333336</v>
      </c>
      <c r="AD35" s="238"/>
      <c r="AE35" s="238"/>
    </row>
    <row r="36" spans="2:31" x14ac:dyDescent="0.3">
      <c r="B36" s="245" t="s">
        <v>30</v>
      </c>
      <c r="C36" s="245"/>
      <c r="D36" s="245"/>
      <c r="E36" s="231">
        <v>0</v>
      </c>
      <c r="F36" s="234">
        <v>0</v>
      </c>
      <c r="G36" s="231">
        <v>0</v>
      </c>
      <c r="H36" s="234">
        <v>0</v>
      </c>
      <c r="I36" s="231">
        <v>0</v>
      </c>
      <c r="J36" s="234">
        <v>0</v>
      </c>
      <c r="K36" s="231">
        <v>0</v>
      </c>
      <c r="L36" s="234">
        <v>0</v>
      </c>
      <c r="M36" s="231">
        <v>0.11833333333333336</v>
      </c>
      <c r="N36" s="234">
        <v>5.1368333333333327</v>
      </c>
      <c r="O36" s="231">
        <v>12.771666666666667</v>
      </c>
      <c r="P36" s="234">
        <v>21.216499999999996</v>
      </c>
      <c r="Q36" s="231">
        <v>29.372666666666664</v>
      </c>
      <c r="R36" s="234">
        <v>42.646666666666654</v>
      </c>
      <c r="S36" s="231">
        <v>37.75833333333334</v>
      </c>
      <c r="T36" s="234">
        <v>42.596666666666664</v>
      </c>
      <c r="U36" s="231">
        <v>42.312166666666663</v>
      </c>
      <c r="V36" s="234">
        <v>15.391833333333334</v>
      </c>
      <c r="W36" s="231">
        <v>0</v>
      </c>
      <c r="X36" s="234">
        <v>0</v>
      </c>
      <c r="Y36" s="231">
        <v>0</v>
      </c>
      <c r="Z36" s="234">
        <v>0</v>
      </c>
      <c r="AA36" s="231">
        <v>0</v>
      </c>
      <c r="AB36" s="234">
        <v>0</v>
      </c>
      <c r="AC36" s="238">
        <f t="shared" si="0"/>
        <v>249.3216666666666</v>
      </c>
      <c r="AD36" s="238"/>
      <c r="AE36" s="238"/>
    </row>
    <row r="37" spans="2:31" x14ac:dyDescent="0.3">
      <c r="B37" s="245" t="s">
        <v>31</v>
      </c>
      <c r="C37" s="245"/>
      <c r="D37" s="245"/>
      <c r="E37" s="231">
        <v>0</v>
      </c>
      <c r="F37" s="234">
        <v>0</v>
      </c>
      <c r="G37" s="231">
        <v>0</v>
      </c>
      <c r="H37" s="234">
        <v>0</v>
      </c>
      <c r="I37" s="231">
        <v>0</v>
      </c>
      <c r="J37" s="234">
        <v>0</v>
      </c>
      <c r="K37" s="231">
        <v>0</v>
      </c>
      <c r="L37" s="234">
        <v>0</v>
      </c>
      <c r="M37" s="231">
        <v>0.42583333333333351</v>
      </c>
      <c r="N37" s="234">
        <v>1.930000000000003</v>
      </c>
      <c r="O37" s="231">
        <v>3.7299999999999973</v>
      </c>
      <c r="P37" s="234">
        <v>5.7300000000000022</v>
      </c>
      <c r="Q37" s="231">
        <v>7.5299999999999878</v>
      </c>
      <c r="R37" s="234">
        <v>9.1299999999999972</v>
      </c>
      <c r="S37" s="231">
        <v>10.629999999999997</v>
      </c>
      <c r="T37" s="234">
        <v>11.830000000000007</v>
      </c>
      <c r="U37" s="231">
        <v>12.730000000000011</v>
      </c>
      <c r="V37" s="234">
        <v>13.029999999999982</v>
      </c>
      <c r="W37" s="231">
        <v>12.529999999999982</v>
      </c>
      <c r="X37" s="234">
        <v>6.1121666666666661</v>
      </c>
      <c r="Y37" s="231">
        <v>0</v>
      </c>
      <c r="Z37" s="234">
        <v>0</v>
      </c>
      <c r="AA37" s="231">
        <v>0</v>
      </c>
      <c r="AB37" s="234">
        <v>0</v>
      </c>
      <c r="AC37" s="238">
        <f t="shared" si="0"/>
        <v>95.337999999999965</v>
      </c>
      <c r="AD37" s="238"/>
      <c r="AE37" s="238"/>
    </row>
    <row r="38" spans="2:31" x14ac:dyDescent="0.3">
      <c r="B38" s="245" t="s">
        <v>32</v>
      </c>
      <c r="C38" s="245"/>
      <c r="D38" s="245"/>
      <c r="E38" s="231">
        <v>0</v>
      </c>
      <c r="F38" s="234">
        <v>0</v>
      </c>
      <c r="G38" s="231">
        <v>0</v>
      </c>
      <c r="H38" s="234">
        <v>0</v>
      </c>
      <c r="I38" s="231">
        <v>0</v>
      </c>
      <c r="J38" s="234">
        <v>0</v>
      </c>
      <c r="K38" s="231">
        <v>0</v>
      </c>
      <c r="L38" s="234">
        <v>0</v>
      </c>
      <c r="M38" s="231">
        <v>0</v>
      </c>
      <c r="N38" s="234">
        <v>0</v>
      </c>
      <c r="O38" s="231">
        <v>0</v>
      </c>
      <c r="P38" s="234">
        <v>0</v>
      </c>
      <c r="Q38" s="231">
        <v>0</v>
      </c>
      <c r="R38" s="234">
        <v>0</v>
      </c>
      <c r="S38" s="231">
        <v>0</v>
      </c>
      <c r="T38" s="234">
        <v>0</v>
      </c>
      <c r="U38" s="231">
        <v>0</v>
      </c>
      <c r="V38" s="234">
        <v>0</v>
      </c>
      <c r="W38" s="231">
        <v>0</v>
      </c>
      <c r="X38" s="234">
        <v>0</v>
      </c>
      <c r="Y38" s="231">
        <v>0</v>
      </c>
      <c r="Z38" s="234">
        <v>0</v>
      </c>
      <c r="AA38" s="231">
        <v>0</v>
      </c>
      <c r="AB38" s="234">
        <v>0</v>
      </c>
      <c r="AC38" s="238">
        <f t="shared" si="0"/>
        <v>0</v>
      </c>
      <c r="AD38" s="238"/>
      <c r="AE38" s="238"/>
    </row>
    <row r="39" spans="2:31" x14ac:dyDescent="0.3">
      <c r="B39" s="245" t="s">
        <v>33</v>
      </c>
      <c r="C39" s="245"/>
      <c r="D39" s="245"/>
      <c r="E39" s="231">
        <v>0</v>
      </c>
      <c r="F39" s="234">
        <v>0</v>
      </c>
      <c r="G39" s="231">
        <v>0</v>
      </c>
      <c r="H39" s="234">
        <v>0</v>
      </c>
      <c r="I39" s="231">
        <v>0</v>
      </c>
      <c r="J39" s="234">
        <v>0</v>
      </c>
      <c r="K39" s="231">
        <v>0</v>
      </c>
      <c r="L39" s="234">
        <v>0</v>
      </c>
      <c r="M39" s="231">
        <v>0.37233333333333329</v>
      </c>
      <c r="N39" s="234">
        <v>2.2480000000000002</v>
      </c>
      <c r="O39" s="231">
        <v>1.5941666666666661</v>
      </c>
      <c r="P39" s="234">
        <v>0.34066666666666673</v>
      </c>
      <c r="Q39" s="231">
        <v>0.66799999999999959</v>
      </c>
      <c r="R39" s="234">
        <v>1.2293333333333327</v>
      </c>
      <c r="S39" s="231">
        <v>2.3500000000000004E-2</v>
      </c>
      <c r="T39" s="234">
        <v>5.9500000000000004E-2</v>
      </c>
      <c r="U39" s="231">
        <v>0.34866666666666651</v>
      </c>
      <c r="V39" s="234">
        <v>1.7280000000000006</v>
      </c>
      <c r="W39" s="231">
        <v>1.7918333333333323</v>
      </c>
      <c r="X39" s="234">
        <v>2.183333333333334E-2</v>
      </c>
      <c r="Y39" s="231">
        <v>0</v>
      </c>
      <c r="Z39" s="234">
        <v>0</v>
      </c>
      <c r="AA39" s="231">
        <v>0</v>
      </c>
      <c r="AB39" s="234">
        <v>0</v>
      </c>
      <c r="AC39" s="238">
        <f t="shared" si="0"/>
        <v>10.425833333333332</v>
      </c>
      <c r="AD39" s="238"/>
      <c r="AE39" s="238"/>
    </row>
    <row r="40" spans="2:31" x14ac:dyDescent="0.3">
      <c r="B40" s="245" t="s">
        <v>34</v>
      </c>
      <c r="C40" s="245"/>
      <c r="D40" s="245"/>
      <c r="E40" s="231">
        <v>0</v>
      </c>
      <c r="F40" s="234">
        <v>0</v>
      </c>
      <c r="G40" s="231">
        <v>0</v>
      </c>
      <c r="H40" s="234">
        <v>0</v>
      </c>
      <c r="I40" s="231">
        <v>0</v>
      </c>
      <c r="J40" s="234">
        <v>0</v>
      </c>
      <c r="K40" s="231">
        <v>0</v>
      </c>
      <c r="L40" s="234">
        <v>0</v>
      </c>
      <c r="M40" s="231">
        <v>9.3333333333333324E-2</v>
      </c>
      <c r="N40" s="234">
        <v>7.9333333333333311E-2</v>
      </c>
      <c r="O40" s="231">
        <v>0.99933333333333352</v>
      </c>
      <c r="P40" s="234">
        <v>0.40799999999999981</v>
      </c>
      <c r="Q40" s="231">
        <v>0.24350000000000002</v>
      </c>
      <c r="R40" s="234">
        <v>0.18716666666666668</v>
      </c>
      <c r="S40" s="231">
        <v>1.5666666666666666E-2</v>
      </c>
      <c r="T40" s="234">
        <v>0.20216666666666652</v>
      </c>
      <c r="U40" s="231">
        <v>0.441</v>
      </c>
      <c r="V40" s="234">
        <v>1.0238333333333336</v>
      </c>
      <c r="W40" s="231">
        <v>0.54600000000000004</v>
      </c>
      <c r="X40" s="234">
        <v>0.66249999999999987</v>
      </c>
      <c r="Y40" s="231">
        <v>0</v>
      </c>
      <c r="Z40" s="234">
        <v>0</v>
      </c>
      <c r="AA40" s="231">
        <v>0</v>
      </c>
      <c r="AB40" s="234">
        <v>0</v>
      </c>
      <c r="AC40" s="238">
        <f t="shared" si="0"/>
        <v>4.9018333333333333</v>
      </c>
      <c r="AD40" s="238"/>
      <c r="AE40" s="238"/>
    </row>
    <row r="41" spans="2:31" x14ac:dyDescent="0.3">
      <c r="B41" s="245" t="s">
        <v>35</v>
      </c>
      <c r="C41" s="245"/>
      <c r="D41" s="245"/>
      <c r="E41" s="231">
        <v>0</v>
      </c>
      <c r="F41" s="234">
        <v>0</v>
      </c>
      <c r="G41" s="231">
        <v>0</v>
      </c>
      <c r="H41" s="234">
        <v>0</v>
      </c>
      <c r="I41" s="231">
        <v>0</v>
      </c>
      <c r="J41" s="234">
        <v>0</v>
      </c>
      <c r="K41" s="231">
        <v>0</v>
      </c>
      <c r="L41" s="234">
        <v>0</v>
      </c>
      <c r="M41" s="231">
        <v>0</v>
      </c>
      <c r="N41" s="234">
        <v>0</v>
      </c>
      <c r="O41" s="231">
        <v>0</v>
      </c>
      <c r="P41" s="234">
        <v>3.8249999999999962</v>
      </c>
      <c r="Q41" s="231">
        <v>6.7251666666666612</v>
      </c>
      <c r="R41" s="234">
        <v>13.460500000000009</v>
      </c>
      <c r="S41" s="231">
        <v>12.926000000000005</v>
      </c>
      <c r="T41" s="234">
        <v>29.061999999999998</v>
      </c>
      <c r="U41" s="231">
        <v>48.593333333333334</v>
      </c>
      <c r="V41" s="234">
        <v>53.147499999999972</v>
      </c>
      <c r="W41" s="231">
        <v>46.529833333333343</v>
      </c>
      <c r="X41" s="234">
        <v>16.5915</v>
      </c>
      <c r="Y41" s="231">
        <v>0</v>
      </c>
      <c r="Z41" s="234">
        <v>0</v>
      </c>
      <c r="AA41" s="231">
        <v>0</v>
      </c>
      <c r="AB41" s="234">
        <v>0</v>
      </c>
      <c r="AC41" s="238">
        <f t="shared" si="0"/>
        <v>230.86083333333329</v>
      </c>
      <c r="AD41" s="238"/>
      <c r="AE41" s="238"/>
    </row>
    <row r="42" spans="2:31" x14ac:dyDescent="0.3">
      <c r="B42" s="245" t="s">
        <v>36</v>
      </c>
      <c r="C42" s="245"/>
      <c r="D42" s="245"/>
      <c r="E42" s="231">
        <v>0</v>
      </c>
      <c r="F42" s="234">
        <v>0</v>
      </c>
      <c r="G42" s="231">
        <v>0</v>
      </c>
      <c r="H42" s="234">
        <v>0</v>
      </c>
      <c r="I42" s="231">
        <v>0</v>
      </c>
      <c r="J42" s="234">
        <v>0</v>
      </c>
      <c r="K42" s="231">
        <v>0</v>
      </c>
      <c r="L42" s="234">
        <v>0</v>
      </c>
      <c r="M42" s="231">
        <v>13.941333333333327</v>
      </c>
      <c r="N42" s="234">
        <v>23.16333333333333</v>
      </c>
      <c r="O42" s="231">
        <v>25.899333333333331</v>
      </c>
      <c r="P42" s="234">
        <v>28.587499999999995</v>
      </c>
      <c r="Q42" s="231">
        <v>28.954666666666675</v>
      </c>
      <c r="R42" s="234">
        <v>32.700833333333335</v>
      </c>
      <c r="S42" s="231">
        <v>29.438166666666667</v>
      </c>
      <c r="T42" s="234">
        <v>28.363999999999997</v>
      </c>
      <c r="U42" s="231">
        <v>0</v>
      </c>
      <c r="V42" s="234">
        <v>30.659833333333339</v>
      </c>
      <c r="W42" s="231">
        <v>26.8505</v>
      </c>
      <c r="X42" s="234">
        <v>11.894333333333341</v>
      </c>
      <c r="Y42" s="231">
        <v>0</v>
      </c>
      <c r="Z42" s="234">
        <v>0</v>
      </c>
      <c r="AA42" s="231">
        <v>0</v>
      </c>
      <c r="AB42" s="234">
        <v>0</v>
      </c>
      <c r="AC42" s="238">
        <f t="shared" si="0"/>
        <v>280.45383333333336</v>
      </c>
      <c r="AD42" s="238"/>
      <c r="AE42" s="238"/>
    </row>
    <row r="43" spans="2:31" x14ac:dyDescent="0.3">
      <c r="B43" s="13" t="s">
        <v>89</v>
      </c>
      <c r="C43" s="13"/>
      <c r="D43" s="13"/>
      <c r="E43" s="231">
        <v>0</v>
      </c>
      <c r="F43" s="234">
        <v>0</v>
      </c>
      <c r="G43" s="231">
        <v>0</v>
      </c>
      <c r="H43" s="234">
        <v>0</v>
      </c>
      <c r="I43" s="231">
        <v>0</v>
      </c>
      <c r="J43" s="234">
        <v>0</v>
      </c>
      <c r="K43" s="231">
        <v>0</v>
      </c>
      <c r="L43" s="234">
        <v>0</v>
      </c>
      <c r="M43" s="231">
        <v>0</v>
      </c>
      <c r="N43" s="234">
        <v>0</v>
      </c>
      <c r="O43" s="231">
        <v>1.254</v>
      </c>
      <c r="P43" s="234">
        <v>1.2199999999999995</v>
      </c>
      <c r="Q43" s="231">
        <v>0</v>
      </c>
      <c r="R43" s="234">
        <v>0</v>
      </c>
      <c r="S43" s="231">
        <v>0</v>
      </c>
      <c r="T43" s="234">
        <v>0</v>
      </c>
      <c r="U43" s="231">
        <v>0</v>
      </c>
      <c r="V43" s="234">
        <v>0</v>
      </c>
      <c r="W43" s="231">
        <v>0</v>
      </c>
      <c r="X43" s="234">
        <v>0</v>
      </c>
      <c r="Y43" s="231">
        <v>0</v>
      </c>
      <c r="Z43" s="234">
        <v>0</v>
      </c>
      <c r="AA43" s="231">
        <v>0</v>
      </c>
      <c r="AB43" s="234">
        <v>0</v>
      </c>
      <c r="AC43" s="238">
        <f t="shared" ref="AC43:AC44" si="1">SUM(E43:AB43)</f>
        <v>2.4739999999999993</v>
      </c>
      <c r="AD43" s="238"/>
      <c r="AE43" s="238"/>
    </row>
    <row r="44" spans="2:31" x14ac:dyDescent="0.3">
      <c r="B44" s="13" t="s">
        <v>90</v>
      </c>
      <c r="C44" s="13"/>
      <c r="D44" s="13"/>
      <c r="E44" s="231">
        <v>0</v>
      </c>
      <c r="F44" s="234">
        <v>0</v>
      </c>
      <c r="G44" s="231">
        <v>0</v>
      </c>
      <c r="H44" s="234">
        <v>0</v>
      </c>
      <c r="I44" s="231">
        <v>0</v>
      </c>
      <c r="J44" s="234">
        <v>0</v>
      </c>
      <c r="K44" s="231">
        <v>0</v>
      </c>
      <c r="L44" s="234">
        <v>0</v>
      </c>
      <c r="M44" s="231">
        <v>0</v>
      </c>
      <c r="N44" s="234">
        <v>0</v>
      </c>
      <c r="O44" s="231">
        <v>1.8273333333333319</v>
      </c>
      <c r="P44" s="234">
        <v>9.825666666666665</v>
      </c>
      <c r="Q44" s="231">
        <v>20.122833333333325</v>
      </c>
      <c r="R44" s="234">
        <v>24.946166666666663</v>
      </c>
      <c r="S44" s="231">
        <v>31.460833333333333</v>
      </c>
      <c r="T44" s="234">
        <v>38.859333333333325</v>
      </c>
      <c r="U44" s="231">
        <v>42.975999999999999</v>
      </c>
      <c r="V44" s="234">
        <v>32.31966666666667</v>
      </c>
      <c r="W44" s="231">
        <v>25.792499999999983</v>
      </c>
      <c r="X44" s="234">
        <v>3.6936666666666649</v>
      </c>
      <c r="Y44" s="231">
        <v>0</v>
      </c>
      <c r="Z44" s="234">
        <v>0</v>
      </c>
      <c r="AA44" s="231">
        <v>0</v>
      </c>
      <c r="AB44" s="234">
        <v>0</v>
      </c>
      <c r="AC44" s="238">
        <f t="shared" si="1"/>
        <v>231.82399999999998</v>
      </c>
      <c r="AD44" s="238"/>
      <c r="AE44" s="238"/>
    </row>
    <row r="45" spans="2:31" x14ac:dyDescent="0.3">
      <c r="B45" s="14" t="s">
        <v>2</v>
      </c>
      <c r="C45" s="14"/>
      <c r="D45" s="14"/>
      <c r="E45" s="15">
        <f>SUM(E8:E44)</f>
        <v>0</v>
      </c>
      <c r="F45" s="15">
        <f t="shared" ref="F45:AB45" si="2">SUM(F8:F44)</f>
        <v>0</v>
      </c>
      <c r="G45" s="15">
        <f t="shared" si="2"/>
        <v>0</v>
      </c>
      <c r="H45" s="15">
        <f t="shared" si="2"/>
        <v>0</v>
      </c>
      <c r="I45" s="15">
        <f t="shared" si="2"/>
        <v>0</v>
      </c>
      <c r="J45" s="15">
        <f t="shared" si="2"/>
        <v>0</v>
      </c>
      <c r="K45" s="15">
        <f t="shared" si="2"/>
        <v>0</v>
      </c>
      <c r="L45" s="15">
        <f t="shared" si="2"/>
        <v>0</v>
      </c>
      <c r="M45" s="15">
        <f t="shared" si="2"/>
        <v>61.822833333333335</v>
      </c>
      <c r="N45" s="15">
        <f t="shared" si="2"/>
        <v>96.130500000000012</v>
      </c>
      <c r="O45" s="15">
        <f t="shared" si="2"/>
        <v>137.40133333333333</v>
      </c>
      <c r="P45" s="15">
        <f t="shared" si="2"/>
        <v>189.44433333333325</v>
      </c>
      <c r="Q45" s="15">
        <f t="shared" si="2"/>
        <v>315.52049999999997</v>
      </c>
      <c r="R45" s="15">
        <f t="shared" si="2"/>
        <v>496.95766666666663</v>
      </c>
      <c r="S45" s="15">
        <f t="shared" si="2"/>
        <v>566.23033333333331</v>
      </c>
      <c r="T45" s="15">
        <f t="shared" si="2"/>
        <v>783.31616666666673</v>
      </c>
      <c r="U45" s="15">
        <f t="shared" si="2"/>
        <v>938.93516666666665</v>
      </c>
      <c r="V45" s="15">
        <f t="shared" si="2"/>
        <v>837.99666666666644</v>
      </c>
      <c r="W45" s="15">
        <f t="shared" si="2"/>
        <v>821.49783333333346</v>
      </c>
      <c r="X45" s="15">
        <f t="shared" si="2"/>
        <v>289.38316666666668</v>
      </c>
      <c r="Y45" s="15">
        <f t="shared" si="2"/>
        <v>0</v>
      </c>
      <c r="Z45" s="15">
        <f t="shared" si="2"/>
        <v>0</v>
      </c>
      <c r="AA45" s="15">
        <f t="shared" si="2"/>
        <v>0</v>
      </c>
      <c r="AB45" s="15">
        <f t="shared" si="2"/>
        <v>0</v>
      </c>
      <c r="AC45" s="249">
        <f>SUM(AC8:AE44)</f>
        <v>5534.6364999999996</v>
      </c>
      <c r="AD45" s="249"/>
      <c r="AE45" s="249"/>
    </row>
    <row r="46" spans="2:31" x14ac:dyDescent="0.3">
      <c r="B46" s="16"/>
      <c r="C46" s="1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2:31" x14ac:dyDescent="0.3">
      <c r="B47" s="16"/>
      <c r="C47" s="1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2:31" x14ac:dyDescent="0.3">
      <c r="B48" s="8">
        <f>'Resumen-Mensual'!$F$22</f>
        <v>44563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4"/>
      <c r="AD48" s="4"/>
      <c r="AE48" s="4"/>
    </row>
    <row r="49" spans="2:31" x14ac:dyDescent="0.3">
      <c r="B49" s="8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4"/>
      <c r="AD49" s="4"/>
      <c r="AE49" s="4"/>
    </row>
    <row r="50" spans="2:31" x14ac:dyDescent="0.3">
      <c r="B50" s="9" t="s">
        <v>81</v>
      </c>
      <c r="C50" s="10"/>
      <c r="D50" s="10"/>
      <c r="E50" s="11">
        <v>1</v>
      </c>
      <c r="F50" s="11">
        <v>2</v>
      </c>
      <c r="G50" s="11">
        <v>3</v>
      </c>
      <c r="H50" s="11">
        <v>4</v>
      </c>
      <c r="I50" s="11">
        <v>5</v>
      </c>
      <c r="J50" s="11">
        <v>6</v>
      </c>
      <c r="K50" s="11">
        <v>7</v>
      </c>
      <c r="L50" s="11">
        <v>8</v>
      </c>
      <c r="M50" s="11">
        <v>9</v>
      </c>
      <c r="N50" s="11">
        <v>10</v>
      </c>
      <c r="O50" s="11">
        <v>11</v>
      </c>
      <c r="P50" s="11">
        <v>12</v>
      </c>
      <c r="Q50" s="11">
        <v>13</v>
      </c>
      <c r="R50" s="11">
        <v>14</v>
      </c>
      <c r="S50" s="11">
        <v>15</v>
      </c>
      <c r="T50" s="11">
        <v>16</v>
      </c>
      <c r="U50" s="11">
        <v>17</v>
      </c>
      <c r="V50" s="11">
        <v>18</v>
      </c>
      <c r="W50" s="11">
        <v>19</v>
      </c>
      <c r="X50" s="11">
        <v>20</v>
      </c>
      <c r="Y50" s="11">
        <v>21</v>
      </c>
      <c r="Z50" s="11">
        <v>22</v>
      </c>
      <c r="AA50" s="11">
        <v>23</v>
      </c>
      <c r="AB50" s="11">
        <v>24</v>
      </c>
      <c r="AC50" s="248" t="s">
        <v>2</v>
      </c>
      <c r="AD50" s="248"/>
      <c r="AE50" s="248"/>
    </row>
    <row r="51" spans="2:31" x14ac:dyDescent="0.3">
      <c r="B51" s="245" t="s">
        <v>4</v>
      </c>
      <c r="C51" s="245"/>
      <c r="D51" s="245"/>
      <c r="E51" s="232">
        <v>0</v>
      </c>
      <c r="F51" s="233">
        <v>0</v>
      </c>
      <c r="G51" s="232">
        <v>0</v>
      </c>
      <c r="H51" s="233">
        <v>0</v>
      </c>
      <c r="I51" s="232">
        <v>0</v>
      </c>
      <c r="J51" s="233">
        <v>0</v>
      </c>
      <c r="K51" s="232">
        <v>0</v>
      </c>
      <c r="L51" s="233">
        <v>0</v>
      </c>
      <c r="M51" s="232">
        <v>11.801500000000003</v>
      </c>
      <c r="N51" s="233">
        <v>23.830166666666663</v>
      </c>
      <c r="O51" s="232">
        <v>7.9038333333333339</v>
      </c>
      <c r="P51" s="233">
        <v>5.1316666666666668</v>
      </c>
      <c r="Q51" s="232">
        <v>3.8305000000000002</v>
      </c>
      <c r="R51" s="233">
        <v>0.90133333333333321</v>
      </c>
      <c r="S51" s="232">
        <v>3.0489999999999977</v>
      </c>
      <c r="T51" s="233">
        <v>11.569999999999999</v>
      </c>
      <c r="U51" s="232">
        <v>49.81933333333334</v>
      </c>
      <c r="V51" s="233">
        <v>75.962499999999991</v>
      </c>
      <c r="W51" s="232">
        <v>45.172000000000018</v>
      </c>
      <c r="X51" s="233">
        <v>0</v>
      </c>
      <c r="Y51" s="232">
        <v>0</v>
      </c>
      <c r="Z51" s="233">
        <v>0</v>
      </c>
      <c r="AA51" s="232">
        <v>0</v>
      </c>
      <c r="AB51" s="233">
        <v>0</v>
      </c>
      <c r="AC51" s="238">
        <f>SUM(E51:AB51)</f>
        <v>238.97183333333334</v>
      </c>
      <c r="AD51" s="238"/>
      <c r="AE51" s="238"/>
    </row>
    <row r="52" spans="2:31" x14ac:dyDescent="0.3">
      <c r="B52" s="245" t="s">
        <v>5</v>
      </c>
      <c r="C52" s="245"/>
      <c r="D52" s="245"/>
      <c r="E52" s="231">
        <v>0</v>
      </c>
      <c r="F52" s="234">
        <v>0</v>
      </c>
      <c r="G52" s="231">
        <v>0</v>
      </c>
      <c r="H52" s="234">
        <v>0</v>
      </c>
      <c r="I52" s="231">
        <v>0</v>
      </c>
      <c r="J52" s="234">
        <v>0</v>
      </c>
      <c r="K52" s="231">
        <v>0</v>
      </c>
      <c r="L52" s="234">
        <v>0</v>
      </c>
      <c r="M52" s="231">
        <v>0</v>
      </c>
      <c r="N52" s="234">
        <v>0</v>
      </c>
      <c r="O52" s="231">
        <v>0</v>
      </c>
      <c r="P52" s="234">
        <v>0.13299999999999962</v>
      </c>
      <c r="Q52" s="231">
        <v>3.6860000000000013</v>
      </c>
      <c r="R52" s="234">
        <v>16.127666666666673</v>
      </c>
      <c r="S52" s="231">
        <v>28.794999999999991</v>
      </c>
      <c r="T52" s="234">
        <v>34.119499999999995</v>
      </c>
      <c r="U52" s="231">
        <v>43.150333333333336</v>
      </c>
      <c r="V52" s="234">
        <v>57.222999999999992</v>
      </c>
      <c r="W52" s="231">
        <v>54.39500000000001</v>
      </c>
      <c r="X52" s="234">
        <v>6.307666666666667</v>
      </c>
      <c r="Y52" s="231">
        <v>0</v>
      </c>
      <c r="Z52" s="234">
        <v>0</v>
      </c>
      <c r="AA52" s="231">
        <v>0</v>
      </c>
      <c r="AB52" s="234">
        <v>0</v>
      </c>
      <c r="AC52" s="238">
        <f t="shared" ref="AC52:AC87" si="3">SUM(E52:AB52)</f>
        <v>243.93716666666668</v>
      </c>
      <c r="AD52" s="238"/>
      <c r="AE52" s="238"/>
    </row>
    <row r="53" spans="2:31" x14ac:dyDescent="0.3">
      <c r="B53" s="245" t="s">
        <v>6</v>
      </c>
      <c r="C53" s="245"/>
      <c r="D53" s="245"/>
      <c r="E53" s="231">
        <v>0</v>
      </c>
      <c r="F53" s="234">
        <v>0</v>
      </c>
      <c r="G53" s="231">
        <v>0</v>
      </c>
      <c r="H53" s="234">
        <v>0</v>
      </c>
      <c r="I53" s="231">
        <v>0</v>
      </c>
      <c r="J53" s="234">
        <v>0</v>
      </c>
      <c r="K53" s="231">
        <v>0</v>
      </c>
      <c r="L53" s="234">
        <v>0</v>
      </c>
      <c r="M53" s="231">
        <v>0</v>
      </c>
      <c r="N53" s="234">
        <v>0</v>
      </c>
      <c r="O53" s="231">
        <v>0</v>
      </c>
      <c r="P53" s="234">
        <v>0.19366666666666713</v>
      </c>
      <c r="Q53" s="231">
        <v>1.2981666666666665</v>
      </c>
      <c r="R53" s="234">
        <v>0</v>
      </c>
      <c r="S53" s="231">
        <v>0</v>
      </c>
      <c r="T53" s="234">
        <v>0</v>
      </c>
      <c r="U53" s="231">
        <v>21.301499999999994</v>
      </c>
      <c r="V53" s="234">
        <v>14.494833333333331</v>
      </c>
      <c r="W53" s="231">
        <v>40.70716666666668</v>
      </c>
      <c r="X53" s="234">
        <v>9.029833333333336</v>
      </c>
      <c r="Y53" s="231">
        <v>0</v>
      </c>
      <c r="Z53" s="234">
        <v>0</v>
      </c>
      <c r="AA53" s="231">
        <v>0</v>
      </c>
      <c r="AB53" s="234">
        <v>0</v>
      </c>
      <c r="AC53" s="238">
        <f t="shared" si="3"/>
        <v>87.025166666666678</v>
      </c>
      <c r="AD53" s="238"/>
      <c r="AE53" s="238"/>
    </row>
    <row r="54" spans="2:31" x14ac:dyDescent="0.3">
      <c r="B54" s="245" t="s">
        <v>91</v>
      </c>
      <c r="C54" s="245"/>
      <c r="D54" s="245"/>
      <c r="E54" s="231">
        <v>0</v>
      </c>
      <c r="F54" s="234">
        <v>0</v>
      </c>
      <c r="G54" s="231">
        <v>0</v>
      </c>
      <c r="H54" s="234">
        <v>0</v>
      </c>
      <c r="I54" s="231">
        <v>0</v>
      </c>
      <c r="J54" s="234">
        <v>0</v>
      </c>
      <c r="K54" s="231">
        <v>0</v>
      </c>
      <c r="L54" s="234">
        <v>0</v>
      </c>
      <c r="M54" s="231">
        <v>0</v>
      </c>
      <c r="N54" s="234">
        <v>0</v>
      </c>
      <c r="O54" s="231">
        <v>0</v>
      </c>
      <c r="P54" s="234">
        <v>0</v>
      </c>
      <c r="Q54" s="231">
        <v>0</v>
      </c>
      <c r="R54" s="234">
        <v>0</v>
      </c>
      <c r="S54" s="231">
        <v>0</v>
      </c>
      <c r="T54" s="234">
        <v>0</v>
      </c>
      <c r="U54" s="231">
        <v>0</v>
      </c>
      <c r="V54" s="234">
        <v>0</v>
      </c>
      <c r="W54" s="231">
        <v>0</v>
      </c>
      <c r="X54" s="234">
        <v>0</v>
      </c>
      <c r="Y54" s="231">
        <v>0</v>
      </c>
      <c r="Z54" s="234">
        <v>0</v>
      </c>
      <c r="AA54" s="231">
        <v>0</v>
      </c>
      <c r="AB54" s="234">
        <v>0</v>
      </c>
      <c r="AC54" s="238">
        <f t="shared" si="3"/>
        <v>0</v>
      </c>
      <c r="AD54" s="238"/>
      <c r="AE54" s="238"/>
    </row>
    <row r="55" spans="2:31" x14ac:dyDescent="0.3">
      <c r="B55" s="245" t="s">
        <v>7</v>
      </c>
      <c r="C55" s="245"/>
      <c r="D55" s="245"/>
      <c r="E55" s="231">
        <v>0</v>
      </c>
      <c r="F55" s="234">
        <v>0</v>
      </c>
      <c r="G55" s="231">
        <v>0</v>
      </c>
      <c r="H55" s="234">
        <v>0</v>
      </c>
      <c r="I55" s="231">
        <v>0</v>
      </c>
      <c r="J55" s="234">
        <v>0</v>
      </c>
      <c r="K55" s="231">
        <v>0</v>
      </c>
      <c r="L55" s="234">
        <v>0</v>
      </c>
      <c r="M55" s="231">
        <v>0</v>
      </c>
      <c r="N55" s="234">
        <v>0.25133333333333335</v>
      </c>
      <c r="O55" s="231">
        <v>2.7166666666666686E-2</v>
      </c>
      <c r="P55" s="234">
        <v>0</v>
      </c>
      <c r="Q55" s="231">
        <v>3.7333333333333364E-2</v>
      </c>
      <c r="R55" s="234">
        <v>2.0765000000000002</v>
      </c>
      <c r="S55" s="231">
        <v>0</v>
      </c>
      <c r="T55" s="234">
        <v>0</v>
      </c>
      <c r="U55" s="231">
        <v>3.8333333333333525E-2</v>
      </c>
      <c r="V55" s="234">
        <v>0</v>
      </c>
      <c r="W55" s="231">
        <v>0</v>
      </c>
      <c r="X55" s="234">
        <v>18.387166666666666</v>
      </c>
      <c r="Y55" s="231">
        <v>0</v>
      </c>
      <c r="Z55" s="234">
        <v>0</v>
      </c>
      <c r="AA55" s="231">
        <v>0</v>
      </c>
      <c r="AB55" s="234">
        <v>0</v>
      </c>
      <c r="AC55" s="238">
        <f t="shared" si="3"/>
        <v>20.817833333333333</v>
      </c>
      <c r="AD55" s="238"/>
      <c r="AE55" s="238"/>
    </row>
    <row r="56" spans="2:31" x14ac:dyDescent="0.3">
      <c r="B56" s="245" t="s">
        <v>8</v>
      </c>
      <c r="C56" s="245"/>
      <c r="D56" s="245"/>
      <c r="E56" s="231">
        <v>0</v>
      </c>
      <c r="F56" s="234">
        <v>0</v>
      </c>
      <c r="G56" s="231">
        <v>0</v>
      </c>
      <c r="H56" s="234">
        <v>0</v>
      </c>
      <c r="I56" s="231">
        <v>0</v>
      </c>
      <c r="J56" s="234">
        <v>0</v>
      </c>
      <c r="K56" s="231">
        <v>0</v>
      </c>
      <c r="L56" s="234">
        <v>0</v>
      </c>
      <c r="M56" s="231">
        <v>0</v>
      </c>
      <c r="N56" s="234">
        <v>0</v>
      </c>
      <c r="O56" s="231">
        <v>0</v>
      </c>
      <c r="P56" s="234">
        <v>0</v>
      </c>
      <c r="Q56" s="231">
        <v>0</v>
      </c>
      <c r="R56" s="234">
        <v>2.550666666666666</v>
      </c>
      <c r="S56" s="231">
        <v>0</v>
      </c>
      <c r="T56" s="234">
        <v>5.1705000000000014</v>
      </c>
      <c r="U56" s="231">
        <v>20.904166666666665</v>
      </c>
      <c r="V56" s="234">
        <v>14.298666666666673</v>
      </c>
      <c r="W56" s="231">
        <v>0.27116666666666733</v>
      </c>
      <c r="X56" s="234">
        <v>0</v>
      </c>
      <c r="Y56" s="231">
        <v>0</v>
      </c>
      <c r="Z56" s="234">
        <v>0</v>
      </c>
      <c r="AA56" s="231">
        <v>0</v>
      </c>
      <c r="AB56" s="234">
        <v>0</v>
      </c>
      <c r="AC56" s="238">
        <f t="shared" si="3"/>
        <v>43.195166666666672</v>
      </c>
      <c r="AD56" s="238"/>
      <c r="AE56" s="238"/>
    </row>
    <row r="57" spans="2:31" x14ac:dyDescent="0.3">
      <c r="B57" s="245" t="s">
        <v>9</v>
      </c>
      <c r="C57" s="245"/>
      <c r="D57" s="245"/>
      <c r="E57" s="231">
        <v>0</v>
      </c>
      <c r="F57" s="234">
        <v>0</v>
      </c>
      <c r="G57" s="231">
        <v>0</v>
      </c>
      <c r="H57" s="234">
        <v>0</v>
      </c>
      <c r="I57" s="231">
        <v>0</v>
      </c>
      <c r="J57" s="234">
        <v>0</v>
      </c>
      <c r="K57" s="231">
        <v>0</v>
      </c>
      <c r="L57" s="234">
        <v>0</v>
      </c>
      <c r="M57" s="231">
        <v>0.75933333333333342</v>
      </c>
      <c r="N57" s="234">
        <v>3.4988333333333328</v>
      </c>
      <c r="O57" s="231">
        <v>3.8236666666666657</v>
      </c>
      <c r="P57" s="234">
        <v>11.693999999999999</v>
      </c>
      <c r="Q57" s="231">
        <v>18.480833333333337</v>
      </c>
      <c r="R57" s="234">
        <v>32.083166666666664</v>
      </c>
      <c r="S57" s="231">
        <v>42.340666666666671</v>
      </c>
      <c r="T57" s="234">
        <v>56.983666666666672</v>
      </c>
      <c r="U57" s="231">
        <v>65.957333333333295</v>
      </c>
      <c r="V57" s="234">
        <v>60.216666666666683</v>
      </c>
      <c r="W57" s="231">
        <v>66.141833333333338</v>
      </c>
      <c r="X57" s="234">
        <v>11.936333333333332</v>
      </c>
      <c r="Y57" s="231">
        <v>0</v>
      </c>
      <c r="Z57" s="234">
        <v>0</v>
      </c>
      <c r="AA57" s="231">
        <v>0</v>
      </c>
      <c r="AB57" s="234">
        <v>0</v>
      </c>
      <c r="AC57" s="238">
        <f t="shared" si="3"/>
        <v>373.91633333333334</v>
      </c>
      <c r="AD57" s="238"/>
      <c r="AE57" s="238"/>
    </row>
    <row r="58" spans="2:31" x14ac:dyDescent="0.3">
      <c r="B58" s="245" t="s">
        <v>10</v>
      </c>
      <c r="C58" s="245"/>
      <c r="D58" s="245"/>
      <c r="E58" s="231">
        <v>0</v>
      </c>
      <c r="F58" s="234">
        <v>0</v>
      </c>
      <c r="G58" s="231">
        <v>0</v>
      </c>
      <c r="H58" s="234">
        <v>0</v>
      </c>
      <c r="I58" s="231">
        <v>0</v>
      </c>
      <c r="J58" s="234">
        <v>0</v>
      </c>
      <c r="K58" s="231">
        <v>0</v>
      </c>
      <c r="L58" s="234">
        <v>0</v>
      </c>
      <c r="M58" s="231">
        <v>0.56533333333333324</v>
      </c>
      <c r="N58" s="234">
        <v>2.5993333333333335</v>
      </c>
      <c r="O58" s="231">
        <v>6.4873333333333312</v>
      </c>
      <c r="P58" s="234">
        <v>13.671999999999997</v>
      </c>
      <c r="Q58" s="231">
        <v>21.916166666666676</v>
      </c>
      <c r="R58" s="234">
        <v>30.315999999999988</v>
      </c>
      <c r="S58" s="231">
        <v>29.410333333333327</v>
      </c>
      <c r="T58" s="234">
        <v>45.646333333333338</v>
      </c>
      <c r="U58" s="231">
        <v>68.156166666666678</v>
      </c>
      <c r="V58" s="234">
        <v>88.424333333333337</v>
      </c>
      <c r="W58" s="231">
        <v>88.445166666666651</v>
      </c>
      <c r="X58" s="234">
        <v>13.266500000000001</v>
      </c>
      <c r="Y58" s="231">
        <v>0</v>
      </c>
      <c r="Z58" s="234">
        <v>0</v>
      </c>
      <c r="AA58" s="231">
        <v>0</v>
      </c>
      <c r="AB58" s="234">
        <v>0</v>
      </c>
      <c r="AC58" s="238">
        <f t="shared" si="3"/>
        <v>408.90499999999997</v>
      </c>
      <c r="AD58" s="238"/>
      <c r="AE58" s="238"/>
    </row>
    <row r="59" spans="2:31" x14ac:dyDescent="0.3">
      <c r="B59" s="245" t="s">
        <v>11</v>
      </c>
      <c r="C59" s="245"/>
      <c r="D59" s="245"/>
      <c r="E59" s="231">
        <v>0</v>
      </c>
      <c r="F59" s="234">
        <v>0</v>
      </c>
      <c r="G59" s="231">
        <v>0</v>
      </c>
      <c r="H59" s="234">
        <v>0</v>
      </c>
      <c r="I59" s="231">
        <v>0</v>
      </c>
      <c r="J59" s="234">
        <v>0</v>
      </c>
      <c r="K59" s="231">
        <v>0</v>
      </c>
      <c r="L59" s="234">
        <v>0</v>
      </c>
      <c r="M59" s="231">
        <v>1.0553333333333337</v>
      </c>
      <c r="N59" s="234">
        <v>2.2503333333333351</v>
      </c>
      <c r="O59" s="231">
        <v>2.047166666666667</v>
      </c>
      <c r="P59" s="234">
        <v>9.9670000000000041</v>
      </c>
      <c r="Q59" s="231">
        <v>19.651833333333322</v>
      </c>
      <c r="R59" s="234">
        <v>34.010833333333323</v>
      </c>
      <c r="S59" s="231">
        <v>40.551500000000011</v>
      </c>
      <c r="T59" s="234">
        <v>60.975500000000039</v>
      </c>
      <c r="U59" s="231">
        <v>84.972333333333324</v>
      </c>
      <c r="V59" s="234">
        <v>116.6216666666667</v>
      </c>
      <c r="W59" s="231">
        <v>134.38816666666668</v>
      </c>
      <c r="X59" s="234">
        <v>22.098666666666663</v>
      </c>
      <c r="Y59" s="231">
        <v>0</v>
      </c>
      <c r="Z59" s="234">
        <v>0</v>
      </c>
      <c r="AA59" s="231">
        <v>0</v>
      </c>
      <c r="AB59" s="234">
        <v>0</v>
      </c>
      <c r="AC59" s="238">
        <f t="shared" si="3"/>
        <v>528.59033333333343</v>
      </c>
      <c r="AD59" s="238"/>
      <c r="AE59" s="238"/>
    </row>
    <row r="60" spans="2:31" x14ac:dyDescent="0.3">
      <c r="B60" s="245" t="s">
        <v>12</v>
      </c>
      <c r="C60" s="245"/>
      <c r="D60" s="245"/>
      <c r="E60" s="231">
        <v>0</v>
      </c>
      <c r="F60" s="234">
        <v>0</v>
      </c>
      <c r="G60" s="231">
        <v>0</v>
      </c>
      <c r="H60" s="234">
        <v>0</v>
      </c>
      <c r="I60" s="231">
        <v>0</v>
      </c>
      <c r="J60" s="234">
        <v>0</v>
      </c>
      <c r="K60" s="231">
        <v>0</v>
      </c>
      <c r="L60" s="234">
        <v>0</v>
      </c>
      <c r="M60" s="231">
        <v>2.7596666666666665</v>
      </c>
      <c r="N60" s="234">
        <v>5.4588333333333336</v>
      </c>
      <c r="O60" s="231">
        <v>10.629166666666666</v>
      </c>
      <c r="P60" s="234">
        <v>19.226333333333333</v>
      </c>
      <c r="Q60" s="231">
        <v>30.752999999999993</v>
      </c>
      <c r="R60" s="234">
        <v>44.076166666666637</v>
      </c>
      <c r="S60" s="231">
        <v>52.131333333333345</v>
      </c>
      <c r="T60" s="234">
        <v>76.986333333333334</v>
      </c>
      <c r="U60" s="231">
        <v>102.09666666666668</v>
      </c>
      <c r="V60" s="234">
        <v>121.61816666666668</v>
      </c>
      <c r="W60" s="231">
        <v>134.43299999999999</v>
      </c>
      <c r="X60" s="234">
        <v>21.458500000000004</v>
      </c>
      <c r="Y60" s="231">
        <v>0</v>
      </c>
      <c r="Z60" s="234">
        <v>0</v>
      </c>
      <c r="AA60" s="231">
        <v>0</v>
      </c>
      <c r="AB60" s="234">
        <v>0</v>
      </c>
      <c r="AC60" s="238">
        <f t="shared" si="3"/>
        <v>621.62716666666665</v>
      </c>
      <c r="AD60" s="238"/>
      <c r="AE60" s="238"/>
    </row>
    <row r="61" spans="2:31" x14ac:dyDescent="0.3">
      <c r="B61" s="245" t="s">
        <v>13</v>
      </c>
      <c r="C61" s="245"/>
      <c r="D61" s="245"/>
      <c r="E61" s="231">
        <v>0</v>
      </c>
      <c r="F61" s="234">
        <v>0</v>
      </c>
      <c r="G61" s="231">
        <v>0</v>
      </c>
      <c r="H61" s="234">
        <v>0</v>
      </c>
      <c r="I61" s="231">
        <v>0</v>
      </c>
      <c r="J61" s="234">
        <v>0</v>
      </c>
      <c r="K61" s="231">
        <v>0</v>
      </c>
      <c r="L61" s="234">
        <v>0</v>
      </c>
      <c r="M61" s="231">
        <v>4.5431666666666652</v>
      </c>
      <c r="N61" s="234">
        <v>11.225833333333329</v>
      </c>
      <c r="O61" s="231">
        <v>15.702833333333333</v>
      </c>
      <c r="P61" s="234">
        <v>21.31283333333333</v>
      </c>
      <c r="Q61" s="231">
        <v>30.213166666666666</v>
      </c>
      <c r="R61" s="234">
        <v>44.074666666666666</v>
      </c>
      <c r="S61" s="231">
        <v>49.45900000000001</v>
      </c>
      <c r="T61" s="234">
        <v>56.564999999999984</v>
      </c>
      <c r="U61" s="231">
        <v>79.769666666666737</v>
      </c>
      <c r="V61" s="234">
        <v>67.876000000000019</v>
      </c>
      <c r="W61" s="231">
        <v>82.12566666666666</v>
      </c>
      <c r="X61" s="234">
        <v>11.643166666666666</v>
      </c>
      <c r="Y61" s="231">
        <v>0</v>
      </c>
      <c r="Z61" s="234">
        <v>0</v>
      </c>
      <c r="AA61" s="231">
        <v>0</v>
      </c>
      <c r="AB61" s="234">
        <v>0</v>
      </c>
      <c r="AC61" s="238">
        <f t="shared" si="3"/>
        <v>474.51100000000014</v>
      </c>
      <c r="AD61" s="238"/>
      <c r="AE61" s="238"/>
    </row>
    <row r="62" spans="2:31" x14ac:dyDescent="0.3">
      <c r="B62" s="245" t="s">
        <v>14</v>
      </c>
      <c r="C62" s="245"/>
      <c r="D62" s="245"/>
      <c r="E62" s="231">
        <v>0</v>
      </c>
      <c r="F62" s="234">
        <v>0</v>
      </c>
      <c r="G62" s="231">
        <v>0</v>
      </c>
      <c r="H62" s="234">
        <v>0</v>
      </c>
      <c r="I62" s="231">
        <v>0</v>
      </c>
      <c r="J62" s="234">
        <v>0</v>
      </c>
      <c r="K62" s="231">
        <v>0</v>
      </c>
      <c r="L62" s="234">
        <v>0</v>
      </c>
      <c r="M62" s="231">
        <v>5.199999999999997E-2</v>
      </c>
      <c r="N62" s="234">
        <v>0.12999999999999992</v>
      </c>
      <c r="O62" s="231">
        <v>0.53000000000000047</v>
      </c>
      <c r="P62" s="234">
        <v>2.1299999999999981</v>
      </c>
      <c r="Q62" s="231">
        <v>4.03</v>
      </c>
      <c r="R62" s="234">
        <v>5.6299999999999972</v>
      </c>
      <c r="S62" s="231">
        <v>6.0435000000000025</v>
      </c>
      <c r="T62" s="234">
        <v>5.7578333333333278</v>
      </c>
      <c r="U62" s="231">
        <v>5.474166666666668</v>
      </c>
      <c r="V62" s="234">
        <v>4.8888333333333254</v>
      </c>
      <c r="W62" s="231">
        <v>5.1953333333333322</v>
      </c>
      <c r="X62" s="234">
        <v>0.79349999999999998</v>
      </c>
      <c r="Y62" s="231">
        <v>0</v>
      </c>
      <c r="Z62" s="234">
        <v>0</v>
      </c>
      <c r="AA62" s="231">
        <v>0</v>
      </c>
      <c r="AB62" s="234">
        <v>0</v>
      </c>
      <c r="AC62" s="238">
        <f t="shared" si="3"/>
        <v>40.655166666666652</v>
      </c>
      <c r="AD62" s="238"/>
      <c r="AE62" s="238"/>
    </row>
    <row r="63" spans="2:31" x14ac:dyDescent="0.3">
      <c r="B63" s="245" t="s">
        <v>15</v>
      </c>
      <c r="C63" s="245"/>
      <c r="D63" s="245"/>
      <c r="E63" s="231">
        <v>0</v>
      </c>
      <c r="F63" s="234">
        <v>0</v>
      </c>
      <c r="G63" s="231">
        <v>0</v>
      </c>
      <c r="H63" s="234">
        <v>0</v>
      </c>
      <c r="I63" s="231">
        <v>0</v>
      </c>
      <c r="J63" s="234">
        <v>0</v>
      </c>
      <c r="K63" s="231">
        <v>0</v>
      </c>
      <c r="L63" s="234">
        <v>0</v>
      </c>
      <c r="M63" s="231">
        <v>0</v>
      </c>
      <c r="N63" s="234">
        <v>0</v>
      </c>
      <c r="O63" s="231">
        <v>0</v>
      </c>
      <c r="P63" s="234">
        <v>0</v>
      </c>
      <c r="Q63" s="231">
        <v>0</v>
      </c>
      <c r="R63" s="234">
        <v>0</v>
      </c>
      <c r="S63" s="231">
        <v>0</v>
      </c>
      <c r="T63" s="234">
        <v>0</v>
      </c>
      <c r="U63" s="231">
        <v>0</v>
      </c>
      <c r="V63" s="234">
        <v>0</v>
      </c>
      <c r="W63" s="231">
        <v>0</v>
      </c>
      <c r="X63" s="234">
        <v>0</v>
      </c>
      <c r="Y63" s="231">
        <v>0</v>
      </c>
      <c r="Z63" s="234">
        <v>0</v>
      </c>
      <c r="AA63" s="231">
        <v>0</v>
      </c>
      <c r="AB63" s="234">
        <v>0</v>
      </c>
      <c r="AC63" s="238">
        <f t="shared" si="3"/>
        <v>0</v>
      </c>
      <c r="AD63" s="238"/>
      <c r="AE63" s="238"/>
    </row>
    <row r="64" spans="2:31" x14ac:dyDescent="0.3">
      <c r="B64" s="245" t="s">
        <v>16</v>
      </c>
      <c r="C64" s="245"/>
      <c r="D64" s="245"/>
      <c r="E64" s="231">
        <v>0</v>
      </c>
      <c r="F64" s="234">
        <v>0</v>
      </c>
      <c r="G64" s="231">
        <v>0</v>
      </c>
      <c r="H64" s="234">
        <v>0</v>
      </c>
      <c r="I64" s="231">
        <v>0</v>
      </c>
      <c r="J64" s="234">
        <v>0</v>
      </c>
      <c r="K64" s="231">
        <v>0</v>
      </c>
      <c r="L64" s="234">
        <v>0</v>
      </c>
      <c r="M64" s="231">
        <v>6.0283333333333333</v>
      </c>
      <c r="N64" s="234">
        <v>3.8933333333333318</v>
      </c>
      <c r="O64" s="231">
        <v>2.8223333333333329</v>
      </c>
      <c r="P64" s="234">
        <v>4.647333333333334</v>
      </c>
      <c r="Q64" s="231">
        <v>13.24983333333333</v>
      </c>
      <c r="R64" s="234">
        <v>0.11299999999999996</v>
      </c>
      <c r="S64" s="231">
        <v>0</v>
      </c>
      <c r="T64" s="234">
        <v>0</v>
      </c>
      <c r="U64" s="231">
        <v>0</v>
      </c>
      <c r="V64" s="234">
        <v>0</v>
      </c>
      <c r="W64" s="231">
        <v>0</v>
      </c>
      <c r="X64" s="234">
        <v>0</v>
      </c>
      <c r="Y64" s="231">
        <v>0</v>
      </c>
      <c r="Z64" s="234">
        <v>0</v>
      </c>
      <c r="AA64" s="231">
        <v>0</v>
      </c>
      <c r="AB64" s="234">
        <v>0</v>
      </c>
      <c r="AC64" s="238">
        <f t="shared" si="3"/>
        <v>30.754166666666663</v>
      </c>
      <c r="AD64" s="238"/>
      <c r="AE64" s="238"/>
    </row>
    <row r="65" spans="2:31" x14ac:dyDescent="0.3">
      <c r="B65" s="245" t="s">
        <v>17</v>
      </c>
      <c r="C65" s="245"/>
      <c r="D65" s="245"/>
      <c r="E65" s="231">
        <v>0</v>
      </c>
      <c r="F65" s="234">
        <v>0</v>
      </c>
      <c r="G65" s="231">
        <v>0</v>
      </c>
      <c r="H65" s="234">
        <v>0</v>
      </c>
      <c r="I65" s="231">
        <v>0</v>
      </c>
      <c r="J65" s="234">
        <v>0</v>
      </c>
      <c r="K65" s="231">
        <v>0</v>
      </c>
      <c r="L65" s="234">
        <v>0</v>
      </c>
      <c r="M65" s="231">
        <v>0</v>
      </c>
      <c r="N65" s="234">
        <v>0</v>
      </c>
      <c r="O65" s="231">
        <v>0</v>
      </c>
      <c r="P65" s="234">
        <v>0</v>
      </c>
      <c r="Q65" s="231">
        <v>17.408833333333334</v>
      </c>
      <c r="R65" s="234">
        <v>13.91349999999999</v>
      </c>
      <c r="S65" s="231">
        <v>17.32983333333333</v>
      </c>
      <c r="T65" s="234">
        <v>22.998333333333321</v>
      </c>
      <c r="U65" s="231">
        <v>0</v>
      </c>
      <c r="V65" s="234">
        <v>0</v>
      </c>
      <c r="W65" s="231">
        <v>0</v>
      </c>
      <c r="X65" s="234">
        <v>4.3301666666666669</v>
      </c>
      <c r="Y65" s="231">
        <v>0</v>
      </c>
      <c r="Z65" s="234">
        <v>0</v>
      </c>
      <c r="AA65" s="231">
        <v>0</v>
      </c>
      <c r="AB65" s="234">
        <v>0</v>
      </c>
      <c r="AC65" s="238">
        <f t="shared" si="3"/>
        <v>75.98066666666665</v>
      </c>
      <c r="AD65" s="238"/>
      <c r="AE65" s="238"/>
    </row>
    <row r="66" spans="2:31" x14ac:dyDescent="0.3">
      <c r="B66" s="245" t="s">
        <v>18</v>
      </c>
      <c r="C66" s="245"/>
      <c r="D66" s="245"/>
      <c r="E66" s="231">
        <v>0</v>
      </c>
      <c r="F66" s="234">
        <v>0</v>
      </c>
      <c r="G66" s="231">
        <v>0</v>
      </c>
      <c r="H66" s="234">
        <v>0</v>
      </c>
      <c r="I66" s="231">
        <v>0</v>
      </c>
      <c r="J66" s="234">
        <v>0</v>
      </c>
      <c r="K66" s="231">
        <v>0</v>
      </c>
      <c r="L66" s="234">
        <v>0</v>
      </c>
      <c r="M66" s="231">
        <v>0</v>
      </c>
      <c r="N66" s="234">
        <v>0</v>
      </c>
      <c r="O66" s="231">
        <v>0</v>
      </c>
      <c r="P66" s="234">
        <v>1.2999999999999901E-2</v>
      </c>
      <c r="Q66" s="231">
        <v>4.1668333333333321</v>
      </c>
      <c r="R66" s="234">
        <v>0</v>
      </c>
      <c r="S66" s="231">
        <v>0</v>
      </c>
      <c r="T66" s="234">
        <v>1.864666666666668</v>
      </c>
      <c r="U66" s="231">
        <v>6.8933333333333344</v>
      </c>
      <c r="V66" s="234">
        <v>11.380999999999998</v>
      </c>
      <c r="W66" s="231">
        <v>16.009499999999999</v>
      </c>
      <c r="X66" s="234">
        <v>2.7684999999999991</v>
      </c>
      <c r="Y66" s="231">
        <v>0</v>
      </c>
      <c r="Z66" s="234">
        <v>0</v>
      </c>
      <c r="AA66" s="231">
        <v>0</v>
      </c>
      <c r="AB66" s="234">
        <v>0</v>
      </c>
      <c r="AC66" s="238">
        <f t="shared" si="3"/>
        <v>43.096833333333329</v>
      </c>
      <c r="AD66" s="238"/>
      <c r="AE66" s="238"/>
    </row>
    <row r="67" spans="2:31" x14ac:dyDescent="0.3">
      <c r="B67" s="245" t="s">
        <v>19</v>
      </c>
      <c r="C67" s="245"/>
      <c r="D67" s="245"/>
      <c r="E67" s="231">
        <v>0</v>
      </c>
      <c r="F67" s="234">
        <v>0</v>
      </c>
      <c r="G67" s="231">
        <v>0</v>
      </c>
      <c r="H67" s="234">
        <v>0</v>
      </c>
      <c r="I67" s="231">
        <v>0</v>
      </c>
      <c r="J67" s="234">
        <v>0</v>
      </c>
      <c r="K67" s="231">
        <v>0</v>
      </c>
      <c r="L67" s="234">
        <v>0</v>
      </c>
      <c r="M67" s="231">
        <v>1.7233333333333334</v>
      </c>
      <c r="N67" s="234">
        <v>2.1499999999999984E-2</v>
      </c>
      <c r="O67" s="231">
        <v>0</v>
      </c>
      <c r="P67" s="234">
        <v>0</v>
      </c>
      <c r="Q67" s="231">
        <v>13.834000000000001</v>
      </c>
      <c r="R67" s="234">
        <v>0.73983333333333312</v>
      </c>
      <c r="S67" s="231">
        <v>0</v>
      </c>
      <c r="T67" s="234">
        <v>0</v>
      </c>
      <c r="U67" s="231">
        <v>0</v>
      </c>
      <c r="V67" s="234">
        <v>0</v>
      </c>
      <c r="W67" s="231">
        <v>0</v>
      </c>
      <c r="X67" s="234">
        <v>0</v>
      </c>
      <c r="Y67" s="231">
        <v>0</v>
      </c>
      <c r="Z67" s="234">
        <v>0</v>
      </c>
      <c r="AA67" s="231">
        <v>0</v>
      </c>
      <c r="AB67" s="234">
        <v>0</v>
      </c>
      <c r="AC67" s="238">
        <f t="shared" si="3"/>
        <v>16.318666666666669</v>
      </c>
      <c r="AD67" s="238"/>
      <c r="AE67" s="238"/>
    </row>
    <row r="68" spans="2:31" x14ac:dyDescent="0.3">
      <c r="B68" s="245" t="s">
        <v>20</v>
      </c>
      <c r="C68" s="245"/>
      <c r="D68" s="245"/>
      <c r="E68" s="231">
        <v>0</v>
      </c>
      <c r="F68" s="234">
        <v>0</v>
      </c>
      <c r="G68" s="231">
        <v>0</v>
      </c>
      <c r="H68" s="234">
        <v>0</v>
      </c>
      <c r="I68" s="231">
        <v>0</v>
      </c>
      <c r="J68" s="234">
        <v>0</v>
      </c>
      <c r="K68" s="231">
        <v>0</v>
      </c>
      <c r="L68" s="234">
        <v>0</v>
      </c>
      <c r="M68" s="231">
        <v>0.6263333333333333</v>
      </c>
      <c r="N68" s="234">
        <v>0</v>
      </c>
      <c r="O68" s="231">
        <v>0</v>
      </c>
      <c r="P68" s="234">
        <v>0.52000000000000213</v>
      </c>
      <c r="Q68" s="231">
        <v>4.5210000000000043</v>
      </c>
      <c r="R68" s="234">
        <v>8.7300000000000075</v>
      </c>
      <c r="S68" s="231">
        <v>13.230000000000011</v>
      </c>
      <c r="T68" s="234">
        <v>17.02999999999998</v>
      </c>
      <c r="U68" s="231">
        <v>20.230000000000011</v>
      </c>
      <c r="V68" s="234">
        <v>22.730000000000015</v>
      </c>
      <c r="W68" s="231">
        <v>23.930000000000003</v>
      </c>
      <c r="X68" s="234">
        <v>3.634500000000001</v>
      </c>
      <c r="Y68" s="231">
        <v>0</v>
      </c>
      <c r="Z68" s="234">
        <v>0</v>
      </c>
      <c r="AA68" s="231">
        <v>0</v>
      </c>
      <c r="AB68" s="234">
        <v>0</v>
      </c>
      <c r="AC68" s="238">
        <f t="shared" si="3"/>
        <v>115.18183333333337</v>
      </c>
      <c r="AD68" s="238"/>
      <c r="AE68" s="238"/>
    </row>
    <row r="69" spans="2:31" x14ac:dyDescent="0.3">
      <c r="B69" s="245" t="s">
        <v>21</v>
      </c>
      <c r="C69" s="245"/>
      <c r="D69" s="245"/>
      <c r="E69" s="231">
        <v>0</v>
      </c>
      <c r="F69" s="234">
        <v>0</v>
      </c>
      <c r="G69" s="231">
        <v>0</v>
      </c>
      <c r="H69" s="234">
        <v>0</v>
      </c>
      <c r="I69" s="231">
        <v>0</v>
      </c>
      <c r="J69" s="234">
        <v>0</v>
      </c>
      <c r="K69" s="231">
        <v>0</v>
      </c>
      <c r="L69" s="234">
        <v>0</v>
      </c>
      <c r="M69" s="231">
        <v>0</v>
      </c>
      <c r="N69" s="234">
        <v>0</v>
      </c>
      <c r="O69" s="231">
        <v>0</v>
      </c>
      <c r="P69" s="234">
        <v>0</v>
      </c>
      <c r="Q69" s="231">
        <v>0.36066666666666625</v>
      </c>
      <c r="R69" s="234">
        <v>0</v>
      </c>
      <c r="S69" s="231">
        <v>0</v>
      </c>
      <c r="T69" s="234">
        <v>0</v>
      </c>
      <c r="U69" s="231">
        <v>6.8333333333333952E-3</v>
      </c>
      <c r="V69" s="234">
        <v>0.74783333333333424</v>
      </c>
      <c r="W69" s="231">
        <v>0.74849999999999772</v>
      </c>
      <c r="X69" s="234">
        <v>0</v>
      </c>
      <c r="Y69" s="231">
        <v>0</v>
      </c>
      <c r="Z69" s="234">
        <v>0</v>
      </c>
      <c r="AA69" s="231">
        <v>0</v>
      </c>
      <c r="AB69" s="234">
        <v>0</v>
      </c>
      <c r="AC69" s="238">
        <f t="shared" si="3"/>
        <v>1.8638333333333317</v>
      </c>
      <c r="AD69" s="238"/>
      <c r="AE69" s="238"/>
    </row>
    <row r="70" spans="2:31" x14ac:dyDescent="0.3">
      <c r="B70" s="245" t="s">
        <v>22</v>
      </c>
      <c r="C70" s="245"/>
      <c r="D70" s="245"/>
      <c r="E70" s="231">
        <v>0</v>
      </c>
      <c r="F70" s="234">
        <v>0</v>
      </c>
      <c r="G70" s="231">
        <v>0</v>
      </c>
      <c r="H70" s="234">
        <v>0</v>
      </c>
      <c r="I70" s="231">
        <v>0</v>
      </c>
      <c r="J70" s="234">
        <v>0</v>
      </c>
      <c r="K70" s="231">
        <v>0</v>
      </c>
      <c r="L70" s="234">
        <v>0</v>
      </c>
      <c r="M70" s="231">
        <v>0</v>
      </c>
      <c r="N70" s="234">
        <v>0</v>
      </c>
      <c r="O70" s="231">
        <v>0.11416666666666662</v>
      </c>
      <c r="P70" s="234">
        <v>0</v>
      </c>
      <c r="Q70" s="231">
        <v>9.200000000000004E-2</v>
      </c>
      <c r="R70" s="234">
        <v>7.4666666666666701E-2</v>
      </c>
      <c r="S70" s="231">
        <v>1.0068333333333326</v>
      </c>
      <c r="T70" s="234">
        <v>1.7093333333333334</v>
      </c>
      <c r="U70" s="231">
        <v>2.8723333333333327</v>
      </c>
      <c r="V70" s="234">
        <v>1.9943333333333331</v>
      </c>
      <c r="W70" s="231">
        <v>1.0308333333333337</v>
      </c>
      <c r="X70" s="234">
        <v>3.0666666666666693E-2</v>
      </c>
      <c r="Y70" s="231">
        <v>0</v>
      </c>
      <c r="Z70" s="234">
        <v>0</v>
      </c>
      <c r="AA70" s="231">
        <v>0</v>
      </c>
      <c r="AB70" s="234">
        <v>0</v>
      </c>
      <c r="AC70" s="238">
        <f t="shared" si="3"/>
        <v>8.9251666666666658</v>
      </c>
      <c r="AD70" s="238"/>
      <c r="AE70" s="238"/>
    </row>
    <row r="71" spans="2:31" x14ac:dyDescent="0.3">
      <c r="B71" s="245" t="s">
        <v>23</v>
      </c>
      <c r="C71" s="245"/>
      <c r="D71" s="245"/>
      <c r="E71" s="231">
        <v>0</v>
      </c>
      <c r="F71" s="234">
        <v>0</v>
      </c>
      <c r="G71" s="231">
        <v>0</v>
      </c>
      <c r="H71" s="234">
        <v>0</v>
      </c>
      <c r="I71" s="231">
        <v>0</v>
      </c>
      <c r="J71" s="234">
        <v>0</v>
      </c>
      <c r="K71" s="231">
        <v>0</v>
      </c>
      <c r="L71" s="234">
        <v>0</v>
      </c>
      <c r="M71" s="231">
        <v>0</v>
      </c>
      <c r="N71" s="234">
        <v>0</v>
      </c>
      <c r="O71" s="231">
        <v>0.18083333333333337</v>
      </c>
      <c r="P71" s="234">
        <v>0</v>
      </c>
      <c r="Q71" s="231">
        <v>0.1114999999999999</v>
      </c>
      <c r="R71" s="234">
        <v>4.9173333333333327</v>
      </c>
      <c r="S71" s="231">
        <v>6.1928333333333363</v>
      </c>
      <c r="T71" s="234">
        <v>8.6420000000000012</v>
      </c>
      <c r="U71" s="231">
        <v>12.388499999999995</v>
      </c>
      <c r="V71" s="234">
        <v>14.15266666666667</v>
      </c>
      <c r="W71" s="231">
        <v>18.094000000000005</v>
      </c>
      <c r="X71" s="234">
        <v>2.7926666666666664</v>
      </c>
      <c r="Y71" s="231">
        <v>0</v>
      </c>
      <c r="Z71" s="234">
        <v>0</v>
      </c>
      <c r="AA71" s="231">
        <v>0</v>
      </c>
      <c r="AB71" s="234">
        <v>0</v>
      </c>
      <c r="AC71" s="238">
        <f t="shared" si="3"/>
        <v>67.472333333333339</v>
      </c>
      <c r="AD71" s="238"/>
      <c r="AE71" s="238"/>
    </row>
    <row r="72" spans="2:31" x14ac:dyDescent="0.3">
      <c r="B72" s="245" t="s">
        <v>24</v>
      </c>
      <c r="C72" s="245"/>
      <c r="D72" s="245"/>
      <c r="E72" s="231">
        <v>0</v>
      </c>
      <c r="F72" s="234">
        <v>0</v>
      </c>
      <c r="G72" s="231">
        <v>0</v>
      </c>
      <c r="H72" s="234">
        <v>0</v>
      </c>
      <c r="I72" s="231">
        <v>0</v>
      </c>
      <c r="J72" s="234">
        <v>0</v>
      </c>
      <c r="K72" s="231">
        <v>0</v>
      </c>
      <c r="L72" s="234">
        <v>0</v>
      </c>
      <c r="M72" s="231">
        <v>8.083333333333341E-2</v>
      </c>
      <c r="N72" s="234">
        <v>0.32633333333333342</v>
      </c>
      <c r="O72" s="231">
        <v>0</v>
      </c>
      <c r="P72" s="234">
        <v>7.8333333333333432E-3</v>
      </c>
      <c r="Q72" s="231">
        <v>0.1615</v>
      </c>
      <c r="R72" s="234">
        <v>0</v>
      </c>
      <c r="S72" s="231">
        <v>2.6166666666666671E-2</v>
      </c>
      <c r="T72" s="234">
        <v>0</v>
      </c>
      <c r="U72" s="231">
        <v>0.13916666666666652</v>
      </c>
      <c r="V72" s="234">
        <v>1.3156666666666672</v>
      </c>
      <c r="W72" s="231">
        <v>1.1284999999999989</v>
      </c>
      <c r="X72" s="234">
        <v>0</v>
      </c>
      <c r="Y72" s="231">
        <v>0</v>
      </c>
      <c r="Z72" s="234">
        <v>0</v>
      </c>
      <c r="AA72" s="231">
        <v>0</v>
      </c>
      <c r="AB72" s="234">
        <v>0</v>
      </c>
      <c r="AC72" s="238">
        <f t="shared" si="3"/>
        <v>3.1859999999999995</v>
      </c>
      <c r="AD72" s="238"/>
      <c r="AE72" s="238"/>
    </row>
    <row r="73" spans="2:31" x14ac:dyDescent="0.3">
      <c r="B73" s="245" t="s">
        <v>25</v>
      </c>
      <c r="C73" s="245"/>
      <c r="D73" s="245"/>
      <c r="E73" s="231">
        <v>0</v>
      </c>
      <c r="F73" s="234">
        <v>0</v>
      </c>
      <c r="G73" s="231">
        <v>0</v>
      </c>
      <c r="H73" s="234">
        <v>0</v>
      </c>
      <c r="I73" s="231">
        <v>0</v>
      </c>
      <c r="J73" s="234">
        <v>0</v>
      </c>
      <c r="K73" s="231">
        <v>0</v>
      </c>
      <c r="L73" s="234">
        <v>0</v>
      </c>
      <c r="M73" s="231">
        <v>5.0700000000000012</v>
      </c>
      <c r="N73" s="234">
        <v>8.2363333333333362</v>
      </c>
      <c r="O73" s="231">
        <v>5.3868333333333345</v>
      </c>
      <c r="P73" s="234">
        <v>3.2544999999999975</v>
      </c>
      <c r="Q73" s="231">
        <v>2.8695000000000008</v>
      </c>
      <c r="R73" s="234">
        <v>3.9850000000000048</v>
      </c>
      <c r="S73" s="231">
        <v>5.800500000000004</v>
      </c>
      <c r="T73" s="234">
        <v>8.0079999999999902</v>
      </c>
      <c r="U73" s="231">
        <v>1.1226666666666667</v>
      </c>
      <c r="V73" s="234">
        <v>1.1398333333333335</v>
      </c>
      <c r="W73" s="231">
        <v>3.1686666666666663</v>
      </c>
      <c r="X73" s="234">
        <v>0.17233333333333342</v>
      </c>
      <c r="Y73" s="231">
        <v>0</v>
      </c>
      <c r="Z73" s="234">
        <v>0</v>
      </c>
      <c r="AA73" s="231">
        <v>0</v>
      </c>
      <c r="AB73" s="234">
        <v>0</v>
      </c>
      <c r="AC73" s="238">
        <f t="shared" si="3"/>
        <v>48.214166666666678</v>
      </c>
      <c r="AD73" s="238"/>
      <c r="AE73" s="238"/>
    </row>
    <row r="74" spans="2:31" x14ac:dyDescent="0.3">
      <c r="B74" s="245" t="s">
        <v>26</v>
      </c>
      <c r="C74" s="245"/>
      <c r="D74" s="245"/>
      <c r="E74" s="231">
        <v>0</v>
      </c>
      <c r="F74" s="234">
        <v>0</v>
      </c>
      <c r="G74" s="231">
        <v>0</v>
      </c>
      <c r="H74" s="234">
        <v>0</v>
      </c>
      <c r="I74" s="231">
        <v>0</v>
      </c>
      <c r="J74" s="234">
        <v>0</v>
      </c>
      <c r="K74" s="231">
        <v>0</v>
      </c>
      <c r="L74" s="234">
        <v>0</v>
      </c>
      <c r="M74" s="231">
        <v>0</v>
      </c>
      <c r="N74" s="234">
        <v>0</v>
      </c>
      <c r="O74" s="231">
        <v>0</v>
      </c>
      <c r="P74" s="234">
        <v>0</v>
      </c>
      <c r="Q74" s="231">
        <v>0</v>
      </c>
      <c r="R74" s="234">
        <v>0</v>
      </c>
      <c r="S74" s="231">
        <v>0</v>
      </c>
      <c r="T74" s="234">
        <v>0</v>
      </c>
      <c r="U74" s="231">
        <v>0</v>
      </c>
      <c r="V74" s="234">
        <v>0</v>
      </c>
      <c r="W74" s="231">
        <v>0</v>
      </c>
      <c r="X74" s="234">
        <v>0</v>
      </c>
      <c r="Y74" s="231">
        <v>0</v>
      </c>
      <c r="Z74" s="234">
        <v>0</v>
      </c>
      <c r="AA74" s="231">
        <v>0</v>
      </c>
      <c r="AB74" s="234">
        <v>0</v>
      </c>
      <c r="AC74" s="238">
        <f t="shared" si="3"/>
        <v>0</v>
      </c>
      <c r="AD74" s="238"/>
      <c r="AE74" s="238"/>
    </row>
    <row r="75" spans="2:31" x14ac:dyDescent="0.3">
      <c r="B75" s="245" t="s">
        <v>27</v>
      </c>
      <c r="C75" s="245"/>
      <c r="D75" s="245"/>
      <c r="E75" s="231">
        <v>0</v>
      </c>
      <c r="F75" s="234">
        <v>0</v>
      </c>
      <c r="G75" s="231">
        <v>0</v>
      </c>
      <c r="H75" s="234">
        <v>0</v>
      </c>
      <c r="I75" s="231">
        <v>0</v>
      </c>
      <c r="J75" s="234">
        <v>0</v>
      </c>
      <c r="K75" s="231">
        <v>0</v>
      </c>
      <c r="L75" s="234">
        <v>0</v>
      </c>
      <c r="M75" s="231">
        <v>3.8254999999999986</v>
      </c>
      <c r="N75" s="234">
        <v>6.5138333333333263</v>
      </c>
      <c r="O75" s="231">
        <v>3.4254999999999947</v>
      </c>
      <c r="P75" s="234">
        <v>14.280166666666672</v>
      </c>
      <c r="Q75" s="231">
        <v>19.275833333333331</v>
      </c>
      <c r="R75" s="234">
        <v>6.0241666666666669</v>
      </c>
      <c r="S75" s="231">
        <v>5.4743333333333357</v>
      </c>
      <c r="T75" s="234">
        <v>2.9580000000000006</v>
      </c>
      <c r="U75" s="231">
        <v>0.38599999999999945</v>
      </c>
      <c r="V75" s="234">
        <v>12.410333333333339</v>
      </c>
      <c r="W75" s="231">
        <v>3.1000000000000107E-2</v>
      </c>
      <c r="X75" s="234">
        <v>0</v>
      </c>
      <c r="Y75" s="231">
        <v>0</v>
      </c>
      <c r="Z75" s="234">
        <v>0</v>
      </c>
      <c r="AA75" s="231">
        <v>0</v>
      </c>
      <c r="AB75" s="234">
        <v>0</v>
      </c>
      <c r="AC75" s="238">
        <f t="shared" si="3"/>
        <v>74.604666666666674</v>
      </c>
      <c r="AD75" s="238"/>
      <c r="AE75" s="238"/>
    </row>
    <row r="76" spans="2:31" x14ac:dyDescent="0.3">
      <c r="B76" s="245" t="s">
        <v>28</v>
      </c>
      <c r="C76" s="245"/>
      <c r="D76" s="245"/>
      <c r="E76" s="231">
        <v>0</v>
      </c>
      <c r="F76" s="234">
        <v>0</v>
      </c>
      <c r="G76" s="231">
        <v>0</v>
      </c>
      <c r="H76" s="234">
        <v>0</v>
      </c>
      <c r="I76" s="231">
        <v>0</v>
      </c>
      <c r="J76" s="234">
        <v>0</v>
      </c>
      <c r="K76" s="231">
        <v>0</v>
      </c>
      <c r="L76" s="234">
        <v>0</v>
      </c>
      <c r="M76" s="231">
        <v>17.463333333333328</v>
      </c>
      <c r="N76" s="234">
        <v>43.460000000000022</v>
      </c>
      <c r="O76" s="231">
        <v>40.554666666666662</v>
      </c>
      <c r="P76" s="234">
        <v>37.745333333333313</v>
      </c>
      <c r="Q76" s="231">
        <v>37.936000000000021</v>
      </c>
      <c r="R76" s="234">
        <v>36.221833333333343</v>
      </c>
      <c r="S76" s="231">
        <v>36.036833333333313</v>
      </c>
      <c r="T76" s="234">
        <v>36.673833333333363</v>
      </c>
      <c r="U76" s="231">
        <v>35.380666666666642</v>
      </c>
      <c r="V76" s="234">
        <v>29.803499999999971</v>
      </c>
      <c r="W76" s="231">
        <v>22.9396666666667</v>
      </c>
      <c r="X76" s="234">
        <v>2.7051666666666665</v>
      </c>
      <c r="Y76" s="231">
        <v>0</v>
      </c>
      <c r="Z76" s="234">
        <v>0</v>
      </c>
      <c r="AA76" s="231">
        <v>0</v>
      </c>
      <c r="AB76" s="234">
        <v>0</v>
      </c>
      <c r="AC76" s="238">
        <f t="shared" si="3"/>
        <v>376.92083333333335</v>
      </c>
      <c r="AD76" s="238"/>
      <c r="AE76" s="238"/>
    </row>
    <row r="77" spans="2:31" x14ac:dyDescent="0.3">
      <c r="B77" s="245" t="s">
        <v>92</v>
      </c>
      <c r="C77" s="245"/>
      <c r="D77" s="245"/>
      <c r="E77" s="231">
        <v>0</v>
      </c>
      <c r="F77" s="234">
        <v>0</v>
      </c>
      <c r="G77" s="231">
        <v>0</v>
      </c>
      <c r="H77" s="234">
        <v>0</v>
      </c>
      <c r="I77" s="231">
        <v>0</v>
      </c>
      <c r="J77" s="234">
        <v>0</v>
      </c>
      <c r="K77" s="231">
        <v>0</v>
      </c>
      <c r="L77" s="234">
        <v>0</v>
      </c>
      <c r="M77" s="231">
        <v>0</v>
      </c>
      <c r="N77" s="234">
        <v>0</v>
      </c>
      <c r="O77" s="231">
        <v>0</v>
      </c>
      <c r="P77" s="234">
        <v>0</v>
      </c>
      <c r="Q77" s="231">
        <v>0</v>
      </c>
      <c r="R77" s="234">
        <v>0</v>
      </c>
      <c r="S77" s="231">
        <v>0</v>
      </c>
      <c r="T77" s="234">
        <v>0</v>
      </c>
      <c r="U77" s="231">
        <v>0</v>
      </c>
      <c r="V77" s="234">
        <v>0</v>
      </c>
      <c r="W77" s="231">
        <v>0</v>
      </c>
      <c r="X77" s="234">
        <v>0</v>
      </c>
      <c r="Y77" s="231">
        <v>0</v>
      </c>
      <c r="Z77" s="234">
        <v>0</v>
      </c>
      <c r="AA77" s="231">
        <v>0</v>
      </c>
      <c r="AB77" s="234">
        <v>0</v>
      </c>
      <c r="AC77" s="238">
        <f t="shared" si="3"/>
        <v>0</v>
      </c>
      <c r="AD77" s="238"/>
      <c r="AE77" s="238"/>
    </row>
    <row r="78" spans="2:31" x14ac:dyDescent="0.3">
      <c r="B78" s="245" t="s">
        <v>29</v>
      </c>
      <c r="C78" s="245"/>
      <c r="D78" s="245"/>
      <c r="E78" s="231">
        <v>0</v>
      </c>
      <c r="F78" s="234">
        <v>0</v>
      </c>
      <c r="G78" s="231">
        <v>0</v>
      </c>
      <c r="H78" s="234">
        <v>0</v>
      </c>
      <c r="I78" s="231">
        <v>0</v>
      </c>
      <c r="J78" s="234">
        <v>0</v>
      </c>
      <c r="K78" s="231">
        <v>0</v>
      </c>
      <c r="L78" s="234">
        <v>0</v>
      </c>
      <c r="M78" s="231">
        <v>7.6369999999999987</v>
      </c>
      <c r="N78" s="234">
        <v>15.809333333333337</v>
      </c>
      <c r="O78" s="231">
        <v>17.441333333333336</v>
      </c>
      <c r="P78" s="234">
        <v>25.400333333333332</v>
      </c>
      <c r="Q78" s="231">
        <v>80.206333333333333</v>
      </c>
      <c r="R78" s="234">
        <v>74.837833333333336</v>
      </c>
      <c r="S78" s="231">
        <v>47.762333333333338</v>
      </c>
      <c r="T78" s="234">
        <v>33.035499999999992</v>
      </c>
      <c r="U78" s="231">
        <v>25.607000000000006</v>
      </c>
      <c r="V78" s="234">
        <v>19.727333333333331</v>
      </c>
      <c r="W78" s="231">
        <v>18.679333333333329</v>
      </c>
      <c r="X78" s="234">
        <v>2.6938333333333331</v>
      </c>
      <c r="Y78" s="231">
        <v>0</v>
      </c>
      <c r="Z78" s="234">
        <v>0</v>
      </c>
      <c r="AA78" s="231">
        <v>0</v>
      </c>
      <c r="AB78" s="234">
        <v>0</v>
      </c>
      <c r="AC78" s="238">
        <f t="shared" si="3"/>
        <v>368.83750000000003</v>
      </c>
      <c r="AD78" s="238"/>
      <c r="AE78" s="238"/>
    </row>
    <row r="79" spans="2:31" x14ac:dyDescent="0.3">
      <c r="B79" s="245" t="s">
        <v>30</v>
      </c>
      <c r="C79" s="245"/>
      <c r="D79" s="245"/>
      <c r="E79" s="231">
        <v>0</v>
      </c>
      <c r="F79" s="234">
        <v>0</v>
      </c>
      <c r="G79" s="231">
        <v>0</v>
      </c>
      <c r="H79" s="234">
        <v>0</v>
      </c>
      <c r="I79" s="231">
        <v>0</v>
      </c>
      <c r="J79" s="234">
        <v>0</v>
      </c>
      <c r="K79" s="231">
        <v>0</v>
      </c>
      <c r="L79" s="234">
        <v>0</v>
      </c>
      <c r="M79" s="231">
        <v>0</v>
      </c>
      <c r="N79" s="234">
        <v>0</v>
      </c>
      <c r="O79" s="231">
        <v>0</v>
      </c>
      <c r="P79" s="234">
        <v>1.3333333333333286E-2</v>
      </c>
      <c r="Q79" s="231">
        <v>5.4925000000000033</v>
      </c>
      <c r="R79" s="234">
        <v>13.293499999999995</v>
      </c>
      <c r="S79" s="231">
        <v>42.841333333333338</v>
      </c>
      <c r="T79" s="234">
        <v>63.762333333333352</v>
      </c>
      <c r="U79" s="231">
        <v>48.966499999999989</v>
      </c>
      <c r="V79" s="234">
        <v>57.655999999999985</v>
      </c>
      <c r="W79" s="231">
        <v>16.221666666666664</v>
      </c>
      <c r="X79" s="234">
        <v>0.1180000000000002</v>
      </c>
      <c r="Y79" s="231">
        <v>0</v>
      </c>
      <c r="Z79" s="234">
        <v>0</v>
      </c>
      <c r="AA79" s="231">
        <v>0</v>
      </c>
      <c r="AB79" s="234">
        <v>0</v>
      </c>
      <c r="AC79" s="238">
        <f t="shared" si="3"/>
        <v>248.36516666666665</v>
      </c>
      <c r="AD79" s="238"/>
      <c r="AE79" s="238"/>
    </row>
    <row r="80" spans="2:31" x14ac:dyDescent="0.3">
      <c r="B80" s="245" t="s">
        <v>31</v>
      </c>
      <c r="C80" s="245"/>
      <c r="D80" s="245"/>
      <c r="E80" s="231">
        <v>0</v>
      </c>
      <c r="F80" s="234">
        <v>0</v>
      </c>
      <c r="G80" s="231">
        <v>0</v>
      </c>
      <c r="H80" s="234">
        <v>0</v>
      </c>
      <c r="I80" s="231">
        <v>0</v>
      </c>
      <c r="J80" s="234">
        <v>0</v>
      </c>
      <c r="K80" s="231">
        <v>0</v>
      </c>
      <c r="L80" s="234">
        <v>0</v>
      </c>
      <c r="M80" s="231">
        <v>6.1319999999999997</v>
      </c>
      <c r="N80" s="234">
        <v>14.330000000000014</v>
      </c>
      <c r="O80" s="231">
        <v>12.929999999999986</v>
      </c>
      <c r="P80" s="234">
        <v>11.629999999999997</v>
      </c>
      <c r="Q80" s="231">
        <v>11.129999999999997</v>
      </c>
      <c r="R80" s="234">
        <v>10.730000000000009</v>
      </c>
      <c r="S80" s="231">
        <v>10.129999999999997</v>
      </c>
      <c r="T80" s="234">
        <v>9.7300000000000075</v>
      </c>
      <c r="U80" s="231">
        <v>9.4300000000000015</v>
      </c>
      <c r="V80" s="234">
        <v>8.7300000000000075</v>
      </c>
      <c r="W80" s="231">
        <v>7.7300000000000058</v>
      </c>
      <c r="X80" s="234">
        <v>1.0245</v>
      </c>
      <c r="Y80" s="231">
        <v>0</v>
      </c>
      <c r="Z80" s="234">
        <v>0</v>
      </c>
      <c r="AA80" s="231">
        <v>0</v>
      </c>
      <c r="AB80" s="234">
        <v>0</v>
      </c>
      <c r="AC80" s="238">
        <f t="shared" si="3"/>
        <v>113.65650000000001</v>
      </c>
      <c r="AD80" s="238"/>
      <c r="AE80" s="238"/>
    </row>
    <row r="81" spans="2:31" x14ac:dyDescent="0.3">
      <c r="B81" s="245" t="s">
        <v>32</v>
      </c>
      <c r="C81" s="245"/>
      <c r="D81" s="245"/>
      <c r="E81" s="231">
        <v>0</v>
      </c>
      <c r="F81" s="234">
        <v>0</v>
      </c>
      <c r="G81" s="231">
        <v>0</v>
      </c>
      <c r="H81" s="234">
        <v>0</v>
      </c>
      <c r="I81" s="231">
        <v>0</v>
      </c>
      <c r="J81" s="234">
        <v>0</v>
      </c>
      <c r="K81" s="231">
        <v>0</v>
      </c>
      <c r="L81" s="234">
        <v>0</v>
      </c>
      <c r="M81" s="231">
        <v>0</v>
      </c>
      <c r="N81" s="234">
        <v>0</v>
      </c>
      <c r="O81" s="231">
        <v>0</v>
      </c>
      <c r="P81" s="234">
        <v>0.10966666666666676</v>
      </c>
      <c r="Q81" s="231">
        <v>7.2146666666666679</v>
      </c>
      <c r="R81" s="234">
        <v>5.3853333333333309</v>
      </c>
      <c r="S81" s="231">
        <v>22.310000000000002</v>
      </c>
      <c r="T81" s="234">
        <v>35.849666666666657</v>
      </c>
      <c r="U81" s="231">
        <v>38.332333333333331</v>
      </c>
      <c r="V81" s="234">
        <v>31.076000000000008</v>
      </c>
      <c r="W81" s="231">
        <v>13.455999999999996</v>
      </c>
      <c r="X81" s="234">
        <v>0.58750000000000024</v>
      </c>
      <c r="Y81" s="231">
        <v>0</v>
      </c>
      <c r="Z81" s="234">
        <v>0</v>
      </c>
      <c r="AA81" s="231">
        <v>0</v>
      </c>
      <c r="AB81" s="234">
        <v>0</v>
      </c>
      <c r="AC81" s="238">
        <f t="shared" si="3"/>
        <v>154.32116666666667</v>
      </c>
      <c r="AD81" s="238"/>
      <c r="AE81" s="238"/>
    </row>
    <row r="82" spans="2:31" x14ac:dyDescent="0.3">
      <c r="B82" s="245" t="s">
        <v>33</v>
      </c>
      <c r="C82" s="245"/>
      <c r="D82" s="245"/>
      <c r="E82" s="231">
        <v>0</v>
      </c>
      <c r="F82" s="234">
        <v>0</v>
      </c>
      <c r="G82" s="231">
        <v>0</v>
      </c>
      <c r="H82" s="234">
        <v>0</v>
      </c>
      <c r="I82" s="231">
        <v>0</v>
      </c>
      <c r="J82" s="234">
        <v>0</v>
      </c>
      <c r="K82" s="231">
        <v>0</v>
      </c>
      <c r="L82" s="234">
        <v>0</v>
      </c>
      <c r="M82" s="231">
        <v>0</v>
      </c>
      <c r="N82" s="234">
        <v>0.85699999999999998</v>
      </c>
      <c r="O82" s="231">
        <v>0.6588333333333326</v>
      </c>
      <c r="P82" s="234">
        <v>0.30949999999999955</v>
      </c>
      <c r="Q82" s="231">
        <v>0.34533333333333294</v>
      </c>
      <c r="R82" s="234">
        <v>0.25033333333333352</v>
      </c>
      <c r="S82" s="231">
        <v>0.36233333333333351</v>
      </c>
      <c r="T82" s="234">
        <v>0</v>
      </c>
      <c r="U82" s="231">
        <v>0</v>
      </c>
      <c r="V82" s="234">
        <v>0</v>
      </c>
      <c r="W82" s="231">
        <v>0</v>
      </c>
      <c r="X82" s="234">
        <v>0</v>
      </c>
      <c r="Y82" s="231">
        <v>0</v>
      </c>
      <c r="Z82" s="234">
        <v>0</v>
      </c>
      <c r="AA82" s="231">
        <v>0</v>
      </c>
      <c r="AB82" s="234">
        <v>0</v>
      </c>
      <c r="AC82" s="238">
        <f t="shared" si="3"/>
        <v>2.7833333333333319</v>
      </c>
      <c r="AD82" s="238"/>
      <c r="AE82" s="238"/>
    </row>
    <row r="83" spans="2:31" x14ac:dyDescent="0.3">
      <c r="B83" s="245" t="s">
        <v>34</v>
      </c>
      <c r="C83" s="245"/>
      <c r="D83" s="245"/>
      <c r="E83" s="231">
        <v>0</v>
      </c>
      <c r="F83" s="234">
        <v>0</v>
      </c>
      <c r="G83" s="231">
        <v>0</v>
      </c>
      <c r="H83" s="234">
        <v>0</v>
      </c>
      <c r="I83" s="231">
        <v>0</v>
      </c>
      <c r="J83" s="234">
        <v>0</v>
      </c>
      <c r="K83" s="231">
        <v>0</v>
      </c>
      <c r="L83" s="234">
        <v>0</v>
      </c>
      <c r="M83" s="231">
        <v>0</v>
      </c>
      <c r="N83" s="234">
        <v>1.3333333333333346E-3</v>
      </c>
      <c r="O83" s="231">
        <v>3.7666666666666709E-2</v>
      </c>
      <c r="P83" s="234">
        <v>0.99983333333333324</v>
      </c>
      <c r="Q83" s="231">
        <v>1.8291666666666666</v>
      </c>
      <c r="R83" s="234">
        <v>0.63400000000000034</v>
      </c>
      <c r="S83" s="231">
        <v>1.3563333333333329</v>
      </c>
      <c r="T83" s="234">
        <v>1.696</v>
      </c>
      <c r="U83" s="231">
        <v>0.68416666666666648</v>
      </c>
      <c r="V83" s="234">
        <v>0.3101666666666667</v>
      </c>
      <c r="W83" s="231">
        <v>0.11699999999999999</v>
      </c>
      <c r="X83" s="234">
        <v>0</v>
      </c>
      <c r="Y83" s="231">
        <v>0</v>
      </c>
      <c r="Z83" s="234">
        <v>0</v>
      </c>
      <c r="AA83" s="231">
        <v>0</v>
      </c>
      <c r="AB83" s="234">
        <v>0</v>
      </c>
      <c r="AC83" s="238">
        <f t="shared" si="3"/>
        <v>7.6656666666666657</v>
      </c>
      <c r="AD83" s="238"/>
      <c r="AE83" s="238"/>
    </row>
    <row r="84" spans="2:31" x14ac:dyDescent="0.3">
      <c r="B84" s="245" t="s">
        <v>35</v>
      </c>
      <c r="C84" s="245"/>
      <c r="D84" s="245"/>
      <c r="E84" s="231">
        <v>0</v>
      </c>
      <c r="F84" s="234">
        <v>0</v>
      </c>
      <c r="G84" s="231">
        <v>0</v>
      </c>
      <c r="H84" s="234">
        <v>0</v>
      </c>
      <c r="I84" s="231">
        <v>0</v>
      </c>
      <c r="J84" s="234">
        <v>0</v>
      </c>
      <c r="K84" s="231">
        <v>0</v>
      </c>
      <c r="L84" s="234">
        <v>0</v>
      </c>
      <c r="M84" s="231">
        <v>5.5304999999999991</v>
      </c>
      <c r="N84" s="234">
        <v>13.650000000000002</v>
      </c>
      <c r="O84" s="231">
        <v>6.3658333333333337</v>
      </c>
      <c r="P84" s="234">
        <v>0</v>
      </c>
      <c r="Q84" s="231">
        <v>0</v>
      </c>
      <c r="R84" s="234">
        <v>0</v>
      </c>
      <c r="S84" s="231">
        <v>0</v>
      </c>
      <c r="T84" s="234">
        <v>1.8668333333333329</v>
      </c>
      <c r="U84" s="231">
        <v>0.18800000000000003</v>
      </c>
      <c r="V84" s="234">
        <v>0</v>
      </c>
      <c r="W84" s="231">
        <v>0</v>
      </c>
      <c r="X84" s="234">
        <v>0</v>
      </c>
      <c r="Y84" s="231">
        <v>0</v>
      </c>
      <c r="Z84" s="234">
        <v>0</v>
      </c>
      <c r="AA84" s="231">
        <v>0</v>
      </c>
      <c r="AB84" s="234">
        <v>0</v>
      </c>
      <c r="AC84" s="238">
        <f t="shared" si="3"/>
        <v>27.601166666666668</v>
      </c>
      <c r="AD84" s="238"/>
      <c r="AE84" s="238"/>
    </row>
    <row r="85" spans="2:31" x14ac:dyDescent="0.3">
      <c r="B85" s="245" t="s">
        <v>36</v>
      </c>
      <c r="C85" s="245"/>
      <c r="D85" s="245"/>
      <c r="E85" s="231">
        <v>0</v>
      </c>
      <c r="F85" s="234">
        <v>0</v>
      </c>
      <c r="G85" s="231">
        <v>0</v>
      </c>
      <c r="H85" s="234">
        <v>0</v>
      </c>
      <c r="I85" s="231">
        <v>0</v>
      </c>
      <c r="J85" s="234">
        <v>0</v>
      </c>
      <c r="K85" s="231">
        <v>0</v>
      </c>
      <c r="L85" s="234">
        <v>0</v>
      </c>
      <c r="M85" s="231">
        <v>0.66916666666666669</v>
      </c>
      <c r="N85" s="234">
        <v>15.496166666666671</v>
      </c>
      <c r="O85" s="231">
        <v>16.393666666666668</v>
      </c>
      <c r="P85" s="234">
        <v>24.265166666666666</v>
      </c>
      <c r="Q85" s="231">
        <v>28.70183333333333</v>
      </c>
      <c r="R85" s="234">
        <v>39.477999999999994</v>
      </c>
      <c r="S85" s="231">
        <v>39.800000000000004</v>
      </c>
      <c r="T85" s="234">
        <v>33.739666666666658</v>
      </c>
      <c r="U85" s="231">
        <v>28.577666666666666</v>
      </c>
      <c r="V85" s="234">
        <v>36.656500000000008</v>
      </c>
      <c r="W85" s="231">
        <v>28.932666666666666</v>
      </c>
      <c r="X85" s="234">
        <v>3.2404999999999999</v>
      </c>
      <c r="Y85" s="231">
        <v>0</v>
      </c>
      <c r="Z85" s="234">
        <v>0</v>
      </c>
      <c r="AA85" s="231">
        <v>0</v>
      </c>
      <c r="AB85" s="234">
        <v>0</v>
      </c>
      <c r="AC85" s="238">
        <f t="shared" si="3"/>
        <v>295.95099999999996</v>
      </c>
      <c r="AD85" s="238"/>
      <c r="AE85" s="238"/>
    </row>
    <row r="86" spans="2:31" x14ac:dyDescent="0.3">
      <c r="B86" s="13" t="s">
        <v>89</v>
      </c>
      <c r="C86" s="13"/>
      <c r="D86" s="13"/>
      <c r="E86" s="231">
        <v>0</v>
      </c>
      <c r="F86" s="234">
        <v>0</v>
      </c>
      <c r="G86" s="231">
        <v>0</v>
      </c>
      <c r="H86" s="234">
        <v>0</v>
      </c>
      <c r="I86" s="231">
        <v>0</v>
      </c>
      <c r="J86" s="234">
        <v>0</v>
      </c>
      <c r="K86" s="231">
        <v>0</v>
      </c>
      <c r="L86" s="234">
        <v>0</v>
      </c>
      <c r="M86" s="231">
        <v>0</v>
      </c>
      <c r="N86" s="234">
        <v>4.3333333333333002E-3</v>
      </c>
      <c r="O86" s="231">
        <v>12.710666666666667</v>
      </c>
      <c r="P86" s="234">
        <v>10.431666666666672</v>
      </c>
      <c r="Q86" s="231">
        <v>0.72633333333333394</v>
      </c>
      <c r="R86" s="234">
        <v>0</v>
      </c>
      <c r="S86" s="231">
        <v>0</v>
      </c>
      <c r="T86" s="234">
        <v>0</v>
      </c>
      <c r="U86" s="231">
        <v>0</v>
      </c>
      <c r="V86" s="234">
        <v>0</v>
      </c>
      <c r="W86" s="231">
        <v>0</v>
      </c>
      <c r="X86" s="234">
        <v>0</v>
      </c>
      <c r="Y86" s="231">
        <v>0</v>
      </c>
      <c r="Z86" s="234">
        <v>0</v>
      </c>
      <c r="AA86" s="231">
        <v>0</v>
      </c>
      <c r="AB86" s="234">
        <v>0</v>
      </c>
      <c r="AC86" s="238">
        <f t="shared" si="3"/>
        <v>23.873000000000005</v>
      </c>
      <c r="AD86" s="238"/>
      <c r="AE86" s="238"/>
    </row>
    <row r="87" spans="2:31" x14ac:dyDescent="0.3">
      <c r="B87" s="13" t="s">
        <v>90</v>
      </c>
      <c r="C87" s="13"/>
      <c r="D87" s="13"/>
      <c r="E87" s="231">
        <v>0</v>
      </c>
      <c r="F87" s="234">
        <v>0</v>
      </c>
      <c r="G87" s="231">
        <v>0</v>
      </c>
      <c r="H87" s="234">
        <v>0</v>
      </c>
      <c r="I87" s="231">
        <v>0</v>
      </c>
      <c r="J87" s="234">
        <v>0</v>
      </c>
      <c r="K87" s="231">
        <v>0</v>
      </c>
      <c r="L87" s="234">
        <v>0</v>
      </c>
      <c r="M87" s="231">
        <v>15.315666666666665</v>
      </c>
      <c r="N87" s="234">
        <v>43.402666666666669</v>
      </c>
      <c r="O87" s="231">
        <v>44.741499999999974</v>
      </c>
      <c r="P87" s="234">
        <v>42.573166666666658</v>
      </c>
      <c r="Q87" s="231">
        <v>33.031166666666671</v>
      </c>
      <c r="R87" s="234">
        <v>24.527666666666665</v>
      </c>
      <c r="S87" s="231">
        <v>14.295000000000005</v>
      </c>
      <c r="T87" s="234">
        <v>10.819500000000007</v>
      </c>
      <c r="U87" s="231">
        <v>10.550333333333333</v>
      </c>
      <c r="V87" s="234">
        <v>11.622999999999999</v>
      </c>
      <c r="W87" s="231">
        <v>9.7950000000000035</v>
      </c>
      <c r="X87" s="234">
        <v>0.98266666666666724</v>
      </c>
      <c r="Y87" s="231">
        <v>0</v>
      </c>
      <c r="Z87" s="234">
        <v>0</v>
      </c>
      <c r="AA87" s="231">
        <v>0</v>
      </c>
      <c r="AB87" s="234">
        <v>0</v>
      </c>
      <c r="AC87" s="238">
        <f t="shared" si="3"/>
        <v>261.65733333333333</v>
      </c>
      <c r="AD87" s="238"/>
      <c r="AE87" s="238"/>
    </row>
    <row r="88" spans="2:31" x14ac:dyDescent="0.3">
      <c r="B88" s="14" t="s">
        <v>2</v>
      </c>
      <c r="C88" s="14"/>
      <c r="D88" s="14"/>
      <c r="E88" s="15">
        <f>SUM(E51:E87)</f>
        <v>0</v>
      </c>
      <c r="F88" s="15">
        <f t="shared" ref="F88" si="4">SUM(F51:F87)</f>
        <v>0</v>
      </c>
      <c r="G88" s="15">
        <f t="shared" ref="G88" si="5">SUM(G51:G87)</f>
        <v>0</v>
      </c>
      <c r="H88" s="15">
        <f t="shared" ref="H88" si="6">SUM(H51:H87)</f>
        <v>0</v>
      </c>
      <c r="I88" s="15">
        <f t="shared" ref="I88" si="7">SUM(I51:I87)</f>
        <v>0</v>
      </c>
      <c r="J88" s="15">
        <f t="shared" ref="J88" si="8">SUM(J51:J87)</f>
        <v>0</v>
      </c>
      <c r="K88" s="15">
        <f t="shared" ref="K88" si="9">SUM(K51:K87)</f>
        <v>0</v>
      </c>
      <c r="L88" s="15">
        <f t="shared" ref="L88" si="10">SUM(L51:L87)</f>
        <v>0</v>
      </c>
      <c r="M88" s="15">
        <f t="shared" ref="M88" si="11">SUM(M51:M87)</f>
        <v>91.63833333333335</v>
      </c>
      <c r="N88" s="15">
        <f t="shared" ref="N88" si="12">SUM(N51:N87)</f>
        <v>215.2468333333334</v>
      </c>
      <c r="O88" s="15">
        <f t="shared" ref="O88" si="13">SUM(O51:O87)</f>
        <v>210.91499999999994</v>
      </c>
      <c r="P88" s="15">
        <f t="shared" ref="P88" si="14">SUM(P51:P87)</f>
        <v>259.66133333333329</v>
      </c>
      <c r="Q88" s="15">
        <f t="shared" ref="Q88" si="15">SUM(Q51:Q87)</f>
        <v>416.56183333333331</v>
      </c>
      <c r="R88" s="15">
        <f t="shared" ref="R88" si="16">SUM(R51:R87)</f>
        <v>455.70300000000009</v>
      </c>
      <c r="S88" s="15">
        <f t="shared" ref="S88" si="17">SUM(S51:S87)</f>
        <v>515.73500000000001</v>
      </c>
      <c r="T88" s="15">
        <f t="shared" ref="T88" si="18">SUM(T51:T87)</f>
        <v>644.15833333333353</v>
      </c>
      <c r="U88" s="15">
        <f t="shared" ref="U88" si="19">SUM(U51:U87)</f>
        <v>783.39549999999997</v>
      </c>
      <c r="V88" s="15">
        <f t="shared" ref="V88" si="20">SUM(V51:V87)</f>
        <v>883.07883333333325</v>
      </c>
      <c r="W88" s="15">
        <f t="shared" ref="W88" si="21">SUM(W51:W87)</f>
        <v>833.28683333333356</v>
      </c>
      <c r="X88" s="15">
        <f t="shared" ref="X88" si="22">SUM(X51:X87)</f>
        <v>140.0023333333333</v>
      </c>
      <c r="Y88" s="15">
        <f t="shared" ref="Y88" si="23">SUM(Y51:Y87)</f>
        <v>0</v>
      </c>
      <c r="Z88" s="15">
        <f t="shared" ref="Z88" si="24">SUM(Z51:Z87)</f>
        <v>0</v>
      </c>
      <c r="AA88" s="15">
        <f t="shared" ref="AA88" si="25">SUM(AA51:AA87)</f>
        <v>0</v>
      </c>
      <c r="AB88" s="15">
        <f t="shared" ref="AB88" si="26">SUM(AB51:AB87)</f>
        <v>0</v>
      </c>
      <c r="AC88" s="249">
        <f>SUM(AC51:AE87)</f>
        <v>5449.3831666666665</v>
      </c>
      <c r="AD88" s="249"/>
      <c r="AE88" s="249"/>
    </row>
    <row r="91" spans="2:31" x14ac:dyDescent="0.3">
      <c r="B91" s="8">
        <f>'Resumen-Mensual'!$G$22</f>
        <v>44564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4"/>
      <c r="AD91" s="4"/>
      <c r="AE91" s="4"/>
    </row>
    <row r="92" spans="2:31" x14ac:dyDescent="0.3">
      <c r="B92" s="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4"/>
      <c r="AD92" s="4"/>
      <c r="AE92" s="4"/>
    </row>
    <row r="93" spans="2:31" x14ac:dyDescent="0.3">
      <c r="B93" s="9" t="s">
        <v>81</v>
      </c>
      <c r="C93" s="10"/>
      <c r="D93" s="10"/>
      <c r="E93" s="11">
        <v>1</v>
      </c>
      <c r="F93" s="11">
        <v>2</v>
      </c>
      <c r="G93" s="11">
        <v>3</v>
      </c>
      <c r="H93" s="11">
        <v>4</v>
      </c>
      <c r="I93" s="11">
        <v>5</v>
      </c>
      <c r="J93" s="11">
        <v>6</v>
      </c>
      <c r="K93" s="11">
        <v>7</v>
      </c>
      <c r="L93" s="11">
        <v>8</v>
      </c>
      <c r="M93" s="11">
        <v>9</v>
      </c>
      <c r="N93" s="11">
        <v>10</v>
      </c>
      <c r="O93" s="11">
        <v>11</v>
      </c>
      <c r="P93" s="11">
        <v>12</v>
      </c>
      <c r="Q93" s="11">
        <v>13</v>
      </c>
      <c r="R93" s="11">
        <v>14</v>
      </c>
      <c r="S93" s="11">
        <v>15</v>
      </c>
      <c r="T93" s="11">
        <v>16</v>
      </c>
      <c r="U93" s="11">
        <v>17</v>
      </c>
      <c r="V93" s="11">
        <v>18</v>
      </c>
      <c r="W93" s="11">
        <v>19</v>
      </c>
      <c r="X93" s="11">
        <v>20</v>
      </c>
      <c r="Y93" s="11">
        <v>21</v>
      </c>
      <c r="Z93" s="11">
        <v>22</v>
      </c>
      <c r="AA93" s="11">
        <v>23</v>
      </c>
      <c r="AB93" s="11">
        <v>24</v>
      </c>
      <c r="AC93" s="248" t="s">
        <v>2</v>
      </c>
      <c r="AD93" s="248"/>
      <c r="AE93" s="248"/>
    </row>
    <row r="94" spans="2:31" x14ac:dyDescent="0.3">
      <c r="B94" s="245" t="s">
        <v>4</v>
      </c>
      <c r="C94" s="245"/>
      <c r="D94" s="245"/>
      <c r="E94" s="55">
        <v>0</v>
      </c>
      <c r="F94" s="56">
        <v>0</v>
      </c>
      <c r="G94" s="55">
        <v>0</v>
      </c>
      <c r="H94" s="56">
        <v>0</v>
      </c>
      <c r="I94" s="55">
        <v>0</v>
      </c>
      <c r="J94" s="56">
        <v>0</v>
      </c>
      <c r="K94" s="55">
        <v>0</v>
      </c>
      <c r="L94" s="56">
        <v>0</v>
      </c>
      <c r="M94" s="55">
        <v>0</v>
      </c>
      <c r="N94" s="56">
        <v>0</v>
      </c>
      <c r="O94" s="55">
        <v>0</v>
      </c>
      <c r="P94" s="56">
        <v>0</v>
      </c>
      <c r="Q94" s="55">
        <v>0</v>
      </c>
      <c r="R94" s="56">
        <v>0</v>
      </c>
      <c r="S94" s="55">
        <v>0</v>
      </c>
      <c r="T94" s="56">
        <v>0</v>
      </c>
      <c r="U94" s="55">
        <v>0.4028333333333336</v>
      </c>
      <c r="V94" s="56">
        <v>31.59383333333334</v>
      </c>
      <c r="W94" s="55">
        <v>12.082833333333332</v>
      </c>
      <c r="X94" s="56">
        <v>0</v>
      </c>
      <c r="Y94" s="55">
        <v>0</v>
      </c>
      <c r="Z94" s="56">
        <v>0</v>
      </c>
      <c r="AA94" s="55">
        <v>0</v>
      </c>
      <c r="AB94" s="56">
        <v>0</v>
      </c>
      <c r="AC94" s="238">
        <f>SUM(E94:AB94)</f>
        <v>44.079500000000003</v>
      </c>
      <c r="AD94" s="238"/>
      <c r="AE94" s="238"/>
    </row>
    <row r="95" spans="2:31" x14ac:dyDescent="0.3">
      <c r="B95" s="245" t="s">
        <v>5</v>
      </c>
      <c r="C95" s="245"/>
      <c r="D95" s="245"/>
      <c r="E95" s="54">
        <v>0</v>
      </c>
      <c r="F95" s="57">
        <v>0</v>
      </c>
      <c r="G95" s="54">
        <v>0</v>
      </c>
      <c r="H95" s="57">
        <v>0</v>
      </c>
      <c r="I95" s="54">
        <v>0</v>
      </c>
      <c r="J95" s="57">
        <v>0</v>
      </c>
      <c r="K95" s="54">
        <v>0</v>
      </c>
      <c r="L95" s="57">
        <v>0</v>
      </c>
      <c r="M95" s="54">
        <v>0</v>
      </c>
      <c r="N95" s="57">
        <v>0</v>
      </c>
      <c r="O95" s="54">
        <v>0</v>
      </c>
      <c r="P95" s="57">
        <v>0</v>
      </c>
      <c r="Q95" s="54">
        <v>0</v>
      </c>
      <c r="R95" s="57">
        <v>0</v>
      </c>
      <c r="S95" s="54">
        <v>0</v>
      </c>
      <c r="T95" s="57">
        <v>0</v>
      </c>
      <c r="U95" s="54">
        <v>9.5136666666666656</v>
      </c>
      <c r="V95" s="57">
        <v>58.414166666666667</v>
      </c>
      <c r="W95" s="54">
        <v>22.797333333333331</v>
      </c>
      <c r="X95" s="57">
        <v>0</v>
      </c>
      <c r="Y95" s="54">
        <v>0</v>
      </c>
      <c r="Z95" s="57">
        <v>0</v>
      </c>
      <c r="AA95" s="54">
        <v>0</v>
      </c>
      <c r="AB95" s="57">
        <v>0</v>
      </c>
      <c r="AC95" s="238">
        <f t="shared" ref="AC95:AC130" si="27">SUM(E95:AB95)</f>
        <v>90.725166666666652</v>
      </c>
      <c r="AD95" s="238"/>
      <c r="AE95" s="238"/>
    </row>
    <row r="96" spans="2:31" x14ac:dyDescent="0.3">
      <c r="B96" s="245" t="s">
        <v>6</v>
      </c>
      <c r="C96" s="245"/>
      <c r="D96" s="245"/>
      <c r="E96" s="54">
        <v>0</v>
      </c>
      <c r="F96" s="57">
        <v>0</v>
      </c>
      <c r="G96" s="54">
        <v>0</v>
      </c>
      <c r="H96" s="57">
        <v>0</v>
      </c>
      <c r="I96" s="54">
        <v>0</v>
      </c>
      <c r="J96" s="57">
        <v>0</v>
      </c>
      <c r="K96" s="54">
        <v>0</v>
      </c>
      <c r="L96" s="57">
        <v>0</v>
      </c>
      <c r="M96" s="54">
        <v>0</v>
      </c>
      <c r="N96" s="57">
        <v>0</v>
      </c>
      <c r="O96" s="54">
        <v>0</v>
      </c>
      <c r="P96" s="57">
        <v>0</v>
      </c>
      <c r="Q96" s="54">
        <v>0</v>
      </c>
      <c r="R96" s="57">
        <v>0</v>
      </c>
      <c r="S96" s="54">
        <v>0</v>
      </c>
      <c r="T96" s="57">
        <v>14.290166666666661</v>
      </c>
      <c r="U96" s="54">
        <v>13.880833333333326</v>
      </c>
      <c r="V96" s="57">
        <v>14.870333333333333</v>
      </c>
      <c r="W96" s="54">
        <v>31.679333333333339</v>
      </c>
      <c r="X96" s="57">
        <v>7.668000000000001</v>
      </c>
      <c r="Y96" s="54">
        <v>0</v>
      </c>
      <c r="Z96" s="57">
        <v>0</v>
      </c>
      <c r="AA96" s="54">
        <v>0</v>
      </c>
      <c r="AB96" s="57">
        <v>0</v>
      </c>
      <c r="AC96" s="238">
        <f t="shared" si="27"/>
        <v>82.388666666666666</v>
      </c>
      <c r="AD96" s="238"/>
      <c r="AE96" s="238"/>
    </row>
    <row r="97" spans="2:31" x14ac:dyDescent="0.3">
      <c r="B97" s="245" t="s">
        <v>91</v>
      </c>
      <c r="C97" s="245"/>
      <c r="D97" s="245"/>
      <c r="E97" s="54">
        <v>0</v>
      </c>
      <c r="F97" s="57">
        <v>0</v>
      </c>
      <c r="G97" s="54">
        <v>0</v>
      </c>
      <c r="H97" s="57">
        <v>0</v>
      </c>
      <c r="I97" s="54">
        <v>0</v>
      </c>
      <c r="J97" s="57">
        <v>0</v>
      </c>
      <c r="K97" s="54">
        <v>0</v>
      </c>
      <c r="L97" s="57">
        <v>0</v>
      </c>
      <c r="M97" s="54">
        <v>0</v>
      </c>
      <c r="N97" s="57">
        <v>0</v>
      </c>
      <c r="O97" s="54">
        <v>0</v>
      </c>
      <c r="P97" s="57">
        <v>0</v>
      </c>
      <c r="Q97" s="54">
        <v>0</v>
      </c>
      <c r="R97" s="57">
        <v>0</v>
      </c>
      <c r="S97" s="54">
        <v>0</v>
      </c>
      <c r="T97" s="57">
        <v>0</v>
      </c>
      <c r="U97" s="54">
        <v>0</v>
      </c>
      <c r="V97" s="57">
        <v>0</v>
      </c>
      <c r="W97" s="54">
        <v>0</v>
      </c>
      <c r="X97" s="57">
        <v>0</v>
      </c>
      <c r="Y97" s="54">
        <v>0</v>
      </c>
      <c r="Z97" s="57">
        <v>0</v>
      </c>
      <c r="AA97" s="54">
        <v>0</v>
      </c>
      <c r="AB97" s="57">
        <v>0</v>
      </c>
      <c r="AC97" s="238">
        <f t="shared" si="27"/>
        <v>0</v>
      </c>
      <c r="AD97" s="238"/>
      <c r="AE97" s="238"/>
    </row>
    <row r="98" spans="2:31" x14ac:dyDescent="0.3">
      <c r="B98" s="245" t="s">
        <v>7</v>
      </c>
      <c r="C98" s="245"/>
      <c r="D98" s="245"/>
      <c r="E98" s="54">
        <v>0</v>
      </c>
      <c r="F98" s="57">
        <v>0</v>
      </c>
      <c r="G98" s="54">
        <v>0</v>
      </c>
      <c r="H98" s="57">
        <v>0</v>
      </c>
      <c r="I98" s="54">
        <v>0</v>
      </c>
      <c r="J98" s="57">
        <v>0</v>
      </c>
      <c r="K98" s="54">
        <v>0</v>
      </c>
      <c r="L98" s="57">
        <v>0</v>
      </c>
      <c r="M98" s="54">
        <v>0</v>
      </c>
      <c r="N98" s="57">
        <v>0</v>
      </c>
      <c r="O98" s="54">
        <v>0</v>
      </c>
      <c r="P98" s="57">
        <v>0</v>
      </c>
      <c r="Q98" s="54">
        <v>0</v>
      </c>
      <c r="R98" s="57">
        <v>11.273333333333332</v>
      </c>
      <c r="S98" s="54">
        <v>0</v>
      </c>
      <c r="T98" s="57">
        <v>2.383333333333321E-2</v>
      </c>
      <c r="U98" s="54">
        <v>0</v>
      </c>
      <c r="V98" s="57">
        <v>8.9166666666666811E-2</v>
      </c>
      <c r="W98" s="54">
        <v>0</v>
      </c>
      <c r="X98" s="57">
        <v>4.5766666666666653</v>
      </c>
      <c r="Y98" s="54">
        <v>0</v>
      </c>
      <c r="Z98" s="57">
        <v>0</v>
      </c>
      <c r="AA98" s="54">
        <v>0</v>
      </c>
      <c r="AB98" s="57">
        <v>0</v>
      </c>
      <c r="AC98" s="238">
        <f t="shared" si="27"/>
        <v>15.962999999999997</v>
      </c>
      <c r="AD98" s="238"/>
      <c r="AE98" s="238"/>
    </row>
    <row r="99" spans="2:31" x14ac:dyDescent="0.3">
      <c r="B99" s="245" t="s">
        <v>8</v>
      </c>
      <c r="C99" s="245"/>
      <c r="D99" s="245"/>
      <c r="E99" s="54">
        <v>0</v>
      </c>
      <c r="F99" s="57">
        <v>0</v>
      </c>
      <c r="G99" s="54">
        <v>0</v>
      </c>
      <c r="H99" s="57">
        <v>0</v>
      </c>
      <c r="I99" s="54">
        <v>0</v>
      </c>
      <c r="J99" s="57">
        <v>0</v>
      </c>
      <c r="K99" s="54">
        <v>0</v>
      </c>
      <c r="L99" s="57">
        <v>0</v>
      </c>
      <c r="M99" s="54">
        <v>0</v>
      </c>
      <c r="N99" s="57">
        <v>0</v>
      </c>
      <c r="O99" s="54">
        <v>0</v>
      </c>
      <c r="P99" s="57">
        <v>0</v>
      </c>
      <c r="Q99" s="54">
        <v>0</v>
      </c>
      <c r="R99" s="57">
        <v>0</v>
      </c>
      <c r="S99" s="54">
        <v>3.1853333333333325</v>
      </c>
      <c r="T99" s="57">
        <v>19.523166666666675</v>
      </c>
      <c r="U99" s="54">
        <v>21.553666666666654</v>
      </c>
      <c r="V99" s="57">
        <v>16.254666666666672</v>
      </c>
      <c r="W99" s="54">
        <v>6.1636666666666677</v>
      </c>
      <c r="X99" s="57">
        <v>0</v>
      </c>
      <c r="Y99" s="54">
        <v>0</v>
      </c>
      <c r="Z99" s="57">
        <v>0</v>
      </c>
      <c r="AA99" s="54">
        <v>0</v>
      </c>
      <c r="AB99" s="57">
        <v>0</v>
      </c>
      <c r="AC99" s="238">
        <f t="shared" si="27"/>
        <v>66.680499999999995</v>
      </c>
      <c r="AD99" s="238"/>
      <c r="AE99" s="238"/>
    </row>
    <row r="100" spans="2:31" x14ac:dyDescent="0.3">
      <c r="B100" s="245" t="s">
        <v>9</v>
      </c>
      <c r="C100" s="245"/>
      <c r="D100" s="245"/>
      <c r="E100" s="54">
        <v>0</v>
      </c>
      <c r="F100" s="57">
        <v>0</v>
      </c>
      <c r="G100" s="54">
        <v>0</v>
      </c>
      <c r="H100" s="57">
        <v>0</v>
      </c>
      <c r="I100" s="54">
        <v>0</v>
      </c>
      <c r="J100" s="57">
        <v>0</v>
      </c>
      <c r="K100" s="54">
        <v>0</v>
      </c>
      <c r="L100" s="57">
        <v>0</v>
      </c>
      <c r="M100" s="54">
        <v>0</v>
      </c>
      <c r="N100" s="57">
        <v>0</v>
      </c>
      <c r="O100" s="54">
        <v>0</v>
      </c>
      <c r="P100" s="57">
        <v>0</v>
      </c>
      <c r="Q100" s="54">
        <v>0</v>
      </c>
      <c r="R100" s="57">
        <v>0</v>
      </c>
      <c r="S100" s="54">
        <v>0</v>
      </c>
      <c r="T100" s="57">
        <v>0</v>
      </c>
      <c r="U100" s="54">
        <v>0</v>
      </c>
      <c r="V100" s="57">
        <v>0</v>
      </c>
      <c r="W100" s="54">
        <v>5.3934999999999986</v>
      </c>
      <c r="X100" s="57">
        <v>0</v>
      </c>
      <c r="Y100" s="54">
        <v>0</v>
      </c>
      <c r="Z100" s="57">
        <v>0</v>
      </c>
      <c r="AA100" s="54">
        <v>0</v>
      </c>
      <c r="AB100" s="57">
        <v>0</v>
      </c>
      <c r="AC100" s="238">
        <f t="shared" si="27"/>
        <v>5.3934999999999986</v>
      </c>
      <c r="AD100" s="238"/>
      <c r="AE100" s="238"/>
    </row>
    <row r="101" spans="2:31" x14ac:dyDescent="0.3">
      <c r="B101" s="245" t="s">
        <v>10</v>
      </c>
      <c r="C101" s="245"/>
      <c r="D101" s="245"/>
      <c r="E101" s="54">
        <v>0</v>
      </c>
      <c r="F101" s="57">
        <v>0</v>
      </c>
      <c r="G101" s="54">
        <v>0</v>
      </c>
      <c r="H101" s="57">
        <v>0</v>
      </c>
      <c r="I101" s="54">
        <v>0</v>
      </c>
      <c r="J101" s="57">
        <v>0</v>
      </c>
      <c r="K101" s="54">
        <v>0</v>
      </c>
      <c r="L101" s="57">
        <v>0</v>
      </c>
      <c r="M101" s="54">
        <v>0</v>
      </c>
      <c r="N101" s="57">
        <v>0</v>
      </c>
      <c r="O101" s="54">
        <v>0</v>
      </c>
      <c r="P101" s="57">
        <v>0</v>
      </c>
      <c r="Q101" s="54">
        <v>0</v>
      </c>
      <c r="R101" s="57">
        <v>0</v>
      </c>
      <c r="S101" s="54">
        <v>0</v>
      </c>
      <c r="T101" s="57">
        <v>0</v>
      </c>
      <c r="U101" s="54">
        <v>0</v>
      </c>
      <c r="V101" s="57">
        <v>1.6724999999999997</v>
      </c>
      <c r="W101" s="54">
        <v>0.9169999999999997</v>
      </c>
      <c r="X101" s="57">
        <v>0</v>
      </c>
      <c r="Y101" s="54">
        <v>0</v>
      </c>
      <c r="Z101" s="57">
        <v>0</v>
      </c>
      <c r="AA101" s="54">
        <v>0</v>
      </c>
      <c r="AB101" s="57">
        <v>0</v>
      </c>
      <c r="AC101" s="238">
        <f t="shared" si="27"/>
        <v>2.5894999999999992</v>
      </c>
      <c r="AD101" s="238"/>
      <c r="AE101" s="238"/>
    </row>
    <row r="102" spans="2:31" x14ac:dyDescent="0.3">
      <c r="B102" s="245" t="s">
        <v>11</v>
      </c>
      <c r="C102" s="245"/>
      <c r="D102" s="245"/>
      <c r="E102" s="54">
        <v>0</v>
      </c>
      <c r="F102" s="57">
        <v>0</v>
      </c>
      <c r="G102" s="54">
        <v>0</v>
      </c>
      <c r="H102" s="57">
        <v>0</v>
      </c>
      <c r="I102" s="54">
        <v>0</v>
      </c>
      <c r="J102" s="57">
        <v>0</v>
      </c>
      <c r="K102" s="54">
        <v>0</v>
      </c>
      <c r="L102" s="57">
        <v>0</v>
      </c>
      <c r="M102" s="54">
        <v>0</v>
      </c>
      <c r="N102" s="57">
        <v>0</v>
      </c>
      <c r="O102" s="54">
        <v>0</v>
      </c>
      <c r="P102" s="57">
        <v>0</v>
      </c>
      <c r="Q102" s="54">
        <v>0</v>
      </c>
      <c r="R102" s="57">
        <v>0</v>
      </c>
      <c r="S102" s="54">
        <v>0</v>
      </c>
      <c r="T102" s="57">
        <v>0</v>
      </c>
      <c r="U102" s="54">
        <v>0</v>
      </c>
      <c r="V102" s="57">
        <v>42.641666666666659</v>
      </c>
      <c r="W102" s="54">
        <v>29.350999999999985</v>
      </c>
      <c r="X102" s="57">
        <v>0</v>
      </c>
      <c r="Y102" s="54">
        <v>0</v>
      </c>
      <c r="Z102" s="57">
        <v>0</v>
      </c>
      <c r="AA102" s="54">
        <v>0</v>
      </c>
      <c r="AB102" s="57">
        <v>0</v>
      </c>
      <c r="AC102" s="238">
        <f t="shared" si="27"/>
        <v>71.992666666666651</v>
      </c>
      <c r="AD102" s="238"/>
      <c r="AE102" s="238"/>
    </row>
    <row r="103" spans="2:31" x14ac:dyDescent="0.3">
      <c r="B103" s="245" t="s">
        <v>12</v>
      </c>
      <c r="C103" s="245"/>
      <c r="D103" s="245"/>
      <c r="E103" s="54">
        <v>0</v>
      </c>
      <c r="F103" s="57">
        <v>0</v>
      </c>
      <c r="G103" s="54">
        <v>0</v>
      </c>
      <c r="H103" s="57">
        <v>0</v>
      </c>
      <c r="I103" s="54">
        <v>0</v>
      </c>
      <c r="J103" s="57">
        <v>0</v>
      </c>
      <c r="K103" s="54">
        <v>0</v>
      </c>
      <c r="L103" s="57">
        <v>0</v>
      </c>
      <c r="M103" s="54">
        <v>0</v>
      </c>
      <c r="N103" s="57">
        <v>0</v>
      </c>
      <c r="O103" s="54">
        <v>0</v>
      </c>
      <c r="P103" s="57">
        <v>0</v>
      </c>
      <c r="Q103" s="54">
        <v>0</v>
      </c>
      <c r="R103" s="57">
        <v>0</v>
      </c>
      <c r="S103" s="54">
        <v>0</v>
      </c>
      <c r="T103" s="57">
        <v>0</v>
      </c>
      <c r="U103" s="54">
        <v>1.699666666666666</v>
      </c>
      <c r="V103" s="57">
        <v>55.979499999999994</v>
      </c>
      <c r="W103" s="54">
        <v>29.881166666666669</v>
      </c>
      <c r="X103" s="57">
        <v>0</v>
      </c>
      <c r="Y103" s="54">
        <v>0</v>
      </c>
      <c r="Z103" s="57">
        <v>0</v>
      </c>
      <c r="AA103" s="54">
        <v>0</v>
      </c>
      <c r="AB103" s="57">
        <v>0</v>
      </c>
      <c r="AC103" s="238">
        <f t="shared" si="27"/>
        <v>87.560333333333332</v>
      </c>
      <c r="AD103" s="238"/>
      <c r="AE103" s="238"/>
    </row>
    <row r="104" spans="2:31" x14ac:dyDescent="0.3">
      <c r="B104" s="245" t="s">
        <v>13</v>
      </c>
      <c r="C104" s="245"/>
      <c r="D104" s="245"/>
      <c r="E104" s="54">
        <v>0</v>
      </c>
      <c r="F104" s="57">
        <v>0</v>
      </c>
      <c r="G104" s="54">
        <v>0</v>
      </c>
      <c r="H104" s="57">
        <v>0</v>
      </c>
      <c r="I104" s="54">
        <v>0</v>
      </c>
      <c r="J104" s="57">
        <v>0</v>
      </c>
      <c r="K104" s="54">
        <v>0</v>
      </c>
      <c r="L104" s="57">
        <v>0</v>
      </c>
      <c r="M104" s="54">
        <v>0</v>
      </c>
      <c r="N104" s="57">
        <v>0</v>
      </c>
      <c r="O104" s="54">
        <v>0</v>
      </c>
      <c r="P104" s="57">
        <v>0</v>
      </c>
      <c r="Q104" s="54">
        <v>0</v>
      </c>
      <c r="R104" s="57">
        <v>0</v>
      </c>
      <c r="S104" s="54">
        <v>0</v>
      </c>
      <c r="T104" s="57">
        <v>0</v>
      </c>
      <c r="U104" s="54">
        <v>0</v>
      </c>
      <c r="V104" s="57">
        <v>0</v>
      </c>
      <c r="W104" s="54">
        <v>1.012</v>
      </c>
      <c r="X104" s="57">
        <v>0</v>
      </c>
      <c r="Y104" s="54">
        <v>0</v>
      </c>
      <c r="Z104" s="57">
        <v>0</v>
      </c>
      <c r="AA104" s="54">
        <v>0</v>
      </c>
      <c r="AB104" s="57">
        <v>0</v>
      </c>
      <c r="AC104" s="238">
        <f t="shared" si="27"/>
        <v>1.012</v>
      </c>
      <c r="AD104" s="238"/>
      <c r="AE104" s="238"/>
    </row>
    <row r="105" spans="2:31" x14ac:dyDescent="0.3">
      <c r="B105" s="245" t="s">
        <v>14</v>
      </c>
      <c r="C105" s="245"/>
      <c r="D105" s="245"/>
      <c r="E105" s="54">
        <v>0</v>
      </c>
      <c r="F105" s="57">
        <v>0</v>
      </c>
      <c r="G105" s="54">
        <v>0</v>
      </c>
      <c r="H105" s="57">
        <v>0</v>
      </c>
      <c r="I105" s="54">
        <v>0</v>
      </c>
      <c r="J105" s="57">
        <v>0</v>
      </c>
      <c r="K105" s="54">
        <v>0</v>
      </c>
      <c r="L105" s="57">
        <v>0</v>
      </c>
      <c r="M105" s="54">
        <v>0</v>
      </c>
      <c r="N105" s="57">
        <v>0</v>
      </c>
      <c r="O105" s="54">
        <v>0</v>
      </c>
      <c r="P105" s="57">
        <v>0</v>
      </c>
      <c r="Q105" s="54">
        <v>0</v>
      </c>
      <c r="R105" s="57">
        <v>0</v>
      </c>
      <c r="S105" s="54">
        <v>0</v>
      </c>
      <c r="T105" s="57">
        <v>0</v>
      </c>
      <c r="U105" s="54">
        <v>0</v>
      </c>
      <c r="V105" s="57">
        <v>0</v>
      </c>
      <c r="W105" s="54">
        <v>0</v>
      </c>
      <c r="X105" s="57">
        <v>0</v>
      </c>
      <c r="Y105" s="54">
        <v>0</v>
      </c>
      <c r="Z105" s="57">
        <v>0</v>
      </c>
      <c r="AA105" s="54">
        <v>0</v>
      </c>
      <c r="AB105" s="57">
        <v>0</v>
      </c>
      <c r="AC105" s="238">
        <f t="shared" si="27"/>
        <v>0</v>
      </c>
      <c r="AD105" s="238"/>
      <c r="AE105" s="238"/>
    </row>
    <row r="106" spans="2:31" x14ac:dyDescent="0.3">
      <c r="B106" s="245" t="s">
        <v>15</v>
      </c>
      <c r="C106" s="245"/>
      <c r="D106" s="245"/>
      <c r="E106" s="54">
        <v>0</v>
      </c>
      <c r="F106" s="57">
        <v>0</v>
      </c>
      <c r="G106" s="54">
        <v>0</v>
      </c>
      <c r="H106" s="57">
        <v>0</v>
      </c>
      <c r="I106" s="54">
        <v>0</v>
      </c>
      <c r="J106" s="57">
        <v>0</v>
      </c>
      <c r="K106" s="54">
        <v>0</v>
      </c>
      <c r="L106" s="57">
        <v>0</v>
      </c>
      <c r="M106" s="54">
        <v>0</v>
      </c>
      <c r="N106" s="57">
        <v>0</v>
      </c>
      <c r="O106" s="54">
        <v>0</v>
      </c>
      <c r="P106" s="57">
        <v>0</v>
      </c>
      <c r="Q106" s="54">
        <v>0</v>
      </c>
      <c r="R106" s="57">
        <v>0</v>
      </c>
      <c r="S106" s="54">
        <v>0</v>
      </c>
      <c r="T106" s="57">
        <v>0</v>
      </c>
      <c r="U106" s="54">
        <v>0.69899999999999984</v>
      </c>
      <c r="V106" s="57">
        <v>19.657166666666672</v>
      </c>
      <c r="W106" s="54">
        <v>12.211166666666667</v>
      </c>
      <c r="X106" s="57">
        <v>0</v>
      </c>
      <c r="Y106" s="54">
        <v>0</v>
      </c>
      <c r="Z106" s="57">
        <v>0</v>
      </c>
      <c r="AA106" s="54">
        <v>0</v>
      </c>
      <c r="AB106" s="57">
        <v>0</v>
      </c>
      <c r="AC106" s="238">
        <f t="shared" si="27"/>
        <v>32.567333333333337</v>
      </c>
      <c r="AD106" s="238"/>
      <c r="AE106" s="238"/>
    </row>
    <row r="107" spans="2:31" x14ac:dyDescent="0.3">
      <c r="B107" s="245" t="s">
        <v>16</v>
      </c>
      <c r="C107" s="245"/>
      <c r="D107" s="245"/>
      <c r="E107" s="54">
        <v>0</v>
      </c>
      <c r="F107" s="57">
        <v>0</v>
      </c>
      <c r="G107" s="54">
        <v>0</v>
      </c>
      <c r="H107" s="57">
        <v>0</v>
      </c>
      <c r="I107" s="54">
        <v>0</v>
      </c>
      <c r="J107" s="57">
        <v>0</v>
      </c>
      <c r="K107" s="54">
        <v>0</v>
      </c>
      <c r="L107" s="57">
        <v>0</v>
      </c>
      <c r="M107" s="54">
        <v>0</v>
      </c>
      <c r="N107" s="57">
        <v>0</v>
      </c>
      <c r="O107" s="54">
        <v>0</v>
      </c>
      <c r="P107" s="57">
        <v>0</v>
      </c>
      <c r="Q107" s="54">
        <v>0</v>
      </c>
      <c r="R107" s="57">
        <v>0</v>
      </c>
      <c r="S107" s="54">
        <v>0</v>
      </c>
      <c r="T107" s="57">
        <v>0</v>
      </c>
      <c r="U107" s="54">
        <v>0</v>
      </c>
      <c r="V107" s="57">
        <v>0</v>
      </c>
      <c r="W107" s="54">
        <v>0</v>
      </c>
      <c r="X107" s="57">
        <v>0</v>
      </c>
      <c r="Y107" s="54">
        <v>0</v>
      </c>
      <c r="Z107" s="57">
        <v>0</v>
      </c>
      <c r="AA107" s="54">
        <v>0</v>
      </c>
      <c r="AB107" s="57">
        <v>0</v>
      </c>
      <c r="AC107" s="238">
        <f t="shared" si="27"/>
        <v>0</v>
      </c>
      <c r="AD107" s="238"/>
      <c r="AE107" s="238"/>
    </row>
    <row r="108" spans="2:31" x14ac:dyDescent="0.3">
      <c r="B108" s="245" t="s">
        <v>17</v>
      </c>
      <c r="C108" s="245"/>
      <c r="D108" s="245"/>
      <c r="E108" s="54">
        <v>0</v>
      </c>
      <c r="F108" s="57">
        <v>0</v>
      </c>
      <c r="G108" s="54">
        <v>0</v>
      </c>
      <c r="H108" s="57">
        <v>0</v>
      </c>
      <c r="I108" s="54">
        <v>0</v>
      </c>
      <c r="J108" s="57">
        <v>0</v>
      </c>
      <c r="K108" s="54">
        <v>0</v>
      </c>
      <c r="L108" s="57">
        <v>0</v>
      </c>
      <c r="M108" s="54">
        <v>0</v>
      </c>
      <c r="N108" s="57">
        <v>0</v>
      </c>
      <c r="O108" s="54">
        <v>0</v>
      </c>
      <c r="P108" s="57">
        <v>0</v>
      </c>
      <c r="Q108" s="54">
        <v>0</v>
      </c>
      <c r="R108" s="57">
        <v>0</v>
      </c>
      <c r="S108" s="54">
        <v>0</v>
      </c>
      <c r="T108" s="57">
        <v>0</v>
      </c>
      <c r="U108" s="54">
        <v>5.1286666666666667</v>
      </c>
      <c r="V108" s="57">
        <v>0</v>
      </c>
      <c r="W108" s="54">
        <v>0</v>
      </c>
      <c r="X108" s="57">
        <v>0</v>
      </c>
      <c r="Y108" s="54">
        <v>0</v>
      </c>
      <c r="Z108" s="57">
        <v>0</v>
      </c>
      <c r="AA108" s="54">
        <v>0</v>
      </c>
      <c r="AB108" s="57">
        <v>0</v>
      </c>
      <c r="AC108" s="238">
        <f t="shared" si="27"/>
        <v>5.1286666666666667</v>
      </c>
      <c r="AD108" s="238"/>
      <c r="AE108" s="238"/>
    </row>
    <row r="109" spans="2:31" x14ac:dyDescent="0.3">
      <c r="B109" s="245" t="s">
        <v>18</v>
      </c>
      <c r="C109" s="245"/>
      <c r="D109" s="245"/>
      <c r="E109" s="54">
        <v>0</v>
      </c>
      <c r="F109" s="57">
        <v>0</v>
      </c>
      <c r="G109" s="54">
        <v>0</v>
      </c>
      <c r="H109" s="57">
        <v>0</v>
      </c>
      <c r="I109" s="54">
        <v>0</v>
      </c>
      <c r="J109" s="57">
        <v>0</v>
      </c>
      <c r="K109" s="54">
        <v>0</v>
      </c>
      <c r="L109" s="57">
        <v>0</v>
      </c>
      <c r="M109" s="54">
        <v>0</v>
      </c>
      <c r="N109" s="57">
        <v>0</v>
      </c>
      <c r="O109" s="54">
        <v>0</v>
      </c>
      <c r="P109" s="57">
        <v>0</v>
      </c>
      <c r="Q109" s="54">
        <v>0</v>
      </c>
      <c r="R109" s="57">
        <v>0</v>
      </c>
      <c r="S109" s="54">
        <v>0</v>
      </c>
      <c r="T109" s="57">
        <v>0</v>
      </c>
      <c r="U109" s="54">
        <v>0</v>
      </c>
      <c r="V109" s="57">
        <v>0</v>
      </c>
      <c r="W109" s="54">
        <v>0</v>
      </c>
      <c r="X109" s="57">
        <v>0</v>
      </c>
      <c r="Y109" s="54">
        <v>0</v>
      </c>
      <c r="Z109" s="57">
        <v>0</v>
      </c>
      <c r="AA109" s="54">
        <v>0</v>
      </c>
      <c r="AB109" s="57">
        <v>0</v>
      </c>
      <c r="AC109" s="238">
        <f t="shared" si="27"/>
        <v>0</v>
      </c>
      <c r="AD109" s="238"/>
      <c r="AE109" s="238"/>
    </row>
    <row r="110" spans="2:31" x14ac:dyDescent="0.3">
      <c r="B110" s="245" t="s">
        <v>19</v>
      </c>
      <c r="C110" s="245"/>
      <c r="D110" s="245"/>
      <c r="E110" s="54">
        <v>0</v>
      </c>
      <c r="F110" s="57">
        <v>0</v>
      </c>
      <c r="G110" s="54">
        <v>0</v>
      </c>
      <c r="H110" s="57">
        <v>0</v>
      </c>
      <c r="I110" s="54">
        <v>0</v>
      </c>
      <c r="J110" s="57">
        <v>0</v>
      </c>
      <c r="K110" s="54">
        <v>0</v>
      </c>
      <c r="L110" s="57">
        <v>0</v>
      </c>
      <c r="M110" s="54">
        <v>0</v>
      </c>
      <c r="N110" s="57">
        <v>0</v>
      </c>
      <c r="O110" s="54">
        <v>0</v>
      </c>
      <c r="P110" s="57">
        <v>0</v>
      </c>
      <c r="Q110" s="54">
        <v>0</v>
      </c>
      <c r="R110" s="57">
        <v>0</v>
      </c>
      <c r="S110" s="54">
        <v>0</v>
      </c>
      <c r="T110" s="57">
        <v>0</v>
      </c>
      <c r="U110" s="54">
        <v>0</v>
      </c>
      <c r="V110" s="57">
        <v>0</v>
      </c>
      <c r="W110" s="54">
        <v>0</v>
      </c>
      <c r="X110" s="57">
        <v>0</v>
      </c>
      <c r="Y110" s="54">
        <v>0</v>
      </c>
      <c r="Z110" s="57">
        <v>0</v>
      </c>
      <c r="AA110" s="54">
        <v>0</v>
      </c>
      <c r="AB110" s="57">
        <v>0</v>
      </c>
      <c r="AC110" s="238">
        <f t="shared" si="27"/>
        <v>0</v>
      </c>
      <c r="AD110" s="238"/>
      <c r="AE110" s="238"/>
    </row>
    <row r="111" spans="2:31" x14ac:dyDescent="0.3">
      <c r="B111" s="245" t="s">
        <v>20</v>
      </c>
      <c r="C111" s="245"/>
      <c r="D111" s="245"/>
      <c r="E111" s="54">
        <v>0</v>
      </c>
      <c r="F111" s="57">
        <v>0</v>
      </c>
      <c r="G111" s="54">
        <v>0</v>
      </c>
      <c r="H111" s="57">
        <v>0</v>
      </c>
      <c r="I111" s="54">
        <v>0</v>
      </c>
      <c r="J111" s="57">
        <v>0</v>
      </c>
      <c r="K111" s="54">
        <v>0</v>
      </c>
      <c r="L111" s="57">
        <v>0</v>
      </c>
      <c r="M111" s="54">
        <v>0</v>
      </c>
      <c r="N111" s="57">
        <v>0</v>
      </c>
      <c r="O111" s="54">
        <v>0</v>
      </c>
      <c r="P111" s="57">
        <v>0</v>
      </c>
      <c r="Q111" s="54">
        <v>0</v>
      </c>
      <c r="R111" s="57">
        <v>0</v>
      </c>
      <c r="S111" s="54">
        <v>0</v>
      </c>
      <c r="T111" s="57">
        <v>0</v>
      </c>
      <c r="U111" s="54">
        <v>4.194</v>
      </c>
      <c r="V111" s="57">
        <v>24.47000000000002</v>
      </c>
      <c r="W111" s="54">
        <v>10.668000000000001</v>
      </c>
      <c r="X111" s="57">
        <v>0</v>
      </c>
      <c r="Y111" s="54">
        <v>0</v>
      </c>
      <c r="Z111" s="57">
        <v>0</v>
      </c>
      <c r="AA111" s="54">
        <v>0</v>
      </c>
      <c r="AB111" s="57">
        <v>0</v>
      </c>
      <c r="AC111" s="238">
        <f t="shared" si="27"/>
        <v>39.332000000000022</v>
      </c>
      <c r="AD111" s="238"/>
      <c r="AE111" s="238"/>
    </row>
    <row r="112" spans="2:31" x14ac:dyDescent="0.3">
      <c r="B112" s="245" t="s">
        <v>21</v>
      </c>
      <c r="C112" s="245"/>
      <c r="D112" s="245"/>
      <c r="E112" s="54">
        <v>0</v>
      </c>
      <c r="F112" s="57">
        <v>0</v>
      </c>
      <c r="G112" s="54">
        <v>0</v>
      </c>
      <c r="H112" s="57">
        <v>0</v>
      </c>
      <c r="I112" s="54">
        <v>0</v>
      </c>
      <c r="J112" s="57">
        <v>0</v>
      </c>
      <c r="K112" s="54">
        <v>0</v>
      </c>
      <c r="L112" s="57">
        <v>0</v>
      </c>
      <c r="M112" s="54">
        <v>0</v>
      </c>
      <c r="N112" s="57">
        <v>0</v>
      </c>
      <c r="O112" s="54">
        <v>0</v>
      </c>
      <c r="P112" s="57">
        <v>0</v>
      </c>
      <c r="Q112" s="54">
        <v>0</v>
      </c>
      <c r="R112" s="57">
        <v>0</v>
      </c>
      <c r="S112" s="54">
        <v>0</v>
      </c>
      <c r="T112" s="57">
        <v>0</v>
      </c>
      <c r="U112" s="54">
        <v>1.6455000000000004</v>
      </c>
      <c r="V112" s="57">
        <v>13.228833333333338</v>
      </c>
      <c r="W112" s="54">
        <v>2.5003333333333333</v>
      </c>
      <c r="X112" s="57">
        <v>0</v>
      </c>
      <c r="Y112" s="54">
        <v>0</v>
      </c>
      <c r="Z112" s="57">
        <v>0</v>
      </c>
      <c r="AA112" s="54">
        <v>0</v>
      </c>
      <c r="AB112" s="57">
        <v>0</v>
      </c>
      <c r="AC112" s="238">
        <f t="shared" si="27"/>
        <v>17.37466666666667</v>
      </c>
      <c r="AD112" s="238"/>
      <c r="AE112" s="238"/>
    </row>
    <row r="113" spans="2:31" x14ac:dyDescent="0.3">
      <c r="B113" s="245" t="s">
        <v>22</v>
      </c>
      <c r="C113" s="245"/>
      <c r="D113" s="245"/>
      <c r="E113" s="54">
        <v>0</v>
      </c>
      <c r="F113" s="57">
        <v>0</v>
      </c>
      <c r="G113" s="54">
        <v>0</v>
      </c>
      <c r="H113" s="57">
        <v>0</v>
      </c>
      <c r="I113" s="54">
        <v>0</v>
      </c>
      <c r="J113" s="57">
        <v>0</v>
      </c>
      <c r="K113" s="54">
        <v>0</v>
      </c>
      <c r="L113" s="57">
        <v>0</v>
      </c>
      <c r="M113" s="54">
        <v>0</v>
      </c>
      <c r="N113" s="57">
        <v>0</v>
      </c>
      <c r="O113" s="54">
        <v>0</v>
      </c>
      <c r="P113" s="57">
        <v>0</v>
      </c>
      <c r="Q113" s="54">
        <v>0</v>
      </c>
      <c r="R113" s="57">
        <v>0</v>
      </c>
      <c r="S113" s="54">
        <v>0</v>
      </c>
      <c r="T113" s="57">
        <v>0</v>
      </c>
      <c r="U113" s="54">
        <v>0.52599999999999991</v>
      </c>
      <c r="V113" s="57">
        <v>2.4944999999999999</v>
      </c>
      <c r="W113" s="54">
        <v>1.0083333333333333</v>
      </c>
      <c r="X113" s="57">
        <v>0</v>
      </c>
      <c r="Y113" s="54">
        <v>0</v>
      </c>
      <c r="Z113" s="57">
        <v>0</v>
      </c>
      <c r="AA113" s="54">
        <v>0</v>
      </c>
      <c r="AB113" s="57">
        <v>0</v>
      </c>
      <c r="AC113" s="238">
        <f t="shared" si="27"/>
        <v>4.028833333333333</v>
      </c>
      <c r="AD113" s="238"/>
      <c r="AE113" s="238"/>
    </row>
    <row r="114" spans="2:31" x14ac:dyDescent="0.3">
      <c r="B114" s="245" t="s">
        <v>23</v>
      </c>
      <c r="C114" s="245"/>
      <c r="D114" s="245"/>
      <c r="E114" s="54">
        <v>0</v>
      </c>
      <c r="F114" s="57">
        <v>0</v>
      </c>
      <c r="G114" s="54">
        <v>0</v>
      </c>
      <c r="H114" s="57">
        <v>0</v>
      </c>
      <c r="I114" s="54">
        <v>0</v>
      </c>
      <c r="J114" s="57">
        <v>0</v>
      </c>
      <c r="K114" s="54">
        <v>0</v>
      </c>
      <c r="L114" s="57">
        <v>0</v>
      </c>
      <c r="M114" s="54">
        <v>0</v>
      </c>
      <c r="N114" s="57">
        <v>0</v>
      </c>
      <c r="O114" s="54">
        <v>0</v>
      </c>
      <c r="P114" s="57">
        <v>0</v>
      </c>
      <c r="Q114" s="54">
        <v>0</v>
      </c>
      <c r="R114" s="57">
        <v>0</v>
      </c>
      <c r="S114" s="54">
        <v>0</v>
      </c>
      <c r="T114" s="57">
        <v>0</v>
      </c>
      <c r="U114" s="54">
        <v>0</v>
      </c>
      <c r="V114" s="57">
        <v>0.18833333333333335</v>
      </c>
      <c r="W114" s="54">
        <v>1.3781666666666665</v>
      </c>
      <c r="X114" s="57">
        <v>0</v>
      </c>
      <c r="Y114" s="54">
        <v>0</v>
      </c>
      <c r="Z114" s="57">
        <v>0</v>
      </c>
      <c r="AA114" s="54">
        <v>0</v>
      </c>
      <c r="AB114" s="57">
        <v>0</v>
      </c>
      <c r="AC114" s="238">
        <f t="shared" si="27"/>
        <v>1.5665</v>
      </c>
      <c r="AD114" s="238"/>
      <c r="AE114" s="238"/>
    </row>
    <row r="115" spans="2:31" x14ac:dyDescent="0.3">
      <c r="B115" s="245" t="s">
        <v>24</v>
      </c>
      <c r="C115" s="245"/>
      <c r="D115" s="245"/>
      <c r="E115" s="54">
        <v>0</v>
      </c>
      <c r="F115" s="57">
        <v>0</v>
      </c>
      <c r="G115" s="54">
        <v>0</v>
      </c>
      <c r="H115" s="57">
        <v>0</v>
      </c>
      <c r="I115" s="54">
        <v>0</v>
      </c>
      <c r="J115" s="57">
        <v>0</v>
      </c>
      <c r="K115" s="54">
        <v>0</v>
      </c>
      <c r="L115" s="57">
        <v>0</v>
      </c>
      <c r="M115" s="54">
        <v>0</v>
      </c>
      <c r="N115" s="57">
        <v>0</v>
      </c>
      <c r="O115" s="54">
        <v>0</v>
      </c>
      <c r="P115" s="57">
        <v>0</v>
      </c>
      <c r="Q115" s="54">
        <v>0</v>
      </c>
      <c r="R115" s="57">
        <v>0</v>
      </c>
      <c r="S115" s="54">
        <v>0</v>
      </c>
      <c r="T115" s="57">
        <v>0</v>
      </c>
      <c r="U115" s="54">
        <v>1.3888333333333334</v>
      </c>
      <c r="V115" s="57">
        <v>10.725666666666667</v>
      </c>
      <c r="W115" s="54">
        <v>1.5658333333333334</v>
      </c>
      <c r="X115" s="57">
        <v>0</v>
      </c>
      <c r="Y115" s="54">
        <v>0</v>
      </c>
      <c r="Z115" s="57">
        <v>0</v>
      </c>
      <c r="AA115" s="54">
        <v>0</v>
      </c>
      <c r="AB115" s="57">
        <v>0</v>
      </c>
      <c r="AC115" s="238">
        <f t="shared" si="27"/>
        <v>13.680333333333333</v>
      </c>
      <c r="AD115" s="238"/>
      <c r="AE115" s="238"/>
    </row>
    <row r="116" spans="2:31" x14ac:dyDescent="0.3">
      <c r="B116" s="245" t="s">
        <v>25</v>
      </c>
      <c r="C116" s="245"/>
      <c r="D116" s="245"/>
      <c r="E116" s="54">
        <v>0</v>
      </c>
      <c r="F116" s="57">
        <v>0</v>
      </c>
      <c r="G116" s="54">
        <v>0</v>
      </c>
      <c r="H116" s="57">
        <v>0</v>
      </c>
      <c r="I116" s="54">
        <v>0</v>
      </c>
      <c r="J116" s="57">
        <v>0</v>
      </c>
      <c r="K116" s="54">
        <v>0</v>
      </c>
      <c r="L116" s="57">
        <v>0</v>
      </c>
      <c r="M116" s="54">
        <v>0</v>
      </c>
      <c r="N116" s="57">
        <v>0</v>
      </c>
      <c r="O116" s="54">
        <v>0</v>
      </c>
      <c r="P116" s="57">
        <v>0</v>
      </c>
      <c r="Q116" s="54">
        <v>0</v>
      </c>
      <c r="R116" s="57">
        <v>0</v>
      </c>
      <c r="S116" s="54">
        <v>0</v>
      </c>
      <c r="T116" s="57">
        <v>0</v>
      </c>
      <c r="U116" s="54">
        <v>0</v>
      </c>
      <c r="V116" s="57">
        <v>0</v>
      </c>
      <c r="W116" s="54">
        <v>0</v>
      </c>
      <c r="X116" s="57">
        <v>0</v>
      </c>
      <c r="Y116" s="54">
        <v>0</v>
      </c>
      <c r="Z116" s="57">
        <v>0</v>
      </c>
      <c r="AA116" s="54">
        <v>0</v>
      </c>
      <c r="AB116" s="57">
        <v>0</v>
      </c>
      <c r="AC116" s="238">
        <f t="shared" si="27"/>
        <v>0</v>
      </c>
      <c r="AD116" s="238"/>
      <c r="AE116" s="238"/>
    </row>
    <row r="117" spans="2:31" x14ac:dyDescent="0.3">
      <c r="B117" s="245" t="s">
        <v>26</v>
      </c>
      <c r="C117" s="245"/>
      <c r="D117" s="245"/>
      <c r="E117" s="54">
        <v>0</v>
      </c>
      <c r="F117" s="57">
        <v>0</v>
      </c>
      <c r="G117" s="54">
        <v>0</v>
      </c>
      <c r="H117" s="57">
        <v>0</v>
      </c>
      <c r="I117" s="54">
        <v>0</v>
      </c>
      <c r="J117" s="57">
        <v>0</v>
      </c>
      <c r="K117" s="54">
        <v>0</v>
      </c>
      <c r="L117" s="57">
        <v>0</v>
      </c>
      <c r="M117" s="54">
        <v>0</v>
      </c>
      <c r="N117" s="57">
        <v>0</v>
      </c>
      <c r="O117" s="54">
        <v>0</v>
      </c>
      <c r="P117" s="57">
        <v>0</v>
      </c>
      <c r="Q117" s="54">
        <v>0</v>
      </c>
      <c r="R117" s="57">
        <v>0</v>
      </c>
      <c r="S117" s="54">
        <v>0</v>
      </c>
      <c r="T117" s="57">
        <v>0</v>
      </c>
      <c r="U117" s="54">
        <v>0</v>
      </c>
      <c r="V117" s="57">
        <v>0</v>
      </c>
      <c r="W117" s="54">
        <v>0</v>
      </c>
      <c r="X117" s="57">
        <v>0</v>
      </c>
      <c r="Y117" s="54">
        <v>0</v>
      </c>
      <c r="Z117" s="57">
        <v>0</v>
      </c>
      <c r="AA117" s="54">
        <v>0</v>
      </c>
      <c r="AB117" s="57">
        <v>0</v>
      </c>
      <c r="AC117" s="238">
        <f t="shared" si="27"/>
        <v>0</v>
      </c>
      <c r="AD117" s="238"/>
      <c r="AE117" s="238"/>
    </row>
    <row r="118" spans="2:31" x14ac:dyDescent="0.3">
      <c r="B118" s="245" t="s">
        <v>27</v>
      </c>
      <c r="C118" s="245"/>
      <c r="D118" s="245"/>
      <c r="E118" s="54">
        <v>0</v>
      </c>
      <c r="F118" s="57">
        <v>0</v>
      </c>
      <c r="G118" s="54">
        <v>0</v>
      </c>
      <c r="H118" s="57">
        <v>0</v>
      </c>
      <c r="I118" s="54">
        <v>0</v>
      </c>
      <c r="J118" s="57">
        <v>0</v>
      </c>
      <c r="K118" s="54">
        <v>0</v>
      </c>
      <c r="L118" s="57">
        <v>0</v>
      </c>
      <c r="M118" s="54">
        <v>0</v>
      </c>
      <c r="N118" s="57">
        <v>0</v>
      </c>
      <c r="O118" s="54">
        <v>0</v>
      </c>
      <c r="P118" s="57">
        <v>0</v>
      </c>
      <c r="Q118" s="54">
        <v>0</v>
      </c>
      <c r="R118" s="57">
        <v>0</v>
      </c>
      <c r="S118" s="54">
        <v>0</v>
      </c>
      <c r="T118" s="57">
        <v>0</v>
      </c>
      <c r="U118" s="54">
        <v>0</v>
      </c>
      <c r="V118" s="57">
        <v>0</v>
      </c>
      <c r="W118" s="54">
        <v>0</v>
      </c>
      <c r="X118" s="57">
        <v>0</v>
      </c>
      <c r="Y118" s="54">
        <v>0</v>
      </c>
      <c r="Z118" s="57">
        <v>0</v>
      </c>
      <c r="AA118" s="54">
        <v>0</v>
      </c>
      <c r="AB118" s="57">
        <v>0</v>
      </c>
      <c r="AC118" s="238">
        <f t="shared" si="27"/>
        <v>0</v>
      </c>
      <c r="AD118" s="238"/>
      <c r="AE118" s="238"/>
    </row>
    <row r="119" spans="2:31" x14ac:dyDescent="0.3">
      <c r="B119" s="245" t="s">
        <v>28</v>
      </c>
      <c r="C119" s="245"/>
      <c r="D119" s="245"/>
      <c r="E119" s="54">
        <v>0</v>
      </c>
      <c r="F119" s="57">
        <v>0</v>
      </c>
      <c r="G119" s="54">
        <v>0</v>
      </c>
      <c r="H119" s="57">
        <v>0</v>
      </c>
      <c r="I119" s="54">
        <v>0</v>
      </c>
      <c r="J119" s="57">
        <v>0</v>
      </c>
      <c r="K119" s="54">
        <v>0</v>
      </c>
      <c r="L119" s="57">
        <v>0</v>
      </c>
      <c r="M119" s="54">
        <v>0</v>
      </c>
      <c r="N119" s="57">
        <v>0</v>
      </c>
      <c r="O119" s="54">
        <v>0</v>
      </c>
      <c r="P119" s="57">
        <v>0</v>
      </c>
      <c r="Q119" s="54">
        <v>0</v>
      </c>
      <c r="R119" s="57">
        <v>0</v>
      </c>
      <c r="S119" s="54">
        <v>0</v>
      </c>
      <c r="T119" s="57">
        <v>0</v>
      </c>
      <c r="U119" s="54">
        <v>0</v>
      </c>
      <c r="V119" s="57">
        <v>0</v>
      </c>
      <c r="W119" s="54">
        <v>0</v>
      </c>
      <c r="X119" s="57">
        <v>0</v>
      </c>
      <c r="Y119" s="54">
        <v>0</v>
      </c>
      <c r="Z119" s="57">
        <v>0</v>
      </c>
      <c r="AA119" s="54">
        <v>0</v>
      </c>
      <c r="AB119" s="57">
        <v>0</v>
      </c>
      <c r="AC119" s="238">
        <f t="shared" si="27"/>
        <v>0</v>
      </c>
      <c r="AD119" s="238"/>
      <c r="AE119" s="238"/>
    </row>
    <row r="120" spans="2:31" x14ac:dyDescent="0.3">
      <c r="B120" s="245" t="s">
        <v>92</v>
      </c>
      <c r="C120" s="245"/>
      <c r="D120" s="245"/>
      <c r="E120" s="54">
        <v>0</v>
      </c>
      <c r="F120" s="57">
        <v>0</v>
      </c>
      <c r="G120" s="54">
        <v>0</v>
      </c>
      <c r="H120" s="57">
        <v>0</v>
      </c>
      <c r="I120" s="54">
        <v>0</v>
      </c>
      <c r="J120" s="57">
        <v>0</v>
      </c>
      <c r="K120" s="54">
        <v>0</v>
      </c>
      <c r="L120" s="57">
        <v>0</v>
      </c>
      <c r="M120" s="54">
        <v>0</v>
      </c>
      <c r="N120" s="57">
        <v>0</v>
      </c>
      <c r="O120" s="54">
        <v>0</v>
      </c>
      <c r="P120" s="57">
        <v>0</v>
      </c>
      <c r="Q120" s="54">
        <v>0</v>
      </c>
      <c r="R120" s="57">
        <v>0</v>
      </c>
      <c r="S120" s="54">
        <v>0</v>
      </c>
      <c r="T120" s="57">
        <v>0</v>
      </c>
      <c r="U120" s="54">
        <v>0</v>
      </c>
      <c r="V120" s="57">
        <v>0</v>
      </c>
      <c r="W120" s="54">
        <v>0</v>
      </c>
      <c r="X120" s="57">
        <v>0</v>
      </c>
      <c r="Y120" s="54">
        <v>0</v>
      </c>
      <c r="Z120" s="57">
        <v>0</v>
      </c>
      <c r="AA120" s="54">
        <v>0</v>
      </c>
      <c r="AB120" s="57">
        <v>0</v>
      </c>
      <c r="AC120" s="238">
        <f t="shared" si="27"/>
        <v>0</v>
      </c>
      <c r="AD120" s="238"/>
      <c r="AE120" s="238"/>
    </row>
    <row r="121" spans="2:31" x14ac:dyDescent="0.3">
      <c r="B121" s="245" t="s">
        <v>29</v>
      </c>
      <c r="C121" s="245"/>
      <c r="D121" s="245"/>
      <c r="E121" s="54">
        <v>0</v>
      </c>
      <c r="F121" s="57">
        <v>0</v>
      </c>
      <c r="G121" s="54">
        <v>0</v>
      </c>
      <c r="H121" s="57">
        <v>0</v>
      </c>
      <c r="I121" s="54">
        <v>0</v>
      </c>
      <c r="J121" s="57">
        <v>0</v>
      </c>
      <c r="K121" s="54">
        <v>0</v>
      </c>
      <c r="L121" s="57">
        <v>0</v>
      </c>
      <c r="M121" s="54">
        <v>0</v>
      </c>
      <c r="N121" s="57">
        <v>0</v>
      </c>
      <c r="O121" s="54">
        <v>0</v>
      </c>
      <c r="P121" s="57">
        <v>0</v>
      </c>
      <c r="Q121" s="54">
        <v>0</v>
      </c>
      <c r="R121" s="57">
        <v>0</v>
      </c>
      <c r="S121" s="54">
        <v>0</v>
      </c>
      <c r="T121" s="57">
        <v>0</v>
      </c>
      <c r="U121" s="54">
        <v>0</v>
      </c>
      <c r="V121" s="57">
        <v>0</v>
      </c>
      <c r="W121" s="54">
        <v>0</v>
      </c>
      <c r="X121" s="57">
        <v>0</v>
      </c>
      <c r="Y121" s="54">
        <v>0</v>
      </c>
      <c r="Z121" s="57">
        <v>0</v>
      </c>
      <c r="AA121" s="54">
        <v>0</v>
      </c>
      <c r="AB121" s="57">
        <v>0</v>
      </c>
      <c r="AC121" s="238">
        <f t="shared" si="27"/>
        <v>0</v>
      </c>
      <c r="AD121" s="238"/>
      <c r="AE121" s="238"/>
    </row>
    <row r="122" spans="2:31" x14ac:dyDescent="0.3">
      <c r="B122" s="245" t="s">
        <v>30</v>
      </c>
      <c r="C122" s="245"/>
      <c r="D122" s="245"/>
      <c r="E122" s="54">
        <v>0</v>
      </c>
      <c r="F122" s="57">
        <v>0</v>
      </c>
      <c r="G122" s="54">
        <v>0</v>
      </c>
      <c r="H122" s="57">
        <v>0</v>
      </c>
      <c r="I122" s="54">
        <v>0</v>
      </c>
      <c r="J122" s="57">
        <v>0</v>
      </c>
      <c r="K122" s="54">
        <v>0</v>
      </c>
      <c r="L122" s="57">
        <v>0</v>
      </c>
      <c r="M122" s="54">
        <v>0</v>
      </c>
      <c r="N122" s="57">
        <v>0</v>
      </c>
      <c r="O122" s="54">
        <v>0</v>
      </c>
      <c r="P122" s="57">
        <v>0</v>
      </c>
      <c r="Q122" s="54">
        <v>0</v>
      </c>
      <c r="R122" s="57">
        <v>0</v>
      </c>
      <c r="S122" s="54">
        <v>0</v>
      </c>
      <c r="T122" s="57">
        <v>0</v>
      </c>
      <c r="U122" s="54">
        <v>0</v>
      </c>
      <c r="V122" s="57">
        <v>0</v>
      </c>
      <c r="W122" s="54">
        <v>0</v>
      </c>
      <c r="X122" s="57">
        <v>0</v>
      </c>
      <c r="Y122" s="54">
        <v>0</v>
      </c>
      <c r="Z122" s="57">
        <v>0</v>
      </c>
      <c r="AA122" s="54">
        <v>0</v>
      </c>
      <c r="AB122" s="57">
        <v>0</v>
      </c>
      <c r="AC122" s="238">
        <f t="shared" si="27"/>
        <v>0</v>
      </c>
      <c r="AD122" s="238"/>
      <c r="AE122" s="238"/>
    </row>
    <row r="123" spans="2:31" x14ac:dyDescent="0.3">
      <c r="B123" s="245" t="s">
        <v>31</v>
      </c>
      <c r="C123" s="245"/>
      <c r="D123" s="245"/>
      <c r="E123" s="54">
        <v>0</v>
      </c>
      <c r="F123" s="57">
        <v>0</v>
      </c>
      <c r="G123" s="54">
        <v>0</v>
      </c>
      <c r="H123" s="57">
        <v>0</v>
      </c>
      <c r="I123" s="54">
        <v>0</v>
      </c>
      <c r="J123" s="57">
        <v>0</v>
      </c>
      <c r="K123" s="54">
        <v>0</v>
      </c>
      <c r="L123" s="57">
        <v>0</v>
      </c>
      <c r="M123" s="54">
        <v>0</v>
      </c>
      <c r="N123" s="57">
        <v>0</v>
      </c>
      <c r="O123" s="54">
        <v>0</v>
      </c>
      <c r="P123" s="57">
        <v>0</v>
      </c>
      <c r="Q123" s="54">
        <v>0</v>
      </c>
      <c r="R123" s="57">
        <v>0</v>
      </c>
      <c r="S123" s="54">
        <v>0</v>
      </c>
      <c r="T123" s="57">
        <v>0</v>
      </c>
      <c r="U123" s="54">
        <v>0</v>
      </c>
      <c r="V123" s="57">
        <v>0</v>
      </c>
      <c r="W123" s="54">
        <v>0</v>
      </c>
      <c r="X123" s="57">
        <v>0</v>
      </c>
      <c r="Y123" s="54">
        <v>0</v>
      </c>
      <c r="Z123" s="57">
        <v>0</v>
      </c>
      <c r="AA123" s="54">
        <v>0</v>
      </c>
      <c r="AB123" s="57">
        <v>0</v>
      </c>
      <c r="AC123" s="238">
        <f t="shared" si="27"/>
        <v>0</v>
      </c>
      <c r="AD123" s="238"/>
      <c r="AE123" s="238"/>
    </row>
    <row r="124" spans="2:31" x14ac:dyDescent="0.3">
      <c r="B124" s="245" t="s">
        <v>32</v>
      </c>
      <c r="C124" s="245"/>
      <c r="D124" s="245"/>
      <c r="E124" s="54">
        <v>0</v>
      </c>
      <c r="F124" s="57">
        <v>0</v>
      </c>
      <c r="G124" s="54">
        <v>0</v>
      </c>
      <c r="H124" s="57">
        <v>0</v>
      </c>
      <c r="I124" s="54">
        <v>0</v>
      </c>
      <c r="J124" s="57">
        <v>0</v>
      </c>
      <c r="K124" s="54">
        <v>0</v>
      </c>
      <c r="L124" s="57">
        <v>0</v>
      </c>
      <c r="M124" s="54">
        <v>0</v>
      </c>
      <c r="N124" s="57">
        <v>0</v>
      </c>
      <c r="O124" s="54">
        <v>0</v>
      </c>
      <c r="P124" s="57">
        <v>0</v>
      </c>
      <c r="Q124" s="54">
        <v>0</v>
      </c>
      <c r="R124" s="57">
        <v>0</v>
      </c>
      <c r="S124" s="54">
        <v>0</v>
      </c>
      <c r="T124" s="57">
        <v>0</v>
      </c>
      <c r="U124" s="54">
        <v>0</v>
      </c>
      <c r="V124" s="57">
        <v>0</v>
      </c>
      <c r="W124" s="54">
        <v>0</v>
      </c>
      <c r="X124" s="57">
        <v>0</v>
      </c>
      <c r="Y124" s="54">
        <v>0</v>
      </c>
      <c r="Z124" s="57">
        <v>0</v>
      </c>
      <c r="AA124" s="54">
        <v>0</v>
      </c>
      <c r="AB124" s="57">
        <v>0</v>
      </c>
      <c r="AC124" s="238">
        <f t="shared" si="27"/>
        <v>0</v>
      </c>
      <c r="AD124" s="238"/>
      <c r="AE124" s="238"/>
    </row>
    <row r="125" spans="2:31" x14ac:dyDescent="0.3">
      <c r="B125" s="245" t="s">
        <v>33</v>
      </c>
      <c r="C125" s="245"/>
      <c r="D125" s="245"/>
      <c r="E125" s="54">
        <v>0</v>
      </c>
      <c r="F125" s="57">
        <v>0</v>
      </c>
      <c r="G125" s="54">
        <v>0</v>
      </c>
      <c r="H125" s="57">
        <v>0</v>
      </c>
      <c r="I125" s="54">
        <v>0</v>
      </c>
      <c r="J125" s="57">
        <v>0</v>
      </c>
      <c r="K125" s="54">
        <v>0</v>
      </c>
      <c r="L125" s="57">
        <v>0</v>
      </c>
      <c r="M125" s="54">
        <v>0</v>
      </c>
      <c r="N125" s="57">
        <v>0</v>
      </c>
      <c r="O125" s="54">
        <v>0</v>
      </c>
      <c r="P125" s="57">
        <v>0</v>
      </c>
      <c r="Q125" s="54">
        <v>0</v>
      </c>
      <c r="R125" s="57">
        <v>0</v>
      </c>
      <c r="S125" s="54">
        <v>0</v>
      </c>
      <c r="T125" s="57">
        <v>0</v>
      </c>
      <c r="U125" s="54">
        <v>0</v>
      </c>
      <c r="V125" s="57">
        <v>0</v>
      </c>
      <c r="W125" s="54">
        <v>0</v>
      </c>
      <c r="X125" s="57">
        <v>0</v>
      </c>
      <c r="Y125" s="54">
        <v>0</v>
      </c>
      <c r="Z125" s="57">
        <v>0</v>
      </c>
      <c r="AA125" s="54">
        <v>0</v>
      </c>
      <c r="AB125" s="57">
        <v>0</v>
      </c>
      <c r="AC125" s="238">
        <f t="shared" si="27"/>
        <v>0</v>
      </c>
      <c r="AD125" s="238"/>
      <c r="AE125" s="238"/>
    </row>
    <row r="126" spans="2:31" x14ac:dyDescent="0.3">
      <c r="B126" s="245" t="s">
        <v>34</v>
      </c>
      <c r="C126" s="245"/>
      <c r="D126" s="245"/>
      <c r="E126" s="54">
        <v>0</v>
      </c>
      <c r="F126" s="57">
        <v>0</v>
      </c>
      <c r="G126" s="54">
        <v>0</v>
      </c>
      <c r="H126" s="57">
        <v>0</v>
      </c>
      <c r="I126" s="54">
        <v>0</v>
      </c>
      <c r="J126" s="57">
        <v>0</v>
      </c>
      <c r="K126" s="54">
        <v>0</v>
      </c>
      <c r="L126" s="57">
        <v>0</v>
      </c>
      <c r="M126" s="54">
        <v>0</v>
      </c>
      <c r="N126" s="57">
        <v>0</v>
      </c>
      <c r="O126" s="54">
        <v>0</v>
      </c>
      <c r="P126" s="57">
        <v>0</v>
      </c>
      <c r="Q126" s="54">
        <v>0</v>
      </c>
      <c r="R126" s="57">
        <v>0</v>
      </c>
      <c r="S126" s="54">
        <v>0</v>
      </c>
      <c r="T126" s="57">
        <v>0</v>
      </c>
      <c r="U126" s="54">
        <v>0</v>
      </c>
      <c r="V126" s="57">
        <v>0</v>
      </c>
      <c r="W126" s="54">
        <v>0</v>
      </c>
      <c r="X126" s="57">
        <v>0</v>
      </c>
      <c r="Y126" s="54">
        <v>0</v>
      </c>
      <c r="Z126" s="57">
        <v>0</v>
      </c>
      <c r="AA126" s="54">
        <v>0</v>
      </c>
      <c r="AB126" s="57">
        <v>0</v>
      </c>
      <c r="AC126" s="238">
        <f t="shared" si="27"/>
        <v>0</v>
      </c>
      <c r="AD126" s="238"/>
      <c r="AE126" s="238"/>
    </row>
    <row r="127" spans="2:31" x14ac:dyDescent="0.3">
      <c r="B127" s="245" t="s">
        <v>35</v>
      </c>
      <c r="C127" s="245"/>
      <c r="D127" s="245"/>
      <c r="E127" s="54">
        <v>0</v>
      </c>
      <c r="F127" s="57">
        <v>0</v>
      </c>
      <c r="G127" s="54">
        <v>0</v>
      </c>
      <c r="H127" s="57">
        <v>0</v>
      </c>
      <c r="I127" s="54">
        <v>0</v>
      </c>
      <c r="J127" s="57">
        <v>0</v>
      </c>
      <c r="K127" s="54">
        <v>0</v>
      </c>
      <c r="L127" s="57">
        <v>0</v>
      </c>
      <c r="M127" s="54">
        <v>0</v>
      </c>
      <c r="N127" s="57">
        <v>0</v>
      </c>
      <c r="O127" s="54">
        <v>0</v>
      </c>
      <c r="P127" s="57">
        <v>0</v>
      </c>
      <c r="Q127" s="54">
        <v>0</v>
      </c>
      <c r="R127" s="57">
        <v>0</v>
      </c>
      <c r="S127" s="54">
        <v>0</v>
      </c>
      <c r="T127" s="57">
        <v>0</v>
      </c>
      <c r="U127" s="54">
        <v>0</v>
      </c>
      <c r="V127" s="57">
        <v>0</v>
      </c>
      <c r="W127" s="54">
        <v>0</v>
      </c>
      <c r="X127" s="57">
        <v>0</v>
      </c>
      <c r="Y127" s="54">
        <v>0</v>
      </c>
      <c r="Z127" s="57">
        <v>0</v>
      </c>
      <c r="AA127" s="54">
        <v>0</v>
      </c>
      <c r="AB127" s="57">
        <v>0</v>
      </c>
      <c r="AC127" s="238">
        <f t="shared" si="27"/>
        <v>0</v>
      </c>
      <c r="AD127" s="238"/>
      <c r="AE127" s="238"/>
    </row>
    <row r="128" spans="2:31" x14ac:dyDescent="0.3">
      <c r="B128" s="245" t="s">
        <v>36</v>
      </c>
      <c r="C128" s="245"/>
      <c r="D128" s="245"/>
      <c r="E128" s="54">
        <v>0</v>
      </c>
      <c r="F128" s="57">
        <v>0</v>
      </c>
      <c r="G128" s="54">
        <v>0</v>
      </c>
      <c r="H128" s="57">
        <v>0</v>
      </c>
      <c r="I128" s="54">
        <v>0</v>
      </c>
      <c r="J128" s="57">
        <v>0</v>
      </c>
      <c r="K128" s="54">
        <v>0</v>
      </c>
      <c r="L128" s="57">
        <v>0</v>
      </c>
      <c r="M128" s="54">
        <v>0</v>
      </c>
      <c r="N128" s="57">
        <v>0</v>
      </c>
      <c r="O128" s="54">
        <v>0</v>
      </c>
      <c r="P128" s="57">
        <v>0</v>
      </c>
      <c r="Q128" s="54">
        <v>0</v>
      </c>
      <c r="R128" s="57">
        <v>0</v>
      </c>
      <c r="S128" s="54">
        <v>0</v>
      </c>
      <c r="T128" s="57">
        <v>0</v>
      </c>
      <c r="U128" s="54">
        <v>0</v>
      </c>
      <c r="V128" s="57">
        <v>0</v>
      </c>
      <c r="W128" s="54">
        <v>0</v>
      </c>
      <c r="X128" s="57">
        <v>0</v>
      </c>
      <c r="Y128" s="54">
        <v>0</v>
      </c>
      <c r="Z128" s="57">
        <v>0</v>
      </c>
      <c r="AA128" s="54">
        <v>0</v>
      </c>
      <c r="AB128" s="57">
        <v>0</v>
      </c>
      <c r="AC128" s="238">
        <f t="shared" si="27"/>
        <v>0</v>
      </c>
      <c r="AD128" s="238"/>
      <c r="AE128" s="238"/>
    </row>
    <row r="129" spans="2:31" x14ac:dyDescent="0.3">
      <c r="B129" s="13" t="s">
        <v>89</v>
      </c>
      <c r="C129" s="13"/>
      <c r="D129" s="13"/>
      <c r="E129" s="54">
        <v>0</v>
      </c>
      <c r="F129" s="57">
        <v>0</v>
      </c>
      <c r="G129" s="54">
        <v>0</v>
      </c>
      <c r="H129" s="57">
        <v>0</v>
      </c>
      <c r="I129" s="54">
        <v>0</v>
      </c>
      <c r="J129" s="57">
        <v>0</v>
      </c>
      <c r="K129" s="54">
        <v>0</v>
      </c>
      <c r="L129" s="57">
        <v>0</v>
      </c>
      <c r="M129" s="54">
        <v>0</v>
      </c>
      <c r="N129" s="57">
        <v>0</v>
      </c>
      <c r="O129" s="54">
        <v>0</v>
      </c>
      <c r="P129" s="57">
        <v>0</v>
      </c>
      <c r="Q129" s="54">
        <v>0</v>
      </c>
      <c r="R129" s="57">
        <v>0</v>
      </c>
      <c r="S129" s="54">
        <v>0</v>
      </c>
      <c r="T129" s="57">
        <v>0</v>
      </c>
      <c r="U129" s="54">
        <v>0</v>
      </c>
      <c r="V129" s="57">
        <v>0</v>
      </c>
      <c r="W129" s="54">
        <v>0</v>
      </c>
      <c r="X129" s="57">
        <v>0</v>
      </c>
      <c r="Y129" s="54">
        <v>0</v>
      </c>
      <c r="Z129" s="57">
        <v>0</v>
      </c>
      <c r="AA129" s="54">
        <v>0</v>
      </c>
      <c r="AB129" s="57">
        <v>0</v>
      </c>
      <c r="AC129" s="238">
        <f t="shared" si="27"/>
        <v>0</v>
      </c>
      <c r="AD129" s="238"/>
      <c r="AE129" s="238"/>
    </row>
    <row r="130" spans="2:31" x14ac:dyDescent="0.3">
      <c r="B130" s="13" t="s">
        <v>90</v>
      </c>
      <c r="C130" s="13"/>
      <c r="D130" s="13"/>
      <c r="E130" s="54">
        <v>0</v>
      </c>
      <c r="F130" s="57">
        <v>0</v>
      </c>
      <c r="G130" s="54">
        <v>0</v>
      </c>
      <c r="H130" s="57">
        <v>0</v>
      </c>
      <c r="I130" s="54">
        <v>0</v>
      </c>
      <c r="J130" s="57">
        <v>0</v>
      </c>
      <c r="K130" s="54">
        <v>0</v>
      </c>
      <c r="L130" s="57">
        <v>0</v>
      </c>
      <c r="M130" s="54">
        <v>0</v>
      </c>
      <c r="N130" s="57">
        <v>0</v>
      </c>
      <c r="O130" s="54">
        <v>0</v>
      </c>
      <c r="P130" s="57">
        <v>0</v>
      </c>
      <c r="Q130" s="54">
        <v>0</v>
      </c>
      <c r="R130" s="57">
        <v>0</v>
      </c>
      <c r="S130" s="54">
        <v>0</v>
      </c>
      <c r="T130" s="57">
        <v>0</v>
      </c>
      <c r="U130" s="54">
        <v>0</v>
      </c>
      <c r="V130" s="57">
        <v>0</v>
      </c>
      <c r="W130" s="54">
        <v>0</v>
      </c>
      <c r="X130" s="57">
        <v>0</v>
      </c>
      <c r="Y130" s="54">
        <v>0</v>
      </c>
      <c r="Z130" s="57">
        <v>0</v>
      </c>
      <c r="AA130" s="54">
        <v>0</v>
      </c>
      <c r="AB130" s="57">
        <v>0</v>
      </c>
      <c r="AC130" s="238">
        <f t="shared" si="27"/>
        <v>0</v>
      </c>
      <c r="AD130" s="238"/>
      <c r="AE130" s="238"/>
    </row>
    <row r="131" spans="2:31" x14ac:dyDescent="0.3">
      <c r="B131" s="14" t="s">
        <v>2</v>
      </c>
      <c r="C131" s="14"/>
      <c r="D131" s="14"/>
      <c r="E131" s="15">
        <f>SUM(E94:E130)</f>
        <v>0</v>
      </c>
      <c r="F131" s="15">
        <f t="shared" ref="F131" si="28">SUM(F94:F130)</f>
        <v>0</v>
      </c>
      <c r="G131" s="15">
        <f t="shared" ref="G131" si="29">SUM(G94:G130)</f>
        <v>0</v>
      </c>
      <c r="H131" s="15">
        <f t="shared" ref="H131" si="30">SUM(H94:H130)</f>
        <v>0</v>
      </c>
      <c r="I131" s="15">
        <f t="shared" ref="I131" si="31">SUM(I94:I130)</f>
        <v>0</v>
      </c>
      <c r="J131" s="15">
        <f t="shared" ref="J131" si="32">SUM(J94:J130)</f>
        <v>0</v>
      </c>
      <c r="K131" s="15">
        <f t="shared" ref="K131" si="33">SUM(K94:K130)</f>
        <v>0</v>
      </c>
      <c r="L131" s="15">
        <f t="shared" ref="L131" si="34">SUM(L94:L130)</f>
        <v>0</v>
      </c>
      <c r="M131" s="15">
        <f t="shared" ref="M131" si="35">SUM(M94:M130)</f>
        <v>0</v>
      </c>
      <c r="N131" s="15">
        <f t="shared" ref="N131" si="36">SUM(N94:N130)</f>
        <v>0</v>
      </c>
      <c r="O131" s="15">
        <f t="shared" ref="O131" si="37">SUM(O94:O130)</f>
        <v>0</v>
      </c>
      <c r="P131" s="15">
        <f t="shared" ref="P131" si="38">SUM(P94:P130)</f>
        <v>0</v>
      </c>
      <c r="Q131" s="15">
        <f t="shared" ref="Q131" si="39">SUM(Q94:Q130)</f>
        <v>0</v>
      </c>
      <c r="R131" s="15">
        <f t="shared" ref="R131" si="40">SUM(R94:R130)</f>
        <v>11.273333333333332</v>
      </c>
      <c r="S131" s="15">
        <f t="shared" ref="S131" si="41">SUM(S94:S130)</f>
        <v>3.1853333333333325</v>
      </c>
      <c r="T131" s="15">
        <f t="shared" ref="T131" si="42">SUM(T94:T130)</f>
        <v>33.837166666666668</v>
      </c>
      <c r="U131" s="15">
        <f t="shared" ref="U131" si="43">SUM(U94:U130)</f>
        <v>60.632666666666651</v>
      </c>
      <c r="V131" s="15">
        <f t="shared" ref="V131" si="44">SUM(V94:V130)</f>
        <v>292.28033333333337</v>
      </c>
      <c r="W131" s="15">
        <f t="shared" ref="W131" si="45">SUM(W94:W130)</f>
        <v>168.60966666666664</v>
      </c>
      <c r="X131" s="15">
        <f t="shared" ref="X131" si="46">SUM(X94:X130)</f>
        <v>12.244666666666667</v>
      </c>
      <c r="Y131" s="15">
        <f t="shared" ref="Y131" si="47">SUM(Y94:Y130)</f>
        <v>0</v>
      </c>
      <c r="Z131" s="15">
        <f t="shared" ref="Z131" si="48">SUM(Z94:Z130)</f>
        <v>0</v>
      </c>
      <c r="AA131" s="15">
        <f t="shared" ref="AA131" si="49">SUM(AA94:AA130)</f>
        <v>0</v>
      </c>
      <c r="AB131" s="15">
        <f t="shared" ref="AB131" si="50">SUM(AB94:AB130)</f>
        <v>0</v>
      </c>
      <c r="AC131" s="249">
        <f>SUM(AC94:AE130)</f>
        <v>582.06316666666669</v>
      </c>
      <c r="AD131" s="249"/>
      <c r="AE131" s="249"/>
    </row>
    <row r="132" spans="2:31" x14ac:dyDescent="0.3">
      <c r="B132" s="16"/>
      <c r="C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2:31" x14ac:dyDescent="0.3">
      <c r="B133" s="16"/>
      <c r="C133" s="17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2:31" x14ac:dyDescent="0.3">
      <c r="B134" s="8">
        <f>'Resumen-Mensual'!$H$22</f>
        <v>44565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4"/>
      <c r="AD134" s="4"/>
      <c r="AE134" s="4"/>
    </row>
    <row r="135" spans="2:31" x14ac:dyDescent="0.3">
      <c r="B135" s="8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4"/>
      <c r="AD135" s="4"/>
      <c r="AE135" s="4"/>
    </row>
    <row r="136" spans="2:31" x14ac:dyDescent="0.3">
      <c r="B136" s="9" t="s">
        <v>81</v>
      </c>
      <c r="C136" s="10"/>
      <c r="D136" s="10"/>
      <c r="E136" s="11">
        <v>1</v>
      </c>
      <c r="F136" s="11">
        <v>2</v>
      </c>
      <c r="G136" s="11">
        <v>3</v>
      </c>
      <c r="H136" s="11">
        <v>4</v>
      </c>
      <c r="I136" s="11">
        <v>5</v>
      </c>
      <c r="J136" s="11">
        <v>6</v>
      </c>
      <c r="K136" s="11">
        <v>7</v>
      </c>
      <c r="L136" s="11">
        <v>8</v>
      </c>
      <c r="M136" s="11">
        <v>9</v>
      </c>
      <c r="N136" s="11">
        <v>10</v>
      </c>
      <c r="O136" s="11">
        <v>11</v>
      </c>
      <c r="P136" s="11">
        <v>12</v>
      </c>
      <c r="Q136" s="11">
        <v>13</v>
      </c>
      <c r="R136" s="11">
        <v>14</v>
      </c>
      <c r="S136" s="11">
        <v>15</v>
      </c>
      <c r="T136" s="11">
        <v>16</v>
      </c>
      <c r="U136" s="11">
        <v>17</v>
      </c>
      <c r="V136" s="11">
        <v>18</v>
      </c>
      <c r="W136" s="11">
        <v>19</v>
      </c>
      <c r="X136" s="11">
        <v>20</v>
      </c>
      <c r="Y136" s="11">
        <v>21</v>
      </c>
      <c r="Z136" s="11">
        <v>22</v>
      </c>
      <c r="AA136" s="11">
        <v>23</v>
      </c>
      <c r="AB136" s="11">
        <v>24</v>
      </c>
      <c r="AC136" s="248" t="s">
        <v>2</v>
      </c>
      <c r="AD136" s="248"/>
      <c r="AE136" s="248"/>
    </row>
    <row r="137" spans="2:31" x14ac:dyDescent="0.3">
      <c r="B137" s="245" t="s">
        <v>4</v>
      </c>
      <c r="C137" s="245"/>
      <c r="D137" s="245"/>
      <c r="E137" s="232">
        <v>0</v>
      </c>
      <c r="F137" s="233">
        <v>0</v>
      </c>
      <c r="G137" s="232">
        <v>0</v>
      </c>
      <c r="H137" s="233">
        <v>0</v>
      </c>
      <c r="I137" s="232">
        <v>0</v>
      </c>
      <c r="J137" s="233">
        <v>0</v>
      </c>
      <c r="K137" s="232">
        <v>0</v>
      </c>
      <c r="L137" s="233">
        <v>0</v>
      </c>
      <c r="M137" s="232">
        <v>0</v>
      </c>
      <c r="N137" s="233">
        <v>0</v>
      </c>
      <c r="O137" s="232">
        <v>0</v>
      </c>
      <c r="P137" s="233">
        <v>0</v>
      </c>
      <c r="Q137" s="232">
        <v>0</v>
      </c>
      <c r="R137" s="233">
        <v>7.6555</v>
      </c>
      <c r="S137" s="232">
        <v>11.212833333333338</v>
      </c>
      <c r="T137" s="233">
        <v>0</v>
      </c>
      <c r="U137" s="232">
        <v>0</v>
      </c>
      <c r="V137" s="233">
        <v>0</v>
      </c>
      <c r="W137" s="232">
        <v>0</v>
      </c>
      <c r="X137" s="233">
        <v>0</v>
      </c>
      <c r="Y137" s="232">
        <v>0</v>
      </c>
      <c r="Z137" s="233">
        <v>0</v>
      </c>
      <c r="AA137" s="232">
        <v>0</v>
      </c>
      <c r="AB137" s="233">
        <v>0</v>
      </c>
      <c r="AC137" s="238">
        <f>SUM(E137:AB137)</f>
        <v>18.868333333333339</v>
      </c>
      <c r="AD137" s="238"/>
      <c r="AE137" s="238"/>
    </row>
    <row r="138" spans="2:31" x14ac:dyDescent="0.3">
      <c r="B138" s="245" t="s">
        <v>5</v>
      </c>
      <c r="C138" s="245"/>
      <c r="D138" s="245"/>
      <c r="E138" s="231">
        <v>0</v>
      </c>
      <c r="F138" s="234">
        <v>0</v>
      </c>
      <c r="G138" s="231">
        <v>0</v>
      </c>
      <c r="H138" s="234">
        <v>0</v>
      </c>
      <c r="I138" s="231">
        <v>0</v>
      </c>
      <c r="J138" s="234">
        <v>0</v>
      </c>
      <c r="K138" s="231">
        <v>0</v>
      </c>
      <c r="L138" s="234">
        <v>0</v>
      </c>
      <c r="M138" s="231">
        <v>0</v>
      </c>
      <c r="N138" s="234">
        <v>0</v>
      </c>
      <c r="O138" s="231">
        <v>0</v>
      </c>
      <c r="P138" s="234">
        <v>0</v>
      </c>
      <c r="Q138" s="231">
        <v>0</v>
      </c>
      <c r="R138" s="234">
        <v>36.681166666666655</v>
      </c>
      <c r="S138" s="231">
        <v>53.340833333333329</v>
      </c>
      <c r="T138" s="234">
        <v>51.796666666666638</v>
      </c>
      <c r="U138" s="231">
        <v>64.993999999999986</v>
      </c>
      <c r="V138" s="234">
        <v>75.331166666666689</v>
      </c>
      <c r="W138" s="231">
        <v>57.170833333333363</v>
      </c>
      <c r="X138" s="234">
        <v>0.78299999999999992</v>
      </c>
      <c r="Y138" s="231">
        <v>0</v>
      </c>
      <c r="Z138" s="234">
        <v>0</v>
      </c>
      <c r="AA138" s="231">
        <v>0</v>
      </c>
      <c r="AB138" s="234">
        <v>0</v>
      </c>
      <c r="AC138" s="238">
        <f t="shared" ref="AC138:AC173" si="51">SUM(E138:AB138)</f>
        <v>340.09766666666667</v>
      </c>
      <c r="AD138" s="238"/>
      <c r="AE138" s="238"/>
    </row>
    <row r="139" spans="2:31" x14ac:dyDescent="0.3">
      <c r="B139" s="245" t="s">
        <v>6</v>
      </c>
      <c r="C139" s="245"/>
      <c r="D139" s="245"/>
      <c r="E139" s="231">
        <v>0</v>
      </c>
      <c r="F139" s="234">
        <v>0</v>
      </c>
      <c r="G139" s="231">
        <v>0</v>
      </c>
      <c r="H139" s="234">
        <v>0</v>
      </c>
      <c r="I139" s="231">
        <v>0</v>
      </c>
      <c r="J139" s="234">
        <v>0</v>
      </c>
      <c r="K139" s="231">
        <v>0</v>
      </c>
      <c r="L139" s="234">
        <v>0</v>
      </c>
      <c r="M139" s="231">
        <v>0</v>
      </c>
      <c r="N139" s="234">
        <v>0</v>
      </c>
      <c r="O139" s="231">
        <v>0</v>
      </c>
      <c r="P139" s="234">
        <v>0</v>
      </c>
      <c r="Q139" s="231">
        <v>0</v>
      </c>
      <c r="R139" s="234">
        <v>0</v>
      </c>
      <c r="S139" s="231">
        <v>0</v>
      </c>
      <c r="T139" s="234">
        <v>0</v>
      </c>
      <c r="U139" s="231">
        <v>22.407833333333336</v>
      </c>
      <c r="V139" s="234">
        <v>0</v>
      </c>
      <c r="W139" s="231">
        <v>10.731833333333336</v>
      </c>
      <c r="X139" s="234">
        <v>1.9778333333333338</v>
      </c>
      <c r="Y139" s="231">
        <v>0</v>
      </c>
      <c r="Z139" s="234">
        <v>0</v>
      </c>
      <c r="AA139" s="231">
        <v>0</v>
      </c>
      <c r="AB139" s="234">
        <v>0</v>
      </c>
      <c r="AC139" s="238">
        <f t="shared" si="51"/>
        <v>35.117500000000007</v>
      </c>
      <c r="AD139" s="238"/>
      <c r="AE139" s="238"/>
    </row>
    <row r="140" spans="2:31" x14ac:dyDescent="0.3">
      <c r="B140" s="245" t="s">
        <v>91</v>
      </c>
      <c r="C140" s="245"/>
      <c r="D140" s="245"/>
      <c r="E140" s="231">
        <v>0</v>
      </c>
      <c r="F140" s="234">
        <v>0</v>
      </c>
      <c r="G140" s="231">
        <v>0</v>
      </c>
      <c r="H140" s="234">
        <v>0</v>
      </c>
      <c r="I140" s="231">
        <v>0</v>
      </c>
      <c r="J140" s="234">
        <v>0</v>
      </c>
      <c r="K140" s="231">
        <v>0</v>
      </c>
      <c r="L140" s="234">
        <v>0</v>
      </c>
      <c r="M140" s="231">
        <v>0</v>
      </c>
      <c r="N140" s="234">
        <v>0</v>
      </c>
      <c r="O140" s="231">
        <v>0</v>
      </c>
      <c r="P140" s="234">
        <v>0</v>
      </c>
      <c r="Q140" s="231">
        <v>0</v>
      </c>
      <c r="R140" s="234">
        <v>0</v>
      </c>
      <c r="S140" s="231">
        <v>0</v>
      </c>
      <c r="T140" s="234">
        <v>0</v>
      </c>
      <c r="U140" s="231">
        <v>0</v>
      </c>
      <c r="V140" s="234">
        <v>0</v>
      </c>
      <c r="W140" s="231">
        <v>0</v>
      </c>
      <c r="X140" s="234">
        <v>0</v>
      </c>
      <c r="Y140" s="231">
        <v>0</v>
      </c>
      <c r="Z140" s="234">
        <v>0</v>
      </c>
      <c r="AA140" s="231">
        <v>0</v>
      </c>
      <c r="AB140" s="234">
        <v>0</v>
      </c>
      <c r="AC140" s="238">
        <f t="shared" si="51"/>
        <v>0</v>
      </c>
      <c r="AD140" s="238"/>
      <c r="AE140" s="238"/>
    </row>
    <row r="141" spans="2:31" x14ac:dyDescent="0.3">
      <c r="B141" s="245" t="s">
        <v>7</v>
      </c>
      <c r="C141" s="245"/>
      <c r="D141" s="245"/>
      <c r="E141" s="231">
        <v>0</v>
      </c>
      <c r="F141" s="234">
        <v>0</v>
      </c>
      <c r="G141" s="231">
        <v>0</v>
      </c>
      <c r="H141" s="234">
        <v>0</v>
      </c>
      <c r="I141" s="231">
        <v>0</v>
      </c>
      <c r="J141" s="234">
        <v>0</v>
      </c>
      <c r="K141" s="231">
        <v>0</v>
      </c>
      <c r="L141" s="234">
        <v>0</v>
      </c>
      <c r="M141" s="231">
        <v>0</v>
      </c>
      <c r="N141" s="234">
        <v>0</v>
      </c>
      <c r="O141" s="231">
        <v>0</v>
      </c>
      <c r="P141" s="234">
        <v>0</v>
      </c>
      <c r="Q141" s="231">
        <v>1.870000000000001</v>
      </c>
      <c r="R141" s="234">
        <v>0</v>
      </c>
      <c r="S141" s="231">
        <v>0</v>
      </c>
      <c r="T141" s="234">
        <v>0.1501666666666665</v>
      </c>
      <c r="U141" s="231">
        <v>0</v>
      </c>
      <c r="V141" s="234">
        <v>0</v>
      </c>
      <c r="W141" s="231">
        <v>0</v>
      </c>
      <c r="X141" s="234">
        <v>0</v>
      </c>
      <c r="Y141" s="231">
        <v>0</v>
      </c>
      <c r="Z141" s="234">
        <v>0</v>
      </c>
      <c r="AA141" s="231">
        <v>0</v>
      </c>
      <c r="AB141" s="234">
        <v>0</v>
      </c>
      <c r="AC141" s="238">
        <f t="shared" si="51"/>
        <v>2.0201666666666673</v>
      </c>
      <c r="AD141" s="238"/>
      <c r="AE141" s="238"/>
    </row>
    <row r="142" spans="2:31" x14ac:dyDescent="0.3">
      <c r="B142" s="245" t="s">
        <v>8</v>
      </c>
      <c r="C142" s="245"/>
      <c r="D142" s="245"/>
      <c r="E142" s="231">
        <v>0</v>
      </c>
      <c r="F142" s="234">
        <v>0</v>
      </c>
      <c r="G142" s="231">
        <v>0</v>
      </c>
      <c r="H142" s="234">
        <v>0</v>
      </c>
      <c r="I142" s="231">
        <v>0</v>
      </c>
      <c r="J142" s="234">
        <v>0</v>
      </c>
      <c r="K142" s="231">
        <v>0</v>
      </c>
      <c r="L142" s="234">
        <v>0</v>
      </c>
      <c r="M142" s="231">
        <v>0</v>
      </c>
      <c r="N142" s="234">
        <v>0</v>
      </c>
      <c r="O142" s="231">
        <v>0</v>
      </c>
      <c r="P142" s="234">
        <v>0</v>
      </c>
      <c r="Q142" s="231">
        <v>0</v>
      </c>
      <c r="R142" s="234">
        <v>12.527999999999988</v>
      </c>
      <c r="S142" s="231">
        <v>30.404833333333318</v>
      </c>
      <c r="T142" s="234">
        <v>19.377666666666659</v>
      </c>
      <c r="U142" s="231">
        <v>19.702500000000001</v>
      </c>
      <c r="V142" s="234">
        <v>16.262499999999996</v>
      </c>
      <c r="W142" s="231">
        <v>25.228333333333342</v>
      </c>
      <c r="X142" s="234">
        <v>0.2475</v>
      </c>
      <c r="Y142" s="231">
        <v>0</v>
      </c>
      <c r="Z142" s="234">
        <v>0</v>
      </c>
      <c r="AA142" s="231">
        <v>0</v>
      </c>
      <c r="AB142" s="234">
        <v>0</v>
      </c>
      <c r="AC142" s="238">
        <f t="shared" si="51"/>
        <v>123.75133333333331</v>
      </c>
      <c r="AD142" s="238"/>
      <c r="AE142" s="238"/>
    </row>
    <row r="143" spans="2:31" x14ac:dyDescent="0.3">
      <c r="B143" s="245" t="s">
        <v>9</v>
      </c>
      <c r="C143" s="245"/>
      <c r="D143" s="245"/>
      <c r="E143" s="231">
        <v>0</v>
      </c>
      <c r="F143" s="234">
        <v>0</v>
      </c>
      <c r="G143" s="231">
        <v>0</v>
      </c>
      <c r="H143" s="234">
        <v>0</v>
      </c>
      <c r="I143" s="231">
        <v>0</v>
      </c>
      <c r="J143" s="234">
        <v>0</v>
      </c>
      <c r="K143" s="231">
        <v>0</v>
      </c>
      <c r="L143" s="234">
        <v>0</v>
      </c>
      <c r="M143" s="231">
        <v>0</v>
      </c>
      <c r="N143" s="234">
        <v>0</v>
      </c>
      <c r="O143" s="231">
        <v>0</v>
      </c>
      <c r="P143" s="234">
        <v>0</v>
      </c>
      <c r="Q143" s="231">
        <v>0</v>
      </c>
      <c r="R143" s="234">
        <v>0</v>
      </c>
      <c r="S143" s="231">
        <v>13.399666666666667</v>
      </c>
      <c r="T143" s="234">
        <v>0</v>
      </c>
      <c r="U143" s="231">
        <v>2.9659999999999997</v>
      </c>
      <c r="V143" s="234">
        <v>31.508833333333353</v>
      </c>
      <c r="W143" s="231">
        <v>0</v>
      </c>
      <c r="X143" s="234">
        <v>1.283333333333303E-2</v>
      </c>
      <c r="Y143" s="231">
        <v>0</v>
      </c>
      <c r="Z143" s="234">
        <v>0</v>
      </c>
      <c r="AA143" s="231">
        <v>0</v>
      </c>
      <c r="AB143" s="234">
        <v>0</v>
      </c>
      <c r="AC143" s="238">
        <f t="shared" si="51"/>
        <v>47.887333333333352</v>
      </c>
      <c r="AD143" s="238"/>
      <c r="AE143" s="238"/>
    </row>
    <row r="144" spans="2:31" x14ac:dyDescent="0.3">
      <c r="B144" s="245" t="s">
        <v>10</v>
      </c>
      <c r="C144" s="245"/>
      <c r="D144" s="245"/>
      <c r="E144" s="231">
        <v>0</v>
      </c>
      <c r="F144" s="234">
        <v>0</v>
      </c>
      <c r="G144" s="231">
        <v>0</v>
      </c>
      <c r="H144" s="234">
        <v>0</v>
      </c>
      <c r="I144" s="231">
        <v>0</v>
      </c>
      <c r="J144" s="234">
        <v>0</v>
      </c>
      <c r="K144" s="231">
        <v>0</v>
      </c>
      <c r="L144" s="234">
        <v>0</v>
      </c>
      <c r="M144" s="231">
        <v>0</v>
      </c>
      <c r="N144" s="234">
        <v>0</v>
      </c>
      <c r="O144" s="231">
        <v>0</v>
      </c>
      <c r="P144" s="234">
        <v>0</v>
      </c>
      <c r="Q144" s="231">
        <v>0</v>
      </c>
      <c r="R144" s="234">
        <v>9.9378333333333337</v>
      </c>
      <c r="S144" s="231">
        <v>27.324000000000002</v>
      </c>
      <c r="T144" s="234">
        <v>31.658499999999993</v>
      </c>
      <c r="U144" s="231">
        <v>51.276333333333341</v>
      </c>
      <c r="V144" s="234">
        <v>75.370166666666648</v>
      </c>
      <c r="W144" s="231">
        <v>6.8020000000000005</v>
      </c>
      <c r="X144" s="234">
        <v>0</v>
      </c>
      <c r="Y144" s="231">
        <v>0</v>
      </c>
      <c r="Z144" s="234">
        <v>0</v>
      </c>
      <c r="AA144" s="231">
        <v>0</v>
      </c>
      <c r="AB144" s="234">
        <v>0</v>
      </c>
      <c r="AC144" s="238">
        <f t="shared" si="51"/>
        <v>202.3688333333333</v>
      </c>
      <c r="AD144" s="238"/>
      <c r="AE144" s="238"/>
    </row>
    <row r="145" spans="2:31" x14ac:dyDescent="0.3">
      <c r="B145" s="245" t="s">
        <v>11</v>
      </c>
      <c r="C145" s="245"/>
      <c r="D145" s="245"/>
      <c r="E145" s="231">
        <v>0</v>
      </c>
      <c r="F145" s="234">
        <v>0</v>
      </c>
      <c r="G145" s="231">
        <v>0</v>
      </c>
      <c r="H145" s="234">
        <v>0</v>
      </c>
      <c r="I145" s="231">
        <v>0</v>
      </c>
      <c r="J145" s="234">
        <v>0</v>
      </c>
      <c r="K145" s="231">
        <v>0</v>
      </c>
      <c r="L145" s="234">
        <v>0</v>
      </c>
      <c r="M145" s="231">
        <v>0</v>
      </c>
      <c r="N145" s="234">
        <v>0</v>
      </c>
      <c r="O145" s="231">
        <v>0</v>
      </c>
      <c r="P145" s="234">
        <v>0</v>
      </c>
      <c r="Q145" s="231">
        <v>0</v>
      </c>
      <c r="R145" s="234">
        <v>10.331666666666667</v>
      </c>
      <c r="S145" s="231">
        <v>21.712166666666665</v>
      </c>
      <c r="T145" s="234">
        <v>30.250500000000006</v>
      </c>
      <c r="U145" s="231">
        <v>61.347333333333339</v>
      </c>
      <c r="V145" s="234">
        <v>103.29249999999998</v>
      </c>
      <c r="W145" s="231">
        <v>28.144833333333338</v>
      </c>
      <c r="X145" s="234">
        <v>0</v>
      </c>
      <c r="Y145" s="231">
        <v>0</v>
      </c>
      <c r="Z145" s="234">
        <v>0</v>
      </c>
      <c r="AA145" s="231">
        <v>0</v>
      </c>
      <c r="AB145" s="234">
        <v>0</v>
      </c>
      <c r="AC145" s="238">
        <f t="shared" si="51"/>
        <v>255.07900000000001</v>
      </c>
      <c r="AD145" s="238"/>
      <c r="AE145" s="238"/>
    </row>
    <row r="146" spans="2:31" x14ac:dyDescent="0.3">
      <c r="B146" s="245" t="s">
        <v>12</v>
      </c>
      <c r="C146" s="245"/>
      <c r="D146" s="245"/>
      <c r="E146" s="231">
        <v>0</v>
      </c>
      <c r="F146" s="234">
        <v>0</v>
      </c>
      <c r="G146" s="231">
        <v>0</v>
      </c>
      <c r="H146" s="234">
        <v>0</v>
      </c>
      <c r="I146" s="231">
        <v>0</v>
      </c>
      <c r="J146" s="234">
        <v>0</v>
      </c>
      <c r="K146" s="231">
        <v>0</v>
      </c>
      <c r="L146" s="234">
        <v>0</v>
      </c>
      <c r="M146" s="231">
        <v>0</v>
      </c>
      <c r="N146" s="234">
        <v>0</v>
      </c>
      <c r="O146" s="231">
        <v>0</v>
      </c>
      <c r="P146" s="234">
        <v>0</v>
      </c>
      <c r="Q146" s="231">
        <v>0</v>
      </c>
      <c r="R146" s="234">
        <v>20.118333333333339</v>
      </c>
      <c r="S146" s="231">
        <v>53.967333333333322</v>
      </c>
      <c r="T146" s="234">
        <v>73.482166666666686</v>
      </c>
      <c r="U146" s="231">
        <v>89.506333333333316</v>
      </c>
      <c r="V146" s="234">
        <v>109.27716666666669</v>
      </c>
      <c r="W146" s="231">
        <v>39.438833333333342</v>
      </c>
      <c r="X146" s="234">
        <v>0.13450000000000037</v>
      </c>
      <c r="Y146" s="231">
        <v>0</v>
      </c>
      <c r="Z146" s="234">
        <v>0</v>
      </c>
      <c r="AA146" s="231">
        <v>0</v>
      </c>
      <c r="AB146" s="234">
        <v>0</v>
      </c>
      <c r="AC146" s="238">
        <f t="shared" si="51"/>
        <v>385.92466666666667</v>
      </c>
      <c r="AD146" s="238"/>
      <c r="AE146" s="238"/>
    </row>
    <row r="147" spans="2:31" x14ac:dyDescent="0.3">
      <c r="B147" s="245" t="s">
        <v>13</v>
      </c>
      <c r="C147" s="245"/>
      <c r="D147" s="245"/>
      <c r="E147" s="231">
        <v>0</v>
      </c>
      <c r="F147" s="234">
        <v>0</v>
      </c>
      <c r="G147" s="231">
        <v>0</v>
      </c>
      <c r="H147" s="234">
        <v>0</v>
      </c>
      <c r="I147" s="231">
        <v>0</v>
      </c>
      <c r="J147" s="234">
        <v>0</v>
      </c>
      <c r="K147" s="231">
        <v>0</v>
      </c>
      <c r="L147" s="234">
        <v>0</v>
      </c>
      <c r="M147" s="231">
        <v>0</v>
      </c>
      <c r="N147" s="234">
        <v>0</v>
      </c>
      <c r="O147" s="231">
        <v>0</v>
      </c>
      <c r="P147" s="234">
        <v>0</v>
      </c>
      <c r="Q147" s="231">
        <v>0</v>
      </c>
      <c r="R147" s="234">
        <v>9.0733333333333359</v>
      </c>
      <c r="S147" s="231">
        <v>26.685499999999987</v>
      </c>
      <c r="T147" s="234">
        <v>0</v>
      </c>
      <c r="U147" s="231">
        <v>18.527000000000001</v>
      </c>
      <c r="V147" s="234">
        <v>39.261500000000005</v>
      </c>
      <c r="W147" s="231">
        <v>0</v>
      </c>
      <c r="X147" s="234">
        <v>0</v>
      </c>
      <c r="Y147" s="231">
        <v>0</v>
      </c>
      <c r="Z147" s="234">
        <v>0</v>
      </c>
      <c r="AA147" s="231">
        <v>0</v>
      </c>
      <c r="AB147" s="234">
        <v>0</v>
      </c>
      <c r="AC147" s="238">
        <f t="shared" si="51"/>
        <v>93.547333333333327</v>
      </c>
      <c r="AD147" s="238"/>
      <c r="AE147" s="238"/>
    </row>
    <row r="148" spans="2:31" x14ac:dyDescent="0.3">
      <c r="B148" s="245" t="s">
        <v>14</v>
      </c>
      <c r="C148" s="245"/>
      <c r="D148" s="245"/>
      <c r="E148" s="231">
        <v>0</v>
      </c>
      <c r="F148" s="234">
        <v>0</v>
      </c>
      <c r="G148" s="231">
        <v>0</v>
      </c>
      <c r="H148" s="234">
        <v>0</v>
      </c>
      <c r="I148" s="231">
        <v>0</v>
      </c>
      <c r="J148" s="234">
        <v>0</v>
      </c>
      <c r="K148" s="231">
        <v>0</v>
      </c>
      <c r="L148" s="234">
        <v>0</v>
      </c>
      <c r="M148" s="231">
        <v>0</v>
      </c>
      <c r="N148" s="234">
        <v>0</v>
      </c>
      <c r="O148" s="231">
        <v>0</v>
      </c>
      <c r="P148" s="234">
        <v>0</v>
      </c>
      <c r="Q148" s="231">
        <v>0</v>
      </c>
      <c r="R148" s="234">
        <v>3.9283333333333359</v>
      </c>
      <c r="S148" s="231">
        <v>5.8261666666666656</v>
      </c>
      <c r="T148" s="234">
        <v>5.6299999999999972</v>
      </c>
      <c r="U148" s="231">
        <v>5.330000000000001</v>
      </c>
      <c r="V148" s="234">
        <v>4.5299999999999994</v>
      </c>
      <c r="W148" s="231">
        <v>4.8300000000000027</v>
      </c>
      <c r="X148" s="234">
        <v>8.5499999999999993E-2</v>
      </c>
      <c r="Y148" s="231">
        <v>0</v>
      </c>
      <c r="Z148" s="234">
        <v>0</v>
      </c>
      <c r="AA148" s="231">
        <v>0</v>
      </c>
      <c r="AB148" s="234">
        <v>0</v>
      </c>
      <c r="AC148" s="238">
        <f t="shared" si="51"/>
        <v>30.160000000000004</v>
      </c>
      <c r="AD148" s="238"/>
      <c r="AE148" s="238"/>
    </row>
    <row r="149" spans="2:31" x14ac:dyDescent="0.3">
      <c r="B149" s="245" t="s">
        <v>15</v>
      </c>
      <c r="C149" s="245"/>
      <c r="D149" s="245"/>
      <c r="E149" s="231">
        <v>0</v>
      </c>
      <c r="F149" s="234">
        <v>0</v>
      </c>
      <c r="G149" s="231">
        <v>0</v>
      </c>
      <c r="H149" s="234">
        <v>0</v>
      </c>
      <c r="I149" s="231">
        <v>0</v>
      </c>
      <c r="J149" s="234">
        <v>0</v>
      </c>
      <c r="K149" s="231">
        <v>0</v>
      </c>
      <c r="L149" s="234">
        <v>0</v>
      </c>
      <c r="M149" s="231">
        <v>0</v>
      </c>
      <c r="N149" s="234">
        <v>0</v>
      </c>
      <c r="O149" s="231">
        <v>0</v>
      </c>
      <c r="P149" s="234">
        <v>0</v>
      </c>
      <c r="Q149" s="231">
        <v>0</v>
      </c>
      <c r="R149" s="234">
        <v>0</v>
      </c>
      <c r="S149" s="231">
        <v>0</v>
      </c>
      <c r="T149" s="234">
        <v>55.930000000000042</v>
      </c>
      <c r="U149" s="231">
        <v>79</v>
      </c>
      <c r="V149" s="234">
        <v>29.303666666666679</v>
      </c>
      <c r="W149" s="231">
        <v>9.2298333333333371</v>
      </c>
      <c r="X149" s="234">
        <v>13.370666666666668</v>
      </c>
      <c r="Y149" s="231">
        <v>14.569000000000004</v>
      </c>
      <c r="Z149" s="234">
        <v>13.86233333333333</v>
      </c>
      <c r="AA149" s="231">
        <v>2.7564999999999986</v>
      </c>
      <c r="AB149" s="234">
        <v>0</v>
      </c>
      <c r="AC149" s="238">
        <f t="shared" si="51"/>
        <v>218.02200000000008</v>
      </c>
      <c r="AD149" s="238"/>
      <c r="AE149" s="238"/>
    </row>
    <row r="150" spans="2:31" x14ac:dyDescent="0.3">
      <c r="B150" s="245" t="s">
        <v>16</v>
      </c>
      <c r="C150" s="245"/>
      <c r="D150" s="245"/>
      <c r="E150" s="231">
        <v>0</v>
      </c>
      <c r="F150" s="234">
        <v>0</v>
      </c>
      <c r="G150" s="231">
        <v>0</v>
      </c>
      <c r="H150" s="234">
        <v>0</v>
      </c>
      <c r="I150" s="231">
        <v>0</v>
      </c>
      <c r="J150" s="234">
        <v>0</v>
      </c>
      <c r="K150" s="231">
        <v>0</v>
      </c>
      <c r="L150" s="234">
        <v>0</v>
      </c>
      <c r="M150" s="231">
        <v>0</v>
      </c>
      <c r="N150" s="234">
        <v>0</v>
      </c>
      <c r="O150" s="231">
        <v>0</v>
      </c>
      <c r="P150" s="234">
        <v>0</v>
      </c>
      <c r="Q150" s="231">
        <v>0</v>
      </c>
      <c r="R150" s="234">
        <v>0</v>
      </c>
      <c r="S150" s="231">
        <v>0</v>
      </c>
      <c r="T150" s="234">
        <v>41.415833333333318</v>
      </c>
      <c r="U150" s="231">
        <v>0</v>
      </c>
      <c r="V150" s="234">
        <v>0</v>
      </c>
      <c r="W150" s="231">
        <v>0</v>
      </c>
      <c r="X150" s="234">
        <v>4.8350000000000035</v>
      </c>
      <c r="Y150" s="231">
        <v>5.6006666666666653</v>
      </c>
      <c r="Z150" s="234">
        <v>6.3869999999999987</v>
      </c>
      <c r="AA150" s="231">
        <v>10.431000000000004</v>
      </c>
      <c r="AB150" s="234">
        <v>2.1866666666666674</v>
      </c>
      <c r="AC150" s="238">
        <f t="shared" si="51"/>
        <v>70.856166666666667</v>
      </c>
      <c r="AD150" s="238"/>
      <c r="AE150" s="238"/>
    </row>
    <row r="151" spans="2:31" x14ac:dyDescent="0.3">
      <c r="B151" s="245" t="s">
        <v>17</v>
      </c>
      <c r="C151" s="245"/>
      <c r="D151" s="245"/>
      <c r="E151" s="231">
        <v>0</v>
      </c>
      <c r="F151" s="234">
        <v>0</v>
      </c>
      <c r="G151" s="231">
        <v>0</v>
      </c>
      <c r="H151" s="234">
        <v>0</v>
      </c>
      <c r="I151" s="231">
        <v>0</v>
      </c>
      <c r="J151" s="234">
        <v>0</v>
      </c>
      <c r="K151" s="231">
        <v>0</v>
      </c>
      <c r="L151" s="234">
        <v>0</v>
      </c>
      <c r="M151" s="231">
        <v>0</v>
      </c>
      <c r="N151" s="234">
        <v>0</v>
      </c>
      <c r="O151" s="231">
        <v>0</v>
      </c>
      <c r="P151" s="234">
        <v>0</v>
      </c>
      <c r="Q151" s="231">
        <v>0</v>
      </c>
      <c r="R151" s="234">
        <v>14.956666666666669</v>
      </c>
      <c r="S151" s="231">
        <v>22.818500000000007</v>
      </c>
      <c r="T151" s="234">
        <v>70.376333333333321</v>
      </c>
      <c r="U151" s="231">
        <v>5.679666666666666</v>
      </c>
      <c r="V151" s="234">
        <v>0</v>
      </c>
      <c r="W151" s="231">
        <v>0</v>
      </c>
      <c r="X151" s="234">
        <v>29.199666666666655</v>
      </c>
      <c r="Y151" s="231">
        <v>29.316166666666664</v>
      </c>
      <c r="Z151" s="234">
        <v>22.229166666666671</v>
      </c>
      <c r="AA151" s="231">
        <v>10.131999999999998</v>
      </c>
      <c r="AB151" s="234">
        <v>0.25666666666666643</v>
      </c>
      <c r="AC151" s="238">
        <f t="shared" si="51"/>
        <v>204.96483333333333</v>
      </c>
      <c r="AD151" s="238"/>
      <c r="AE151" s="238"/>
    </row>
    <row r="152" spans="2:31" x14ac:dyDescent="0.3">
      <c r="B152" s="245" t="s">
        <v>18</v>
      </c>
      <c r="C152" s="245"/>
      <c r="D152" s="245"/>
      <c r="E152" s="231">
        <v>0</v>
      </c>
      <c r="F152" s="234">
        <v>0</v>
      </c>
      <c r="G152" s="231">
        <v>0</v>
      </c>
      <c r="H152" s="234">
        <v>0</v>
      </c>
      <c r="I152" s="231">
        <v>0</v>
      </c>
      <c r="J152" s="234">
        <v>0</v>
      </c>
      <c r="K152" s="231">
        <v>0</v>
      </c>
      <c r="L152" s="234">
        <v>0</v>
      </c>
      <c r="M152" s="231">
        <v>0</v>
      </c>
      <c r="N152" s="234">
        <v>0</v>
      </c>
      <c r="O152" s="231">
        <v>0</v>
      </c>
      <c r="P152" s="234">
        <v>0</v>
      </c>
      <c r="Q152" s="231">
        <v>0</v>
      </c>
      <c r="R152" s="234">
        <v>0</v>
      </c>
      <c r="S152" s="231">
        <v>0</v>
      </c>
      <c r="T152" s="234">
        <v>0</v>
      </c>
      <c r="U152" s="231">
        <v>0</v>
      </c>
      <c r="V152" s="234">
        <v>0</v>
      </c>
      <c r="W152" s="231">
        <v>3.1666666666666289E-3</v>
      </c>
      <c r="X152" s="234">
        <v>5.5999999999999751E-2</v>
      </c>
      <c r="Y152" s="231">
        <v>1.8166666666667199E-2</v>
      </c>
      <c r="Z152" s="234">
        <v>0</v>
      </c>
      <c r="AA152" s="231">
        <v>2.9999999999998769E-3</v>
      </c>
      <c r="AB152" s="234">
        <v>0</v>
      </c>
      <c r="AC152" s="238">
        <f t="shared" si="51"/>
        <v>8.0333333333333465E-2</v>
      </c>
      <c r="AD152" s="238"/>
      <c r="AE152" s="238"/>
    </row>
    <row r="153" spans="2:31" x14ac:dyDescent="0.3">
      <c r="B153" s="245" t="s">
        <v>19</v>
      </c>
      <c r="C153" s="245"/>
      <c r="D153" s="245"/>
      <c r="E153" s="231">
        <v>0</v>
      </c>
      <c r="F153" s="234">
        <v>0</v>
      </c>
      <c r="G153" s="231">
        <v>0</v>
      </c>
      <c r="H153" s="234">
        <v>0</v>
      </c>
      <c r="I153" s="231">
        <v>0</v>
      </c>
      <c r="J153" s="234">
        <v>0</v>
      </c>
      <c r="K153" s="231">
        <v>0</v>
      </c>
      <c r="L153" s="234">
        <v>0</v>
      </c>
      <c r="M153" s="231">
        <v>0</v>
      </c>
      <c r="N153" s="234">
        <v>0</v>
      </c>
      <c r="O153" s="231">
        <v>0</v>
      </c>
      <c r="P153" s="234">
        <v>0</v>
      </c>
      <c r="Q153" s="231">
        <v>0</v>
      </c>
      <c r="R153" s="234">
        <v>0</v>
      </c>
      <c r="S153" s="231">
        <v>0</v>
      </c>
      <c r="T153" s="234">
        <v>0</v>
      </c>
      <c r="U153" s="231">
        <v>0</v>
      </c>
      <c r="V153" s="234">
        <v>0</v>
      </c>
      <c r="W153" s="231">
        <v>21.993833333333328</v>
      </c>
      <c r="X153" s="234">
        <v>30.187666666666686</v>
      </c>
      <c r="Y153" s="231">
        <v>29.755833333333339</v>
      </c>
      <c r="Z153" s="234">
        <v>28.219333333333331</v>
      </c>
      <c r="AA153" s="231">
        <v>17.224666666666668</v>
      </c>
      <c r="AB153" s="234">
        <v>1.2488333333333335</v>
      </c>
      <c r="AC153" s="238">
        <f t="shared" si="51"/>
        <v>128.6301666666667</v>
      </c>
      <c r="AD153" s="238"/>
      <c r="AE153" s="238"/>
    </row>
    <row r="154" spans="2:31" x14ac:dyDescent="0.3">
      <c r="B154" s="245" t="s">
        <v>20</v>
      </c>
      <c r="C154" s="245"/>
      <c r="D154" s="245"/>
      <c r="E154" s="231">
        <v>0</v>
      </c>
      <c r="F154" s="234">
        <v>0</v>
      </c>
      <c r="G154" s="231">
        <v>0</v>
      </c>
      <c r="H154" s="234">
        <v>0</v>
      </c>
      <c r="I154" s="231">
        <v>0</v>
      </c>
      <c r="J154" s="234">
        <v>0</v>
      </c>
      <c r="K154" s="231">
        <v>0</v>
      </c>
      <c r="L154" s="234">
        <v>0</v>
      </c>
      <c r="M154" s="231">
        <v>0</v>
      </c>
      <c r="N154" s="234">
        <v>0</v>
      </c>
      <c r="O154" s="231">
        <v>0</v>
      </c>
      <c r="P154" s="234">
        <v>0</v>
      </c>
      <c r="Q154" s="231">
        <v>0</v>
      </c>
      <c r="R154" s="234">
        <v>15.179999999999978</v>
      </c>
      <c r="S154" s="231">
        <v>19.05999999999997</v>
      </c>
      <c r="T154" s="234">
        <v>21.160000000000007</v>
      </c>
      <c r="U154" s="231">
        <v>22.859999999999982</v>
      </c>
      <c r="V154" s="234">
        <v>24.259999999999994</v>
      </c>
      <c r="W154" s="231">
        <v>25.059999999999963</v>
      </c>
      <c r="X154" s="234">
        <v>25.559999999999963</v>
      </c>
      <c r="Y154" s="231">
        <v>26.059999999999963</v>
      </c>
      <c r="Z154" s="234">
        <v>26.559999999999963</v>
      </c>
      <c r="AA154" s="231">
        <v>25.660000000000021</v>
      </c>
      <c r="AB154" s="234">
        <v>4.2459999999999996</v>
      </c>
      <c r="AC154" s="238">
        <f t="shared" si="51"/>
        <v>235.66599999999985</v>
      </c>
      <c r="AD154" s="238"/>
      <c r="AE154" s="238"/>
    </row>
    <row r="155" spans="2:31" x14ac:dyDescent="0.3">
      <c r="B155" s="245" t="s">
        <v>21</v>
      </c>
      <c r="C155" s="245"/>
      <c r="D155" s="245"/>
      <c r="E155" s="231">
        <v>0</v>
      </c>
      <c r="F155" s="234">
        <v>0</v>
      </c>
      <c r="G155" s="231">
        <v>0</v>
      </c>
      <c r="H155" s="234">
        <v>0</v>
      </c>
      <c r="I155" s="231">
        <v>0</v>
      </c>
      <c r="J155" s="234">
        <v>0</v>
      </c>
      <c r="K155" s="231">
        <v>0</v>
      </c>
      <c r="L155" s="234">
        <v>0</v>
      </c>
      <c r="M155" s="231">
        <v>0</v>
      </c>
      <c r="N155" s="234">
        <v>0</v>
      </c>
      <c r="O155" s="231">
        <v>0</v>
      </c>
      <c r="P155" s="234">
        <v>0</v>
      </c>
      <c r="Q155" s="231">
        <v>0</v>
      </c>
      <c r="R155" s="234">
        <v>0</v>
      </c>
      <c r="S155" s="231">
        <v>0</v>
      </c>
      <c r="T155" s="234">
        <v>0</v>
      </c>
      <c r="U155" s="231">
        <v>1.4821666666666653</v>
      </c>
      <c r="V155" s="234">
        <v>2.6441666666666683</v>
      </c>
      <c r="W155" s="231">
        <v>3.7666666666666869E-2</v>
      </c>
      <c r="X155" s="234">
        <v>1.1334999999999986</v>
      </c>
      <c r="Y155" s="231">
        <v>18.608666666666661</v>
      </c>
      <c r="Z155" s="234">
        <v>18.055166666666668</v>
      </c>
      <c r="AA155" s="231">
        <v>4.493333333333335</v>
      </c>
      <c r="AB155" s="234">
        <v>1.1546666666666672</v>
      </c>
      <c r="AC155" s="238">
        <f t="shared" si="51"/>
        <v>47.609333333333325</v>
      </c>
      <c r="AD155" s="238"/>
      <c r="AE155" s="238"/>
    </row>
    <row r="156" spans="2:31" x14ac:dyDescent="0.3">
      <c r="B156" s="245" t="s">
        <v>22</v>
      </c>
      <c r="C156" s="245"/>
      <c r="D156" s="245"/>
      <c r="E156" s="231">
        <v>0</v>
      </c>
      <c r="F156" s="234">
        <v>0</v>
      </c>
      <c r="G156" s="231">
        <v>0</v>
      </c>
      <c r="H156" s="234">
        <v>0</v>
      </c>
      <c r="I156" s="231">
        <v>0</v>
      </c>
      <c r="J156" s="234">
        <v>0</v>
      </c>
      <c r="K156" s="231">
        <v>0</v>
      </c>
      <c r="L156" s="234">
        <v>0</v>
      </c>
      <c r="M156" s="231">
        <v>0</v>
      </c>
      <c r="N156" s="234">
        <v>0</v>
      </c>
      <c r="O156" s="231">
        <v>0</v>
      </c>
      <c r="P156" s="234">
        <v>0</v>
      </c>
      <c r="Q156" s="231">
        <v>0</v>
      </c>
      <c r="R156" s="234">
        <v>1.0833333333333309E-2</v>
      </c>
      <c r="S156" s="231">
        <v>0</v>
      </c>
      <c r="T156" s="234">
        <v>4.2833333333333369E-2</v>
      </c>
      <c r="U156" s="231">
        <v>0</v>
      </c>
      <c r="V156" s="234">
        <v>2.3333333333333369E-2</v>
      </c>
      <c r="W156" s="231">
        <v>0.33900000000000008</v>
      </c>
      <c r="X156" s="234">
        <v>2.9666666666666775E-2</v>
      </c>
      <c r="Y156" s="231">
        <v>1.0898333333333337</v>
      </c>
      <c r="Z156" s="234">
        <v>1.6928333333333323</v>
      </c>
      <c r="AA156" s="231">
        <v>1.512333333333334</v>
      </c>
      <c r="AB156" s="234">
        <v>9.0833333333333377E-2</v>
      </c>
      <c r="AC156" s="238">
        <f t="shared" si="51"/>
        <v>4.8315000000000001</v>
      </c>
      <c r="AD156" s="238"/>
      <c r="AE156" s="238"/>
    </row>
    <row r="157" spans="2:31" x14ac:dyDescent="0.3">
      <c r="B157" s="245" t="s">
        <v>23</v>
      </c>
      <c r="C157" s="245"/>
      <c r="D157" s="245"/>
      <c r="E157" s="231">
        <v>0</v>
      </c>
      <c r="F157" s="234">
        <v>0</v>
      </c>
      <c r="G157" s="231">
        <v>0</v>
      </c>
      <c r="H157" s="234">
        <v>0</v>
      </c>
      <c r="I157" s="231">
        <v>0</v>
      </c>
      <c r="J157" s="234">
        <v>0</v>
      </c>
      <c r="K157" s="231">
        <v>0</v>
      </c>
      <c r="L157" s="234">
        <v>0</v>
      </c>
      <c r="M157" s="231">
        <v>0</v>
      </c>
      <c r="N157" s="234">
        <v>0</v>
      </c>
      <c r="O157" s="231">
        <v>0</v>
      </c>
      <c r="P157" s="234">
        <v>0</v>
      </c>
      <c r="Q157" s="231">
        <v>0</v>
      </c>
      <c r="R157" s="234">
        <v>0</v>
      </c>
      <c r="S157" s="231">
        <v>0</v>
      </c>
      <c r="T157" s="234">
        <v>0</v>
      </c>
      <c r="U157" s="231">
        <v>0</v>
      </c>
      <c r="V157" s="234">
        <v>0</v>
      </c>
      <c r="W157" s="231">
        <v>0</v>
      </c>
      <c r="X157" s="234">
        <v>6.4999999999998913E-3</v>
      </c>
      <c r="Y157" s="231">
        <v>1.2240000000000006</v>
      </c>
      <c r="Z157" s="234">
        <v>9.5156666666666698</v>
      </c>
      <c r="AA157" s="231">
        <v>8.6466666666666718</v>
      </c>
      <c r="AB157" s="234">
        <v>1.321833333333333</v>
      </c>
      <c r="AC157" s="238">
        <f t="shared" si="51"/>
        <v>20.714666666666677</v>
      </c>
      <c r="AD157" s="238"/>
      <c r="AE157" s="238"/>
    </row>
    <row r="158" spans="2:31" x14ac:dyDescent="0.3">
      <c r="B158" s="245" t="s">
        <v>24</v>
      </c>
      <c r="C158" s="245"/>
      <c r="D158" s="245"/>
      <c r="E158" s="231">
        <v>0</v>
      </c>
      <c r="F158" s="234">
        <v>0</v>
      </c>
      <c r="G158" s="231">
        <v>0</v>
      </c>
      <c r="H158" s="234">
        <v>0</v>
      </c>
      <c r="I158" s="231">
        <v>0</v>
      </c>
      <c r="J158" s="234">
        <v>0</v>
      </c>
      <c r="K158" s="231">
        <v>0</v>
      </c>
      <c r="L158" s="234">
        <v>0</v>
      </c>
      <c r="M158" s="231">
        <v>0</v>
      </c>
      <c r="N158" s="234">
        <v>0</v>
      </c>
      <c r="O158" s="231">
        <v>0</v>
      </c>
      <c r="P158" s="234">
        <v>0</v>
      </c>
      <c r="Q158" s="231">
        <v>0</v>
      </c>
      <c r="R158" s="234">
        <v>3.4395000000000011</v>
      </c>
      <c r="S158" s="231">
        <v>0.91349999999999953</v>
      </c>
      <c r="T158" s="234">
        <v>0.92316666666666747</v>
      </c>
      <c r="U158" s="231">
        <v>1.6575000000000013</v>
      </c>
      <c r="V158" s="234">
        <v>3.6601666666666666</v>
      </c>
      <c r="W158" s="231">
        <v>0</v>
      </c>
      <c r="X158" s="234">
        <v>0</v>
      </c>
      <c r="Y158" s="231">
        <v>0.48616666666666647</v>
      </c>
      <c r="Z158" s="234">
        <v>1.0813333333333333</v>
      </c>
      <c r="AA158" s="231">
        <v>2.9666666666666685E-2</v>
      </c>
      <c r="AB158" s="234">
        <v>3.9000000000000055E-2</v>
      </c>
      <c r="AC158" s="238">
        <f t="shared" si="51"/>
        <v>12.230000000000002</v>
      </c>
      <c r="AD158" s="238"/>
      <c r="AE158" s="238"/>
    </row>
    <row r="159" spans="2:31" x14ac:dyDescent="0.3">
      <c r="B159" s="245" t="s">
        <v>25</v>
      </c>
      <c r="C159" s="245"/>
      <c r="D159" s="245"/>
      <c r="E159" s="231">
        <v>0</v>
      </c>
      <c r="F159" s="234">
        <v>0</v>
      </c>
      <c r="G159" s="231">
        <v>0</v>
      </c>
      <c r="H159" s="234">
        <v>0</v>
      </c>
      <c r="I159" s="231">
        <v>0</v>
      </c>
      <c r="J159" s="234">
        <v>0</v>
      </c>
      <c r="K159" s="231">
        <v>0</v>
      </c>
      <c r="L159" s="234">
        <v>0</v>
      </c>
      <c r="M159" s="231">
        <v>0</v>
      </c>
      <c r="N159" s="234">
        <v>0</v>
      </c>
      <c r="O159" s="231">
        <v>0</v>
      </c>
      <c r="P159" s="234">
        <v>0</v>
      </c>
      <c r="Q159" s="231">
        <v>0</v>
      </c>
      <c r="R159" s="234">
        <v>0</v>
      </c>
      <c r="S159" s="231">
        <v>0</v>
      </c>
      <c r="T159" s="234">
        <v>0</v>
      </c>
      <c r="U159" s="231">
        <v>0</v>
      </c>
      <c r="V159" s="234">
        <v>0</v>
      </c>
      <c r="W159" s="231">
        <v>0</v>
      </c>
      <c r="X159" s="234">
        <v>0</v>
      </c>
      <c r="Y159" s="231">
        <v>0</v>
      </c>
      <c r="Z159" s="234">
        <v>0</v>
      </c>
      <c r="AA159" s="231">
        <v>0</v>
      </c>
      <c r="AB159" s="234">
        <v>0</v>
      </c>
      <c r="AC159" s="238">
        <f t="shared" si="51"/>
        <v>0</v>
      </c>
      <c r="AD159" s="238"/>
      <c r="AE159" s="238"/>
    </row>
    <row r="160" spans="2:31" x14ac:dyDescent="0.3">
      <c r="B160" s="245" t="s">
        <v>26</v>
      </c>
      <c r="C160" s="245"/>
      <c r="D160" s="245"/>
      <c r="E160" s="231">
        <v>0</v>
      </c>
      <c r="F160" s="234">
        <v>0</v>
      </c>
      <c r="G160" s="231">
        <v>0</v>
      </c>
      <c r="H160" s="234">
        <v>0</v>
      </c>
      <c r="I160" s="231">
        <v>0</v>
      </c>
      <c r="J160" s="234">
        <v>0</v>
      </c>
      <c r="K160" s="231">
        <v>0</v>
      </c>
      <c r="L160" s="234">
        <v>0</v>
      </c>
      <c r="M160" s="231">
        <v>0</v>
      </c>
      <c r="N160" s="234">
        <v>0</v>
      </c>
      <c r="O160" s="231">
        <v>0</v>
      </c>
      <c r="P160" s="234">
        <v>0</v>
      </c>
      <c r="Q160" s="231">
        <v>0</v>
      </c>
      <c r="R160" s="234">
        <v>0</v>
      </c>
      <c r="S160" s="231">
        <v>0</v>
      </c>
      <c r="T160" s="234">
        <v>0</v>
      </c>
      <c r="U160" s="231">
        <v>0</v>
      </c>
      <c r="V160" s="234">
        <v>0</v>
      </c>
      <c r="W160" s="231">
        <v>0</v>
      </c>
      <c r="X160" s="234">
        <v>0</v>
      </c>
      <c r="Y160" s="231">
        <v>0</v>
      </c>
      <c r="Z160" s="234">
        <v>0</v>
      </c>
      <c r="AA160" s="231">
        <v>0</v>
      </c>
      <c r="AB160" s="234">
        <v>0</v>
      </c>
      <c r="AC160" s="238">
        <f t="shared" si="51"/>
        <v>0</v>
      </c>
      <c r="AD160" s="238"/>
      <c r="AE160" s="238"/>
    </row>
    <row r="161" spans="2:31" x14ac:dyDescent="0.3">
      <c r="B161" s="245" t="s">
        <v>27</v>
      </c>
      <c r="C161" s="245"/>
      <c r="D161" s="245"/>
      <c r="E161" s="231">
        <v>0</v>
      </c>
      <c r="F161" s="234">
        <v>0</v>
      </c>
      <c r="G161" s="231">
        <v>0</v>
      </c>
      <c r="H161" s="234">
        <v>0</v>
      </c>
      <c r="I161" s="231">
        <v>0</v>
      </c>
      <c r="J161" s="234">
        <v>0</v>
      </c>
      <c r="K161" s="231">
        <v>0</v>
      </c>
      <c r="L161" s="234">
        <v>0</v>
      </c>
      <c r="M161" s="231">
        <v>0</v>
      </c>
      <c r="N161" s="234">
        <v>0</v>
      </c>
      <c r="O161" s="231">
        <v>0</v>
      </c>
      <c r="P161" s="234">
        <v>0</v>
      </c>
      <c r="Q161" s="231">
        <v>0</v>
      </c>
      <c r="R161" s="234">
        <v>0</v>
      </c>
      <c r="S161" s="231">
        <v>0</v>
      </c>
      <c r="T161" s="234">
        <v>0</v>
      </c>
      <c r="U161" s="231">
        <v>0</v>
      </c>
      <c r="V161" s="234">
        <v>0</v>
      </c>
      <c r="W161" s="231">
        <v>0</v>
      </c>
      <c r="X161" s="234">
        <v>0</v>
      </c>
      <c r="Y161" s="231">
        <v>0</v>
      </c>
      <c r="Z161" s="234">
        <v>0</v>
      </c>
      <c r="AA161" s="231">
        <v>0</v>
      </c>
      <c r="AB161" s="234">
        <v>0</v>
      </c>
      <c r="AC161" s="238">
        <f t="shared" si="51"/>
        <v>0</v>
      </c>
      <c r="AD161" s="238"/>
      <c r="AE161" s="238"/>
    </row>
    <row r="162" spans="2:31" x14ac:dyDescent="0.3">
      <c r="B162" s="245" t="s">
        <v>28</v>
      </c>
      <c r="C162" s="245"/>
      <c r="D162" s="245"/>
      <c r="E162" s="231">
        <v>0</v>
      </c>
      <c r="F162" s="234">
        <v>0</v>
      </c>
      <c r="G162" s="231">
        <v>0</v>
      </c>
      <c r="H162" s="234">
        <v>0</v>
      </c>
      <c r="I162" s="231">
        <v>0</v>
      </c>
      <c r="J162" s="234">
        <v>0</v>
      </c>
      <c r="K162" s="231">
        <v>0</v>
      </c>
      <c r="L162" s="234">
        <v>0</v>
      </c>
      <c r="M162" s="231">
        <v>0</v>
      </c>
      <c r="N162" s="234">
        <v>0</v>
      </c>
      <c r="O162" s="231">
        <v>0</v>
      </c>
      <c r="P162" s="234">
        <v>0</v>
      </c>
      <c r="Q162" s="231">
        <v>0</v>
      </c>
      <c r="R162" s="234">
        <v>0</v>
      </c>
      <c r="S162" s="231">
        <v>0</v>
      </c>
      <c r="T162" s="234">
        <v>0</v>
      </c>
      <c r="U162" s="231">
        <v>0</v>
      </c>
      <c r="V162" s="234">
        <v>0</v>
      </c>
      <c r="W162" s="231">
        <v>0</v>
      </c>
      <c r="X162" s="234">
        <v>0</v>
      </c>
      <c r="Y162" s="231">
        <v>0</v>
      </c>
      <c r="Z162" s="234">
        <v>0</v>
      </c>
      <c r="AA162" s="231">
        <v>0</v>
      </c>
      <c r="AB162" s="234">
        <v>0</v>
      </c>
      <c r="AC162" s="238">
        <f t="shared" si="51"/>
        <v>0</v>
      </c>
      <c r="AD162" s="238"/>
      <c r="AE162" s="238"/>
    </row>
    <row r="163" spans="2:31" x14ac:dyDescent="0.3">
      <c r="B163" s="245" t="s">
        <v>92</v>
      </c>
      <c r="C163" s="245"/>
      <c r="D163" s="245"/>
      <c r="E163" s="231">
        <v>0</v>
      </c>
      <c r="F163" s="234">
        <v>0</v>
      </c>
      <c r="G163" s="231">
        <v>0</v>
      </c>
      <c r="H163" s="234">
        <v>0</v>
      </c>
      <c r="I163" s="231">
        <v>0</v>
      </c>
      <c r="J163" s="234">
        <v>0</v>
      </c>
      <c r="K163" s="231">
        <v>0</v>
      </c>
      <c r="L163" s="234">
        <v>0</v>
      </c>
      <c r="M163" s="231">
        <v>0</v>
      </c>
      <c r="N163" s="234">
        <v>0</v>
      </c>
      <c r="O163" s="231">
        <v>0</v>
      </c>
      <c r="P163" s="234">
        <v>0</v>
      </c>
      <c r="Q163" s="231">
        <v>0</v>
      </c>
      <c r="R163" s="234">
        <v>0</v>
      </c>
      <c r="S163" s="231">
        <v>0</v>
      </c>
      <c r="T163" s="234">
        <v>0</v>
      </c>
      <c r="U163" s="231">
        <v>0</v>
      </c>
      <c r="V163" s="234">
        <v>0</v>
      </c>
      <c r="W163" s="231">
        <v>0</v>
      </c>
      <c r="X163" s="234">
        <v>0</v>
      </c>
      <c r="Y163" s="231">
        <v>0</v>
      </c>
      <c r="Z163" s="234">
        <v>0</v>
      </c>
      <c r="AA163" s="231">
        <v>0</v>
      </c>
      <c r="AB163" s="234">
        <v>0</v>
      </c>
      <c r="AC163" s="238">
        <f t="shared" si="51"/>
        <v>0</v>
      </c>
      <c r="AD163" s="238"/>
      <c r="AE163" s="238"/>
    </row>
    <row r="164" spans="2:31" x14ac:dyDescent="0.3">
      <c r="B164" s="245" t="s">
        <v>29</v>
      </c>
      <c r="C164" s="245"/>
      <c r="D164" s="245"/>
      <c r="E164" s="231">
        <v>0</v>
      </c>
      <c r="F164" s="234">
        <v>0</v>
      </c>
      <c r="G164" s="231">
        <v>0</v>
      </c>
      <c r="H164" s="234">
        <v>0</v>
      </c>
      <c r="I164" s="231">
        <v>0</v>
      </c>
      <c r="J164" s="234">
        <v>0</v>
      </c>
      <c r="K164" s="231">
        <v>0</v>
      </c>
      <c r="L164" s="234">
        <v>0</v>
      </c>
      <c r="M164" s="231">
        <v>0</v>
      </c>
      <c r="N164" s="234">
        <v>0</v>
      </c>
      <c r="O164" s="231">
        <v>0</v>
      </c>
      <c r="P164" s="234">
        <v>0</v>
      </c>
      <c r="Q164" s="231">
        <v>0</v>
      </c>
      <c r="R164" s="234">
        <v>0</v>
      </c>
      <c r="S164" s="231">
        <v>0</v>
      </c>
      <c r="T164" s="234">
        <v>0</v>
      </c>
      <c r="U164" s="231">
        <v>0</v>
      </c>
      <c r="V164" s="234">
        <v>0</v>
      </c>
      <c r="W164" s="231">
        <v>0</v>
      </c>
      <c r="X164" s="234">
        <v>0</v>
      </c>
      <c r="Y164" s="231">
        <v>0</v>
      </c>
      <c r="Z164" s="234">
        <v>0</v>
      </c>
      <c r="AA164" s="231">
        <v>0</v>
      </c>
      <c r="AB164" s="234">
        <v>0</v>
      </c>
      <c r="AC164" s="238">
        <f t="shared" si="51"/>
        <v>0</v>
      </c>
      <c r="AD164" s="238"/>
      <c r="AE164" s="238"/>
    </row>
    <row r="165" spans="2:31" x14ac:dyDescent="0.3">
      <c r="B165" s="245" t="s">
        <v>30</v>
      </c>
      <c r="C165" s="245"/>
      <c r="D165" s="245"/>
      <c r="E165" s="231">
        <v>0</v>
      </c>
      <c r="F165" s="234">
        <v>0</v>
      </c>
      <c r="G165" s="231">
        <v>0</v>
      </c>
      <c r="H165" s="234">
        <v>0</v>
      </c>
      <c r="I165" s="231">
        <v>0</v>
      </c>
      <c r="J165" s="234">
        <v>0</v>
      </c>
      <c r="K165" s="231">
        <v>0</v>
      </c>
      <c r="L165" s="234">
        <v>0</v>
      </c>
      <c r="M165" s="231">
        <v>0</v>
      </c>
      <c r="N165" s="234">
        <v>0</v>
      </c>
      <c r="O165" s="231">
        <v>0</v>
      </c>
      <c r="P165" s="234">
        <v>0</v>
      </c>
      <c r="Q165" s="231">
        <v>0</v>
      </c>
      <c r="R165" s="234">
        <v>0</v>
      </c>
      <c r="S165" s="231">
        <v>0</v>
      </c>
      <c r="T165" s="234">
        <v>0</v>
      </c>
      <c r="U165" s="231">
        <v>0</v>
      </c>
      <c r="V165" s="234">
        <v>0</v>
      </c>
      <c r="W165" s="231">
        <v>0</v>
      </c>
      <c r="X165" s="234">
        <v>0</v>
      </c>
      <c r="Y165" s="231">
        <v>0</v>
      </c>
      <c r="Z165" s="234">
        <v>0</v>
      </c>
      <c r="AA165" s="231">
        <v>0</v>
      </c>
      <c r="AB165" s="234">
        <v>0</v>
      </c>
      <c r="AC165" s="238">
        <f t="shared" si="51"/>
        <v>0</v>
      </c>
      <c r="AD165" s="238"/>
      <c r="AE165" s="238"/>
    </row>
    <row r="166" spans="2:31" x14ac:dyDescent="0.3">
      <c r="B166" s="245" t="s">
        <v>31</v>
      </c>
      <c r="C166" s="245"/>
      <c r="D166" s="245"/>
      <c r="E166" s="231">
        <v>0</v>
      </c>
      <c r="F166" s="234">
        <v>0</v>
      </c>
      <c r="G166" s="231">
        <v>0</v>
      </c>
      <c r="H166" s="234">
        <v>0</v>
      </c>
      <c r="I166" s="231">
        <v>0</v>
      </c>
      <c r="J166" s="234">
        <v>0</v>
      </c>
      <c r="K166" s="231">
        <v>0</v>
      </c>
      <c r="L166" s="234">
        <v>0</v>
      </c>
      <c r="M166" s="231">
        <v>0</v>
      </c>
      <c r="N166" s="234">
        <v>0</v>
      </c>
      <c r="O166" s="231">
        <v>0</v>
      </c>
      <c r="P166" s="234">
        <v>0</v>
      </c>
      <c r="Q166" s="231">
        <v>0</v>
      </c>
      <c r="R166" s="234">
        <v>0</v>
      </c>
      <c r="S166" s="231">
        <v>0</v>
      </c>
      <c r="T166" s="234">
        <v>0</v>
      </c>
      <c r="U166" s="231">
        <v>0</v>
      </c>
      <c r="V166" s="234">
        <v>0</v>
      </c>
      <c r="W166" s="231">
        <v>0</v>
      </c>
      <c r="X166" s="234">
        <v>0</v>
      </c>
      <c r="Y166" s="231">
        <v>0</v>
      </c>
      <c r="Z166" s="234">
        <v>0</v>
      </c>
      <c r="AA166" s="231">
        <v>0</v>
      </c>
      <c r="AB166" s="234">
        <v>0</v>
      </c>
      <c r="AC166" s="238">
        <f t="shared" si="51"/>
        <v>0</v>
      </c>
      <c r="AD166" s="238"/>
      <c r="AE166" s="238"/>
    </row>
    <row r="167" spans="2:31" x14ac:dyDescent="0.3">
      <c r="B167" s="245" t="s">
        <v>32</v>
      </c>
      <c r="C167" s="245"/>
      <c r="D167" s="245"/>
      <c r="E167" s="231">
        <v>0</v>
      </c>
      <c r="F167" s="234">
        <v>0</v>
      </c>
      <c r="G167" s="231">
        <v>0</v>
      </c>
      <c r="H167" s="234">
        <v>0</v>
      </c>
      <c r="I167" s="231">
        <v>0</v>
      </c>
      <c r="J167" s="234">
        <v>0</v>
      </c>
      <c r="K167" s="231">
        <v>0</v>
      </c>
      <c r="L167" s="234">
        <v>0</v>
      </c>
      <c r="M167" s="231">
        <v>0</v>
      </c>
      <c r="N167" s="234">
        <v>0</v>
      </c>
      <c r="O167" s="231">
        <v>0</v>
      </c>
      <c r="P167" s="234">
        <v>0</v>
      </c>
      <c r="Q167" s="231">
        <v>0</v>
      </c>
      <c r="R167" s="234">
        <v>0</v>
      </c>
      <c r="S167" s="231">
        <v>0</v>
      </c>
      <c r="T167" s="234">
        <v>0</v>
      </c>
      <c r="U167" s="231">
        <v>0</v>
      </c>
      <c r="V167" s="234">
        <v>0</v>
      </c>
      <c r="W167" s="231">
        <v>0</v>
      </c>
      <c r="X167" s="234">
        <v>0</v>
      </c>
      <c r="Y167" s="231">
        <v>0</v>
      </c>
      <c r="Z167" s="234">
        <v>0</v>
      </c>
      <c r="AA167" s="231">
        <v>0</v>
      </c>
      <c r="AB167" s="234">
        <v>0</v>
      </c>
      <c r="AC167" s="238">
        <f t="shared" si="51"/>
        <v>0</v>
      </c>
      <c r="AD167" s="238"/>
      <c r="AE167" s="238"/>
    </row>
    <row r="168" spans="2:31" x14ac:dyDescent="0.3">
      <c r="B168" s="245" t="s">
        <v>33</v>
      </c>
      <c r="C168" s="245"/>
      <c r="D168" s="245"/>
      <c r="E168" s="231">
        <v>0</v>
      </c>
      <c r="F168" s="234">
        <v>0</v>
      </c>
      <c r="G168" s="231">
        <v>0</v>
      </c>
      <c r="H168" s="234">
        <v>0</v>
      </c>
      <c r="I168" s="231">
        <v>0</v>
      </c>
      <c r="J168" s="234">
        <v>0</v>
      </c>
      <c r="K168" s="231">
        <v>0</v>
      </c>
      <c r="L168" s="234">
        <v>0</v>
      </c>
      <c r="M168" s="231">
        <v>0</v>
      </c>
      <c r="N168" s="234">
        <v>0</v>
      </c>
      <c r="O168" s="231">
        <v>0</v>
      </c>
      <c r="P168" s="234">
        <v>0</v>
      </c>
      <c r="Q168" s="231">
        <v>0</v>
      </c>
      <c r="R168" s="234">
        <v>0</v>
      </c>
      <c r="S168" s="231">
        <v>0</v>
      </c>
      <c r="T168" s="234">
        <v>0</v>
      </c>
      <c r="U168" s="231">
        <v>0</v>
      </c>
      <c r="V168" s="234">
        <v>0</v>
      </c>
      <c r="W168" s="231">
        <v>0</v>
      </c>
      <c r="X168" s="234">
        <v>0</v>
      </c>
      <c r="Y168" s="231">
        <v>0</v>
      </c>
      <c r="Z168" s="234">
        <v>0</v>
      </c>
      <c r="AA168" s="231">
        <v>0</v>
      </c>
      <c r="AB168" s="234">
        <v>0</v>
      </c>
      <c r="AC168" s="238">
        <f t="shared" si="51"/>
        <v>0</v>
      </c>
      <c r="AD168" s="238"/>
      <c r="AE168" s="238"/>
    </row>
    <row r="169" spans="2:31" x14ac:dyDescent="0.3">
      <c r="B169" s="245" t="s">
        <v>34</v>
      </c>
      <c r="C169" s="245"/>
      <c r="D169" s="245"/>
      <c r="E169" s="231">
        <v>0</v>
      </c>
      <c r="F169" s="234">
        <v>0</v>
      </c>
      <c r="G169" s="231">
        <v>0</v>
      </c>
      <c r="H169" s="234">
        <v>0</v>
      </c>
      <c r="I169" s="231">
        <v>0</v>
      </c>
      <c r="J169" s="234">
        <v>0</v>
      </c>
      <c r="K169" s="231">
        <v>0</v>
      </c>
      <c r="L169" s="234">
        <v>0</v>
      </c>
      <c r="M169" s="231">
        <v>0</v>
      </c>
      <c r="N169" s="234">
        <v>0</v>
      </c>
      <c r="O169" s="231">
        <v>0</v>
      </c>
      <c r="P169" s="234">
        <v>0</v>
      </c>
      <c r="Q169" s="231">
        <v>0</v>
      </c>
      <c r="R169" s="234">
        <v>0</v>
      </c>
      <c r="S169" s="231">
        <v>0</v>
      </c>
      <c r="T169" s="234">
        <v>0</v>
      </c>
      <c r="U169" s="231">
        <v>0</v>
      </c>
      <c r="V169" s="234">
        <v>0</v>
      </c>
      <c r="W169" s="231">
        <v>0</v>
      </c>
      <c r="X169" s="234">
        <v>0</v>
      </c>
      <c r="Y169" s="231">
        <v>0</v>
      </c>
      <c r="Z169" s="234">
        <v>0</v>
      </c>
      <c r="AA169" s="231">
        <v>0</v>
      </c>
      <c r="AB169" s="234">
        <v>0</v>
      </c>
      <c r="AC169" s="238">
        <f t="shared" si="51"/>
        <v>0</v>
      </c>
      <c r="AD169" s="238"/>
      <c r="AE169" s="238"/>
    </row>
    <row r="170" spans="2:31" x14ac:dyDescent="0.3">
      <c r="B170" s="245" t="s">
        <v>35</v>
      </c>
      <c r="C170" s="245"/>
      <c r="D170" s="245"/>
      <c r="E170" s="231">
        <v>0</v>
      </c>
      <c r="F170" s="234">
        <v>0</v>
      </c>
      <c r="G170" s="231">
        <v>0</v>
      </c>
      <c r="H170" s="234">
        <v>0</v>
      </c>
      <c r="I170" s="231">
        <v>0</v>
      </c>
      <c r="J170" s="234">
        <v>0</v>
      </c>
      <c r="K170" s="231">
        <v>0</v>
      </c>
      <c r="L170" s="234">
        <v>0</v>
      </c>
      <c r="M170" s="231">
        <v>0</v>
      </c>
      <c r="N170" s="234">
        <v>0</v>
      </c>
      <c r="O170" s="231">
        <v>0</v>
      </c>
      <c r="P170" s="234">
        <v>0</v>
      </c>
      <c r="Q170" s="231">
        <v>0</v>
      </c>
      <c r="R170" s="234">
        <v>0</v>
      </c>
      <c r="S170" s="231">
        <v>0</v>
      </c>
      <c r="T170" s="234">
        <v>0</v>
      </c>
      <c r="U170" s="231">
        <v>0</v>
      </c>
      <c r="V170" s="234">
        <v>0</v>
      </c>
      <c r="W170" s="231">
        <v>0</v>
      </c>
      <c r="X170" s="234">
        <v>0</v>
      </c>
      <c r="Y170" s="231">
        <v>0</v>
      </c>
      <c r="Z170" s="234">
        <v>0</v>
      </c>
      <c r="AA170" s="231">
        <v>0</v>
      </c>
      <c r="AB170" s="234">
        <v>0</v>
      </c>
      <c r="AC170" s="238">
        <f t="shared" si="51"/>
        <v>0</v>
      </c>
      <c r="AD170" s="238"/>
      <c r="AE170" s="238"/>
    </row>
    <row r="171" spans="2:31" x14ac:dyDescent="0.3">
      <c r="B171" s="245" t="s">
        <v>36</v>
      </c>
      <c r="C171" s="245"/>
      <c r="D171" s="245"/>
      <c r="E171" s="231">
        <v>0</v>
      </c>
      <c r="F171" s="234">
        <v>0</v>
      </c>
      <c r="G171" s="231">
        <v>0</v>
      </c>
      <c r="H171" s="234">
        <v>0</v>
      </c>
      <c r="I171" s="231">
        <v>0</v>
      </c>
      <c r="J171" s="234">
        <v>0</v>
      </c>
      <c r="K171" s="231">
        <v>0</v>
      </c>
      <c r="L171" s="234">
        <v>0</v>
      </c>
      <c r="M171" s="231">
        <v>0</v>
      </c>
      <c r="N171" s="234">
        <v>0</v>
      </c>
      <c r="O171" s="231">
        <v>0</v>
      </c>
      <c r="P171" s="234">
        <v>0</v>
      </c>
      <c r="Q171" s="231">
        <v>0</v>
      </c>
      <c r="R171" s="234">
        <v>0</v>
      </c>
      <c r="S171" s="231">
        <v>0</v>
      </c>
      <c r="T171" s="234">
        <v>0</v>
      </c>
      <c r="U171" s="231">
        <v>0</v>
      </c>
      <c r="V171" s="234">
        <v>0</v>
      </c>
      <c r="W171" s="231">
        <v>0</v>
      </c>
      <c r="X171" s="234">
        <v>0</v>
      </c>
      <c r="Y171" s="231">
        <v>0</v>
      </c>
      <c r="Z171" s="234">
        <v>0</v>
      </c>
      <c r="AA171" s="231">
        <v>0</v>
      </c>
      <c r="AB171" s="234">
        <v>0</v>
      </c>
      <c r="AC171" s="238">
        <f t="shared" si="51"/>
        <v>0</v>
      </c>
      <c r="AD171" s="238"/>
      <c r="AE171" s="238"/>
    </row>
    <row r="172" spans="2:31" x14ac:dyDescent="0.3">
      <c r="B172" s="13" t="s">
        <v>89</v>
      </c>
      <c r="C172" s="13"/>
      <c r="D172" s="13"/>
      <c r="E172" s="231">
        <v>0</v>
      </c>
      <c r="F172" s="234">
        <v>0</v>
      </c>
      <c r="G172" s="231">
        <v>0</v>
      </c>
      <c r="H172" s="234">
        <v>0</v>
      </c>
      <c r="I172" s="231">
        <v>0</v>
      </c>
      <c r="J172" s="234">
        <v>0</v>
      </c>
      <c r="K172" s="231">
        <v>0</v>
      </c>
      <c r="L172" s="234">
        <v>0</v>
      </c>
      <c r="M172" s="231">
        <v>0</v>
      </c>
      <c r="N172" s="234">
        <v>0</v>
      </c>
      <c r="O172" s="231">
        <v>0</v>
      </c>
      <c r="P172" s="234">
        <v>0</v>
      </c>
      <c r="Q172" s="231">
        <v>0</v>
      </c>
      <c r="R172" s="234">
        <v>0</v>
      </c>
      <c r="S172" s="231">
        <v>0</v>
      </c>
      <c r="T172" s="234">
        <v>0</v>
      </c>
      <c r="U172" s="231">
        <v>0</v>
      </c>
      <c r="V172" s="234">
        <v>0</v>
      </c>
      <c r="W172" s="231">
        <v>0</v>
      </c>
      <c r="X172" s="234">
        <v>0</v>
      </c>
      <c r="Y172" s="231">
        <v>0</v>
      </c>
      <c r="Z172" s="234">
        <v>0</v>
      </c>
      <c r="AA172" s="231">
        <v>0</v>
      </c>
      <c r="AB172" s="234">
        <v>0</v>
      </c>
      <c r="AC172" s="238">
        <f t="shared" si="51"/>
        <v>0</v>
      </c>
      <c r="AD172" s="238"/>
      <c r="AE172" s="238"/>
    </row>
    <row r="173" spans="2:31" x14ac:dyDescent="0.3">
      <c r="B173" s="13" t="s">
        <v>90</v>
      </c>
      <c r="C173" s="13"/>
      <c r="D173" s="13"/>
      <c r="E173" s="231">
        <v>0</v>
      </c>
      <c r="F173" s="234">
        <v>0</v>
      </c>
      <c r="G173" s="231">
        <v>0</v>
      </c>
      <c r="H173" s="234">
        <v>0</v>
      </c>
      <c r="I173" s="231">
        <v>0</v>
      </c>
      <c r="J173" s="234">
        <v>0</v>
      </c>
      <c r="K173" s="231">
        <v>0</v>
      </c>
      <c r="L173" s="234">
        <v>0</v>
      </c>
      <c r="M173" s="231">
        <v>0</v>
      </c>
      <c r="N173" s="234">
        <v>0</v>
      </c>
      <c r="O173" s="231">
        <v>0</v>
      </c>
      <c r="P173" s="234">
        <v>0</v>
      </c>
      <c r="Q173" s="231">
        <v>0</v>
      </c>
      <c r="R173" s="234">
        <v>0</v>
      </c>
      <c r="S173" s="231">
        <v>0</v>
      </c>
      <c r="T173" s="234">
        <v>0</v>
      </c>
      <c r="U173" s="231">
        <v>0</v>
      </c>
      <c r="V173" s="234">
        <v>0</v>
      </c>
      <c r="W173" s="231">
        <v>0</v>
      </c>
      <c r="X173" s="234">
        <v>0</v>
      </c>
      <c r="Y173" s="231">
        <v>0</v>
      </c>
      <c r="Z173" s="234">
        <v>0</v>
      </c>
      <c r="AA173" s="231">
        <v>0</v>
      </c>
      <c r="AB173" s="234">
        <v>0</v>
      </c>
      <c r="AC173" s="238">
        <f t="shared" si="51"/>
        <v>0</v>
      </c>
      <c r="AD173" s="238"/>
      <c r="AE173" s="238"/>
    </row>
    <row r="174" spans="2:31" x14ac:dyDescent="0.3">
      <c r="B174" s="14" t="s">
        <v>2</v>
      </c>
      <c r="C174" s="14"/>
      <c r="D174" s="14"/>
      <c r="E174" s="15">
        <f>SUM(E137:E173)</f>
        <v>0</v>
      </c>
      <c r="F174" s="15">
        <f t="shared" ref="F174" si="52">SUM(F137:F173)</f>
        <v>0</v>
      </c>
      <c r="G174" s="15">
        <f t="shared" ref="G174" si="53">SUM(G137:G173)</f>
        <v>0</v>
      </c>
      <c r="H174" s="15">
        <f t="shared" ref="H174" si="54">SUM(H137:H173)</f>
        <v>0</v>
      </c>
      <c r="I174" s="15">
        <f t="shared" ref="I174" si="55">SUM(I137:I173)</f>
        <v>0</v>
      </c>
      <c r="J174" s="15">
        <f t="shared" ref="J174" si="56">SUM(J137:J173)</f>
        <v>0</v>
      </c>
      <c r="K174" s="15">
        <f t="shared" ref="K174" si="57">SUM(K137:K173)</f>
        <v>0</v>
      </c>
      <c r="L174" s="15">
        <f t="shared" ref="L174" si="58">SUM(L137:L173)</f>
        <v>0</v>
      </c>
      <c r="M174" s="15">
        <f t="shared" ref="M174" si="59">SUM(M137:M173)</f>
        <v>0</v>
      </c>
      <c r="N174" s="15">
        <f t="shared" ref="N174" si="60">SUM(N137:N173)</f>
        <v>0</v>
      </c>
      <c r="O174" s="15">
        <f t="shared" ref="O174" si="61">SUM(O137:O173)</f>
        <v>0</v>
      </c>
      <c r="P174" s="15">
        <f t="shared" ref="P174" si="62">SUM(P137:P173)</f>
        <v>0</v>
      </c>
      <c r="Q174" s="15">
        <f t="shared" ref="Q174" si="63">SUM(Q137:Q173)</f>
        <v>1.870000000000001</v>
      </c>
      <c r="R174" s="15">
        <f t="shared" ref="R174" si="64">SUM(R137:R173)</f>
        <v>143.84116666666665</v>
      </c>
      <c r="S174" s="15">
        <f t="shared" ref="S174" si="65">SUM(S137:S173)</f>
        <v>286.66533333333325</v>
      </c>
      <c r="T174" s="15">
        <f t="shared" ref="T174" si="66">SUM(T137:T173)</f>
        <v>402.19383333333332</v>
      </c>
      <c r="U174" s="15">
        <f t="shared" ref="U174" si="67">SUM(U137:U173)</f>
        <v>446.73666666666657</v>
      </c>
      <c r="V174" s="15">
        <f t="shared" ref="V174" si="68">SUM(V137:V173)</f>
        <v>514.72516666666661</v>
      </c>
      <c r="W174" s="15">
        <f t="shared" ref="W174" si="69">SUM(W137:W173)</f>
        <v>229.01016666666672</v>
      </c>
      <c r="X174" s="15">
        <f t="shared" ref="X174" si="70">SUM(X137:X173)</f>
        <v>107.61983333333332</v>
      </c>
      <c r="Y174" s="15">
        <f t="shared" ref="Y174" si="71">SUM(Y137:Y173)</f>
        <v>126.72849999999995</v>
      </c>
      <c r="Z174" s="15">
        <f t="shared" ref="Z174" si="72">SUM(Z137:Z173)</f>
        <v>127.60283333333329</v>
      </c>
      <c r="AA174" s="15">
        <f t="shared" ref="AA174" si="73">SUM(AA137:AA173)</f>
        <v>80.889166666666711</v>
      </c>
      <c r="AB174" s="15">
        <f t="shared" ref="AB174" si="74">SUM(AB137:AB173)</f>
        <v>10.544499999999999</v>
      </c>
      <c r="AC174" s="249">
        <f>SUM(AC137:AE173)</f>
        <v>2478.4271666666668</v>
      </c>
      <c r="AD174" s="249"/>
      <c r="AE174" s="249"/>
    </row>
    <row r="175" spans="2:31" x14ac:dyDescent="0.3">
      <c r="B175" s="16"/>
      <c r="C175" s="17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2:31" x14ac:dyDescent="0.3">
      <c r="B176" s="16"/>
      <c r="C176" s="17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2:31" x14ac:dyDescent="0.3">
      <c r="B177" s="8">
        <f>'Resumen-Mensual'!$I$22</f>
        <v>44566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4"/>
      <c r="AD177" s="4"/>
      <c r="AE177" s="4"/>
    </row>
    <row r="178" spans="2:31" x14ac:dyDescent="0.3">
      <c r="B178" s="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4"/>
      <c r="AD178" s="4"/>
      <c r="AE178" s="4"/>
    </row>
    <row r="179" spans="2:31" x14ac:dyDescent="0.3">
      <c r="B179" s="9" t="s">
        <v>81</v>
      </c>
      <c r="C179" s="10"/>
      <c r="D179" s="10"/>
      <c r="E179" s="11">
        <v>1</v>
      </c>
      <c r="F179" s="11">
        <v>2</v>
      </c>
      <c r="G179" s="11">
        <v>3</v>
      </c>
      <c r="H179" s="11">
        <v>4</v>
      </c>
      <c r="I179" s="11">
        <v>5</v>
      </c>
      <c r="J179" s="11">
        <v>6</v>
      </c>
      <c r="K179" s="11">
        <v>7</v>
      </c>
      <c r="L179" s="11">
        <v>8</v>
      </c>
      <c r="M179" s="11">
        <v>9</v>
      </c>
      <c r="N179" s="11">
        <v>10</v>
      </c>
      <c r="O179" s="11">
        <v>11</v>
      </c>
      <c r="P179" s="11">
        <v>12</v>
      </c>
      <c r="Q179" s="11">
        <v>13</v>
      </c>
      <c r="R179" s="11">
        <v>14</v>
      </c>
      <c r="S179" s="11">
        <v>15</v>
      </c>
      <c r="T179" s="11">
        <v>16</v>
      </c>
      <c r="U179" s="11">
        <v>17</v>
      </c>
      <c r="V179" s="11">
        <v>18</v>
      </c>
      <c r="W179" s="11">
        <v>19</v>
      </c>
      <c r="X179" s="11">
        <v>20</v>
      </c>
      <c r="Y179" s="11">
        <v>21</v>
      </c>
      <c r="Z179" s="11">
        <v>22</v>
      </c>
      <c r="AA179" s="11">
        <v>23</v>
      </c>
      <c r="AB179" s="11">
        <v>24</v>
      </c>
      <c r="AC179" s="248" t="s">
        <v>2</v>
      </c>
      <c r="AD179" s="248"/>
      <c r="AE179" s="248"/>
    </row>
    <row r="180" spans="2:31" x14ac:dyDescent="0.3">
      <c r="B180" s="245" t="s">
        <v>4</v>
      </c>
      <c r="C180" s="245"/>
      <c r="D180" s="245"/>
      <c r="E180" s="232">
        <v>0</v>
      </c>
      <c r="F180" s="233">
        <v>0</v>
      </c>
      <c r="G180" s="232">
        <v>0</v>
      </c>
      <c r="H180" s="233">
        <v>0</v>
      </c>
      <c r="I180" s="232">
        <v>0</v>
      </c>
      <c r="J180" s="233">
        <v>0</v>
      </c>
      <c r="K180" s="232">
        <v>0</v>
      </c>
      <c r="L180" s="233">
        <v>0</v>
      </c>
      <c r="M180" s="232">
        <v>0</v>
      </c>
      <c r="N180" s="233">
        <v>0</v>
      </c>
      <c r="O180" s="232">
        <v>0</v>
      </c>
      <c r="P180" s="233">
        <v>0</v>
      </c>
      <c r="Q180" s="232">
        <v>0</v>
      </c>
      <c r="R180" s="233">
        <v>0</v>
      </c>
      <c r="S180" s="232">
        <v>4.7718333333333307</v>
      </c>
      <c r="T180" s="233">
        <v>13.960000000000003</v>
      </c>
      <c r="U180" s="232">
        <v>11.289166666666665</v>
      </c>
      <c r="V180" s="233">
        <v>0.12783333333333335</v>
      </c>
      <c r="W180" s="232">
        <v>33.503166666666665</v>
      </c>
      <c r="X180" s="233">
        <v>29.279333333333341</v>
      </c>
      <c r="Y180" s="232">
        <v>0</v>
      </c>
      <c r="Z180" s="233">
        <v>0</v>
      </c>
      <c r="AA180" s="232">
        <v>0</v>
      </c>
      <c r="AB180" s="233">
        <v>0</v>
      </c>
      <c r="AC180" s="238">
        <f>SUM(E180:AB180)</f>
        <v>92.931333333333342</v>
      </c>
      <c r="AD180" s="238"/>
      <c r="AE180" s="238"/>
    </row>
    <row r="181" spans="2:31" x14ac:dyDescent="0.3">
      <c r="B181" s="245" t="s">
        <v>5</v>
      </c>
      <c r="C181" s="245"/>
      <c r="D181" s="245"/>
      <c r="E181" s="231">
        <v>0</v>
      </c>
      <c r="F181" s="234">
        <v>0</v>
      </c>
      <c r="G181" s="231">
        <v>0</v>
      </c>
      <c r="H181" s="234">
        <v>0</v>
      </c>
      <c r="I181" s="231">
        <v>0</v>
      </c>
      <c r="J181" s="234">
        <v>0</v>
      </c>
      <c r="K181" s="231">
        <v>0</v>
      </c>
      <c r="L181" s="234">
        <v>0</v>
      </c>
      <c r="M181" s="231">
        <v>0</v>
      </c>
      <c r="N181" s="234">
        <v>0</v>
      </c>
      <c r="O181" s="231">
        <v>0</v>
      </c>
      <c r="P181" s="234">
        <v>0</v>
      </c>
      <c r="Q181" s="231">
        <v>0</v>
      </c>
      <c r="R181" s="234">
        <v>10.746666666666666</v>
      </c>
      <c r="S181" s="231">
        <v>58.312999999999988</v>
      </c>
      <c r="T181" s="234">
        <v>72.582666666666654</v>
      </c>
      <c r="U181" s="231">
        <v>78.212999999999994</v>
      </c>
      <c r="V181" s="234">
        <v>64.616500000000016</v>
      </c>
      <c r="W181" s="231">
        <v>62.434833333333323</v>
      </c>
      <c r="X181" s="234">
        <v>50.511499999999998</v>
      </c>
      <c r="Y181" s="231">
        <v>0</v>
      </c>
      <c r="Z181" s="234">
        <v>0</v>
      </c>
      <c r="AA181" s="231">
        <v>0</v>
      </c>
      <c r="AB181" s="234">
        <v>0</v>
      </c>
      <c r="AC181" s="238">
        <f t="shared" ref="AC181:AC216" si="75">SUM(E181:AB181)</f>
        <v>397.41816666666665</v>
      </c>
      <c r="AD181" s="238"/>
      <c r="AE181" s="238"/>
    </row>
    <row r="182" spans="2:31" x14ac:dyDescent="0.3">
      <c r="B182" s="245" t="s">
        <v>6</v>
      </c>
      <c r="C182" s="245"/>
      <c r="D182" s="245"/>
      <c r="E182" s="231">
        <v>0</v>
      </c>
      <c r="F182" s="234">
        <v>0</v>
      </c>
      <c r="G182" s="231">
        <v>0</v>
      </c>
      <c r="H182" s="234">
        <v>0</v>
      </c>
      <c r="I182" s="231">
        <v>0</v>
      </c>
      <c r="J182" s="234">
        <v>0</v>
      </c>
      <c r="K182" s="231">
        <v>0</v>
      </c>
      <c r="L182" s="234">
        <v>0</v>
      </c>
      <c r="M182" s="231">
        <v>0</v>
      </c>
      <c r="N182" s="234">
        <v>0</v>
      </c>
      <c r="O182" s="231">
        <v>0</v>
      </c>
      <c r="P182" s="234">
        <v>0</v>
      </c>
      <c r="Q182" s="231">
        <v>0</v>
      </c>
      <c r="R182" s="234">
        <v>0</v>
      </c>
      <c r="S182" s="231">
        <v>0</v>
      </c>
      <c r="T182" s="234">
        <v>5.8833333333333284</v>
      </c>
      <c r="U182" s="231">
        <v>23.612166666666663</v>
      </c>
      <c r="V182" s="234">
        <v>0</v>
      </c>
      <c r="W182" s="231">
        <v>10.475333333333335</v>
      </c>
      <c r="X182" s="234">
        <v>11.414833333333331</v>
      </c>
      <c r="Y182" s="231">
        <v>0</v>
      </c>
      <c r="Z182" s="234">
        <v>0</v>
      </c>
      <c r="AA182" s="231">
        <v>0</v>
      </c>
      <c r="AB182" s="234">
        <v>0</v>
      </c>
      <c r="AC182" s="238">
        <f t="shared" si="75"/>
        <v>51.385666666666665</v>
      </c>
      <c r="AD182" s="238"/>
      <c r="AE182" s="238"/>
    </row>
    <row r="183" spans="2:31" x14ac:dyDescent="0.3">
      <c r="B183" s="245" t="s">
        <v>91</v>
      </c>
      <c r="C183" s="245"/>
      <c r="D183" s="245"/>
      <c r="E183" s="231">
        <v>0</v>
      </c>
      <c r="F183" s="234">
        <v>0</v>
      </c>
      <c r="G183" s="231">
        <v>0</v>
      </c>
      <c r="H183" s="234">
        <v>0</v>
      </c>
      <c r="I183" s="231">
        <v>0</v>
      </c>
      <c r="J183" s="234">
        <v>0</v>
      </c>
      <c r="K183" s="231">
        <v>0</v>
      </c>
      <c r="L183" s="234">
        <v>0</v>
      </c>
      <c r="M183" s="231">
        <v>0</v>
      </c>
      <c r="N183" s="234">
        <v>0</v>
      </c>
      <c r="O183" s="231">
        <v>0</v>
      </c>
      <c r="P183" s="234">
        <v>0</v>
      </c>
      <c r="Q183" s="231">
        <v>0</v>
      </c>
      <c r="R183" s="234">
        <v>0</v>
      </c>
      <c r="S183" s="231">
        <v>0</v>
      </c>
      <c r="T183" s="234">
        <v>0</v>
      </c>
      <c r="U183" s="231">
        <v>0</v>
      </c>
      <c r="V183" s="234">
        <v>0</v>
      </c>
      <c r="W183" s="231">
        <v>0</v>
      </c>
      <c r="X183" s="234">
        <v>0</v>
      </c>
      <c r="Y183" s="231">
        <v>0</v>
      </c>
      <c r="Z183" s="234">
        <v>0</v>
      </c>
      <c r="AA183" s="231">
        <v>0</v>
      </c>
      <c r="AB183" s="234">
        <v>0</v>
      </c>
      <c r="AC183" s="238">
        <f t="shared" si="75"/>
        <v>0</v>
      </c>
      <c r="AD183" s="238"/>
      <c r="AE183" s="238"/>
    </row>
    <row r="184" spans="2:31" x14ac:dyDescent="0.3">
      <c r="B184" s="245" t="s">
        <v>7</v>
      </c>
      <c r="C184" s="245"/>
      <c r="D184" s="245"/>
      <c r="E184" s="231">
        <v>0</v>
      </c>
      <c r="F184" s="234">
        <v>0</v>
      </c>
      <c r="G184" s="231">
        <v>0</v>
      </c>
      <c r="H184" s="234">
        <v>0</v>
      </c>
      <c r="I184" s="231">
        <v>0</v>
      </c>
      <c r="J184" s="234">
        <v>0</v>
      </c>
      <c r="K184" s="231">
        <v>0</v>
      </c>
      <c r="L184" s="234">
        <v>0</v>
      </c>
      <c r="M184" s="231">
        <v>0</v>
      </c>
      <c r="N184" s="234">
        <v>0</v>
      </c>
      <c r="O184" s="231">
        <v>0</v>
      </c>
      <c r="P184" s="234">
        <v>0</v>
      </c>
      <c r="Q184" s="231">
        <v>0</v>
      </c>
      <c r="R184" s="234">
        <v>17.573999999999998</v>
      </c>
      <c r="S184" s="231">
        <v>5.2753333333333332</v>
      </c>
      <c r="T184" s="234">
        <v>2.1666666666665907E-3</v>
      </c>
      <c r="U184" s="231">
        <v>0</v>
      </c>
      <c r="V184" s="234">
        <v>0</v>
      </c>
      <c r="W184" s="231">
        <v>0</v>
      </c>
      <c r="X184" s="234">
        <v>3.5499999999999927E-2</v>
      </c>
      <c r="Y184" s="231">
        <v>0</v>
      </c>
      <c r="Z184" s="234">
        <v>0</v>
      </c>
      <c r="AA184" s="231">
        <v>0</v>
      </c>
      <c r="AB184" s="234">
        <v>0</v>
      </c>
      <c r="AC184" s="238">
        <f t="shared" si="75"/>
        <v>22.886999999999997</v>
      </c>
      <c r="AD184" s="238"/>
      <c r="AE184" s="238"/>
    </row>
    <row r="185" spans="2:31" x14ac:dyDescent="0.3">
      <c r="B185" s="245" t="s">
        <v>8</v>
      </c>
      <c r="C185" s="245"/>
      <c r="D185" s="245"/>
      <c r="E185" s="231">
        <v>0</v>
      </c>
      <c r="F185" s="234">
        <v>0</v>
      </c>
      <c r="G185" s="231">
        <v>0</v>
      </c>
      <c r="H185" s="234">
        <v>0</v>
      </c>
      <c r="I185" s="231">
        <v>0</v>
      </c>
      <c r="J185" s="234">
        <v>0</v>
      </c>
      <c r="K185" s="231">
        <v>0</v>
      </c>
      <c r="L185" s="234">
        <v>0</v>
      </c>
      <c r="M185" s="231">
        <v>0</v>
      </c>
      <c r="N185" s="234">
        <v>0</v>
      </c>
      <c r="O185" s="231">
        <v>0</v>
      </c>
      <c r="P185" s="234">
        <v>0</v>
      </c>
      <c r="Q185" s="231">
        <v>0</v>
      </c>
      <c r="R185" s="234">
        <v>3.5676666666666659</v>
      </c>
      <c r="S185" s="231">
        <v>31.409166666666692</v>
      </c>
      <c r="T185" s="234">
        <v>37.795166666666653</v>
      </c>
      <c r="U185" s="231">
        <v>41.552499999999995</v>
      </c>
      <c r="V185" s="234">
        <v>30.697500000000002</v>
      </c>
      <c r="W185" s="231">
        <v>22.081833333333339</v>
      </c>
      <c r="X185" s="234">
        <v>13.96449999999999</v>
      </c>
      <c r="Y185" s="231">
        <v>0</v>
      </c>
      <c r="Z185" s="234">
        <v>0</v>
      </c>
      <c r="AA185" s="231">
        <v>0</v>
      </c>
      <c r="AB185" s="234">
        <v>0</v>
      </c>
      <c r="AC185" s="238">
        <f t="shared" si="75"/>
        <v>181.06833333333336</v>
      </c>
      <c r="AD185" s="238"/>
      <c r="AE185" s="238"/>
    </row>
    <row r="186" spans="2:31" x14ac:dyDescent="0.3">
      <c r="B186" s="245" t="s">
        <v>9</v>
      </c>
      <c r="C186" s="245"/>
      <c r="D186" s="245"/>
      <c r="E186" s="231">
        <v>0</v>
      </c>
      <c r="F186" s="234">
        <v>0</v>
      </c>
      <c r="G186" s="231">
        <v>0</v>
      </c>
      <c r="H186" s="234">
        <v>0</v>
      </c>
      <c r="I186" s="231">
        <v>0</v>
      </c>
      <c r="J186" s="234">
        <v>0</v>
      </c>
      <c r="K186" s="231">
        <v>0</v>
      </c>
      <c r="L186" s="234">
        <v>0</v>
      </c>
      <c r="M186" s="231">
        <v>0</v>
      </c>
      <c r="N186" s="234">
        <v>0</v>
      </c>
      <c r="O186" s="231">
        <v>0</v>
      </c>
      <c r="P186" s="234">
        <v>0</v>
      </c>
      <c r="Q186" s="231">
        <v>0</v>
      </c>
      <c r="R186" s="234">
        <v>1.3434999999999999</v>
      </c>
      <c r="S186" s="231">
        <v>27.119666666666667</v>
      </c>
      <c r="T186" s="234">
        <v>60.456333333333347</v>
      </c>
      <c r="U186" s="231">
        <v>84.632499999999993</v>
      </c>
      <c r="V186" s="234">
        <v>44.445666666666703</v>
      </c>
      <c r="W186" s="231">
        <v>0</v>
      </c>
      <c r="X186" s="234">
        <v>0</v>
      </c>
      <c r="Y186" s="231">
        <v>0</v>
      </c>
      <c r="Z186" s="234">
        <v>0</v>
      </c>
      <c r="AA186" s="231">
        <v>0</v>
      </c>
      <c r="AB186" s="234">
        <v>0</v>
      </c>
      <c r="AC186" s="238">
        <f t="shared" si="75"/>
        <v>217.99766666666673</v>
      </c>
      <c r="AD186" s="238"/>
      <c r="AE186" s="238"/>
    </row>
    <row r="187" spans="2:31" x14ac:dyDescent="0.3">
      <c r="B187" s="245" t="s">
        <v>10</v>
      </c>
      <c r="C187" s="245"/>
      <c r="D187" s="245"/>
      <c r="E187" s="231">
        <v>0</v>
      </c>
      <c r="F187" s="234">
        <v>0</v>
      </c>
      <c r="G187" s="231">
        <v>0</v>
      </c>
      <c r="H187" s="234">
        <v>0</v>
      </c>
      <c r="I187" s="231">
        <v>0</v>
      </c>
      <c r="J187" s="234">
        <v>0</v>
      </c>
      <c r="K187" s="231">
        <v>0</v>
      </c>
      <c r="L187" s="234">
        <v>0</v>
      </c>
      <c r="M187" s="231">
        <v>0</v>
      </c>
      <c r="N187" s="234">
        <v>0</v>
      </c>
      <c r="O187" s="231">
        <v>0</v>
      </c>
      <c r="P187" s="234">
        <v>0</v>
      </c>
      <c r="Q187" s="231">
        <v>0</v>
      </c>
      <c r="R187" s="234">
        <v>3.125</v>
      </c>
      <c r="S187" s="231">
        <v>35.281500000000008</v>
      </c>
      <c r="T187" s="234">
        <v>59.309166666666684</v>
      </c>
      <c r="U187" s="231">
        <v>84.160500000000013</v>
      </c>
      <c r="V187" s="234">
        <v>33.39533333333334</v>
      </c>
      <c r="W187" s="231">
        <v>0</v>
      </c>
      <c r="X187" s="234">
        <v>0</v>
      </c>
      <c r="Y187" s="231">
        <v>0</v>
      </c>
      <c r="Z187" s="234">
        <v>0</v>
      </c>
      <c r="AA187" s="231">
        <v>0</v>
      </c>
      <c r="AB187" s="234">
        <v>0</v>
      </c>
      <c r="AC187" s="238">
        <f t="shared" si="75"/>
        <v>215.27150000000006</v>
      </c>
      <c r="AD187" s="238"/>
      <c r="AE187" s="238"/>
    </row>
    <row r="188" spans="2:31" x14ac:dyDescent="0.3">
      <c r="B188" s="245" t="s">
        <v>11</v>
      </c>
      <c r="C188" s="245"/>
      <c r="D188" s="245"/>
      <c r="E188" s="231">
        <v>0</v>
      </c>
      <c r="F188" s="234">
        <v>0</v>
      </c>
      <c r="G188" s="231">
        <v>0</v>
      </c>
      <c r="H188" s="234">
        <v>0</v>
      </c>
      <c r="I188" s="231">
        <v>0</v>
      </c>
      <c r="J188" s="234">
        <v>0</v>
      </c>
      <c r="K188" s="231">
        <v>0</v>
      </c>
      <c r="L188" s="234">
        <v>0</v>
      </c>
      <c r="M188" s="231">
        <v>0</v>
      </c>
      <c r="N188" s="234">
        <v>0</v>
      </c>
      <c r="O188" s="231">
        <v>0</v>
      </c>
      <c r="P188" s="234">
        <v>0</v>
      </c>
      <c r="Q188" s="231">
        <v>0</v>
      </c>
      <c r="R188" s="234">
        <v>1.8024999999999987</v>
      </c>
      <c r="S188" s="231">
        <v>27.02783333333333</v>
      </c>
      <c r="T188" s="234">
        <v>52.328999999999979</v>
      </c>
      <c r="U188" s="231">
        <v>83.223166666666629</v>
      </c>
      <c r="V188" s="234">
        <v>41.160000000000004</v>
      </c>
      <c r="W188" s="231">
        <v>4.9166666666666477E-2</v>
      </c>
      <c r="X188" s="234">
        <v>0</v>
      </c>
      <c r="Y188" s="231">
        <v>0</v>
      </c>
      <c r="Z188" s="234">
        <v>0</v>
      </c>
      <c r="AA188" s="231">
        <v>0</v>
      </c>
      <c r="AB188" s="234">
        <v>0</v>
      </c>
      <c r="AC188" s="238">
        <f t="shared" si="75"/>
        <v>205.59166666666661</v>
      </c>
      <c r="AD188" s="238"/>
      <c r="AE188" s="238"/>
    </row>
    <row r="189" spans="2:31" x14ac:dyDescent="0.3">
      <c r="B189" s="245" t="s">
        <v>12</v>
      </c>
      <c r="C189" s="245"/>
      <c r="D189" s="245"/>
      <c r="E189" s="231">
        <v>0</v>
      </c>
      <c r="F189" s="234">
        <v>0</v>
      </c>
      <c r="G189" s="231">
        <v>0</v>
      </c>
      <c r="H189" s="234">
        <v>0</v>
      </c>
      <c r="I189" s="231">
        <v>0</v>
      </c>
      <c r="J189" s="234">
        <v>0</v>
      </c>
      <c r="K189" s="231">
        <v>0</v>
      </c>
      <c r="L189" s="234">
        <v>0</v>
      </c>
      <c r="M189" s="231">
        <v>0</v>
      </c>
      <c r="N189" s="234">
        <v>0</v>
      </c>
      <c r="O189" s="231">
        <v>0</v>
      </c>
      <c r="P189" s="234">
        <v>0</v>
      </c>
      <c r="Q189" s="231">
        <v>0</v>
      </c>
      <c r="R189" s="234">
        <v>6.1500000000000012</v>
      </c>
      <c r="S189" s="231">
        <v>56.73583333333336</v>
      </c>
      <c r="T189" s="234">
        <v>92.171999999999997</v>
      </c>
      <c r="U189" s="231">
        <v>119.58783333333331</v>
      </c>
      <c r="V189" s="234">
        <v>56.096499999999978</v>
      </c>
      <c r="W189" s="231">
        <v>0</v>
      </c>
      <c r="X189" s="234">
        <v>7.0000000000000284E-2</v>
      </c>
      <c r="Y189" s="231">
        <v>0</v>
      </c>
      <c r="Z189" s="234">
        <v>0</v>
      </c>
      <c r="AA189" s="231">
        <v>0</v>
      </c>
      <c r="AB189" s="234">
        <v>0</v>
      </c>
      <c r="AC189" s="238">
        <f t="shared" si="75"/>
        <v>330.81216666666666</v>
      </c>
      <c r="AD189" s="238"/>
      <c r="AE189" s="238"/>
    </row>
    <row r="190" spans="2:31" x14ac:dyDescent="0.3">
      <c r="B190" s="245" t="s">
        <v>13</v>
      </c>
      <c r="C190" s="245"/>
      <c r="D190" s="245"/>
      <c r="E190" s="231">
        <v>0</v>
      </c>
      <c r="F190" s="234">
        <v>0</v>
      </c>
      <c r="G190" s="231">
        <v>0</v>
      </c>
      <c r="H190" s="234">
        <v>0</v>
      </c>
      <c r="I190" s="231">
        <v>0</v>
      </c>
      <c r="J190" s="234">
        <v>0</v>
      </c>
      <c r="K190" s="231">
        <v>0</v>
      </c>
      <c r="L190" s="234">
        <v>0</v>
      </c>
      <c r="M190" s="231">
        <v>0</v>
      </c>
      <c r="N190" s="234">
        <v>0</v>
      </c>
      <c r="O190" s="231">
        <v>0</v>
      </c>
      <c r="P190" s="234">
        <v>0</v>
      </c>
      <c r="Q190" s="231">
        <v>0</v>
      </c>
      <c r="R190" s="234">
        <v>0</v>
      </c>
      <c r="S190" s="231">
        <v>3.5146666666666695</v>
      </c>
      <c r="T190" s="234">
        <v>31.593666666666643</v>
      </c>
      <c r="U190" s="231">
        <v>38.466333333333338</v>
      </c>
      <c r="V190" s="234">
        <v>14.247166666666665</v>
      </c>
      <c r="W190" s="231">
        <v>0</v>
      </c>
      <c r="X190" s="234">
        <v>0</v>
      </c>
      <c r="Y190" s="231">
        <v>0</v>
      </c>
      <c r="Z190" s="234">
        <v>0</v>
      </c>
      <c r="AA190" s="231">
        <v>0</v>
      </c>
      <c r="AB190" s="234">
        <v>0</v>
      </c>
      <c r="AC190" s="238">
        <f t="shared" si="75"/>
        <v>87.821833333333302</v>
      </c>
      <c r="AD190" s="238"/>
      <c r="AE190" s="238"/>
    </row>
    <row r="191" spans="2:31" x14ac:dyDescent="0.3">
      <c r="B191" s="245" t="s">
        <v>14</v>
      </c>
      <c r="C191" s="245"/>
      <c r="D191" s="245"/>
      <c r="E191" s="231">
        <v>0</v>
      </c>
      <c r="F191" s="234">
        <v>0</v>
      </c>
      <c r="G191" s="231">
        <v>0</v>
      </c>
      <c r="H191" s="234">
        <v>0</v>
      </c>
      <c r="I191" s="231">
        <v>0</v>
      </c>
      <c r="J191" s="234">
        <v>0</v>
      </c>
      <c r="K191" s="231">
        <v>0</v>
      </c>
      <c r="L191" s="234">
        <v>0</v>
      </c>
      <c r="M191" s="231">
        <v>0</v>
      </c>
      <c r="N191" s="234">
        <v>0</v>
      </c>
      <c r="O191" s="231">
        <v>0</v>
      </c>
      <c r="P191" s="234">
        <v>0</v>
      </c>
      <c r="Q191" s="231">
        <v>0</v>
      </c>
      <c r="R191" s="234">
        <v>1.3575000000000004</v>
      </c>
      <c r="S191" s="231">
        <v>5.8383333333333303</v>
      </c>
      <c r="T191" s="234">
        <v>5.6536666666666751</v>
      </c>
      <c r="U191" s="231">
        <v>5.6664999999999983</v>
      </c>
      <c r="V191" s="234">
        <v>4.8819999999999943</v>
      </c>
      <c r="W191" s="231">
        <v>5.0955000000000021</v>
      </c>
      <c r="X191" s="234">
        <v>3.9986666666666655</v>
      </c>
      <c r="Y191" s="231">
        <v>0</v>
      </c>
      <c r="Z191" s="234">
        <v>0</v>
      </c>
      <c r="AA191" s="231">
        <v>0</v>
      </c>
      <c r="AB191" s="234">
        <v>0</v>
      </c>
      <c r="AC191" s="238">
        <f t="shared" si="75"/>
        <v>32.49216666666667</v>
      </c>
      <c r="AD191" s="238"/>
      <c r="AE191" s="238"/>
    </row>
    <row r="192" spans="2:31" x14ac:dyDescent="0.3">
      <c r="B192" s="245" t="s">
        <v>15</v>
      </c>
      <c r="C192" s="245"/>
      <c r="D192" s="245"/>
      <c r="E192" s="231">
        <v>0</v>
      </c>
      <c r="F192" s="234">
        <v>0</v>
      </c>
      <c r="G192" s="231">
        <v>0</v>
      </c>
      <c r="H192" s="234">
        <v>0</v>
      </c>
      <c r="I192" s="231">
        <v>0</v>
      </c>
      <c r="J192" s="234">
        <v>0</v>
      </c>
      <c r="K192" s="231">
        <v>0</v>
      </c>
      <c r="L192" s="234">
        <v>0</v>
      </c>
      <c r="M192" s="231">
        <v>0</v>
      </c>
      <c r="N192" s="234">
        <v>0</v>
      </c>
      <c r="O192" s="231">
        <v>0</v>
      </c>
      <c r="P192" s="234">
        <v>0</v>
      </c>
      <c r="Q192" s="231">
        <v>0</v>
      </c>
      <c r="R192" s="234">
        <v>0</v>
      </c>
      <c r="S192" s="231">
        <v>0</v>
      </c>
      <c r="T192" s="234">
        <v>0</v>
      </c>
      <c r="U192" s="231">
        <v>0.52850000000000041</v>
      </c>
      <c r="V192" s="234">
        <v>13.035833333333329</v>
      </c>
      <c r="W192" s="231">
        <v>21.837833333333339</v>
      </c>
      <c r="X192" s="234">
        <v>26.874499999999998</v>
      </c>
      <c r="Y192" s="231">
        <v>0</v>
      </c>
      <c r="Z192" s="234">
        <v>0</v>
      </c>
      <c r="AA192" s="231">
        <v>0</v>
      </c>
      <c r="AB192" s="234">
        <v>0</v>
      </c>
      <c r="AC192" s="238">
        <f t="shared" si="75"/>
        <v>62.276666666666671</v>
      </c>
      <c r="AD192" s="238"/>
      <c r="AE192" s="238"/>
    </row>
    <row r="193" spans="2:31" x14ac:dyDescent="0.3">
      <c r="B193" s="245" t="s">
        <v>16</v>
      </c>
      <c r="C193" s="245"/>
      <c r="D193" s="245"/>
      <c r="E193" s="231">
        <v>0</v>
      </c>
      <c r="F193" s="234">
        <v>0</v>
      </c>
      <c r="G193" s="231">
        <v>0</v>
      </c>
      <c r="H193" s="234">
        <v>0</v>
      </c>
      <c r="I193" s="231">
        <v>0</v>
      </c>
      <c r="J193" s="234">
        <v>0</v>
      </c>
      <c r="K193" s="231">
        <v>0</v>
      </c>
      <c r="L193" s="234">
        <v>0</v>
      </c>
      <c r="M193" s="231">
        <v>0</v>
      </c>
      <c r="N193" s="234">
        <v>0</v>
      </c>
      <c r="O193" s="231">
        <v>0</v>
      </c>
      <c r="P193" s="234">
        <v>0</v>
      </c>
      <c r="Q193" s="231">
        <v>0</v>
      </c>
      <c r="R193" s="234">
        <v>0</v>
      </c>
      <c r="S193" s="231">
        <v>0</v>
      </c>
      <c r="T193" s="234">
        <v>0</v>
      </c>
      <c r="U193" s="231">
        <v>0</v>
      </c>
      <c r="V193" s="234">
        <v>0</v>
      </c>
      <c r="W193" s="231">
        <v>0</v>
      </c>
      <c r="X193" s="234">
        <v>0</v>
      </c>
      <c r="Y193" s="231">
        <v>0</v>
      </c>
      <c r="Z193" s="234">
        <v>0</v>
      </c>
      <c r="AA193" s="231">
        <v>0</v>
      </c>
      <c r="AB193" s="234">
        <v>0</v>
      </c>
      <c r="AC193" s="238">
        <f t="shared" si="75"/>
        <v>0</v>
      </c>
      <c r="AD193" s="238"/>
      <c r="AE193" s="238"/>
    </row>
    <row r="194" spans="2:31" x14ac:dyDescent="0.3">
      <c r="B194" s="245" t="s">
        <v>17</v>
      </c>
      <c r="C194" s="245"/>
      <c r="D194" s="245"/>
      <c r="E194" s="231">
        <v>0</v>
      </c>
      <c r="F194" s="234">
        <v>0</v>
      </c>
      <c r="G194" s="231">
        <v>0</v>
      </c>
      <c r="H194" s="234">
        <v>0</v>
      </c>
      <c r="I194" s="231">
        <v>0</v>
      </c>
      <c r="J194" s="234">
        <v>0</v>
      </c>
      <c r="K194" s="231">
        <v>0</v>
      </c>
      <c r="L194" s="234">
        <v>0</v>
      </c>
      <c r="M194" s="231">
        <v>0</v>
      </c>
      <c r="N194" s="234">
        <v>0</v>
      </c>
      <c r="O194" s="231">
        <v>0</v>
      </c>
      <c r="P194" s="234">
        <v>0</v>
      </c>
      <c r="Q194" s="231">
        <v>0</v>
      </c>
      <c r="R194" s="234">
        <v>3.4209999999999998</v>
      </c>
      <c r="S194" s="231">
        <v>21.667999999999999</v>
      </c>
      <c r="T194" s="234">
        <v>27.647500000000001</v>
      </c>
      <c r="U194" s="231">
        <v>30.324333333333342</v>
      </c>
      <c r="V194" s="234">
        <v>18.229833333333332</v>
      </c>
      <c r="W194" s="231">
        <v>2.7581666666666678</v>
      </c>
      <c r="X194" s="234">
        <v>22.846833333333326</v>
      </c>
      <c r="Y194" s="231">
        <v>0</v>
      </c>
      <c r="Z194" s="234">
        <v>0</v>
      </c>
      <c r="AA194" s="231">
        <v>0</v>
      </c>
      <c r="AB194" s="234">
        <v>0</v>
      </c>
      <c r="AC194" s="238">
        <f t="shared" si="75"/>
        <v>126.89566666666666</v>
      </c>
      <c r="AD194" s="238"/>
      <c r="AE194" s="238"/>
    </row>
    <row r="195" spans="2:31" x14ac:dyDescent="0.3">
      <c r="B195" s="245" t="s">
        <v>18</v>
      </c>
      <c r="C195" s="245"/>
      <c r="D195" s="245"/>
      <c r="E195" s="231">
        <v>0</v>
      </c>
      <c r="F195" s="234">
        <v>0</v>
      </c>
      <c r="G195" s="231">
        <v>0</v>
      </c>
      <c r="H195" s="234">
        <v>0</v>
      </c>
      <c r="I195" s="231">
        <v>0</v>
      </c>
      <c r="J195" s="234">
        <v>0</v>
      </c>
      <c r="K195" s="231">
        <v>0</v>
      </c>
      <c r="L195" s="234">
        <v>0</v>
      </c>
      <c r="M195" s="231">
        <v>0</v>
      </c>
      <c r="N195" s="234">
        <v>0</v>
      </c>
      <c r="O195" s="231">
        <v>0</v>
      </c>
      <c r="P195" s="234">
        <v>0</v>
      </c>
      <c r="Q195" s="231">
        <v>0</v>
      </c>
      <c r="R195" s="234">
        <v>0</v>
      </c>
      <c r="S195" s="231">
        <v>0</v>
      </c>
      <c r="T195" s="234">
        <v>0</v>
      </c>
      <c r="U195" s="231">
        <v>0</v>
      </c>
      <c r="V195" s="234">
        <v>0</v>
      </c>
      <c r="W195" s="231">
        <v>0</v>
      </c>
      <c r="X195" s="234">
        <v>1.6666666666675193E-4</v>
      </c>
      <c r="Y195" s="231">
        <v>0</v>
      </c>
      <c r="Z195" s="234">
        <v>0</v>
      </c>
      <c r="AA195" s="231">
        <v>0</v>
      </c>
      <c r="AB195" s="234">
        <v>0</v>
      </c>
      <c r="AC195" s="238">
        <f t="shared" si="75"/>
        <v>1.6666666666675193E-4</v>
      </c>
      <c r="AD195" s="238"/>
      <c r="AE195" s="238"/>
    </row>
    <row r="196" spans="2:31" x14ac:dyDescent="0.3">
      <c r="B196" s="245" t="s">
        <v>19</v>
      </c>
      <c r="C196" s="245"/>
      <c r="D196" s="245"/>
      <c r="E196" s="231">
        <v>0</v>
      </c>
      <c r="F196" s="234">
        <v>0</v>
      </c>
      <c r="G196" s="231">
        <v>0</v>
      </c>
      <c r="H196" s="234">
        <v>0</v>
      </c>
      <c r="I196" s="231">
        <v>0</v>
      </c>
      <c r="J196" s="234">
        <v>0</v>
      </c>
      <c r="K196" s="231">
        <v>0</v>
      </c>
      <c r="L196" s="234">
        <v>0</v>
      </c>
      <c r="M196" s="231">
        <v>0</v>
      </c>
      <c r="N196" s="234">
        <v>0</v>
      </c>
      <c r="O196" s="231">
        <v>0</v>
      </c>
      <c r="P196" s="234">
        <v>0</v>
      </c>
      <c r="Q196" s="231">
        <v>0</v>
      </c>
      <c r="R196" s="234">
        <v>1.126000000000001</v>
      </c>
      <c r="S196" s="231">
        <v>6.8586666666666627</v>
      </c>
      <c r="T196" s="234">
        <v>12.02566666666667</v>
      </c>
      <c r="U196" s="231">
        <v>16.250999999999998</v>
      </c>
      <c r="V196" s="234">
        <v>6.6208333333333318</v>
      </c>
      <c r="W196" s="231">
        <v>4.666666666666662E-2</v>
      </c>
      <c r="X196" s="234">
        <v>1.7184999999999961</v>
      </c>
      <c r="Y196" s="231">
        <v>0</v>
      </c>
      <c r="Z196" s="234">
        <v>0</v>
      </c>
      <c r="AA196" s="231">
        <v>0</v>
      </c>
      <c r="AB196" s="234">
        <v>0</v>
      </c>
      <c r="AC196" s="238">
        <f t="shared" si="75"/>
        <v>44.647333333333329</v>
      </c>
      <c r="AD196" s="238"/>
      <c r="AE196" s="238"/>
    </row>
    <row r="197" spans="2:31" x14ac:dyDescent="0.3">
      <c r="B197" s="245" t="s">
        <v>20</v>
      </c>
      <c r="C197" s="245"/>
      <c r="D197" s="245"/>
      <c r="E197" s="231">
        <v>0</v>
      </c>
      <c r="F197" s="234">
        <v>0</v>
      </c>
      <c r="G197" s="231">
        <v>0</v>
      </c>
      <c r="H197" s="234">
        <v>0</v>
      </c>
      <c r="I197" s="231">
        <v>0</v>
      </c>
      <c r="J197" s="234">
        <v>0</v>
      </c>
      <c r="K197" s="231">
        <v>0</v>
      </c>
      <c r="L197" s="234">
        <v>0</v>
      </c>
      <c r="M197" s="231">
        <v>0</v>
      </c>
      <c r="N197" s="234">
        <v>0</v>
      </c>
      <c r="O197" s="231">
        <v>0</v>
      </c>
      <c r="P197" s="234">
        <v>0</v>
      </c>
      <c r="Q197" s="231">
        <v>0</v>
      </c>
      <c r="R197" s="234">
        <v>1.8524999999999994</v>
      </c>
      <c r="S197" s="231">
        <v>8.81</v>
      </c>
      <c r="T197" s="234">
        <v>10.509999999999993</v>
      </c>
      <c r="U197" s="231">
        <v>12.710000000000006</v>
      </c>
      <c r="V197" s="234">
        <v>14.909999999999993</v>
      </c>
      <c r="W197" s="231">
        <v>17.710000000000015</v>
      </c>
      <c r="X197" s="234">
        <v>16.423166666666678</v>
      </c>
      <c r="Y197" s="231">
        <v>0</v>
      </c>
      <c r="Z197" s="234">
        <v>0</v>
      </c>
      <c r="AA197" s="231">
        <v>0</v>
      </c>
      <c r="AB197" s="234">
        <v>0</v>
      </c>
      <c r="AC197" s="238">
        <f t="shared" si="75"/>
        <v>82.925666666666672</v>
      </c>
      <c r="AD197" s="238"/>
      <c r="AE197" s="238"/>
    </row>
    <row r="198" spans="2:31" x14ac:dyDescent="0.3">
      <c r="B198" s="245" t="s">
        <v>21</v>
      </c>
      <c r="C198" s="245"/>
      <c r="D198" s="245"/>
      <c r="E198" s="231">
        <v>0</v>
      </c>
      <c r="F198" s="234">
        <v>0</v>
      </c>
      <c r="G198" s="231">
        <v>0</v>
      </c>
      <c r="H198" s="234">
        <v>0</v>
      </c>
      <c r="I198" s="231">
        <v>0</v>
      </c>
      <c r="J198" s="234">
        <v>0</v>
      </c>
      <c r="K198" s="231">
        <v>0</v>
      </c>
      <c r="L198" s="234">
        <v>0</v>
      </c>
      <c r="M198" s="231">
        <v>0</v>
      </c>
      <c r="N198" s="234">
        <v>0</v>
      </c>
      <c r="O198" s="231">
        <v>0</v>
      </c>
      <c r="P198" s="234">
        <v>0</v>
      </c>
      <c r="Q198" s="231">
        <v>0</v>
      </c>
      <c r="R198" s="234">
        <v>0</v>
      </c>
      <c r="S198" s="231">
        <v>0</v>
      </c>
      <c r="T198" s="234">
        <v>0</v>
      </c>
      <c r="U198" s="231">
        <v>0</v>
      </c>
      <c r="V198" s="234">
        <v>0.58483333333333343</v>
      </c>
      <c r="W198" s="231">
        <v>0.12549999999999997</v>
      </c>
      <c r="X198" s="234">
        <v>5.9516666666666662</v>
      </c>
      <c r="Y198" s="231">
        <v>0</v>
      </c>
      <c r="Z198" s="234">
        <v>0</v>
      </c>
      <c r="AA198" s="231">
        <v>0</v>
      </c>
      <c r="AB198" s="234">
        <v>0</v>
      </c>
      <c r="AC198" s="238">
        <f t="shared" si="75"/>
        <v>6.6619999999999999</v>
      </c>
      <c r="AD198" s="238"/>
      <c r="AE198" s="238"/>
    </row>
    <row r="199" spans="2:31" x14ac:dyDescent="0.3">
      <c r="B199" s="245" t="s">
        <v>22</v>
      </c>
      <c r="C199" s="245"/>
      <c r="D199" s="245"/>
      <c r="E199" s="231">
        <v>0</v>
      </c>
      <c r="F199" s="234">
        <v>0</v>
      </c>
      <c r="G199" s="231">
        <v>0</v>
      </c>
      <c r="H199" s="234">
        <v>0</v>
      </c>
      <c r="I199" s="231">
        <v>0</v>
      </c>
      <c r="J199" s="234">
        <v>0</v>
      </c>
      <c r="K199" s="231">
        <v>0</v>
      </c>
      <c r="L199" s="234">
        <v>0</v>
      </c>
      <c r="M199" s="231">
        <v>0</v>
      </c>
      <c r="N199" s="234">
        <v>0</v>
      </c>
      <c r="O199" s="231">
        <v>0</v>
      </c>
      <c r="P199" s="234">
        <v>0</v>
      </c>
      <c r="Q199" s="231">
        <v>0</v>
      </c>
      <c r="R199" s="234">
        <v>0</v>
      </c>
      <c r="S199" s="231">
        <v>6.5666666666666637E-2</v>
      </c>
      <c r="T199" s="234">
        <v>0.47916666666666657</v>
      </c>
      <c r="U199" s="231">
        <v>1.434666666666667</v>
      </c>
      <c r="V199" s="234">
        <v>1.6348333333333329</v>
      </c>
      <c r="W199" s="231">
        <v>2.6404999999999998</v>
      </c>
      <c r="X199" s="234">
        <v>3.8056666666666663</v>
      </c>
      <c r="Y199" s="231">
        <v>0</v>
      </c>
      <c r="Z199" s="234">
        <v>0</v>
      </c>
      <c r="AA199" s="231">
        <v>0</v>
      </c>
      <c r="AB199" s="234">
        <v>0</v>
      </c>
      <c r="AC199" s="238">
        <f t="shared" si="75"/>
        <v>10.060499999999999</v>
      </c>
      <c r="AD199" s="238"/>
      <c r="AE199" s="238"/>
    </row>
    <row r="200" spans="2:31" x14ac:dyDescent="0.3">
      <c r="B200" s="245" t="s">
        <v>23</v>
      </c>
      <c r="C200" s="245"/>
      <c r="D200" s="245"/>
      <c r="E200" s="231">
        <v>0</v>
      </c>
      <c r="F200" s="234">
        <v>0</v>
      </c>
      <c r="G200" s="231">
        <v>0</v>
      </c>
      <c r="H200" s="234">
        <v>0</v>
      </c>
      <c r="I200" s="231">
        <v>0</v>
      </c>
      <c r="J200" s="234">
        <v>0</v>
      </c>
      <c r="K200" s="231">
        <v>0</v>
      </c>
      <c r="L200" s="234">
        <v>0</v>
      </c>
      <c r="M200" s="231">
        <v>0</v>
      </c>
      <c r="N200" s="234">
        <v>0</v>
      </c>
      <c r="O200" s="231">
        <v>0</v>
      </c>
      <c r="P200" s="234">
        <v>0</v>
      </c>
      <c r="Q200" s="231">
        <v>0</v>
      </c>
      <c r="R200" s="234">
        <v>1.5000000000000036E-2</v>
      </c>
      <c r="S200" s="231">
        <v>3.9953333333333343</v>
      </c>
      <c r="T200" s="234">
        <v>4.2218333333333335</v>
      </c>
      <c r="U200" s="231">
        <v>9.2158333333333324</v>
      </c>
      <c r="V200" s="234">
        <v>10.840166666666665</v>
      </c>
      <c r="W200" s="231">
        <v>12.309166666666663</v>
      </c>
      <c r="X200" s="234">
        <v>13.841500000000003</v>
      </c>
      <c r="Y200" s="231">
        <v>0</v>
      </c>
      <c r="Z200" s="234">
        <v>0</v>
      </c>
      <c r="AA200" s="231">
        <v>0</v>
      </c>
      <c r="AB200" s="234">
        <v>0</v>
      </c>
      <c r="AC200" s="238">
        <f t="shared" si="75"/>
        <v>54.438833333333328</v>
      </c>
      <c r="AD200" s="238"/>
      <c r="AE200" s="238"/>
    </row>
    <row r="201" spans="2:31" x14ac:dyDescent="0.3">
      <c r="B201" s="245" t="s">
        <v>24</v>
      </c>
      <c r="C201" s="245"/>
      <c r="D201" s="245"/>
      <c r="E201" s="231">
        <v>0</v>
      </c>
      <c r="F201" s="234">
        <v>0</v>
      </c>
      <c r="G201" s="231">
        <v>0</v>
      </c>
      <c r="H201" s="234">
        <v>0</v>
      </c>
      <c r="I201" s="231">
        <v>0</v>
      </c>
      <c r="J201" s="234">
        <v>0</v>
      </c>
      <c r="K201" s="231">
        <v>0</v>
      </c>
      <c r="L201" s="234">
        <v>0</v>
      </c>
      <c r="M201" s="231">
        <v>0</v>
      </c>
      <c r="N201" s="234">
        <v>0</v>
      </c>
      <c r="O201" s="231">
        <v>0</v>
      </c>
      <c r="P201" s="234">
        <v>0</v>
      </c>
      <c r="Q201" s="231">
        <v>0</v>
      </c>
      <c r="R201" s="234">
        <v>0</v>
      </c>
      <c r="S201" s="231">
        <v>0.19316666666666663</v>
      </c>
      <c r="T201" s="234">
        <v>0.24650000000000022</v>
      </c>
      <c r="U201" s="231">
        <v>3.3666666666666629E-2</v>
      </c>
      <c r="V201" s="234">
        <v>8.3999999999999922E-2</v>
      </c>
      <c r="W201" s="231">
        <v>3.3121666666666667</v>
      </c>
      <c r="X201" s="234">
        <v>5.7310000000000008</v>
      </c>
      <c r="Y201" s="231">
        <v>0</v>
      </c>
      <c r="Z201" s="234">
        <v>0</v>
      </c>
      <c r="AA201" s="231">
        <v>0</v>
      </c>
      <c r="AB201" s="234">
        <v>0</v>
      </c>
      <c r="AC201" s="238">
        <f t="shared" si="75"/>
        <v>9.6005000000000003</v>
      </c>
      <c r="AD201" s="238"/>
      <c r="AE201" s="238"/>
    </row>
    <row r="202" spans="2:31" x14ac:dyDescent="0.3">
      <c r="B202" s="245" t="s">
        <v>25</v>
      </c>
      <c r="C202" s="245"/>
      <c r="D202" s="245"/>
      <c r="E202" s="231">
        <v>0</v>
      </c>
      <c r="F202" s="234">
        <v>0</v>
      </c>
      <c r="G202" s="231">
        <v>0</v>
      </c>
      <c r="H202" s="234">
        <v>0</v>
      </c>
      <c r="I202" s="231">
        <v>0</v>
      </c>
      <c r="J202" s="234">
        <v>0</v>
      </c>
      <c r="K202" s="231">
        <v>0</v>
      </c>
      <c r="L202" s="234">
        <v>0</v>
      </c>
      <c r="M202" s="231">
        <v>0</v>
      </c>
      <c r="N202" s="234">
        <v>0</v>
      </c>
      <c r="O202" s="231">
        <v>0</v>
      </c>
      <c r="P202" s="234">
        <v>0</v>
      </c>
      <c r="Q202" s="231">
        <v>0</v>
      </c>
      <c r="R202" s="234">
        <v>0</v>
      </c>
      <c r="S202" s="231">
        <v>0</v>
      </c>
      <c r="T202" s="234">
        <v>0</v>
      </c>
      <c r="U202" s="231">
        <v>0</v>
      </c>
      <c r="V202" s="234">
        <v>0</v>
      </c>
      <c r="W202" s="231">
        <v>0</v>
      </c>
      <c r="X202" s="234">
        <v>0</v>
      </c>
      <c r="Y202" s="231">
        <v>0</v>
      </c>
      <c r="Z202" s="234">
        <v>0</v>
      </c>
      <c r="AA202" s="231">
        <v>0</v>
      </c>
      <c r="AB202" s="234">
        <v>0</v>
      </c>
      <c r="AC202" s="238">
        <f t="shared" si="75"/>
        <v>0</v>
      </c>
      <c r="AD202" s="238"/>
      <c r="AE202" s="238"/>
    </row>
    <row r="203" spans="2:31" x14ac:dyDescent="0.3">
      <c r="B203" s="245" t="s">
        <v>26</v>
      </c>
      <c r="C203" s="245"/>
      <c r="D203" s="245"/>
      <c r="E203" s="231">
        <v>0</v>
      </c>
      <c r="F203" s="234">
        <v>0</v>
      </c>
      <c r="G203" s="231">
        <v>0</v>
      </c>
      <c r="H203" s="234">
        <v>0</v>
      </c>
      <c r="I203" s="231">
        <v>0</v>
      </c>
      <c r="J203" s="234">
        <v>0</v>
      </c>
      <c r="K203" s="231">
        <v>0</v>
      </c>
      <c r="L203" s="234">
        <v>0</v>
      </c>
      <c r="M203" s="231">
        <v>0</v>
      </c>
      <c r="N203" s="234">
        <v>0</v>
      </c>
      <c r="O203" s="231">
        <v>0</v>
      </c>
      <c r="P203" s="234">
        <v>0</v>
      </c>
      <c r="Q203" s="231">
        <v>0</v>
      </c>
      <c r="R203" s="234">
        <v>0</v>
      </c>
      <c r="S203" s="231">
        <v>0</v>
      </c>
      <c r="T203" s="234">
        <v>0</v>
      </c>
      <c r="U203" s="231">
        <v>0</v>
      </c>
      <c r="V203" s="234">
        <v>0</v>
      </c>
      <c r="W203" s="231">
        <v>0</v>
      </c>
      <c r="X203" s="234">
        <v>0</v>
      </c>
      <c r="Y203" s="231">
        <v>0</v>
      </c>
      <c r="Z203" s="234">
        <v>0</v>
      </c>
      <c r="AA203" s="231">
        <v>0</v>
      </c>
      <c r="AB203" s="234">
        <v>0</v>
      </c>
      <c r="AC203" s="238">
        <f t="shared" si="75"/>
        <v>0</v>
      </c>
      <c r="AD203" s="238"/>
      <c r="AE203" s="238"/>
    </row>
    <row r="204" spans="2:31" x14ac:dyDescent="0.3">
      <c r="B204" s="245" t="s">
        <v>27</v>
      </c>
      <c r="C204" s="245"/>
      <c r="D204" s="245"/>
      <c r="E204" s="231">
        <v>0</v>
      </c>
      <c r="F204" s="234">
        <v>0</v>
      </c>
      <c r="G204" s="231">
        <v>0</v>
      </c>
      <c r="H204" s="234">
        <v>0</v>
      </c>
      <c r="I204" s="231">
        <v>0</v>
      </c>
      <c r="J204" s="234">
        <v>0</v>
      </c>
      <c r="K204" s="231">
        <v>0</v>
      </c>
      <c r="L204" s="234">
        <v>0</v>
      </c>
      <c r="M204" s="231">
        <v>0</v>
      </c>
      <c r="N204" s="234">
        <v>0</v>
      </c>
      <c r="O204" s="231">
        <v>0</v>
      </c>
      <c r="P204" s="234">
        <v>0</v>
      </c>
      <c r="Q204" s="231">
        <v>0</v>
      </c>
      <c r="R204" s="234">
        <v>0</v>
      </c>
      <c r="S204" s="231">
        <v>0</v>
      </c>
      <c r="T204" s="234">
        <v>0</v>
      </c>
      <c r="U204" s="231">
        <v>0</v>
      </c>
      <c r="V204" s="234">
        <v>0</v>
      </c>
      <c r="W204" s="231">
        <v>0</v>
      </c>
      <c r="X204" s="234">
        <v>0</v>
      </c>
      <c r="Y204" s="231">
        <v>0</v>
      </c>
      <c r="Z204" s="234">
        <v>0</v>
      </c>
      <c r="AA204" s="231">
        <v>0</v>
      </c>
      <c r="AB204" s="234">
        <v>0</v>
      </c>
      <c r="AC204" s="238">
        <f t="shared" si="75"/>
        <v>0</v>
      </c>
      <c r="AD204" s="238"/>
      <c r="AE204" s="238"/>
    </row>
    <row r="205" spans="2:31" x14ac:dyDescent="0.3">
      <c r="B205" s="245" t="s">
        <v>28</v>
      </c>
      <c r="C205" s="245"/>
      <c r="D205" s="245"/>
      <c r="E205" s="231">
        <v>0</v>
      </c>
      <c r="F205" s="234">
        <v>0</v>
      </c>
      <c r="G205" s="231">
        <v>0</v>
      </c>
      <c r="H205" s="234">
        <v>0</v>
      </c>
      <c r="I205" s="231">
        <v>0</v>
      </c>
      <c r="J205" s="234">
        <v>0</v>
      </c>
      <c r="K205" s="231">
        <v>0</v>
      </c>
      <c r="L205" s="234">
        <v>0</v>
      </c>
      <c r="M205" s="231">
        <v>0</v>
      </c>
      <c r="N205" s="234">
        <v>0</v>
      </c>
      <c r="O205" s="231">
        <v>0</v>
      </c>
      <c r="P205" s="234">
        <v>0</v>
      </c>
      <c r="Q205" s="231">
        <v>0</v>
      </c>
      <c r="R205" s="234">
        <v>0</v>
      </c>
      <c r="S205" s="231">
        <v>0</v>
      </c>
      <c r="T205" s="234">
        <v>0</v>
      </c>
      <c r="U205" s="231">
        <v>0</v>
      </c>
      <c r="V205" s="234">
        <v>0</v>
      </c>
      <c r="W205" s="231">
        <v>0</v>
      </c>
      <c r="X205" s="234">
        <v>0</v>
      </c>
      <c r="Y205" s="231">
        <v>0</v>
      </c>
      <c r="Z205" s="234">
        <v>0</v>
      </c>
      <c r="AA205" s="231">
        <v>0</v>
      </c>
      <c r="AB205" s="234">
        <v>0</v>
      </c>
      <c r="AC205" s="238">
        <f t="shared" si="75"/>
        <v>0</v>
      </c>
      <c r="AD205" s="238"/>
      <c r="AE205" s="238"/>
    </row>
    <row r="206" spans="2:31" x14ac:dyDescent="0.3">
      <c r="B206" s="245" t="s">
        <v>92</v>
      </c>
      <c r="C206" s="245"/>
      <c r="D206" s="245"/>
      <c r="E206" s="231">
        <v>0</v>
      </c>
      <c r="F206" s="234">
        <v>0</v>
      </c>
      <c r="G206" s="231">
        <v>0</v>
      </c>
      <c r="H206" s="234">
        <v>0</v>
      </c>
      <c r="I206" s="231">
        <v>0</v>
      </c>
      <c r="J206" s="234">
        <v>0</v>
      </c>
      <c r="K206" s="231">
        <v>0</v>
      </c>
      <c r="L206" s="234">
        <v>0</v>
      </c>
      <c r="M206" s="231">
        <v>0</v>
      </c>
      <c r="N206" s="234">
        <v>0</v>
      </c>
      <c r="O206" s="231">
        <v>0</v>
      </c>
      <c r="P206" s="234">
        <v>0</v>
      </c>
      <c r="Q206" s="231">
        <v>0</v>
      </c>
      <c r="R206" s="234">
        <v>0</v>
      </c>
      <c r="S206" s="231">
        <v>0</v>
      </c>
      <c r="T206" s="234">
        <v>0</v>
      </c>
      <c r="U206" s="231">
        <v>0</v>
      </c>
      <c r="V206" s="234">
        <v>0</v>
      </c>
      <c r="W206" s="231">
        <v>0</v>
      </c>
      <c r="X206" s="234">
        <v>0</v>
      </c>
      <c r="Y206" s="231">
        <v>0</v>
      </c>
      <c r="Z206" s="234">
        <v>0</v>
      </c>
      <c r="AA206" s="231">
        <v>0</v>
      </c>
      <c r="AB206" s="234">
        <v>0</v>
      </c>
      <c r="AC206" s="238">
        <f t="shared" si="75"/>
        <v>0</v>
      </c>
      <c r="AD206" s="238"/>
      <c r="AE206" s="238"/>
    </row>
    <row r="207" spans="2:31" x14ac:dyDescent="0.3">
      <c r="B207" s="245" t="s">
        <v>29</v>
      </c>
      <c r="C207" s="245"/>
      <c r="D207" s="245"/>
      <c r="E207" s="231">
        <v>0</v>
      </c>
      <c r="F207" s="234">
        <v>0</v>
      </c>
      <c r="G207" s="231">
        <v>0</v>
      </c>
      <c r="H207" s="234">
        <v>0</v>
      </c>
      <c r="I207" s="231">
        <v>0</v>
      </c>
      <c r="J207" s="234">
        <v>0</v>
      </c>
      <c r="K207" s="231">
        <v>0</v>
      </c>
      <c r="L207" s="234">
        <v>0</v>
      </c>
      <c r="M207" s="231">
        <v>0</v>
      </c>
      <c r="N207" s="234">
        <v>0</v>
      </c>
      <c r="O207" s="231">
        <v>0</v>
      </c>
      <c r="P207" s="234">
        <v>0</v>
      </c>
      <c r="Q207" s="231">
        <v>0</v>
      </c>
      <c r="R207" s="234">
        <v>0</v>
      </c>
      <c r="S207" s="231">
        <v>0</v>
      </c>
      <c r="T207" s="234">
        <v>0</v>
      </c>
      <c r="U207" s="231">
        <v>0</v>
      </c>
      <c r="V207" s="234">
        <v>0</v>
      </c>
      <c r="W207" s="231">
        <v>0</v>
      </c>
      <c r="X207" s="234">
        <v>0</v>
      </c>
      <c r="Y207" s="231">
        <v>0</v>
      </c>
      <c r="Z207" s="234">
        <v>0</v>
      </c>
      <c r="AA207" s="231">
        <v>0</v>
      </c>
      <c r="AB207" s="234">
        <v>0</v>
      </c>
      <c r="AC207" s="238">
        <f t="shared" si="75"/>
        <v>0</v>
      </c>
      <c r="AD207" s="238"/>
      <c r="AE207" s="238"/>
    </row>
    <row r="208" spans="2:31" x14ac:dyDescent="0.3">
      <c r="B208" s="245" t="s">
        <v>30</v>
      </c>
      <c r="C208" s="245"/>
      <c r="D208" s="245"/>
      <c r="E208" s="231">
        <v>0</v>
      </c>
      <c r="F208" s="234">
        <v>0</v>
      </c>
      <c r="G208" s="231">
        <v>0</v>
      </c>
      <c r="H208" s="234">
        <v>0</v>
      </c>
      <c r="I208" s="231">
        <v>0</v>
      </c>
      <c r="J208" s="234">
        <v>0</v>
      </c>
      <c r="K208" s="231">
        <v>0</v>
      </c>
      <c r="L208" s="234">
        <v>0</v>
      </c>
      <c r="M208" s="231">
        <v>0</v>
      </c>
      <c r="N208" s="234">
        <v>0</v>
      </c>
      <c r="O208" s="231">
        <v>0</v>
      </c>
      <c r="P208" s="234">
        <v>0</v>
      </c>
      <c r="Q208" s="231">
        <v>0</v>
      </c>
      <c r="R208" s="234">
        <v>0</v>
      </c>
      <c r="S208" s="231">
        <v>0</v>
      </c>
      <c r="T208" s="234">
        <v>0</v>
      </c>
      <c r="U208" s="231">
        <v>0</v>
      </c>
      <c r="V208" s="234">
        <v>0</v>
      </c>
      <c r="W208" s="231">
        <v>0</v>
      </c>
      <c r="X208" s="234">
        <v>0</v>
      </c>
      <c r="Y208" s="231">
        <v>0</v>
      </c>
      <c r="Z208" s="234">
        <v>0</v>
      </c>
      <c r="AA208" s="231">
        <v>0</v>
      </c>
      <c r="AB208" s="234">
        <v>0</v>
      </c>
      <c r="AC208" s="238">
        <f t="shared" si="75"/>
        <v>0</v>
      </c>
      <c r="AD208" s="238"/>
      <c r="AE208" s="238"/>
    </row>
    <row r="209" spans="2:31" x14ac:dyDescent="0.3">
      <c r="B209" s="245" t="s">
        <v>31</v>
      </c>
      <c r="C209" s="245"/>
      <c r="D209" s="245"/>
      <c r="E209" s="231">
        <v>0</v>
      </c>
      <c r="F209" s="234">
        <v>0</v>
      </c>
      <c r="G209" s="231">
        <v>0</v>
      </c>
      <c r="H209" s="234">
        <v>0</v>
      </c>
      <c r="I209" s="231">
        <v>0</v>
      </c>
      <c r="J209" s="234">
        <v>0</v>
      </c>
      <c r="K209" s="231">
        <v>0</v>
      </c>
      <c r="L209" s="234">
        <v>0</v>
      </c>
      <c r="M209" s="231">
        <v>0</v>
      </c>
      <c r="N209" s="234">
        <v>0</v>
      </c>
      <c r="O209" s="231">
        <v>0</v>
      </c>
      <c r="P209" s="234">
        <v>0</v>
      </c>
      <c r="Q209" s="231">
        <v>0</v>
      </c>
      <c r="R209" s="234">
        <v>0</v>
      </c>
      <c r="S209" s="231">
        <v>0</v>
      </c>
      <c r="T209" s="234">
        <v>0</v>
      </c>
      <c r="U209" s="231">
        <v>0</v>
      </c>
      <c r="V209" s="234">
        <v>0</v>
      </c>
      <c r="W209" s="231">
        <v>0</v>
      </c>
      <c r="X209" s="234">
        <v>0</v>
      </c>
      <c r="Y209" s="231">
        <v>0</v>
      </c>
      <c r="Z209" s="234">
        <v>0</v>
      </c>
      <c r="AA209" s="231">
        <v>0</v>
      </c>
      <c r="AB209" s="234">
        <v>0</v>
      </c>
      <c r="AC209" s="238">
        <f t="shared" si="75"/>
        <v>0</v>
      </c>
      <c r="AD209" s="238"/>
      <c r="AE209" s="238"/>
    </row>
    <row r="210" spans="2:31" x14ac:dyDescent="0.3">
      <c r="B210" s="245" t="s">
        <v>32</v>
      </c>
      <c r="C210" s="245"/>
      <c r="D210" s="245"/>
      <c r="E210" s="231">
        <v>0</v>
      </c>
      <c r="F210" s="234">
        <v>0</v>
      </c>
      <c r="G210" s="231">
        <v>0</v>
      </c>
      <c r="H210" s="234">
        <v>0</v>
      </c>
      <c r="I210" s="231">
        <v>0</v>
      </c>
      <c r="J210" s="234">
        <v>0</v>
      </c>
      <c r="K210" s="231">
        <v>0</v>
      </c>
      <c r="L210" s="234">
        <v>0</v>
      </c>
      <c r="M210" s="231">
        <v>0</v>
      </c>
      <c r="N210" s="234">
        <v>0</v>
      </c>
      <c r="O210" s="231">
        <v>0</v>
      </c>
      <c r="P210" s="234">
        <v>0</v>
      </c>
      <c r="Q210" s="231">
        <v>0</v>
      </c>
      <c r="R210" s="234">
        <v>0</v>
      </c>
      <c r="S210" s="231">
        <v>0</v>
      </c>
      <c r="T210" s="234">
        <v>0</v>
      </c>
      <c r="U210" s="231">
        <v>0</v>
      </c>
      <c r="V210" s="234">
        <v>0</v>
      </c>
      <c r="W210" s="231">
        <v>0</v>
      </c>
      <c r="X210" s="234">
        <v>0</v>
      </c>
      <c r="Y210" s="231">
        <v>0</v>
      </c>
      <c r="Z210" s="234">
        <v>0</v>
      </c>
      <c r="AA210" s="231">
        <v>0</v>
      </c>
      <c r="AB210" s="234">
        <v>0</v>
      </c>
      <c r="AC210" s="238">
        <f t="shared" si="75"/>
        <v>0</v>
      </c>
      <c r="AD210" s="238"/>
      <c r="AE210" s="238"/>
    </row>
    <row r="211" spans="2:31" x14ac:dyDescent="0.3">
      <c r="B211" s="245" t="s">
        <v>33</v>
      </c>
      <c r="C211" s="245"/>
      <c r="D211" s="245"/>
      <c r="E211" s="231">
        <v>0</v>
      </c>
      <c r="F211" s="234">
        <v>0</v>
      </c>
      <c r="G211" s="231">
        <v>0</v>
      </c>
      <c r="H211" s="234">
        <v>0</v>
      </c>
      <c r="I211" s="231">
        <v>0</v>
      </c>
      <c r="J211" s="234">
        <v>0</v>
      </c>
      <c r="K211" s="231">
        <v>0</v>
      </c>
      <c r="L211" s="234">
        <v>0</v>
      </c>
      <c r="M211" s="231">
        <v>0</v>
      </c>
      <c r="N211" s="234">
        <v>0</v>
      </c>
      <c r="O211" s="231">
        <v>0</v>
      </c>
      <c r="P211" s="234">
        <v>0</v>
      </c>
      <c r="Q211" s="231">
        <v>0</v>
      </c>
      <c r="R211" s="234">
        <v>0</v>
      </c>
      <c r="S211" s="231">
        <v>0</v>
      </c>
      <c r="T211" s="234">
        <v>0</v>
      </c>
      <c r="U211" s="231">
        <v>0</v>
      </c>
      <c r="V211" s="234">
        <v>0</v>
      </c>
      <c r="W211" s="231">
        <v>0</v>
      </c>
      <c r="X211" s="234">
        <v>0</v>
      </c>
      <c r="Y211" s="231">
        <v>0</v>
      </c>
      <c r="Z211" s="234">
        <v>0</v>
      </c>
      <c r="AA211" s="231">
        <v>0</v>
      </c>
      <c r="AB211" s="234">
        <v>0</v>
      </c>
      <c r="AC211" s="238">
        <f t="shared" si="75"/>
        <v>0</v>
      </c>
      <c r="AD211" s="238"/>
      <c r="AE211" s="238"/>
    </row>
    <row r="212" spans="2:31" x14ac:dyDescent="0.3">
      <c r="B212" s="245" t="s">
        <v>34</v>
      </c>
      <c r="C212" s="245"/>
      <c r="D212" s="245"/>
      <c r="E212" s="231">
        <v>0</v>
      </c>
      <c r="F212" s="234">
        <v>0</v>
      </c>
      <c r="G212" s="231">
        <v>0</v>
      </c>
      <c r="H212" s="234">
        <v>0</v>
      </c>
      <c r="I212" s="231">
        <v>0</v>
      </c>
      <c r="J212" s="234">
        <v>0</v>
      </c>
      <c r="K212" s="231">
        <v>0</v>
      </c>
      <c r="L212" s="234">
        <v>0</v>
      </c>
      <c r="M212" s="231">
        <v>0</v>
      </c>
      <c r="N212" s="234">
        <v>0</v>
      </c>
      <c r="O212" s="231">
        <v>0</v>
      </c>
      <c r="P212" s="234">
        <v>0</v>
      </c>
      <c r="Q212" s="231">
        <v>0</v>
      </c>
      <c r="R212" s="234">
        <v>0</v>
      </c>
      <c r="S212" s="231">
        <v>0</v>
      </c>
      <c r="T212" s="234">
        <v>0</v>
      </c>
      <c r="U212" s="231">
        <v>0</v>
      </c>
      <c r="V212" s="234">
        <v>0</v>
      </c>
      <c r="W212" s="231">
        <v>0</v>
      </c>
      <c r="X212" s="234">
        <v>0</v>
      </c>
      <c r="Y212" s="231">
        <v>0</v>
      </c>
      <c r="Z212" s="234">
        <v>0</v>
      </c>
      <c r="AA212" s="231">
        <v>0</v>
      </c>
      <c r="AB212" s="234">
        <v>0</v>
      </c>
      <c r="AC212" s="238">
        <f t="shared" si="75"/>
        <v>0</v>
      </c>
      <c r="AD212" s="238"/>
      <c r="AE212" s="238"/>
    </row>
    <row r="213" spans="2:31" x14ac:dyDescent="0.3">
      <c r="B213" s="245" t="s">
        <v>35</v>
      </c>
      <c r="C213" s="245"/>
      <c r="D213" s="245"/>
      <c r="E213" s="231">
        <v>0</v>
      </c>
      <c r="F213" s="234">
        <v>0</v>
      </c>
      <c r="G213" s="231">
        <v>0</v>
      </c>
      <c r="H213" s="234">
        <v>0</v>
      </c>
      <c r="I213" s="231">
        <v>0</v>
      </c>
      <c r="J213" s="234">
        <v>0</v>
      </c>
      <c r="K213" s="231">
        <v>0</v>
      </c>
      <c r="L213" s="234">
        <v>0</v>
      </c>
      <c r="M213" s="231">
        <v>0</v>
      </c>
      <c r="N213" s="234">
        <v>0</v>
      </c>
      <c r="O213" s="231">
        <v>0</v>
      </c>
      <c r="P213" s="234">
        <v>0</v>
      </c>
      <c r="Q213" s="231">
        <v>0</v>
      </c>
      <c r="R213" s="234">
        <v>0</v>
      </c>
      <c r="S213" s="231">
        <v>0</v>
      </c>
      <c r="T213" s="234">
        <v>0</v>
      </c>
      <c r="U213" s="231">
        <v>0</v>
      </c>
      <c r="V213" s="234">
        <v>0</v>
      </c>
      <c r="W213" s="231">
        <v>0</v>
      </c>
      <c r="X213" s="234">
        <v>0</v>
      </c>
      <c r="Y213" s="231">
        <v>0</v>
      </c>
      <c r="Z213" s="234">
        <v>0</v>
      </c>
      <c r="AA213" s="231">
        <v>0</v>
      </c>
      <c r="AB213" s="234">
        <v>0</v>
      </c>
      <c r="AC213" s="238">
        <f t="shared" si="75"/>
        <v>0</v>
      </c>
      <c r="AD213" s="238"/>
      <c r="AE213" s="238"/>
    </row>
    <row r="214" spans="2:31" x14ac:dyDescent="0.3">
      <c r="B214" s="245" t="s">
        <v>36</v>
      </c>
      <c r="C214" s="245"/>
      <c r="D214" s="245"/>
      <c r="E214" s="231">
        <v>0</v>
      </c>
      <c r="F214" s="234">
        <v>0</v>
      </c>
      <c r="G214" s="231">
        <v>0</v>
      </c>
      <c r="H214" s="234">
        <v>0</v>
      </c>
      <c r="I214" s="231">
        <v>0</v>
      </c>
      <c r="J214" s="234">
        <v>0</v>
      </c>
      <c r="K214" s="231">
        <v>0</v>
      </c>
      <c r="L214" s="234">
        <v>0</v>
      </c>
      <c r="M214" s="231">
        <v>0</v>
      </c>
      <c r="N214" s="234">
        <v>0</v>
      </c>
      <c r="O214" s="231">
        <v>0</v>
      </c>
      <c r="P214" s="234">
        <v>0</v>
      </c>
      <c r="Q214" s="231">
        <v>0</v>
      </c>
      <c r="R214" s="234">
        <v>0</v>
      </c>
      <c r="S214" s="231">
        <v>0</v>
      </c>
      <c r="T214" s="234">
        <v>0</v>
      </c>
      <c r="U214" s="231">
        <v>0</v>
      </c>
      <c r="V214" s="234">
        <v>0</v>
      </c>
      <c r="W214" s="231">
        <v>0</v>
      </c>
      <c r="X214" s="234">
        <v>0</v>
      </c>
      <c r="Y214" s="231">
        <v>0</v>
      </c>
      <c r="Z214" s="234">
        <v>0</v>
      </c>
      <c r="AA214" s="231">
        <v>0</v>
      </c>
      <c r="AB214" s="234">
        <v>0</v>
      </c>
      <c r="AC214" s="238">
        <f t="shared" si="75"/>
        <v>0</v>
      </c>
      <c r="AD214" s="238"/>
      <c r="AE214" s="238"/>
    </row>
    <row r="215" spans="2:31" x14ac:dyDescent="0.3">
      <c r="B215" s="13" t="s">
        <v>89</v>
      </c>
      <c r="C215" s="13"/>
      <c r="D215" s="13"/>
      <c r="E215" s="231">
        <v>0</v>
      </c>
      <c r="F215" s="234">
        <v>0</v>
      </c>
      <c r="G215" s="231">
        <v>0</v>
      </c>
      <c r="H215" s="234">
        <v>0</v>
      </c>
      <c r="I215" s="231">
        <v>0</v>
      </c>
      <c r="J215" s="234">
        <v>0</v>
      </c>
      <c r="K215" s="231">
        <v>0</v>
      </c>
      <c r="L215" s="234">
        <v>0</v>
      </c>
      <c r="M215" s="231">
        <v>0</v>
      </c>
      <c r="N215" s="234">
        <v>0</v>
      </c>
      <c r="O215" s="231">
        <v>0</v>
      </c>
      <c r="P215" s="234">
        <v>0</v>
      </c>
      <c r="Q215" s="231">
        <v>0</v>
      </c>
      <c r="R215" s="234">
        <v>0</v>
      </c>
      <c r="S215" s="231">
        <v>0</v>
      </c>
      <c r="T215" s="234">
        <v>0</v>
      </c>
      <c r="U215" s="231">
        <v>0</v>
      </c>
      <c r="V215" s="234">
        <v>0</v>
      </c>
      <c r="W215" s="231">
        <v>0</v>
      </c>
      <c r="X215" s="234">
        <v>0</v>
      </c>
      <c r="Y215" s="231">
        <v>0</v>
      </c>
      <c r="Z215" s="234">
        <v>0</v>
      </c>
      <c r="AA215" s="231">
        <v>0</v>
      </c>
      <c r="AB215" s="234">
        <v>0</v>
      </c>
      <c r="AC215" s="238">
        <f t="shared" si="75"/>
        <v>0</v>
      </c>
      <c r="AD215" s="238"/>
      <c r="AE215" s="238"/>
    </row>
    <row r="216" spans="2:31" x14ac:dyDescent="0.3">
      <c r="B216" s="13" t="s">
        <v>90</v>
      </c>
      <c r="C216" s="13"/>
      <c r="D216" s="13"/>
      <c r="E216" s="231">
        <v>0</v>
      </c>
      <c r="F216" s="234">
        <v>0</v>
      </c>
      <c r="G216" s="231">
        <v>0</v>
      </c>
      <c r="H216" s="234">
        <v>0</v>
      </c>
      <c r="I216" s="231">
        <v>0</v>
      </c>
      <c r="J216" s="234">
        <v>0</v>
      </c>
      <c r="K216" s="231">
        <v>0</v>
      </c>
      <c r="L216" s="234">
        <v>0</v>
      </c>
      <c r="M216" s="231">
        <v>0</v>
      </c>
      <c r="N216" s="234">
        <v>0</v>
      </c>
      <c r="O216" s="231">
        <v>0</v>
      </c>
      <c r="P216" s="234">
        <v>0</v>
      </c>
      <c r="Q216" s="231">
        <v>0</v>
      </c>
      <c r="R216" s="234">
        <v>0</v>
      </c>
      <c r="S216" s="231">
        <v>0</v>
      </c>
      <c r="T216" s="234">
        <v>0</v>
      </c>
      <c r="U216" s="231">
        <v>0</v>
      </c>
      <c r="V216" s="234">
        <v>0</v>
      </c>
      <c r="W216" s="231">
        <v>0</v>
      </c>
      <c r="X216" s="234">
        <v>0</v>
      </c>
      <c r="Y216" s="231">
        <v>0</v>
      </c>
      <c r="Z216" s="234">
        <v>0</v>
      </c>
      <c r="AA216" s="231">
        <v>0</v>
      </c>
      <c r="AB216" s="234">
        <v>0</v>
      </c>
      <c r="AC216" s="238">
        <f t="shared" si="75"/>
        <v>0</v>
      </c>
      <c r="AD216" s="238"/>
      <c r="AE216" s="238"/>
    </row>
    <row r="217" spans="2:31" x14ac:dyDescent="0.3">
      <c r="B217" s="14" t="s">
        <v>2</v>
      </c>
      <c r="C217" s="14"/>
      <c r="D217" s="14"/>
      <c r="E217" s="15">
        <f>SUM(E180:E216)</f>
        <v>0</v>
      </c>
      <c r="F217" s="15">
        <f t="shared" ref="F217" si="76">SUM(F180:F216)</f>
        <v>0</v>
      </c>
      <c r="G217" s="15">
        <f t="shared" ref="G217" si="77">SUM(G180:G216)</f>
        <v>0</v>
      </c>
      <c r="H217" s="15">
        <f t="shared" ref="H217" si="78">SUM(H180:H216)</f>
        <v>0</v>
      </c>
      <c r="I217" s="15">
        <f t="shared" ref="I217" si="79">SUM(I180:I216)</f>
        <v>0</v>
      </c>
      <c r="J217" s="15">
        <f t="shared" ref="J217" si="80">SUM(J180:J216)</f>
        <v>0</v>
      </c>
      <c r="K217" s="15">
        <f t="shared" ref="K217" si="81">SUM(K180:K216)</f>
        <v>0</v>
      </c>
      <c r="L217" s="15">
        <f t="shared" ref="L217" si="82">SUM(L180:L216)</f>
        <v>0</v>
      </c>
      <c r="M217" s="15">
        <f t="shared" ref="M217" si="83">SUM(M180:M216)</f>
        <v>0</v>
      </c>
      <c r="N217" s="15">
        <f t="shared" ref="N217" si="84">SUM(N180:N216)</f>
        <v>0</v>
      </c>
      <c r="O217" s="15">
        <f t="shared" ref="O217" si="85">SUM(O180:O216)</f>
        <v>0</v>
      </c>
      <c r="P217" s="15">
        <f t="shared" ref="P217" si="86">SUM(P180:P216)</f>
        <v>0</v>
      </c>
      <c r="Q217" s="15">
        <f t="shared" ref="Q217" si="87">SUM(Q180:Q216)</f>
        <v>0</v>
      </c>
      <c r="R217" s="15">
        <f t="shared" ref="R217" si="88">SUM(R180:R216)</f>
        <v>52.081333333333326</v>
      </c>
      <c r="S217" s="15">
        <f t="shared" ref="S217" si="89">SUM(S180:S216)</f>
        <v>296.87800000000004</v>
      </c>
      <c r="T217" s="15">
        <f t="shared" ref="T217" si="90">SUM(T180:T216)</f>
        <v>486.86783333333329</v>
      </c>
      <c r="U217" s="15">
        <f t="shared" ref="U217" si="91">SUM(U180:U216)</f>
        <v>640.90166666666664</v>
      </c>
      <c r="V217" s="15">
        <f t="shared" ref="V217" si="92">SUM(V180:V216)</f>
        <v>355.60883333333334</v>
      </c>
      <c r="W217" s="15">
        <f t="shared" ref="W217" si="93">SUM(W180:W216)</f>
        <v>194.37983333333338</v>
      </c>
      <c r="X217" s="15">
        <f t="shared" ref="X217" si="94">SUM(X180:X216)</f>
        <v>206.46733333333333</v>
      </c>
      <c r="Y217" s="15">
        <f t="shared" ref="Y217" si="95">SUM(Y180:Y216)</f>
        <v>0</v>
      </c>
      <c r="Z217" s="15">
        <f t="shared" ref="Z217" si="96">SUM(Z180:Z216)</f>
        <v>0</v>
      </c>
      <c r="AA217" s="15">
        <f t="shared" ref="AA217" si="97">SUM(AA180:AA216)</f>
        <v>0</v>
      </c>
      <c r="AB217" s="15">
        <f t="shared" ref="AB217" si="98">SUM(AB180:AB216)</f>
        <v>0</v>
      </c>
      <c r="AC217" s="249">
        <f>SUM(AC180:AE216)</f>
        <v>2233.1848333333328</v>
      </c>
      <c r="AD217" s="249"/>
      <c r="AE217" s="249"/>
    </row>
    <row r="220" spans="2:31" x14ac:dyDescent="0.3">
      <c r="B220" s="8">
        <f>'Resumen-Mensual'!$J$22</f>
        <v>44567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4"/>
      <c r="AD220" s="4"/>
      <c r="AE220" s="4"/>
    </row>
    <row r="221" spans="2:31" x14ac:dyDescent="0.3">
      <c r="B221" s="8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4"/>
      <c r="AD221" s="4"/>
      <c r="AE221" s="4"/>
    </row>
    <row r="222" spans="2:31" x14ac:dyDescent="0.3">
      <c r="B222" s="9" t="s">
        <v>81</v>
      </c>
      <c r="C222" s="10"/>
      <c r="D222" s="10"/>
      <c r="E222" s="11">
        <v>1</v>
      </c>
      <c r="F222" s="11">
        <v>2</v>
      </c>
      <c r="G222" s="11">
        <v>3</v>
      </c>
      <c r="H222" s="11">
        <v>4</v>
      </c>
      <c r="I222" s="11">
        <v>5</v>
      </c>
      <c r="J222" s="11">
        <v>6</v>
      </c>
      <c r="K222" s="11">
        <v>7</v>
      </c>
      <c r="L222" s="11">
        <v>8</v>
      </c>
      <c r="M222" s="11">
        <v>9</v>
      </c>
      <c r="N222" s="11">
        <v>10</v>
      </c>
      <c r="O222" s="11">
        <v>11</v>
      </c>
      <c r="P222" s="11">
        <v>12</v>
      </c>
      <c r="Q222" s="11">
        <v>13</v>
      </c>
      <c r="R222" s="11">
        <v>14</v>
      </c>
      <c r="S222" s="11">
        <v>15</v>
      </c>
      <c r="T222" s="11">
        <v>16</v>
      </c>
      <c r="U222" s="11">
        <v>17</v>
      </c>
      <c r="V222" s="11">
        <v>18</v>
      </c>
      <c r="W222" s="11">
        <v>19</v>
      </c>
      <c r="X222" s="11">
        <v>20</v>
      </c>
      <c r="Y222" s="11">
        <v>21</v>
      </c>
      <c r="Z222" s="11">
        <v>22</v>
      </c>
      <c r="AA222" s="11">
        <v>23</v>
      </c>
      <c r="AB222" s="11">
        <v>24</v>
      </c>
      <c r="AC222" s="248" t="s">
        <v>2</v>
      </c>
      <c r="AD222" s="248"/>
      <c r="AE222" s="248"/>
    </row>
    <row r="223" spans="2:31" x14ac:dyDescent="0.3">
      <c r="B223" s="245" t="s">
        <v>4</v>
      </c>
      <c r="C223" s="245"/>
      <c r="D223" s="245"/>
      <c r="E223" s="232">
        <v>0</v>
      </c>
      <c r="F223" s="233">
        <v>0</v>
      </c>
      <c r="G223" s="232">
        <v>0</v>
      </c>
      <c r="H223" s="233">
        <v>0</v>
      </c>
      <c r="I223" s="232">
        <v>0</v>
      </c>
      <c r="J223" s="233">
        <v>0</v>
      </c>
      <c r="K223" s="232">
        <v>0</v>
      </c>
      <c r="L223" s="233">
        <v>0</v>
      </c>
      <c r="M223" s="232">
        <v>0</v>
      </c>
      <c r="N223" s="233">
        <v>0</v>
      </c>
      <c r="O223" s="232">
        <v>0</v>
      </c>
      <c r="P223" s="233">
        <v>0</v>
      </c>
      <c r="Q223" s="232">
        <v>3.8918333333333326</v>
      </c>
      <c r="R223" s="233">
        <v>5.2366666666666655</v>
      </c>
      <c r="S223" s="232">
        <v>11.480333333333336</v>
      </c>
      <c r="T223" s="233">
        <v>4.7796666666666701</v>
      </c>
      <c r="U223" s="232">
        <v>2.3133333333333348</v>
      </c>
      <c r="V223" s="233">
        <v>3.1666666666666289E-3</v>
      </c>
      <c r="W223" s="232">
        <v>28.586833333333338</v>
      </c>
      <c r="X223" s="233">
        <v>0</v>
      </c>
      <c r="Y223" s="232">
        <v>0</v>
      </c>
      <c r="Z223" s="233">
        <v>0</v>
      </c>
      <c r="AA223" s="232">
        <v>0</v>
      </c>
      <c r="AB223" s="233">
        <v>0</v>
      </c>
      <c r="AC223" s="238">
        <f>SUM(E223:AB223)</f>
        <v>56.291833333333344</v>
      </c>
      <c r="AD223" s="238"/>
      <c r="AE223" s="238"/>
    </row>
    <row r="224" spans="2:31" x14ac:dyDescent="0.3">
      <c r="B224" s="245" t="s">
        <v>5</v>
      </c>
      <c r="C224" s="245"/>
      <c r="D224" s="245"/>
      <c r="E224" s="231">
        <v>0</v>
      </c>
      <c r="F224" s="234">
        <v>0</v>
      </c>
      <c r="G224" s="231">
        <v>0</v>
      </c>
      <c r="H224" s="234">
        <v>0</v>
      </c>
      <c r="I224" s="231">
        <v>0</v>
      </c>
      <c r="J224" s="234">
        <v>0</v>
      </c>
      <c r="K224" s="231">
        <v>0</v>
      </c>
      <c r="L224" s="234">
        <v>0</v>
      </c>
      <c r="M224" s="231">
        <v>0</v>
      </c>
      <c r="N224" s="234">
        <v>0</v>
      </c>
      <c r="O224" s="231">
        <v>0</v>
      </c>
      <c r="P224" s="234">
        <v>0</v>
      </c>
      <c r="Q224" s="231">
        <v>13.026499999999999</v>
      </c>
      <c r="R224" s="234">
        <v>31.310500000000001</v>
      </c>
      <c r="S224" s="231">
        <v>47.61033333333333</v>
      </c>
      <c r="T224" s="234">
        <v>52.815833333333316</v>
      </c>
      <c r="U224" s="231">
        <v>61.927833333333339</v>
      </c>
      <c r="V224" s="234">
        <v>74.209333333333362</v>
      </c>
      <c r="W224" s="231">
        <v>76.266333333333336</v>
      </c>
      <c r="X224" s="234">
        <v>9.8446666666666651</v>
      </c>
      <c r="Y224" s="231">
        <v>0</v>
      </c>
      <c r="Z224" s="234">
        <v>0</v>
      </c>
      <c r="AA224" s="231">
        <v>0</v>
      </c>
      <c r="AB224" s="234">
        <v>0</v>
      </c>
      <c r="AC224" s="238">
        <f t="shared" ref="AC224:AC259" si="99">SUM(E224:AB224)</f>
        <v>367.01133333333331</v>
      </c>
      <c r="AD224" s="238"/>
      <c r="AE224" s="238"/>
    </row>
    <row r="225" spans="2:31" x14ac:dyDescent="0.3">
      <c r="B225" s="245" t="s">
        <v>6</v>
      </c>
      <c r="C225" s="245"/>
      <c r="D225" s="245"/>
      <c r="E225" s="231">
        <v>0</v>
      </c>
      <c r="F225" s="234">
        <v>0</v>
      </c>
      <c r="G225" s="231">
        <v>0</v>
      </c>
      <c r="H225" s="234">
        <v>0</v>
      </c>
      <c r="I225" s="231">
        <v>0</v>
      </c>
      <c r="J225" s="234">
        <v>0</v>
      </c>
      <c r="K225" s="231">
        <v>0</v>
      </c>
      <c r="L225" s="234">
        <v>0</v>
      </c>
      <c r="M225" s="231">
        <v>0</v>
      </c>
      <c r="N225" s="234">
        <v>0</v>
      </c>
      <c r="O225" s="231">
        <v>0</v>
      </c>
      <c r="P225" s="234">
        <v>0</v>
      </c>
      <c r="Q225" s="231">
        <v>2.7761666666666676</v>
      </c>
      <c r="R225" s="234">
        <v>8.1900000000000048</v>
      </c>
      <c r="S225" s="231">
        <v>4.3365000000000018</v>
      </c>
      <c r="T225" s="234">
        <v>7.0066666666666659</v>
      </c>
      <c r="U225" s="231">
        <v>0</v>
      </c>
      <c r="V225" s="234">
        <v>0</v>
      </c>
      <c r="W225" s="231">
        <v>13.946500000000006</v>
      </c>
      <c r="X225" s="234">
        <v>4.2096666666666662</v>
      </c>
      <c r="Y225" s="231">
        <v>0</v>
      </c>
      <c r="Z225" s="234">
        <v>0</v>
      </c>
      <c r="AA225" s="231">
        <v>0</v>
      </c>
      <c r="AB225" s="234">
        <v>0</v>
      </c>
      <c r="AC225" s="238">
        <f t="shared" si="99"/>
        <v>40.465500000000013</v>
      </c>
      <c r="AD225" s="238"/>
      <c r="AE225" s="238"/>
    </row>
    <row r="226" spans="2:31" x14ac:dyDescent="0.3">
      <c r="B226" s="245" t="s">
        <v>91</v>
      </c>
      <c r="C226" s="245"/>
      <c r="D226" s="245"/>
      <c r="E226" s="231">
        <v>0</v>
      </c>
      <c r="F226" s="234">
        <v>0</v>
      </c>
      <c r="G226" s="231">
        <v>0</v>
      </c>
      <c r="H226" s="234">
        <v>0</v>
      </c>
      <c r="I226" s="231">
        <v>0</v>
      </c>
      <c r="J226" s="234">
        <v>0</v>
      </c>
      <c r="K226" s="231">
        <v>0</v>
      </c>
      <c r="L226" s="234">
        <v>0</v>
      </c>
      <c r="M226" s="231">
        <v>0</v>
      </c>
      <c r="N226" s="234">
        <v>0</v>
      </c>
      <c r="O226" s="231">
        <v>0</v>
      </c>
      <c r="P226" s="234">
        <v>0</v>
      </c>
      <c r="Q226" s="231">
        <v>0</v>
      </c>
      <c r="R226" s="234">
        <v>0</v>
      </c>
      <c r="S226" s="231">
        <v>0</v>
      </c>
      <c r="T226" s="234">
        <v>0</v>
      </c>
      <c r="U226" s="231">
        <v>0</v>
      </c>
      <c r="V226" s="234">
        <v>0</v>
      </c>
      <c r="W226" s="231">
        <v>0</v>
      </c>
      <c r="X226" s="234">
        <v>0</v>
      </c>
      <c r="Y226" s="231">
        <v>0</v>
      </c>
      <c r="Z226" s="234">
        <v>0</v>
      </c>
      <c r="AA226" s="231">
        <v>0</v>
      </c>
      <c r="AB226" s="234">
        <v>0</v>
      </c>
      <c r="AC226" s="238">
        <f t="shared" si="99"/>
        <v>0</v>
      </c>
      <c r="AD226" s="238"/>
      <c r="AE226" s="238"/>
    </row>
    <row r="227" spans="2:31" x14ac:dyDescent="0.3">
      <c r="B227" s="245" t="s">
        <v>7</v>
      </c>
      <c r="C227" s="245"/>
      <c r="D227" s="245"/>
      <c r="E227" s="231">
        <v>0</v>
      </c>
      <c r="F227" s="234">
        <v>0</v>
      </c>
      <c r="G227" s="231">
        <v>0</v>
      </c>
      <c r="H227" s="234">
        <v>0</v>
      </c>
      <c r="I227" s="231">
        <v>0</v>
      </c>
      <c r="J227" s="234">
        <v>0</v>
      </c>
      <c r="K227" s="231">
        <v>0</v>
      </c>
      <c r="L227" s="234">
        <v>0</v>
      </c>
      <c r="M227" s="231">
        <v>0</v>
      </c>
      <c r="N227" s="234">
        <v>0</v>
      </c>
      <c r="O227" s="231">
        <v>0</v>
      </c>
      <c r="P227" s="234">
        <v>0</v>
      </c>
      <c r="Q227" s="231">
        <v>6.6738333333333353</v>
      </c>
      <c r="R227" s="234">
        <v>9.1661666666666655</v>
      </c>
      <c r="S227" s="231">
        <v>14.735333333333331</v>
      </c>
      <c r="T227" s="234">
        <v>0</v>
      </c>
      <c r="U227" s="231">
        <v>0</v>
      </c>
      <c r="V227" s="234">
        <v>0.83316666666666583</v>
      </c>
      <c r="W227" s="231">
        <v>0.87999999999999923</v>
      </c>
      <c r="X227" s="234">
        <v>12.754833333333332</v>
      </c>
      <c r="Y227" s="231">
        <v>0</v>
      </c>
      <c r="Z227" s="234">
        <v>0</v>
      </c>
      <c r="AA227" s="231">
        <v>0</v>
      </c>
      <c r="AB227" s="234">
        <v>0</v>
      </c>
      <c r="AC227" s="238">
        <f t="shared" si="99"/>
        <v>45.043333333333329</v>
      </c>
      <c r="AD227" s="238"/>
      <c r="AE227" s="238"/>
    </row>
    <row r="228" spans="2:31" x14ac:dyDescent="0.3">
      <c r="B228" s="245" t="s">
        <v>8</v>
      </c>
      <c r="C228" s="245"/>
      <c r="D228" s="245"/>
      <c r="E228" s="231">
        <v>0</v>
      </c>
      <c r="F228" s="234">
        <v>0</v>
      </c>
      <c r="G228" s="231">
        <v>0</v>
      </c>
      <c r="H228" s="234">
        <v>0</v>
      </c>
      <c r="I228" s="231">
        <v>0</v>
      </c>
      <c r="J228" s="234">
        <v>0</v>
      </c>
      <c r="K228" s="231">
        <v>0</v>
      </c>
      <c r="L228" s="234">
        <v>0</v>
      </c>
      <c r="M228" s="231">
        <v>0</v>
      </c>
      <c r="N228" s="234">
        <v>0</v>
      </c>
      <c r="O228" s="231">
        <v>0</v>
      </c>
      <c r="P228" s="234">
        <v>0</v>
      </c>
      <c r="Q228" s="231">
        <v>1.2115000000000005</v>
      </c>
      <c r="R228" s="234">
        <v>10.365500000000001</v>
      </c>
      <c r="S228" s="231">
        <v>27.066000000000006</v>
      </c>
      <c r="T228" s="234">
        <v>19.377666666666663</v>
      </c>
      <c r="U228" s="231">
        <v>13.500499999999999</v>
      </c>
      <c r="V228" s="234">
        <v>12.603333333333328</v>
      </c>
      <c r="W228" s="231">
        <v>4.5668333333333324</v>
      </c>
      <c r="X228" s="234">
        <v>0</v>
      </c>
      <c r="Y228" s="231">
        <v>0</v>
      </c>
      <c r="Z228" s="234">
        <v>0</v>
      </c>
      <c r="AA228" s="231">
        <v>0</v>
      </c>
      <c r="AB228" s="234">
        <v>0</v>
      </c>
      <c r="AC228" s="238">
        <f t="shared" si="99"/>
        <v>88.691333333333333</v>
      </c>
      <c r="AD228" s="238"/>
      <c r="AE228" s="238"/>
    </row>
    <row r="229" spans="2:31" x14ac:dyDescent="0.3">
      <c r="B229" s="245" t="s">
        <v>9</v>
      </c>
      <c r="C229" s="245"/>
      <c r="D229" s="245"/>
      <c r="E229" s="231">
        <v>0</v>
      </c>
      <c r="F229" s="234">
        <v>0</v>
      </c>
      <c r="G229" s="231">
        <v>0</v>
      </c>
      <c r="H229" s="234">
        <v>0</v>
      </c>
      <c r="I229" s="231">
        <v>0</v>
      </c>
      <c r="J229" s="234">
        <v>0</v>
      </c>
      <c r="K229" s="231">
        <v>0</v>
      </c>
      <c r="L229" s="234">
        <v>0</v>
      </c>
      <c r="M229" s="231">
        <v>0</v>
      </c>
      <c r="N229" s="234">
        <v>0</v>
      </c>
      <c r="O229" s="231">
        <v>0</v>
      </c>
      <c r="P229" s="234">
        <v>0</v>
      </c>
      <c r="Q229" s="231">
        <v>0.69450000000000012</v>
      </c>
      <c r="R229" s="234">
        <v>2.8166666666666628E-2</v>
      </c>
      <c r="S229" s="231">
        <v>5.6166666666667218E-2</v>
      </c>
      <c r="T229" s="234">
        <v>18.737333333333332</v>
      </c>
      <c r="U229" s="231">
        <v>45.782500000000006</v>
      </c>
      <c r="V229" s="234">
        <v>71.836166666666642</v>
      </c>
      <c r="W229" s="231">
        <v>94.256333333333316</v>
      </c>
      <c r="X229" s="234">
        <v>13.657166666666665</v>
      </c>
      <c r="Y229" s="231">
        <v>0</v>
      </c>
      <c r="Z229" s="234">
        <v>0</v>
      </c>
      <c r="AA229" s="231">
        <v>0</v>
      </c>
      <c r="AB229" s="234">
        <v>0</v>
      </c>
      <c r="AC229" s="238">
        <f t="shared" si="99"/>
        <v>245.04833333333329</v>
      </c>
      <c r="AD229" s="238"/>
      <c r="AE229" s="238"/>
    </row>
    <row r="230" spans="2:31" x14ac:dyDescent="0.3">
      <c r="B230" s="245" t="s">
        <v>10</v>
      </c>
      <c r="C230" s="245"/>
      <c r="D230" s="245"/>
      <c r="E230" s="231">
        <v>0</v>
      </c>
      <c r="F230" s="234">
        <v>0</v>
      </c>
      <c r="G230" s="231">
        <v>0</v>
      </c>
      <c r="H230" s="234">
        <v>0</v>
      </c>
      <c r="I230" s="231">
        <v>0</v>
      </c>
      <c r="J230" s="234">
        <v>0</v>
      </c>
      <c r="K230" s="231">
        <v>0</v>
      </c>
      <c r="L230" s="234">
        <v>0</v>
      </c>
      <c r="M230" s="231">
        <v>0</v>
      </c>
      <c r="N230" s="234">
        <v>0</v>
      </c>
      <c r="O230" s="231">
        <v>0</v>
      </c>
      <c r="P230" s="234">
        <v>0</v>
      </c>
      <c r="Q230" s="231">
        <v>1.6015000000000006</v>
      </c>
      <c r="R230" s="234">
        <v>0</v>
      </c>
      <c r="S230" s="231">
        <v>6.1158333333333363</v>
      </c>
      <c r="T230" s="234">
        <v>20.311499999999999</v>
      </c>
      <c r="U230" s="231">
        <v>40.110833333333339</v>
      </c>
      <c r="V230" s="234">
        <v>60.190000000000019</v>
      </c>
      <c r="W230" s="231">
        <v>60.327000000000012</v>
      </c>
      <c r="X230" s="234">
        <v>6.8363333333333332</v>
      </c>
      <c r="Y230" s="231">
        <v>0</v>
      </c>
      <c r="Z230" s="234">
        <v>0</v>
      </c>
      <c r="AA230" s="231">
        <v>0</v>
      </c>
      <c r="AB230" s="234">
        <v>0</v>
      </c>
      <c r="AC230" s="238">
        <f t="shared" si="99"/>
        <v>195.49300000000002</v>
      </c>
      <c r="AD230" s="238"/>
      <c r="AE230" s="238"/>
    </row>
    <row r="231" spans="2:31" x14ac:dyDescent="0.3">
      <c r="B231" s="245" t="s">
        <v>11</v>
      </c>
      <c r="C231" s="245"/>
      <c r="D231" s="245"/>
      <c r="E231" s="231">
        <v>0</v>
      </c>
      <c r="F231" s="234">
        <v>0</v>
      </c>
      <c r="G231" s="231">
        <v>0</v>
      </c>
      <c r="H231" s="234">
        <v>0</v>
      </c>
      <c r="I231" s="231">
        <v>0</v>
      </c>
      <c r="J231" s="234">
        <v>0</v>
      </c>
      <c r="K231" s="231">
        <v>0</v>
      </c>
      <c r="L231" s="234">
        <v>0</v>
      </c>
      <c r="M231" s="231">
        <v>0</v>
      </c>
      <c r="N231" s="234">
        <v>0</v>
      </c>
      <c r="O231" s="231">
        <v>0</v>
      </c>
      <c r="P231" s="234">
        <v>0</v>
      </c>
      <c r="Q231" s="231">
        <v>0</v>
      </c>
      <c r="R231" s="234">
        <v>0</v>
      </c>
      <c r="S231" s="231">
        <v>2.6286666666666663</v>
      </c>
      <c r="T231" s="234">
        <v>19.524000000000008</v>
      </c>
      <c r="U231" s="231">
        <v>52.62533333333333</v>
      </c>
      <c r="V231" s="234">
        <v>89.24766666666666</v>
      </c>
      <c r="W231" s="231">
        <v>114.46716666666666</v>
      </c>
      <c r="X231" s="234">
        <v>27.545999999999996</v>
      </c>
      <c r="Y231" s="231">
        <v>0</v>
      </c>
      <c r="Z231" s="234">
        <v>0</v>
      </c>
      <c r="AA231" s="231">
        <v>0</v>
      </c>
      <c r="AB231" s="234">
        <v>0</v>
      </c>
      <c r="AC231" s="238">
        <f t="shared" si="99"/>
        <v>306.03883333333334</v>
      </c>
      <c r="AD231" s="238"/>
      <c r="AE231" s="238"/>
    </row>
    <row r="232" spans="2:31" x14ac:dyDescent="0.3">
      <c r="B232" s="245" t="s">
        <v>12</v>
      </c>
      <c r="C232" s="245"/>
      <c r="D232" s="245"/>
      <c r="E232" s="231">
        <v>0</v>
      </c>
      <c r="F232" s="234">
        <v>0</v>
      </c>
      <c r="G232" s="231">
        <v>0</v>
      </c>
      <c r="H232" s="234">
        <v>0</v>
      </c>
      <c r="I232" s="231">
        <v>0</v>
      </c>
      <c r="J232" s="234">
        <v>0</v>
      </c>
      <c r="K232" s="231">
        <v>0</v>
      </c>
      <c r="L232" s="234">
        <v>0</v>
      </c>
      <c r="M232" s="231">
        <v>0</v>
      </c>
      <c r="N232" s="234">
        <v>0</v>
      </c>
      <c r="O232" s="231">
        <v>0</v>
      </c>
      <c r="P232" s="234">
        <v>0</v>
      </c>
      <c r="Q232" s="231">
        <v>16.363000000000003</v>
      </c>
      <c r="R232" s="234">
        <v>14.039499999999997</v>
      </c>
      <c r="S232" s="231">
        <v>29.549666666666667</v>
      </c>
      <c r="T232" s="234">
        <v>47.070166666666658</v>
      </c>
      <c r="U232" s="231">
        <v>70.974500000000006</v>
      </c>
      <c r="V232" s="234">
        <v>93.858833333333308</v>
      </c>
      <c r="W232" s="231">
        <v>108.0275</v>
      </c>
      <c r="X232" s="234">
        <v>25.146333333333335</v>
      </c>
      <c r="Y232" s="231">
        <v>0</v>
      </c>
      <c r="Z232" s="234">
        <v>0</v>
      </c>
      <c r="AA232" s="231">
        <v>0</v>
      </c>
      <c r="AB232" s="234">
        <v>0</v>
      </c>
      <c r="AC232" s="238">
        <f t="shared" si="99"/>
        <v>405.02949999999998</v>
      </c>
      <c r="AD232" s="238"/>
      <c r="AE232" s="238"/>
    </row>
    <row r="233" spans="2:31" x14ac:dyDescent="0.3">
      <c r="B233" s="245" t="s">
        <v>13</v>
      </c>
      <c r="C233" s="245"/>
      <c r="D233" s="245"/>
      <c r="E233" s="231">
        <v>0</v>
      </c>
      <c r="F233" s="234">
        <v>0</v>
      </c>
      <c r="G233" s="231">
        <v>0</v>
      </c>
      <c r="H233" s="234">
        <v>0</v>
      </c>
      <c r="I233" s="231">
        <v>0</v>
      </c>
      <c r="J233" s="234">
        <v>0</v>
      </c>
      <c r="K233" s="231">
        <v>0</v>
      </c>
      <c r="L233" s="234">
        <v>0</v>
      </c>
      <c r="M233" s="231">
        <v>0</v>
      </c>
      <c r="N233" s="234">
        <v>0</v>
      </c>
      <c r="O233" s="231">
        <v>0</v>
      </c>
      <c r="P233" s="234">
        <v>0</v>
      </c>
      <c r="Q233" s="231">
        <v>3.447166666666666</v>
      </c>
      <c r="R233" s="234">
        <v>4.3166666666666721E-2</v>
      </c>
      <c r="S233" s="231">
        <v>3.2523333333333326</v>
      </c>
      <c r="T233" s="234">
        <v>3.2628333333333326</v>
      </c>
      <c r="U233" s="231">
        <v>0</v>
      </c>
      <c r="V233" s="234">
        <v>19.110666666666681</v>
      </c>
      <c r="W233" s="231">
        <v>33.269333333333307</v>
      </c>
      <c r="X233" s="234">
        <v>0</v>
      </c>
      <c r="Y233" s="231">
        <v>0</v>
      </c>
      <c r="Z233" s="234">
        <v>0</v>
      </c>
      <c r="AA233" s="231">
        <v>0</v>
      </c>
      <c r="AB233" s="234">
        <v>0</v>
      </c>
      <c r="AC233" s="238">
        <f t="shared" si="99"/>
        <v>62.385499999999986</v>
      </c>
      <c r="AD233" s="238"/>
      <c r="AE233" s="238"/>
    </row>
    <row r="234" spans="2:31" x14ac:dyDescent="0.3">
      <c r="B234" s="245" t="s">
        <v>14</v>
      </c>
      <c r="C234" s="245"/>
      <c r="D234" s="245"/>
      <c r="E234" s="231">
        <v>0</v>
      </c>
      <c r="F234" s="234">
        <v>0</v>
      </c>
      <c r="G234" s="231">
        <v>0</v>
      </c>
      <c r="H234" s="234">
        <v>0</v>
      </c>
      <c r="I234" s="231">
        <v>0</v>
      </c>
      <c r="J234" s="234">
        <v>0</v>
      </c>
      <c r="K234" s="231">
        <v>0</v>
      </c>
      <c r="L234" s="234">
        <v>0</v>
      </c>
      <c r="M234" s="231">
        <v>0</v>
      </c>
      <c r="N234" s="234">
        <v>0</v>
      </c>
      <c r="O234" s="231">
        <v>0</v>
      </c>
      <c r="P234" s="234">
        <v>0</v>
      </c>
      <c r="Q234" s="231">
        <v>2.460999999999999</v>
      </c>
      <c r="R234" s="234">
        <v>0</v>
      </c>
      <c r="S234" s="231">
        <v>1.6720000000000002</v>
      </c>
      <c r="T234" s="234">
        <v>5.2918333333333356</v>
      </c>
      <c r="U234" s="231">
        <v>5.3124999999999982</v>
      </c>
      <c r="V234" s="234">
        <v>4.8331666666666662</v>
      </c>
      <c r="W234" s="231">
        <v>4.9538333333333329</v>
      </c>
      <c r="X234" s="234">
        <v>1.1198333333333335</v>
      </c>
      <c r="Y234" s="231">
        <v>0</v>
      </c>
      <c r="Z234" s="234">
        <v>0</v>
      </c>
      <c r="AA234" s="231">
        <v>0</v>
      </c>
      <c r="AB234" s="234">
        <v>0</v>
      </c>
      <c r="AC234" s="238">
        <f t="shared" si="99"/>
        <v>25.644166666666663</v>
      </c>
      <c r="AD234" s="238"/>
      <c r="AE234" s="238"/>
    </row>
    <row r="235" spans="2:31" x14ac:dyDescent="0.3">
      <c r="B235" s="245" t="s">
        <v>15</v>
      </c>
      <c r="C235" s="245"/>
      <c r="D235" s="245"/>
      <c r="E235" s="231">
        <v>0</v>
      </c>
      <c r="F235" s="234">
        <v>0</v>
      </c>
      <c r="G235" s="231">
        <v>0</v>
      </c>
      <c r="H235" s="234">
        <v>0</v>
      </c>
      <c r="I235" s="231">
        <v>0</v>
      </c>
      <c r="J235" s="234">
        <v>0</v>
      </c>
      <c r="K235" s="231">
        <v>0</v>
      </c>
      <c r="L235" s="234">
        <v>0</v>
      </c>
      <c r="M235" s="231">
        <v>0</v>
      </c>
      <c r="N235" s="234">
        <v>0</v>
      </c>
      <c r="O235" s="231">
        <v>0</v>
      </c>
      <c r="P235" s="234">
        <v>0</v>
      </c>
      <c r="Q235" s="231">
        <v>0</v>
      </c>
      <c r="R235" s="234">
        <v>5.2886666666666651</v>
      </c>
      <c r="S235" s="231">
        <v>14.194333333333331</v>
      </c>
      <c r="T235" s="234">
        <v>10.079666666666666</v>
      </c>
      <c r="U235" s="231">
        <v>0</v>
      </c>
      <c r="V235" s="234">
        <v>4.8789999999999933</v>
      </c>
      <c r="W235" s="231">
        <v>13.243333333333334</v>
      </c>
      <c r="X235" s="234">
        <v>0</v>
      </c>
      <c r="Y235" s="231">
        <v>0</v>
      </c>
      <c r="Z235" s="234">
        <v>0</v>
      </c>
      <c r="AA235" s="231">
        <v>0</v>
      </c>
      <c r="AB235" s="234">
        <v>0</v>
      </c>
      <c r="AC235" s="238">
        <f t="shared" si="99"/>
        <v>47.684999999999988</v>
      </c>
      <c r="AD235" s="238"/>
      <c r="AE235" s="238"/>
    </row>
    <row r="236" spans="2:31" x14ac:dyDescent="0.3">
      <c r="B236" s="245" t="s">
        <v>16</v>
      </c>
      <c r="C236" s="245"/>
      <c r="D236" s="245"/>
      <c r="E236" s="231">
        <v>0</v>
      </c>
      <c r="F236" s="234">
        <v>0</v>
      </c>
      <c r="G236" s="231">
        <v>0</v>
      </c>
      <c r="H236" s="234">
        <v>0</v>
      </c>
      <c r="I236" s="231">
        <v>0</v>
      </c>
      <c r="J236" s="234">
        <v>0</v>
      </c>
      <c r="K236" s="231">
        <v>0</v>
      </c>
      <c r="L236" s="234">
        <v>0</v>
      </c>
      <c r="M236" s="231">
        <v>0</v>
      </c>
      <c r="N236" s="234">
        <v>0</v>
      </c>
      <c r="O236" s="231">
        <v>0</v>
      </c>
      <c r="P236" s="234">
        <v>0</v>
      </c>
      <c r="Q236" s="231">
        <v>10.151833333333336</v>
      </c>
      <c r="R236" s="234">
        <v>11.059666666666663</v>
      </c>
      <c r="S236" s="231">
        <v>14.953833333333334</v>
      </c>
      <c r="T236" s="234">
        <v>5.6984999999999983</v>
      </c>
      <c r="U236" s="231">
        <v>0</v>
      </c>
      <c r="V236" s="234">
        <v>0</v>
      </c>
      <c r="W236" s="231">
        <v>0</v>
      </c>
      <c r="X236" s="234">
        <v>0</v>
      </c>
      <c r="Y236" s="231">
        <v>0</v>
      </c>
      <c r="Z236" s="234">
        <v>0</v>
      </c>
      <c r="AA236" s="231">
        <v>0</v>
      </c>
      <c r="AB236" s="234">
        <v>0</v>
      </c>
      <c r="AC236" s="238">
        <f t="shared" si="99"/>
        <v>41.863833333333332</v>
      </c>
      <c r="AD236" s="238"/>
      <c r="AE236" s="238"/>
    </row>
    <row r="237" spans="2:31" x14ac:dyDescent="0.3">
      <c r="B237" s="245" t="s">
        <v>17</v>
      </c>
      <c r="C237" s="245"/>
      <c r="D237" s="245"/>
      <c r="E237" s="231">
        <v>0</v>
      </c>
      <c r="F237" s="234">
        <v>0</v>
      </c>
      <c r="G237" s="231">
        <v>0</v>
      </c>
      <c r="H237" s="234">
        <v>0</v>
      </c>
      <c r="I237" s="231">
        <v>0</v>
      </c>
      <c r="J237" s="234">
        <v>0</v>
      </c>
      <c r="K237" s="231">
        <v>0</v>
      </c>
      <c r="L237" s="234">
        <v>0</v>
      </c>
      <c r="M237" s="231">
        <v>0</v>
      </c>
      <c r="N237" s="234">
        <v>0</v>
      </c>
      <c r="O237" s="231">
        <v>0</v>
      </c>
      <c r="P237" s="234">
        <v>0</v>
      </c>
      <c r="Q237" s="231">
        <v>11.526333333333335</v>
      </c>
      <c r="R237" s="234">
        <v>26.028999999999996</v>
      </c>
      <c r="S237" s="231">
        <v>38.303499999999993</v>
      </c>
      <c r="T237" s="234">
        <v>32.420333333333353</v>
      </c>
      <c r="U237" s="231">
        <v>33.000166666666665</v>
      </c>
      <c r="V237" s="234">
        <v>0</v>
      </c>
      <c r="W237" s="231">
        <v>0</v>
      </c>
      <c r="X237" s="234">
        <v>4.951666666666668</v>
      </c>
      <c r="Y237" s="231">
        <v>0</v>
      </c>
      <c r="Z237" s="234">
        <v>0</v>
      </c>
      <c r="AA237" s="231">
        <v>0</v>
      </c>
      <c r="AB237" s="234">
        <v>0</v>
      </c>
      <c r="AC237" s="238">
        <f t="shared" si="99"/>
        <v>146.23099999999999</v>
      </c>
      <c r="AD237" s="238"/>
      <c r="AE237" s="238"/>
    </row>
    <row r="238" spans="2:31" x14ac:dyDescent="0.3">
      <c r="B238" s="245" t="s">
        <v>18</v>
      </c>
      <c r="C238" s="245"/>
      <c r="D238" s="245"/>
      <c r="E238" s="231">
        <v>0</v>
      </c>
      <c r="F238" s="234">
        <v>0</v>
      </c>
      <c r="G238" s="231">
        <v>0</v>
      </c>
      <c r="H238" s="234">
        <v>0</v>
      </c>
      <c r="I238" s="231">
        <v>0</v>
      </c>
      <c r="J238" s="234">
        <v>0</v>
      </c>
      <c r="K238" s="231">
        <v>0</v>
      </c>
      <c r="L238" s="234">
        <v>0</v>
      </c>
      <c r="M238" s="231">
        <v>0</v>
      </c>
      <c r="N238" s="234">
        <v>0</v>
      </c>
      <c r="O238" s="231">
        <v>0</v>
      </c>
      <c r="P238" s="234">
        <v>0</v>
      </c>
      <c r="Q238" s="231">
        <v>2.5566666666666662</v>
      </c>
      <c r="R238" s="234">
        <v>0.18383333333333335</v>
      </c>
      <c r="S238" s="231">
        <v>3.0770000000000008</v>
      </c>
      <c r="T238" s="234">
        <v>3.3998333333333339</v>
      </c>
      <c r="U238" s="231">
        <v>8.2833333333333439E-2</v>
      </c>
      <c r="V238" s="234">
        <v>8.0558333333333376</v>
      </c>
      <c r="W238" s="231">
        <v>5.118666666666666</v>
      </c>
      <c r="X238" s="234">
        <v>0</v>
      </c>
      <c r="Y238" s="231">
        <v>0</v>
      </c>
      <c r="Z238" s="234">
        <v>0</v>
      </c>
      <c r="AA238" s="231">
        <v>0</v>
      </c>
      <c r="AB238" s="234">
        <v>0</v>
      </c>
      <c r="AC238" s="238">
        <f t="shared" si="99"/>
        <v>22.474666666666671</v>
      </c>
      <c r="AD238" s="238"/>
      <c r="AE238" s="238"/>
    </row>
    <row r="239" spans="2:31" x14ac:dyDescent="0.3">
      <c r="B239" s="245" t="s">
        <v>19</v>
      </c>
      <c r="C239" s="245"/>
      <c r="D239" s="245"/>
      <c r="E239" s="231">
        <v>0</v>
      </c>
      <c r="F239" s="234">
        <v>0</v>
      </c>
      <c r="G239" s="231">
        <v>0</v>
      </c>
      <c r="H239" s="234">
        <v>0</v>
      </c>
      <c r="I239" s="231">
        <v>0</v>
      </c>
      <c r="J239" s="234">
        <v>0</v>
      </c>
      <c r="K239" s="231">
        <v>0</v>
      </c>
      <c r="L239" s="234">
        <v>0</v>
      </c>
      <c r="M239" s="231">
        <v>0</v>
      </c>
      <c r="N239" s="234">
        <v>0</v>
      </c>
      <c r="O239" s="231">
        <v>0</v>
      </c>
      <c r="P239" s="234">
        <v>0</v>
      </c>
      <c r="Q239" s="231">
        <v>22.055166666666675</v>
      </c>
      <c r="R239" s="234">
        <v>5.6528333333333318</v>
      </c>
      <c r="S239" s="231">
        <v>0.17233333333333339</v>
      </c>
      <c r="T239" s="234">
        <v>0</v>
      </c>
      <c r="U239" s="231">
        <v>2.4256666666666606</v>
      </c>
      <c r="V239" s="234">
        <v>0</v>
      </c>
      <c r="W239" s="231">
        <v>5.939333333333332</v>
      </c>
      <c r="X239" s="234">
        <v>0</v>
      </c>
      <c r="Y239" s="231">
        <v>0</v>
      </c>
      <c r="Z239" s="234">
        <v>0</v>
      </c>
      <c r="AA239" s="231">
        <v>0</v>
      </c>
      <c r="AB239" s="234">
        <v>0</v>
      </c>
      <c r="AC239" s="238">
        <f t="shared" si="99"/>
        <v>36.245333333333335</v>
      </c>
      <c r="AD239" s="238"/>
      <c r="AE239" s="238"/>
    </row>
    <row r="240" spans="2:31" x14ac:dyDescent="0.3">
      <c r="B240" s="245" t="s">
        <v>20</v>
      </c>
      <c r="C240" s="245"/>
      <c r="D240" s="245"/>
      <c r="E240" s="231">
        <v>0</v>
      </c>
      <c r="F240" s="234">
        <v>0</v>
      </c>
      <c r="G240" s="231">
        <v>0</v>
      </c>
      <c r="H240" s="234">
        <v>0</v>
      </c>
      <c r="I240" s="231">
        <v>0</v>
      </c>
      <c r="J240" s="234">
        <v>0</v>
      </c>
      <c r="K240" s="231">
        <v>0</v>
      </c>
      <c r="L240" s="234">
        <v>0</v>
      </c>
      <c r="M240" s="231">
        <v>0</v>
      </c>
      <c r="N240" s="234">
        <v>0</v>
      </c>
      <c r="O240" s="231">
        <v>0</v>
      </c>
      <c r="P240" s="234">
        <v>0</v>
      </c>
      <c r="Q240" s="231">
        <v>2.847666666666667</v>
      </c>
      <c r="R240" s="234">
        <v>4.7700000000000014</v>
      </c>
      <c r="S240" s="231">
        <v>9.57</v>
      </c>
      <c r="T240" s="234">
        <v>13.370000000000003</v>
      </c>
      <c r="U240" s="231">
        <v>16.87</v>
      </c>
      <c r="V240" s="234">
        <v>20.369999999999987</v>
      </c>
      <c r="W240" s="231">
        <v>22.769999999999989</v>
      </c>
      <c r="X240" s="234">
        <v>5.1284999999999998</v>
      </c>
      <c r="Y240" s="231">
        <v>0</v>
      </c>
      <c r="Z240" s="234">
        <v>0</v>
      </c>
      <c r="AA240" s="231">
        <v>0</v>
      </c>
      <c r="AB240" s="234">
        <v>0</v>
      </c>
      <c r="AC240" s="238">
        <f t="shared" si="99"/>
        <v>95.696166666666642</v>
      </c>
      <c r="AD240" s="238"/>
      <c r="AE240" s="238"/>
    </row>
    <row r="241" spans="2:31" x14ac:dyDescent="0.3">
      <c r="B241" s="245" t="s">
        <v>21</v>
      </c>
      <c r="C241" s="245"/>
      <c r="D241" s="245"/>
      <c r="E241" s="231">
        <v>0</v>
      </c>
      <c r="F241" s="234">
        <v>0</v>
      </c>
      <c r="G241" s="231">
        <v>0</v>
      </c>
      <c r="H241" s="234">
        <v>0</v>
      </c>
      <c r="I241" s="231">
        <v>0</v>
      </c>
      <c r="J241" s="234">
        <v>0</v>
      </c>
      <c r="K241" s="231">
        <v>0</v>
      </c>
      <c r="L241" s="234">
        <v>0</v>
      </c>
      <c r="M241" s="231">
        <v>0</v>
      </c>
      <c r="N241" s="234">
        <v>0</v>
      </c>
      <c r="O241" s="231">
        <v>0</v>
      </c>
      <c r="P241" s="234">
        <v>0</v>
      </c>
      <c r="Q241" s="231">
        <v>7.2629999999999999</v>
      </c>
      <c r="R241" s="234">
        <v>3.7995000000000001</v>
      </c>
      <c r="S241" s="231">
        <v>0.42066666666666663</v>
      </c>
      <c r="T241" s="234">
        <v>0</v>
      </c>
      <c r="U241" s="231">
        <v>3.1573333333333342</v>
      </c>
      <c r="V241" s="234">
        <v>7.9841666666666695</v>
      </c>
      <c r="W241" s="231">
        <v>2.5861666666666667</v>
      </c>
      <c r="X241" s="234">
        <v>0</v>
      </c>
      <c r="Y241" s="231">
        <v>0</v>
      </c>
      <c r="Z241" s="234">
        <v>0</v>
      </c>
      <c r="AA241" s="231">
        <v>0</v>
      </c>
      <c r="AB241" s="234">
        <v>0</v>
      </c>
      <c r="AC241" s="238">
        <f t="shared" si="99"/>
        <v>25.210833333333337</v>
      </c>
      <c r="AD241" s="238"/>
      <c r="AE241" s="238"/>
    </row>
    <row r="242" spans="2:31" x14ac:dyDescent="0.3">
      <c r="B242" s="245" t="s">
        <v>22</v>
      </c>
      <c r="C242" s="245"/>
      <c r="D242" s="245"/>
      <c r="E242" s="231">
        <v>0</v>
      </c>
      <c r="F242" s="234">
        <v>0</v>
      </c>
      <c r="G242" s="231">
        <v>0</v>
      </c>
      <c r="H242" s="234">
        <v>0</v>
      </c>
      <c r="I242" s="231">
        <v>0</v>
      </c>
      <c r="J242" s="234">
        <v>0</v>
      </c>
      <c r="K242" s="231">
        <v>0</v>
      </c>
      <c r="L242" s="234">
        <v>0</v>
      </c>
      <c r="M242" s="231">
        <v>0</v>
      </c>
      <c r="N242" s="234">
        <v>0</v>
      </c>
      <c r="O242" s="231">
        <v>0</v>
      </c>
      <c r="P242" s="234">
        <v>0</v>
      </c>
      <c r="Q242" s="231">
        <v>1.5313333333333332</v>
      </c>
      <c r="R242" s="234">
        <v>1.0015000000000001</v>
      </c>
      <c r="S242" s="231">
        <v>6.6666666666666721E-2</v>
      </c>
      <c r="T242" s="234">
        <v>0.35033333333333327</v>
      </c>
      <c r="U242" s="231">
        <v>1.2558333333333342</v>
      </c>
      <c r="V242" s="234">
        <v>0.4139999999999997</v>
      </c>
      <c r="W242" s="231">
        <v>1.7000000000000022E-2</v>
      </c>
      <c r="X242" s="234">
        <v>0</v>
      </c>
      <c r="Y242" s="231">
        <v>0</v>
      </c>
      <c r="Z242" s="234">
        <v>0</v>
      </c>
      <c r="AA242" s="231">
        <v>0</v>
      </c>
      <c r="AB242" s="234">
        <v>0</v>
      </c>
      <c r="AC242" s="238">
        <f t="shared" si="99"/>
        <v>4.6366666666666676</v>
      </c>
      <c r="AD242" s="238"/>
      <c r="AE242" s="238"/>
    </row>
    <row r="243" spans="2:31" x14ac:dyDescent="0.3">
      <c r="B243" s="245" t="s">
        <v>23</v>
      </c>
      <c r="C243" s="245"/>
      <c r="D243" s="245"/>
      <c r="E243" s="231">
        <v>0</v>
      </c>
      <c r="F243" s="234">
        <v>0</v>
      </c>
      <c r="G243" s="231">
        <v>0</v>
      </c>
      <c r="H243" s="234">
        <v>0</v>
      </c>
      <c r="I243" s="231">
        <v>0</v>
      </c>
      <c r="J243" s="234">
        <v>0</v>
      </c>
      <c r="K243" s="231">
        <v>0</v>
      </c>
      <c r="L243" s="234">
        <v>0</v>
      </c>
      <c r="M243" s="231">
        <v>0</v>
      </c>
      <c r="N243" s="234">
        <v>0</v>
      </c>
      <c r="O243" s="231">
        <v>0</v>
      </c>
      <c r="P243" s="234">
        <v>0</v>
      </c>
      <c r="Q243" s="231">
        <v>5.1866666666666665</v>
      </c>
      <c r="R243" s="234">
        <v>2.1111666666666675</v>
      </c>
      <c r="S243" s="231">
        <v>0</v>
      </c>
      <c r="T243" s="234">
        <v>0.58416666666666617</v>
      </c>
      <c r="U243" s="231">
        <v>5.1288333333333327</v>
      </c>
      <c r="V243" s="234">
        <v>0.87766666666666804</v>
      </c>
      <c r="W243" s="231">
        <v>0</v>
      </c>
      <c r="X243" s="234">
        <v>0</v>
      </c>
      <c r="Y243" s="231">
        <v>0</v>
      </c>
      <c r="Z243" s="234">
        <v>0</v>
      </c>
      <c r="AA243" s="231">
        <v>0</v>
      </c>
      <c r="AB243" s="234">
        <v>0</v>
      </c>
      <c r="AC243" s="238">
        <f t="shared" si="99"/>
        <v>13.888500000000002</v>
      </c>
      <c r="AD243" s="238"/>
      <c r="AE243" s="238"/>
    </row>
    <row r="244" spans="2:31" x14ac:dyDescent="0.3">
      <c r="B244" s="245" t="s">
        <v>24</v>
      </c>
      <c r="C244" s="245"/>
      <c r="D244" s="245"/>
      <c r="E244" s="231">
        <v>0</v>
      </c>
      <c r="F244" s="234">
        <v>0</v>
      </c>
      <c r="G244" s="231">
        <v>0</v>
      </c>
      <c r="H244" s="234">
        <v>0</v>
      </c>
      <c r="I244" s="231">
        <v>0</v>
      </c>
      <c r="J244" s="234">
        <v>0</v>
      </c>
      <c r="K244" s="231">
        <v>0</v>
      </c>
      <c r="L244" s="234">
        <v>0</v>
      </c>
      <c r="M244" s="231">
        <v>0</v>
      </c>
      <c r="N244" s="234">
        <v>0</v>
      </c>
      <c r="O244" s="231">
        <v>0</v>
      </c>
      <c r="P244" s="234">
        <v>0</v>
      </c>
      <c r="Q244" s="231">
        <v>0</v>
      </c>
      <c r="R244" s="234">
        <v>0</v>
      </c>
      <c r="S244" s="231">
        <v>0</v>
      </c>
      <c r="T244" s="234">
        <v>0</v>
      </c>
      <c r="U244" s="231">
        <v>0</v>
      </c>
      <c r="V244" s="234">
        <v>0</v>
      </c>
      <c r="W244" s="231">
        <v>0</v>
      </c>
      <c r="X244" s="234">
        <v>0</v>
      </c>
      <c r="Y244" s="231">
        <v>0</v>
      </c>
      <c r="Z244" s="234">
        <v>0</v>
      </c>
      <c r="AA244" s="231">
        <v>0</v>
      </c>
      <c r="AB244" s="234">
        <v>0</v>
      </c>
      <c r="AC244" s="238">
        <f t="shared" si="99"/>
        <v>0</v>
      </c>
      <c r="AD244" s="238"/>
      <c r="AE244" s="238"/>
    </row>
    <row r="245" spans="2:31" x14ac:dyDescent="0.3">
      <c r="B245" s="245" t="s">
        <v>25</v>
      </c>
      <c r="C245" s="245"/>
      <c r="D245" s="245"/>
      <c r="E245" s="231">
        <v>0</v>
      </c>
      <c r="F245" s="234">
        <v>0</v>
      </c>
      <c r="G245" s="231">
        <v>0</v>
      </c>
      <c r="H245" s="234">
        <v>0</v>
      </c>
      <c r="I245" s="231">
        <v>0</v>
      </c>
      <c r="J245" s="234">
        <v>0</v>
      </c>
      <c r="K245" s="231">
        <v>0</v>
      </c>
      <c r="L245" s="234">
        <v>0</v>
      </c>
      <c r="M245" s="231">
        <v>0</v>
      </c>
      <c r="N245" s="234">
        <v>0</v>
      </c>
      <c r="O245" s="231">
        <v>0</v>
      </c>
      <c r="P245" s="234">
        <v>0</v>
      </c>
      <c r="Q245" s="231">
        <v>0</v>
      </c>
      <c r="R245" s="234">
        <v>0</v>
      </c>
      <c r="S245" s="231">
        <v>0</v>
      </c>
      <c r="T245" s="234">
        <v>0</v>
      </c>
      <c r="U245" s="231">
        <v>0</v>
      </c>
      <c r="V245" s="234">
        <v>0</v>
      </c>
      <c r="W245" s="231">
        <v>0</v>
      </c>
      <c r="X245" s="234">
        <v>0</v>
      </c>
      <c r="Y245" s="231">
        <v>0</v>
      </c>
      <c r="Z245" s="234">
        <v>0</v>
      </c>
      <c r="AA245" s="231">
        <v>0</v>
      </c>
      <c r="AB245" s="234">
        <v>0</v>
      </c>
      <c r="AC245" s="238">
        <f t="shared" si="99"/>
        <v>0</v>
      </c>
      <c r="AD245" s="238"/>
      <c r="AE245" s="238"/>
    </row>
    <row r="246" spans="2:31" x14ac:dyDescent="0.3">
      <c r="B246" s="245" t="s">
        <v>26</v>
      </c>
      <c r="C246" s="245"/>
      <c r="D246" s="245"/>
      <c r="E246" s="231">
        <v>0</v>
      </c>
      <c r="F246" s="234">
        <v>0</v>
      </c>
      <c r="G246" s="231">
        <v>0</v>
      </c>
      <c r="H246" s="234">
        <v>0</v>
      </c>
      <c r="I246" s="231">
        <v>0</v>
      </c>
      <c r="J246" s="234">
        <v>0</v>
      </c>
      <c r="K246" s="231">
        <v>0</v>
      </c>
      <c r="L246" s="234">
        <v>0</v>
      </c>
      <c r="M246" s="231">
        <v>0</v>
      </c>
      <c r="N246" s="234">
        <v>0</v>
      </c>
      <c r="O246" s="231">
        <v>0</v>
      </c>
      <c r="P246" s="234">
        <v>0</v>
      </c>
      <c r="Q246" s="231">
        <v>0</v>
      </c>
      <c r="R246" s="234">
        <v>0</v>
      </c>
      <c r="S246" s="231">
        <v>0</v>
      </c>
      <c r="T246" s="234">
        <v>0</v>
      </c>
      <c r="U246" s="231">
        <v>0</v>
      </c>
      <c r="V246" s="234">
        <v>0</v>
      </c>
      <c r="W246" s="231">
        <v>0</v>
      </c>
      <c r="X246" s="234">
        <v>0</v>
      </c>
      <c r="Y246" s="231">
        <v>0</v>
      </c>
      <c r="Z246" s="234">
        <v>0</v>
      </c>
      <c r="AA246" s="231">
        <v>0</v>
      </c>
      <c r="AB246" s="234">
        <v>0</v>
      </c>
      <c r="AC246" s="238">
        <f t="shared" si="99"/>
        <v>0</v>
      </c>
      <c r="AD246" s="238"/>
      <c r="AE246" s="238"/>
    </row>
    <row r="247" spans="2:31" x14ac:dyDescent="0.3">
      <c r="B247" s="245" t="s">
        <v>27</v>
      </c>
      <c r="C247" s="245"/>
      <c r="D247" s="245"/>
      <c r="E247" s="231">
        <v>0</v>
      </c>
      <c r="F247" s="234">
        <v>0</v>
      </c>
      <c r="G247" s="231">
        <v>0</v>
      </c>
      <c r="H247" s="234">
        <v>0</v>
      </c>
      <c r="I247" s="231">
        <v>0</v>
      </c>
      <c r="J247" s="234">
        <v>0</v>
      </c>
      <c r="K247" s="231">
        <v>0</v>
      </c>
      <c r="L247" s="234">
        <v>0</v>
      </c>
      <c r="M247" s="231">
        <v>0</v>
      </c>
      <c r="N247" s="234">
        <v>0</v>
      </c>
      <c r="O247" s="231">
        <v>0</v>
      </c>
      <c r="P247" s="234">
        <v>0</v>
      </c>
      <c r="Q247" s="231">
        <v>0</v>
      </c>
      <c r="R247" s="234">
        <v>0</v>
      </c>
      <c r="S247" s="231">
        <v>0</v>
      </c>
      <c r="T247" s="234">
        <v>0</v>
      </c>
      <c r="U247" s="231">
        <v>0</v>
      </c>
      <c r="V247" s="234">
        <v>0</v>
      </c>
      <c r="W247" s="231">
        <v>0</v>
      </c>
      <c r="X247" s="234">
        <v>0</v>
      </c>
      <c r="Y247" s="231">
        <v>0</v>
      </c>
      <c r="Z247" s="234">
        <v>0</v>
      </c>
      <c r="AA247" s="231">
        <v>0</v>
      </c>
      <c r="AB247" s="234">
        <v>0</v>
      </c>
      <c r="AC247" s="238">
        <f t="shared" si="99"/>
        <v>0</v>
      </c>
      <c r="AD247" s="238"/>
      <c r="AE247" s="238"/>
    </row>
    <row r="248" spans="2:31" x14ac:dyDescent="0.3">
      <c r="B248" s="245" t="s">
        <v>28</v>
      </c>
      <c r="C248" s="245"/>
      <c r="D248" s="245"/>
      <c r="E248" s="231">
        <v>0</v>
      </c>
      <c r="F248" s="234">
        <v>0</v>
      </c>
      <c r="G248" s="231">
        <v>0</v>
      </c>
      <c r="H248" s="234">
        <v>0</v>
      </c>
      <c r="I248" s="231">
        <v>0</v>
      </c>
      <c r="J248" s="234">
        <v>0</v>
      </c>
      <c r="K248" s="231">
        <v>0</v>
      </c>
      <c r="L248" s="234">
        <v>0</v>
      </c>
      <c r="M248" s="231">
        <v>0</v>
      </c>
      <c r="N248" s="234">
        <v>0</v>
      </c>
      <c r="O248" s="231">
        <v>0</v>
      </c>
      <c r="P248" s="234">
        <v>0</v>
      </c>
      <c r="Q248" s="231">
        <v>0</v>
      </c>
      <c r="R248" s="234">
        <v>0</v>
      </c>
      <c r="S248" s="231">
        <v>0</v>
      </c>
      <c r="T248" s="234">
        <v>0</v>
      </c>
      <c r="U248" s="231">
        <v>0</v>
      </c>
      <c r="V248" s="234">
        <v>0</v>
      </c>
      <c r="W248" s="231">
        <v>0</v>
      </c>
      <c r="X248" s="234">
        <v>0</v>
      </c>
      <c r="Y248" s="231">
        <v>0</v>
      </c>
      <c r="Z248" s="234">
        <v>0</v>
      </c>
      <c r="AA248" s="231">
        <v>0</v>
      </c>
      <c r="AB248" s="234">
        <v>0</v>
      </c>
      <c r="AC248" s="238">
        <f t="shared" si="99"/>
        <v>0</v>
      </c>
      <c r="AD248" s="238"/>
      <c r="AE248" s="238"/>
    </row>
    <row r="249" spans="2:31" x14ac:dyDescent="0.3">
      <c r="B249" s="245" t="s">
        <v>92</v>
      </c>
      <c r="C249" s="245"/>
      <c r="D249" s="245"/>
      <c r="E249" s="231">
        <v>0</v>
      </c>
      <c r="F249" s="234">
        <v>0</v>
      </c>
      <c r="G249" s="231">
        <v>0</v>
      </c>
      <c r="H249" s="234">
        <v>0</v>
      </c>
      <c r="I249" s="231">
        <v>0</v>
      </c>
      <c r="J249" s="234">
        <v>0</v>
      </c>
      <c r="K249" s="231">
        <v>0</v>
      </c>
      <c r="L249" s="234">
        <v>0</v>
      </c>
      <c r="M249" s="231">
        <v>0</v>
      </c>
      <c r="N249" s="234">
        <v>0</v>
      </c>
      <c r="O249" s="231">
        <v>0</v>
      </c>
      <c r="P249" s="234">
        <v>0</v>
      </c>
      <c r="Q249" s="231">
        <v>0</v>
      </c>
      <c r="R249" s="234">
        <v>0</v>
      </c>
      <c r="S249" s="231">
        <v>0</v>
      </c>
      <c r="T249" s="234">
        <v>0</v>
      </c>
      <c r="U249" s="231">
        <v>0</v>
      </c>
      <c r="V249" s="234">
        <v>0</v>
      </c>
      <c r="W249" s="231">
        <v>0</v>
      </c>
      <c r="X249" s="234">
        <v>0</v>
      </c>
      <c r="Y249" s="231">
        <v>0</v>
      </c>
      <c r="Z249" s="234">
        <v>0</v>
      </c>
      <c r="AA249" s="231">
        <v>0</v>
      </c>
      <c r="AB249" s="234">
        <v>0</v>
      </c>
      <c r="AC249" s="238">
        <f t="shared" si="99"/>
        <v>0</v>
      </c>
      <c r="AD249" s="238"/>
      <c r="AE249" s="238"/>
    </row>
    <row r="250" spans="2:31" x14ac:dyDescent="0.3">
      <c r="B250" s="245" t="s">
        <v>29</v>
      </c>
      <c r="C250" s="245"/>
      <c r="D250" s="245"/>
      <c r="E250" s="231">
        <v>0</v>
      </c>
      <c r="F250" s="234">
        <v>0</v>
      </c>
      <c r="G250" s="231">
        <v>0</v>
      </c>
      <c r="H250" s="234">
        <v>0</v>
      </c>
      <c r="I250" s="231">
        <v>0</v>
      </c>
      <c r="J250" s="234">
        <v>0</v>
      </c>
      <c r="K250" s="231">
        <v>0</v>
      </c>
      <c r="L250" s="234">
        <v>0</v>
      </c>
      <c r="M250" s="231">
        <v>0</v>
      </c>
      <c r="N250" s="234">
        <v>0</v>
      </c>
      <c r="O250" s="231">
        <v>0</v>
      </c>
      <c r="P250" s="234">
        <v>0</v>
      </c>
      <c r="Q250" s="231">
        <v>0</v>
      </c>
      <c r="R250" s="234">
        <v>0</v>
      </c>
      <c r="S250" s="231">
        <v>0</v>
      </c>
      <c r="T250" s="234">
        <v>0</v>
      </c>
      <c r="U250" s="231">
        <v>0</v>
      </c>
      <c r="V250" s="234">
        <v>0</v>
      </c>
      <c r="W250" s="231">
        <v>0</v>
      </c>
      <c r="X250" s="234">
        <v>0</v>
      </c>
      <c r="Y250" s="231">
        <v>0</v>
      </c>
      <c r="Z250" s="234">
        <v>0</v>
      </c>
      <c r="AA250" s="231">
        <v>0</v>
      </c>
      <c r="AB250" s="234">
        <v>0</v>
      </c>
      <c r="AC250" s="238">
        <f t="shared" si="99"/>
        <v>0</v>
      </c>
      <c r="AD250" s="238"/>
      <c r="AE250" s="238"/>
    </row>
    <row r="251" spans="2:31" x14ac:dyDescent="0.3">
      <c r="B251" s="245" t="s">
        <v>30</v>
      </c>
      <c r="C251" s="245"/>
      <c r="D251" s="245"/>
      <c r="E251" s="231">
        <v>0</v>
      </c>
      <c r="F251" s="234">
        <v>0</v>
      </c>
      <c r="G251" s="231">
        <v>0</v>
      </c>
      <c r="H251" s="234">
        <v>0</v>
      </c>
      <c r="I251" s="231">
        <v>0</v>
      </c>
      <c r="J251" s="234">
        <v>0</v>
      </c>
      <c r="K251" s="231">
        <v>0</v>
      </c>
      <c r="L251" s="234">
        <v>0</v>
      </c>
      <c r="M251" s="231">
        <v>0</v>
      </c>
      <c r="N251" s="234">
        <v>0</v>
      </c>
      <c r="O251" s="231">
        <v>0</v>
      </c>
      <c r="P251" s="234">
        <v>0</v>
      </c>
      <c r="Q251" s="231">
        <v>0</v>
      </c>
      <c r="R251" s="234">
        <v>0</v>
      </c>
      <c r="S251" s="231">
        <v>0</v>
      </c>
      <c r="T251" s="234">
        <v>0</v>
      </c>
      <c r="U251" s="231">
        <v>0</v>
      </c>
      <c r="V251" s="234">
        <v>0</v>
      </c>
      <c r="W251" s="231">
        <v>0</v>
      </c>
      <c r="X251" s="234">
        <v>0</v>
      </c>
      <c r="Y251" s="231">
        <v>0</v>
      </c>
      <c r="Z251" s="234">
        <v>0</v>
      </c>
      <c r="AA251" s="231">
        <v>0</v>
      </c>
      <c r="AB251" s="234">
        <v>0</v>
      </c>
      <c r="AC251" s="238">
        <f t="shared" si="99"/>
        <v>0</v>
      </c>
      <c r="AD251" s="238"/>
      <c r="AE251" s="238"/>
    </row>
    <row r="252" spans="2:31" x14ac:dyDescent="0.3">
      <c r="B252" s="245" t="s">
        <v>31</v>
      </c>
      <c r="C252" s="245"/>
      <c r="D252" s="245"/>
      <c r="E252" s="231">
        <v>0</v>
      </c>
      <c r="F252" s="234">
        <v>0</v>
      </c>
      <c r="G252" s="231">
        <v>0</v>
      </c>
      <c r="H252" s="234">
        <v>0</v>
      </c>
      <c r="I252" s="231">
        <v>0</v>
      </c>
      <c r="J252" s="234">
        <v>0</v>
      </c>
      <c r="K252" s="231">
        <v>0</v>
      </c>
      <c r="L252" s="234">
        <v>0</v>
      </c>
      <c r="M252" s="231">
        <v>0</v>
      </c>
      <c r="N252" s="234">
        <v>0</v>
      </c>
      <c r="O252" s="231">
        <v>0</v>
      </c>
      <c r="P252" s="234">
        <v>0</v>
      </c>
      <c r="Q252" s="231">
        <v>0</v>
      </c>
      <c r="R252" s="234">
        <v>0</v>
      </c>
      <c r="S252" s="231">
        <v>0</v>
      </c>
      <c r="T252" s="234">
        <v>0</v>
      </c>
      <c r="U252" s="231">
        <v>0</v>
      </c>
      <c r="V252" s="234">
        <v>0</v>
      </c>
      <c r="W252" s="231">
        <v>0</v>
      </c>
      <c r="X252" s="234">
        <v>0</v>
      </c>
      <c r="Y252" s="231">
        <v>0</v>
      </c>
      <c r="Z252" s="234">
        <v>0</v>
      </c>
      <c r="AA252" s="231">
        <v>0</v>
      </c>
      <c r="AB252" s="234">
        <v>0</v>
      </c>
      <c r="AC252" s="238">
        <f t="shared" si="99"/>
        <v>0</v>
      </c>
      <c r="AD252" s="238"/>
      <c r="AE252" s="238"/>
    </row>
    <row r="253" spans="2:31" x14ac:dyDescent="0.3">
      <c r="B253" s="245" t="s">
        <v>32</v>
      </c>
      <c r="C253" s="245"/>
      <c r="D253" s="245"/>
      <c r="E253" s="231">
        <v>0</v>
      </c>
      <c r="F253" s="234">
        <v>0</v>
      </c>
      <c r="G253" s="231">
        <v>0</v>
      </c>
      <c r="H253" s="234">
        <v>0</v>
      </c>
      <c r="I253" s="231">
        <v>0</v>
      </c>
      <c r="J253" s="234">
        <v>0</v>
      </c>
      <c r="K253" s="231">
        <v>0</v>
      </c>
      <c r="L253" s="234">
        <v>0</v>
      </c>
      <c r="M253" s="231">
        <v>0</v>
      </c>
      <c r="N253" s="234">
        <v>0</v>
      </c>
      <c r="O253" s="231">
        <v>0</v>
      </c>
      <c r="P253" s="234">
        <v>0</v>
      </c>
      <c r="Q253" s="231">
        <v>0</v>
      </c>
      <c r="R253" s="234">
        <v>0</v>
      </c>
      <c r="S253" s="231">
        <v>0</v>
      </c>
      <c r="T253" s="234">
        <v>0</v>
      </c>
      <c r="U253" s="231">
        <v>0</v>
      </c>
      <c r="V253" s="234">
        <v>0</v>
      </c>
      <c r="W253" s="231">
        <v>0</v>
      </c>
      <c r="X253" s="234">
        <v>0</v>
      </c>
      <c r="Y253" s="231">
        <v>0</v>
      </c>
      <c r="Z253" s="234">
        <v>0</v>
      </c>
      <c r="AA253" s="231">
        <v>0</v>
      </c>
      <c r="AB253" s="234">
        <v>0</v>
      </c>
      <c r="AC253" s="238">
        <f t="shared" si="99"/>
        <v>0</v>
      </c>
      <c r="AD253" s="238"/>
      <c r="AE253" s="238"/>
    </row>
    <row r="254" spans="2:31" x14ac:dyDescent="0.3">
      <c r="B254" s="245" t="s">
        <v>33</v>
      </c>
      <c r="C254" s="245"/>
      <c r="D254" s="245"/>
      <c r="E254" s="231">
        <v>0</v>
      </c>
      <c r="F254" s="234">
        <v>0</v>
      </c>
      <c r="G254" s="231">
        <v>0</v>
      </c>
      <c r="H254" s="234">
        <v>0</v>
      </c>
      <c r="I254" s="231">
        <v>0</v>
      </c>
      <c r="J254" s="234">
        <v>0</v>
      </c>
      <c r="K254" s="231">
        <v>0</v>
      </c>
      <c r="L254" s="234">
        <v>0</v>
      </c>
      <c r="M254" s="231">
        <v>0</v>
      </c>
      <c r="N254" s="234">
        <v>0</v>
      </c>
      <c r="O254" s="231">
        <v>0</v>
      </c>
      <c r="P254" s="234">
        <v>0</v>
      </c>
      <c r="Q254" s="231">
        <v>0</v>
      </c>
      <c r="R254" s="234">
        <v>0</v>
      </c>
      <c r="S254" s="231">
        <v>0</v>
      </c>
      <c r="T254" s="234">
        <v>0</v>
      </c>
      <c r="U254" s="231">
        <v>0</v>
      </c>
      <c r="V254" s="234">
        <v>0</v>
      </c>
      <c r="W254" s="231">
        <v>0</v>
      </c>
      <c r="X254" s="234">
        <v>0</v>
      </c>
      <c r="Y254" s="231">
        <v>0</v>
      </c>
      <c r="Z254" s="234">
        <v>0</v>
      </c>
      <c r="AA254" s="231">
        <v>0</v>
      </c>
      <c r="AB254" s="234">
        <v>0</v>
      </c>
      <c r="AC254" s="238">
        <f t="shared" si="99"/>
        <v>0</v>
      </c>
      <c r="AD254" s="238"/>
      <c r="AE254" s="238"/>
    </row>
    <row r="255" spans="2:31" x14ac:dyDescent="0.3">
      <c r="B255" s="245" t="s">
        <v>34</v>
      </c>
      <c r="C255" s="245"/>
      <c r="D255" s="245"/>
      <c r="E255" s="231">
        <v>0</v>
      </c>
      <c r="F255" s="234">
        <v>0</v>
      </c>
      <c r="G255" s="231">
        <v>0</v>
      </c>
      <c r="H255" s="234">
        <v>0</v>
      </c>
      <c r="I255" s="231">
        <v>0</v>
      </c>
      <c r="J255" s="234">
        <v>0</v>
      </c>
      <c r="K255" s="231">
        <v>0</v>
      </c>
      <c r="L255" s="234">
        <v>0</v>
      </c>
      <c r="M255" s="231">
        <v>0</v>
      </c>
      <c r="N255" s="234">
        <v>0</v>
      </c>
      <c r="O255" s="231">
        <v>0</v>
      </c>
      <c r="P255" s="234">
        <v>0</v>
      </c>
      <c r="Q255" s="231">
        <v>0</v>
      </c>
      <c r="R255" s="234">
        <v>0</v>
      </c>
      <c r="S255" s="231">
        <v>0</v>
      </c>
      <c r="T255" s="234">
        <v>0</v>
      </c>
      <c r="U255" s="231">
        <v>0</v>
      </c>
      <c r="V255" s="234">
        <v>0</v>
      </c>
      <c r="W255" s="231">
        <v>0</v>
      </c>
      <c r="X255" s="234">
        <v>0</v>
      </c>
      <c r="Y255" s="231">
        <v>0</v>
      </c>
      <c r="Z255" s="234">
        <v>0</v>
      </c>
      <c r="AA255" s="231">
        <v>0</v>
      </c>
      <c r="AB255" s="234">
        <v>0</v>
      </c>
      <c r="AC255" s="238">
        <f t="shared" si="99"/>
        <v>0</v>
      </c>
      <c r="AD255" s="238"/>
      <c r="AE255" s="238"/>
    </row>
    <row r="256" spans="2:31" x14ac:dyDescent="0.3">
      <c r="B256" s="245" t="s">
        <v>35</v>
      </c>
      <c r="C256" s="245"/>
      <c r="D256" s="245"/>
      <c r="E256" s="231">
        <v>0</v>
      </c>
      <c r="F256" s="234">
        <v>0</v>
      </c>
      <c r="G256" s="231">
        <v>0</v>
      </c>
      <c r="H256" s="234">
        <v>0</v>
      </c>
      <c r="I256" s="231">
        <v>0</v>
      </c>
      <c r="J256" s="234">
        <v>0</v>
      </c>
      <c r="K256" s="231">
        <v>0</v>
      </c>
      <c r="L256" s="234">
        <v>0</v>
      </c>
      <c r="M256" s="231">
        <v>0</v>
      </c>
      <c r="N256" s="234">
        <v>0</v>
      </c>
      <c r="O256" s="231">
        <v>0</v>
      </c>
      <c r="P256" s="234">
        <v>0</v>
      </c>
      <c r="Q256" s="231">
        <v>0</v>
      </c>
      <c r="R256" s="234">
        <v>0</v>
      </c>
      <c r="S256" s="231">
        <v>0</v>
      </c>
      <c r="T256" s="234">
        <v>0</v>
      </c>
      <c r="U256" s="231">
        <v>0</v>
      </c>
      <c r="V256" s="234">
        <v>0</v>
      </c>
      <c r="W256" s="231">
        <v>0</v>
      </c>
      <c r="X256" s="234">
        <v>0</v>
      </c>
      <c r="Y256" s="231">
        <v>0</v>
      </c>
      <c r="Z256" s="234">
        <v>0</v>
      </c>
      <c r="AA256" s="231">
        <v>0</v>
      </c>
      <c r="AB256" s="234">
        <v>0</v>
      </c>
      <c r="AC256" s="238">
        <f t="shared" si="99"/>
        <v>0</v>
      </c>
      <c r="AD256" s="238"/>
      <c r="AE256" s="238"/>
    </row>
    <row r="257" spans="2:31" x14ac:dyDescent="0.3">
      <c r="B257" s="245" t="s">
        <v>36</v>
      </c>
      <c r="C257" s="245"/>
      <c r="D257" s="245"/>
      <c r="E257" s="231">
        <v>0</v>
      </c>
      <c r="F257" s="234">
        <v>0</v>
      </c>
      <c r="G257" s="231">
        <v>0</v>
      </c>
      <c r="H257" s="234">
        <v>0</v>
      </c>
      <c r="I257" s="231">
        <v>0</v>
      </c>
      <c r="J257" s="234">
        <v>0</v>
      </c>
      <c r="K257" s="231">
        <v>0</v>
      </c>
      <c r="L257" s="234">
        <v>0</v>
      </c>
      <c r="M257" s="231">
        <v>0</v>
      </c>
      <c r="N257" s="234">
        <v>0</v>
      </c>
      <c r="O257" s="231">
        <v>0</v>
      </c>
      <c r="P257" s="234">
        <v>0</v>
      </c>
      <c r="Q257" s="231">
        <v>0</v>
      </c>
      <c r="R257" s="234">
        <v>0</v>
      </c>
      <c r="S257" s="231">
        <v>0</v>
      </c>
      <c r="T257" s="234">
        <v>0</v>
      </c>
      <c r="U257" s="231">
        <v>0</v>
      </c>
      <c r="V257" s="234">
        <v>0</v>
      </c>
      <c r="W257" s="231">
        <v>0</v>
      </c>
      <c r="X257" s="234">
        <v>0</v>
      </c>
      <c r="Y257" s="231">
        <v>0</v>
      </c>
      <c r="Z257" s="234">
        <v>0</v>
      </c>
      <c r="AA257" s="231">
        <v>0</v>
      </c>
      <c r="AB257" s="234">
        <v>0</v>
      </c>
      <c r="AC257" s="238">
        <f t="shared" si="99"/>
        <v>0</v>
      </c>
      <c r="AD257" s="238"/>
      <c r="AE257" s="238"/>
    </row>
    <row r="258" spans="2:31" x14ac:dyDescent="0.3">
      <c r="B258" s="13" t="s">
        <v>89</v>
      </c>
      <c r="C258" s="13"/>
      <c r="D258" s="13"/>
      <c r="E258" s="231">
        <v>0</v>
      </c>
      <c r="F258" s="234">
        <v>0</v>
      </c>
      <c r="G258" s="231">
        <v>0</v>
      </c>
      <c r="H258" s="234">
        <v>0</v>
      </c>
      <c r="I258" s="231">
        <v>0</v>
      </c>
      <c r="J258" s="234">
        <v>0</v>
      </c>
      <c r="K258" s="231">
        <v>0</v>
      </c>
      <c r="L258" s="234">
        <v>0</v>
      </c>
      <c r="M258" s="231">
        <v>0</v>
      </c>
      <c r="N258" s="234">
        <v>0</v>
      </c>
      <c r="O258" s="231">
        <v>0</v>
      </c>
      <c r="P258" s="234">
        <v>0</v>
      </c>
      <c r="Q258" s="231">
        <v>0</v>
      </c>
      <c r="R258" s="234">
        <v>0</v>
      </c>
      <c r="S258" s="231">
        <v>0</v>
      </c>
      <c r="T258" s="234">
        <v>0</v>
      </c>
      <c r="U258" s="231">
        <v>0</v>
      </c>
      <c r="V258" s="234">
        <v>0</v>
      </c>
      <c r="W258" s="231">
        <v>0</v>
      </c>
      <c r="X258" s="234">
        <v>0</v>
      </c>
      <c r="Y258" s="231">
        <v>0</v>
      </c>
      <c r="Z258" s="234">
        <v>0</v>
      </c>
      <c r="AA258" s="231">
        <v>0</v>
      </c>
      <c r="AB258" s="234">
        <v>0</v>
      </c>
      <c r="AC258" s="238">
        <f t="shared" si="99"/>
        <v>0</v>
      </c>
      <c r="AD258" s="238"/>
      <c r="AE258" s="238"/>
    </row>
    <row r="259" spans="2:31" x14ac:dyDescent="0.3">
      <c r="B259" s="13" t="s">
        <v>90</v>
      </c>
      <c r="C259" s="13"/>
      <c r="D259" s="13"/>
      <c r="E259" s="231">
        <v>0</v>
      </c>
      <c r="F259" s="234">
        <v>0</v>
      </c>
      <c r="G259" s="231">
        <v>0</v>
      </c>
      <c r="H259" s="234">
        <v>0</v>
      </c>
      <c r="I259" s="231">
        <v>0</v>
      </c>
      <c r="J259" s="234">
        <v>0</v>
      </c>
      <c r="K259" s="231">
        <v>0</v>
      </c>
      <c r="L259" s="234">
        <v>0</v>
      </c>
      <c r="M259" s="231">
        <v>0</v>
      </c>
      <c r="N259" s="234">
        <v>0</v>
      </c>
      <c r="O259" s="231">
        <v>0</v>
      </c>
      <c r="P259" s="234">
        <v>0</v>
      </c>
      <c r="Q259" s="231">
        <v>0</v>
      </c>
      <c r="R259" s="234">
        <v>0</v>
      </c>
      <c r="S259" s="231">
        <v>0</v>
      </c>
      <c r="T259" s="234">
        <v>0</v>
      </c>
      <c r="U259" s="231">
        <v>0</v>
      </c>
      <c r="V259" s="234">
        <v>0</v>
      </c>
      <c r="W259" s="231">
        <v>0</v>
      </c>
      <c r="X259" s="234">
        <v>0</v>
      </c>
      <c r="Y259" s="231">
        <v>0</v>
      </c>
      <c r="Z259" s="234">
        <v>0</v>
      </c>
      <c r="AA259" s="231">
        <v>0</v>
      </c>
      <c r="AB259" s="234">
        <v>0</v>
      </c>
      <c r="AC259" s="238">
        <f t="shared" si="99"/>
        <v>0</v>
      </c>
      <c r="AD259" s="238"/>
      <c r="AE259" s="238"/>
    </row>
    <row r="260" spans="2:31" x14ac:dyDescent="0.3">
      <c r="B260" s="14" t="s">
        <v>2</v>
      </c>
      <c r="C260" s="14"/>
      <c r="D260" s="14"/>
      <c r="E260" s="15">
        <f>SUM(E223:E259)</f>
        <v>0</v>
      </c>
      <c r="F260" s="15">
        <f t="shared" ref="F260" si="100">SUM(F223:F259)</f>
        <v>0</v>
      </c>
      <c r="G260" s="15">
        <f t="shared" ref="G260" si="101">SUM(G223:G259)</f>
        <v>0</v>
      </c>
      <c r="H260" s="15">
        <f t="shared" ref="H260" si="102">SUM(H223:H259)</f>
        <v>0</v>
      </c>
      <c r="I260" s="15">
        <f t="shared" ref="I260" si="103">SUM(I223:I259)</f>
        <v>0</v>
      </c>
      <c r="J260" s="15">
        <f t="shared" ref="J260" si="104">SUM(J223:J259)</f>
        <v>0</v>
      </c>
      <c r="K260" s="15">
        <f t="shared" ref="K260" si="105">SUM(K223:K259)</f>
        <v>0</v>
      </c>
      <c r="L260" s="15">
        <f t="shared" ref="L260" si="106">SUM(L223:L259)</f>
        <v>0</v>
      </c>
      <c r="M260" s="15">
        <f t="shared" ref="M260" si="107">SUM(M223:M259)</f>
        <v>0</v>
      </c>
      <c r="N260" s="15">
        <f t="shared" ref="N260" si="108">SUM(N223:N259)</f>
        <v>0</v>
      </c>
      <c r="O260" s="15">
        <f t="shared" ref="O260" si="109">SUM(O223:O259)</f>
        <v>0</v>
      </c>
      <c r="P260" s="15">
        <f t="shared" ref="P260" si="110">SUM(P223:P259)</f>
        <v>0</v>
      </c>
      <c r="Q260" s="15">
        <f t="shared" ref="Q260" si="111">SUM(Q223:Q259)</f>
        <v>115.2656666666667</v>
      </c>
      <c r="R260" s="15">
        <f t="shared" ref="R260" si="112">SUM(R223:R259)</f>
        <v>138.27583333333331</v>
      </c>
      <c r="S260" s="15">
        <f t="shared" ref="S260" si="113">SUM(S223:S259)</f>
        <v>229.26149999999998</v>
      </c>
      <c r="T260" s="15">
        <f t="shared" ref="T260" si="114">SUM(T223:T259)</f>
        <v>264.08033333333327</v>
      </c>
      <c r="U260" s="15">
        <f t="shared" ref="U260" si="115">SUM(U223:U259)</f>
        <v>354.4679999999999</v>
      </c>
      <c r="V260" s="15">
        <f t="shared" ref="V260" si="116">SUM(V223:V259)</f>
        <v>469.30616666666668</v>
      </c>
      <c r="W260" s="15">
        <f t="shared" ref="W260" si="117">SUM(W223:W259)</f>
        <v>589.22216666666679</v>
      </c>
      <c r="X260" s="15">
        <f t="shared" ref="X260" si="118">SUM(X223:X259)</f>
        <v>111.19499999999999</v>
      </c>
      <c r="Y260" s="15">
        <f t="shared" ref="Y260" si="119">SUM(Y223:Y259)</f>
        <v>0</v>
      </c>
      <c r="Z260" s="15">
        <f t="shared" ref="Z260" si="120">SUM(Z223:Z259)</f>
        <v>0</v>
      </c>
      <c r="AA260" s="15">
        <f t="shared" ref="AA260" si="121">SUM(AA223:AA259)</f>
        <v>0</v>
      </c>
      <c r="AB260" s="15">
        <f t="shared" ref="AB260" si="122">SUM(AB223:AB259)</f>
        <v>0</v>
      </c>
      <c r="AC260" s="249">
        <f>SUM(AC223:AE259)</f>
        <v>2271.0746666666664</v>
      </c>
      <c r="AD260" s="249"/>
      <c r="AE260" s="249"/>
    </row>
    <row r="261" spans="2:31" x14ac:dyDescent="0.3">
      <c r="B261" s="16"/>
      <c r="C261" s="17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2:31" x14ac:dyDescent="0.3">
      <c r="B262" s="16"/>
      <c r="C262" s="17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2:31" x14ac:dyDescent="0.3">
      <c r="B263" s="8">
        <f>'Resumen-Mensual'!$K$22</f>
        <v>44568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4"/>
      <c r="AD263" s="4"/>
      <c r="AE263" s="4"/>
    </row>
    <row r="264" spans="2:31" x14ac:dyDescent="0.3">
      <c r="B264" s="8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4"/>
      <c r="AD264" s="4"/>
      <c r="AE264" s="4"/>
    </row>
    <row r="265" spans="2:31" x14ac:dyDescent="0.3">
      <c r="B265" s="9" t="s">
        <v>81</v>
      </c>
      <c r="C265" s="10"/>
      <c r="D265" s="10"/>
      <c r="E265" s="11">
        <v>1</v>
      </c>
      <c r="F265" s="11">
        <v>2</v>
      </c>
      <c r="G265" s="11">
        <v>3</v>
      </c>
      <c r="H265" s="11">
        <v>4</v>
      </c>
      <c r="I265" s="11">
        <v>5</v>
      </c>
      <c r="J265" s="11">
        <v>6</v>
      </c>
      <c r="K265" s="11">
        <v>7</v>
      </c>
      <c r="L265" s="11">
        <v>8</v>
      </c>
      <c r="M265" s="11">
        <v>9</v>
      </c>
      <c r="N265" s="11">
        <v>10</v>
      </c>
      <c r="O265" s="11">
        <v>11</v>
      </c>
      <c r="P265" s="11">
        <v>12</v>
      </c>
      <c r="Q265" s="11">
        <v>13</v>
      </c>
      <c r="R265" s="11">
        <v>14</v>
      </c>
      <c r="S265" s="11">
        <v>15</v>
      </c>
      <c r="T265" s="11">
        <v>16</v>
      </c>
      <c r="U265" s="11">
        <v>17</v>
      </c>
      <c r="V265" s="11">
        <v>18</v>
      </c>
      <c r="W265" s="11">
        <v>19</v>
      </c>
      <c r="X265" s="11">
        <v>20</v>
      </c>
      <c r="Y265" s="11">
        <v>21</v>
      </c>
      <c r="Z265" s="11">
        <v>22</v>
      </c>
      <c r="AA265" s="11">
        <v>23</v>
      </c>
      <c r="AB265" s="11">
        <v>24</v>
      </c>
      <c r="AC265" s="248" t="s">
        <v>2</v>
      </c>
      <c r="AD265" s="248"/>
      <c r="AE265" s="248"/>
    </row>
    <row r="266" spans="2:31" x14ac:dyDescent="0.3">
      <c r="B266" s="245" t="s">
        <v>4</v>
      </c>
      <c r="C266" s="245"/>
      <c r="D266" s="245"/>
      <c r="E266" s="232">
        <v>0</v>
      </c>
      <c r="F266" s="233">
        <v>0</v>
      </c>
      <c r="G266" s="232">
        <v>0</v>
      </c>
      <c r="H266" s="233">
        <v>0</v>
      </c>
      <c r="I266" s="232">
        <v>0</v>
      </c>
      <c r="J266" s="233">
        <v>0</v>
      </c>
      <c r="K266" s="232">
        <v>0</v>
      </c>
      <c r="L266" s="233">
        <v>0</v>
      </c>
      <c r="M266" s="232">
        <v>0</v>
      </c>
      <c r="N266" s="233">
        <v>0</v>
      </c>
      <c r="O266" s="232">
        <v>0</v>
      </c>
      <c r="P266" s="233">
        <v>0</v>
      </c>
      <c r="Q266" s="232">
        <v>0</v>
      </c>
      <c r="R266" s="233">
        <v>0</v>
      </c>
      <c r="S266" s="232">
        <v>0</v>
      </c>
      <c r="T266" s="233">
        <v>0</v>
      </c>
      <c r="U266" s="232">
        <v>0</v>
      </c>
      <c r="V266" s="233">
        <v>0</v>
      </c>
      <c r="W266" s="232">
        <v>1.7064999999999986</v>
      </c>
      <c r="X266" s="233">
        <v>0</v>
      </c>
      <c r="Y266" s="232">
        <v>0</v>
      </c>
      <c r="Z266" s="233">
        <v>0</v>
      </c>
      <c r="AA266" s="232">
        <v>0</v>
      </c>
      <c r="AB266" s="233">
        <v>0</v>
      </c>
      <c r="AC266" s="238">
        <f>SUM(E266:AB266)</f>
        <v>1.7064999999999986</v>
      </c>
      <c r="AD266" s="238"/>
      <c r="AE266" s="238"/>
    </row>
    <row r="267" spans="2:31" x14ac:dyDescent="0.3">
      <c r="B267" s="245" t="s">
        <v>5</v>
      </c>
      <c r="C267" s="245"/>
      <c r="D267" s="245"/>
      <c r="E267" s="231">
        <v>0</v>
      </c>
      <c r="F267" s="234">
        <v>0</v>
      </c>
      <c r="G267" s="231">
        <v>0</v>
      </c>
      <c r="H267" s="234">
        <v>0</v>
      </c>
      <c r="I267" s="231">
        <v>0</v>
      </c>
      <c r="J267" s="234">
        <v>0</v>
      </c>
      <c r="K267" s="231">
        <v>0</v>
      </c>
      <c r="L267" s="234">
        <v>0</v>
      </c>
      <c r="M267" s="231">
        <v>0</v>
      </c>
      <c r="N267" s="234">
        <v>0</v>
      </c>
      <c r="O267" s="231">
        <v>0</v>
      </c>
      <c r="P267" s="234">
        <v>0</v>
      </c>
      <c r="Q267" s="231">
        <v>0</v>
      </c>
      <c r="R267" s="234">
        <v>0</v>
      </c>
      <c r="S267" s="231">
        <v>0</v>
      </c>
      <c r="T267" s="234">
        <v>0</v>
      </c>
      <c r="U267" s="231">
        <v>15.508000000000003</v>
      </c>
      <c r="V267" s="234">
        <v>74.279499999999999</v>
      </c>
      <c r="W267" s="231">
        <v>51.55833333333333</v>
      </c>
      <c r="X267" s="234">
        <v>0</v>
      </c>
      <c r="Y267" s="231">
        <v>0</v>
      </c>
      <c r="Z267" s="234">
        <v>0</v>
      </c>
      <c r="AA267" s="231">
        <v>0</v>
      </c>
      <c r="AB267" s="234">
        <v>0</v>
      </c>
      <c r="AC267" s="238">
        <f t="shared" ref="AC267:AC302" si="123">SUM(E267:AB267)</f>
        <v>141.34583333333333</v>
      </c>
      <c r="AD267" s="238"/>
      <c r="AE267" s="238"/>
    </row>
    <row r="268" spans="2:31" x14ac:dyDescent="0.3">
      <c r="B268" s="245" t="s">
        <v>6</v>
      </c>
      <c r="C268" s="245"/>
      <c r="D268" s="245"/>
      <c r="E268" s="231">
        <v>0</v>
      </c>
      <c r="F268" s="234">
        <v>0</v>
      </c>
      <c r="G268" s="231">
        <v>0</v>
      </c>
      <c r="H268" s="234">
        <v>0</v>
      </c>
      <c r="I268" s="231">
        <v>0</v>
      </c>
      <c r="J268" s="234">
        <v>0</v>
      </c>
      <c r="K268" s="231">
        <v>0</v>
      </c>
      <c r="L268" s="234">
        <v>0</v>
      </c>
      <c r="M268" s="231">
        <v>0</v>
      </c>
      <c r="N268" s="234">
        <v>0</v>
      </c>
      <c r="O268" s="231">
        <v>0</v>
      </c>
      <c r="P268" s="234">
        <v>0</v>
      </c>
      <c r="Q268" s="231">
        <v>0</v>
      </c>
      <c r="R268" s="234">
        <v>4.3199999999999976</v>
      </c>
      <c r="S268" s="231">
        <v>0</v>
      </c>
      <c r="T268" s="234">
        <v>5.7973333333333299</v>
      </c>
      <c r="U268" s="231">
        <v>23.211166666666671</v>
      </c>
      <c r="V268" s="234">
        <v>7.4014999999999986</v>
      </c>
      <c r="W268" s="231">
        <v>27.296833333333321</v>
      </c>
      <c r="X268" s="234">
        <v>28.572499999999987</v>
      </c>
      <c r="Y268" s="231">
        <v>0</v>
      </c>
      <c r="Z268" s="234">
        <v>0</v>
      </c>
      <c r="AA268" s="231">
        <v>0</v>
      </c>
      <c r="AB268" s="234">
        <v>0</v>
      </c>
      <c r="AC268" s="238">
        <f t="shared" si="123"/>
        <v>96.599333333333306</v>
      </c>
      <c r="AD268" s="238"/>
      <c r="AE268" s="238"/>
    </row>
    <row r="269" spans="2:31" x14ac:dyDescent="0.3">
      <c r="B269" s="245" t="s">
        <v>91</v>
      </c>
      <c r="C269" s="245"/>
      <c r="D269" s="245"/>
      <c r="E269" s="231">
        <v>0</v>
      </c>
      <c r="F269" s="234">
        <v>0</v>
      </c>
      <c r="G269" s="231">
        <v>0</v>
      </c>
      <c r="H269" s="234">
        <v>0</v>
      </c>
      <c r="I269" s="231">
        <v>0</v>
      </c>
      <c r="J269" s="234">
        <v>0</v>
      </c>
      <c r="K269" s="231">
        <v>0</v>
      </c>
      <c r="L269" s="234">
        <v>0</v>
      </c>
      <c r="M269" s="231">
        <v>0</v>
      </c>
      <c r="N269" s="234">
        <v>0</v>
      </c>
      <c r="O269" s="231">
        <v>0</v>
      </c>
      <c r="P269" s="234">
        <v>0</v>
      </c>
      <c r="Q269" s="231">
        <v>0</v>
      </c>
      <c r="R269" s="234">
        <v>0</v>
      </c>
      <c r="S269" s="231">
        <v>0</v>
      </c>
      <c r="T269" s="234">
        <v>0</v>
      </c>
      <c r="U269" s="231">
        <v>0</v>
      </c>
      <c r="V269" s="234">
        <v>0</v>
      </c>
      <c r="W269" s="231">
        <v>0</v>
      </c>
      <c r="X269" s="234">
        <v>0</v>
      </c>
      <c r="Y269" s="231">
        <v>0</v>
      </c>
      <c r="Z269" s="234">
        <v>0</v>
      </c>
      <c r="AA269" s="231">
        <v>0</v>
      </c>
      <c r="AB269" s="234">
        <v>0</v>
      </c>
      <c r="AC269" s="238">
        <f t="shared" si="123"/>
        <v>0</v>
      </c>
      <c r="AD269" s="238"/>
      <c r="AE269" s="238"/>
    </row>
    <row r="270" spans="2:31" x14ac:dyDescent="0.3">
      <c r="B270" s="245" t="s">
        <v>7</v>
      </c>
      <c r="C270" s="245"/>
      <c r="D270" s="245"/>
      <c r="E270" s="231">
        <v>0</v>
      </c>
      <c r="F270" s="234">
        <v>0</v>
      </c>
      <c r="G270" s="231">
        <v>0</v>
      </c>
      <c r="H270" s="234">
        <v>0</v>
      </c>
      <c r="I270" s="231">
        <v>0</v>
      </c>
      <c r="J270" s="234">
        <v>0</v>
      </c>
      <c r="K270" s="231">
        <v>0</v>
      </c>
      <c r="L270" s="234">
        <v>0</v>
      </c>
      <c r="M270" s="231">
        <v>0</v>
      </c>
      <c r="N270" s="234">
        <v>0</v>
      </c>
      <c r="O270" s="231">
        <v>0</v>
      </c>
      <c r="P270" s="234">
        <v>0</v>
      </c>
      <c r="Q270" s="231">
        <v>0</v>
      </c>
      <c r="R270" s="234">
        <v>3.2939999999999992</v>
      </c>
      <c r="S270" s="231">
        <v>0</v>
      </c>
      <c r="T270" s="234">
        <v>0</v>
      </c>
      <c r="U270" s="231">
        <v>0</v>
      </c>
      <c r="V270" s="234">
        <v>3.6833333333333232E-2</v>
      </c>
      <c r="W270" s="231">
        <v>0</v>
      </c>
      <c r="X270" s="234">
        <v>8.0174999999999965</v>
      </c>
      <c r="Y270" s="231">
        <v>0</v>
      </c>
      <c r="Z270" s="234">
        <v>0</v>
      </c>
      <c r="AA270" s="231">
        <v>0</v>
      </c>
      <c r="AB270" s="234">
        <v>0</v>
      </c>
      <c r="AC270" s="238">
        <f t="shared" si="123"/>
        <v>11.348333333333329</v>
      </c>
      <c r="AD270" s="238"/>
      <c r="AE270" s="238"/>
    </row>
    <row r="271" spans="2:31" x14ac:dyDescent="0.3">
      <c r="B271" s="245" t="s">
        <v>8</v>
      </c>
      <c r="C271" s="245"/>
      <c r="D271" s="245"/>
      <c r="E271" s="231">
        <v>0</v>
      </c>
      <c r="F271" s="234">
        <v>0</v>
      </c>
      <c r="G271" s="231">
        <v>0</v>
      </c>
      <c r="H271" s="234">
        <v>0</v>
      </c>
      <c r="I271" s="231">
        <v>0</v>
      </c>
      <c r="J271" s="234">
        <v>0</v>
      </c>
      <c r="K271" s="231">
        <v>0</v>
      </c>
      <c r="L271" s="234">
        <v>0</v>
      </c>
      <c r="M271" s="231">
        <v>0</v>
      </c>
      <c r="N271" s="234">
        <v>0</v>
      </c>
      <c r="O271" s="231">
        <v>0</v>
      </c>
      <c r="P271" s="234">
        <v>0</v>
      </c>
      <c r="Q271" s="231">
        <v>0</v>
      </c>
      <c r="R271" s="234">
        <v>0</v>
      </c>
      <c r="S271" s="231">
        <v>0</v>
      </c>
      <c r="T271" s="234">
        <v>0</v>
      </c>
      <c r="U271" s="231">
        <v>2.428833333333333</v>
      </c>
      <c r="V271" s="234">
        <v>14.902999999999997</v>
      </c>
      <c r="W271" s="231">
        <v>6.9929999999999986</v>
      </c>
      <c r="X271" s="234">
        <v>0</v>
      </c>
      <c r="Y271" s="231">
        <v>0</v>
      </c>
      <c r="Z271" s="234">
        <v>0</v>
      </c>
      <c r="AA271" s="231">
        <v>0</v>
      </c>
      <c r="AB271" s="234">
        <v>0</v>
      </c>
      <c r="AC271" s="238">
        <f t="shared" si="123"/>
        <v>24.324833333333327</v>
      </c>
      <c r="AD271" s="238"/>
      <c r="AE271" s="238"/>
    </row>
    <row r="272" spans="2:31" x14ac:dyDescent="0.3">
      <c r="B272" s="245" t="s">
        <v>9</v>
      </c>
      <c r="C272" s="245"/>
      <c r="D272" s="245"/>
      <c r="E272" s="231">
        <v>0</v>
      </c>
      <c r="F272" s="234">
        <v>0</v>
      </c>
      <c r="G272" s="231">
        <v>0</v>
      </c>
      <c r="H272" s="234">
        <v>0</v>
      </c>
      <c r="I272" s="231">
        <v>0</v>
      </c>
      <c r="J272" s="234">
        <v>0</v>
      </c>
      <c r="K272" s="231">
        <v>0</v>
      </c>
      <c r="L272" s="234">
        <v>0</v>
      </c>
      <c r="M272" s="231">
        <v>0</v>
      </c>
      <c r="N272" s="234">
        <v>0</v>
      </c>
      <c r="O272" s="231">
        <v>0</v>
      </c>
      <c r="P272" s="234">
        <v>0</v>
      </c>
      <c r="Q272" s="231">
        <v>0</v>
      </c>
      <c r="R272" s="234">
        <v>0</v>
      </c>
      <c r="S272" s="231">
        <v>0</v>
      </c>
      <c r="T272" s="234">
        <v>0</v>
      </c>
      <c r="U272" s="231">
        <v>0</v>
      </c>
      <c r="V272" s="234">
        <v>0</v>
      </c>
      <c r="W272" s="231">
        <v>0</v>
      </c>
      <c r="X272" s="234">
        <v>0</v>
      </c>
      <c r="Y272" s="231">
        <v>0</v>
      </c>
      <c r="Z272" s="234">
        <v>0</v>
      </c>
      <c r="AA272" s="231">
        <v>0</v>
      </c>
      <c r="AB272" s="234">
        <v>0</v>
      </c>
      <c r="AC272" s="238">
        <f t="shared" si="123"/>
        <v>0</v>
      </c>
      <c r="AD272" s="238"/>
      <c r="AE272" s="238"/>
    </row>
    <row r="273" spans="2:31" x14ac:dyDescent="0.3">
      <c r="B273" s="245" t="s">
        <v>10</v>
      </c>
      <c r="C273" s="245"/>
      <c r="D273" s="245"/>
      <c r="E273" s="231">
        <v>0</v>
      </c>
      <c r="F273" s="234">
        <v>0</v>
      </c>
      <c r="G273" s="231">
        <v>0</v>
      </c>
      <c r="H273" s="234">
        <v>0</v>
      </c>
      <c r="I273" s="231">
        <v>0</v>
      </c>
      <c r="J273" s="234">
        <v>0</v>
      </c>
      <c r="K273" s="231">
        <v>0</v>
      </c>
      <c r="L273" s="234">
        <v>0</v>
      </c>
      <c r="M273" s="231">
        <v>0</v>
      </c>
      <c r="N273" s="234">
        <v>0</v>
      </c>
      <c r="O273" s="231">
        <v>0</v>
      </c>
      <c r="P273" s="234">
        <v>0</v>
      </c>
      <c r="Q273" s="231">
        <v>0</v>
      </c>
      <c r="R273" s="234">
        <v>0</v>
      </c>
      <c r="S273" s="231">
        <v>0</v>
      </c>
      <c r="T273" s="234">
        <v>0</v>
      </c>
      <c r="U273" s="231">
        <v>0</v>
      </c>
      <c r="V273" s="234">
        <v>2.3673333333333302</v>
      </c>
      <c r="W273" s="231">
        <v>8.1353333333333318</v>
      </c>
      <c r="X273" s="234">
        <v>0</v>
      </c>
      <c r="Y273" s="231">
        <v>0</v>
      </c>
      <c r="Z273" s="234">
        <v>0</v>
      </c>
      <c r="AA273" s="231">
        <v>0</v>
      </c>
      <c r="AB273" s="234">
        <v>0</v>
      </c>
      <c r="AC273" s="238">
        <f t="shared" si="123"/>
        <v>10.502666666666663</v>
      </c>
      <c r="AD273" s="238"/>
      <c r="AE273" s="238"/>
    </row>
    <row r="274" spans="2:31" x14ac:dyDescent="0.3">
      <c r="B274" s="245" t="s">
        <v>11</v>
      </c>
      <c r="C274" s="245"/>
      <c r="D274" s="245"/>
      <c r="E274" s="231">
        <v>0</v>
      </c>
      <c r="F274" s="234">
        <v>0</v>
      </c>
      <c r="G274" s="231">
        <v>0</v>
      </c>
      <c r="H274" s="234">
        <v>0</v>
      </c>
      <c r="I274" s="231">
        <v>0</v>
      </c>
      <c r="J274" s="234">
        <v>0</v>
      </c>
      <c r="K274" s="231">
        <v>0</v>
      </c>
      <c r="L274" s="234">
        <v>0</v>
      </c>
      <c r="M274" s="231">
        <v>0</v>
      </c>
      <c r="N274" s="234">
        <v>0</v>
      </c>
      <c r="O274" s="231">
        <v>0</v>
      </c>
      <c r="P274" s="234">
        <v>0</v>
      </c>
      <c r="Q274" s="231">
        <v>0</v>
      </c>
      <c r="R274" s="234">
        <v>0</v>
      </c>
      <c r="S274" s="231">
        <v>0</v>
      </c>
      <c r="T274" s="234">
        <v>0</v>
      </c>
      <c r="U274" s="231">
        <v>0</v>
      </c>
      <c r="V274" s="234">
        <v>8.1226666666666674</v>
      </c>
      <c r="W274" s="231">
        <v>12.028000000000008</v>
      </c>
      <c r="X274" s="234">
        <v>0</v>
      </c>
      <c r="Y274" s="231">
        <v>0</v>
      </c>
      <c r="Z274" s="234">
        <v>0</v>
      </c>
      <c r="AA274" s="231">
        <v>0</v>
      </c>
      <c r="AB274" s="234">
        <v>0</v>
      </c>
      <c r="AC274" s="238">
        <f t="shared" si="123"/>
        <v>20.150666666666673</v>
      </c>
      <c r="AD274" s="238"/>
      <c r="AE274" s="238"/>
    </row>
    <row r="275" spans="2:31" x14ac:dyDescent="0.3">
      <c r="B275" s="245" t="s">
        <v>12</v>
      </c>
      <c r="C275" s="245"/>
      <c r="D275" s="245"/>
      <c r="E275" s="231">
        <v>0</v>
      </c>
      <c r="F275" s="234">
        <v>0</v>
      </c>
      <c r="G275" s="231">
        <v>0</v>
      </c>
      <c r="H275" s="234">
        <v>0</v>
      </c>
      <c r="I275" s="231">
        <v>0</v>
      </c>
      <c r="J275" s="234">
        <v>0</v>
      </c>
      <c r="K275" s="231">
        <v>0</v>
      </c>
      <c r="L275" s="234">
        <v>0</v>
      </c>
      <c r="M275" s="231">
        <v>0</v>
      </c>
      <c r="N275" s="234">
        <v>0</v>
      </c>
      <c r="O275" s="231">
        <v>0</v>
      </c>
      <c r="P275" s="234">
        <v>0</v>
      </c>
      <c r="Q275" s="231">
        <v>0</v>
      </c>
      <c r="R275" s="234">
        <v>0</v>
      </c>
      <c r="S275" s="231">
        <v>0</v>
      </c>
      <c r="T275" s="234">
        <v>0</v>
      </c>
      <c r="U275" s="231">
        <v>7.1853333333333351</v>
      </c>
      <c r="V275" s="234">
        <v>52.32</v>
      </c>
      <c r="W275" s="231">
        <v>45.436500000000017</v>
      </c>
      <c r="X275" s="234">
        <v>0</v>
      </c>
      <c r="Y275" s="231">
        <v>0</v>
      </c>
      <c r="Z275" s="234">
        <v>0</v>
      </c>
      <c r="AA275" s="231">
        <v>0</v>
      </c>
      <c r="AB275" s="234">
        <v>0</v>
      </c>
      <c r="AC275" s="238">
        <f t="shared" si="123"/>
        <v>104.94183333333335</v>
      </c>
      <c r="AD275" s="238"/>
      <c r="AE275" s="238"/>
    </row>
    <row r="276" spans="2:31" x14ac:dyDescent="0.3">
      <c r="B276" s="245" t="s">
        <v>13</v>
      </c>
      <c r="C276" s="245"/>
      <c r="D276" s="245"/>
      <c r="E276" s="231">
        <v>0</v>
      </c>
      <c r="F276" s="234">
        <v>0</v>
      </c>
      <c r="G276" s="231">
        <v>0</v>
      </c>
      <c r="H276" s="234">
        <v>0</v>
      </c>
      <c r="I276" s="231">
        <v>0</v>
      </c>
      <c r="J276" s="234">
        <v>0</v>
      </c>
      <c r="K276" s="231">
        <v>0</v>
      </c>
      <c r="L276" s="234">
        <v>0</v>
      </c>
      <c r="M276" s="231">
        <v>0</v>
      </c>
      <c r="N276" s="234">
        <v>0</v>
      </c>
      <c r="O276" s="231">
        <v>0</v>
      </c>
      <c r="P276" s="234">
        <v>0</v>
      </c>
      <c r="Q276" s="231">
        <v>0</v>
      </c>
      <c r="R276" s="234">
        <v>0</v>
      </c>
      <c r="S276" s="231">
        <v>0</v>
      </c>
      <c r="T276" s="234">
        <v>0</v>
      </c>
      <c r="U276" s="231">
        <v>0</v>
      </c>
      <c r="V276" s="234">
        <v>0</v>
      </c>
      <c r="W276" s="231">
        <v>0</v>
      </c>
      <c r="X276" s="234">
        <v>0</v>
      </c>
      <c r="Y276" s="231">
        <v>0</v>
      </c>
      <c r="Z276" s="234">
        <v>0</v>
      </c>
      <c r="AA276" s="231">
        <v>0</v>
      </c>
      <c r="AB276" s="234">
        <v>0</v>
      </c>
      <c r="AC276" s="238">
        <f t="shared" si="123"/>
        <v>0</v>
      </c>
      <c r="AD276" s="238"/>
      <c r="AE276" s="238"/>
    </row>
    <row r="277" spans="2:31" x14ac:dyDescent="0.3">
      <c r="B277" s="245" t="s">
        <v>14</v>
      </c>
      <c r="C277" s="245"/>
      <c r="D277" s="245"/>
      <c r="E277" s="231">
        <v>0</v>
      </c>
      <c r="F277" s="234">
        <v>0</v>
      </c>
      <c r="G277" s="231">
        <v>0</v>
      </c>
      <c r="H277" s="234">
        <v>0</v>
      </c>
      <c r="I277" s="231">
        <v>0</v>
      </c>
      <c r="J277" s="234">
        <v>0</v>
      </c>
      <c r="K277" s="231">
        <v>0</v>
      </c>
      <c r="L277" s="234">
        <v>0</v>
      </c>
      <c r="M277" s="231">
        <v>0</v>
      </c>
      <c r="N277" s="234">
        <v>0</v>
      </c>
      <c r="O277" s="231">
        <v>0</v>
      </c>
      <c r="P277" s="234">
        <v>0</v>
      </c>
      <c r="Q277" s="231">
        <v>0</v>
      </c>
      <c r="R277" s="234">
        <v>0</v>
      </c>
      <c r="S277" s="231">
        <v>0</v>
      </c>
      <c r="T277" s="234">
        <v>0</v>
      </c>
      <c r="U277" s="231">
        <v>1.1900000000000002</v>
      </c>
      <c r="V277" s="234">
        <v>4.6120000000000045</v>
      </c>
      <c r="W277" s="231">
        <v>3.3108333333333335</v>
      </c>
      <c r="X277" s="234">
        <v>0</v>
      </c>
      <c r="Y277" s="231">
        <v>0</v>
      </c>
      <c r="Z277" s="234">
        <v>0</v>
      </c>
      <c r="AA277" s="231">
        <v>0</v>
      </c>
      <c r="AB277" s="234">
        <v>0</v>
      </c>
      <c r="AC277" s="238">
        <f t="shared" si="123"/>
        <v>9.112833333333338</v>
      </c>
      <c r="AD277" s="238"/>
      <c r="AE277" s="238"/>
    </row>
    <row r="278" spans="2:31" x14ac:dyDescent="0.3">
      <c r="B278" s="245" t="s">
        <v>15</v>
      </c>
      <c r="C278" s="245"/>
      <c r="D278" s="245"/>
      <c r="E278" s="231">
        <v>0</v>
      </c>
      <c r="F278" s="234">
        <v>0</v>
      </c>
      <c r="G278" s="231">
        <v>0</v>
      </c>
      <c r="H278" s="234">
        <v>0</v>
      </c>
      <c r="I278" s="231">
        <v>0</v>
      </c>
      <c r="J278" s="234">
        <v>0</v>
      </c>
      <c r="K278" s="231">
        <v>0</v>
      </c>
      <c r="L278" s="234">
        <v>0</v>
      </c>
      <c r="M278" s="231">
        <v>0</v>
      </c>
      <c r="N278" s="234">
        <v>0</v>
      </c>
      <c r="O278" s="231">
        <v>0</v>
      </c>
      <c r="P278" s="234">
        <v>0</v>
      </c>
      <c r="Q278" s="231">
        <v>0</v>
      </c>
      <c r="R278" s="234">
        <v>0</v>
      </c>
      <c r="S278" s="231">
        <v>0</v>
      </c>
      <c r="T278" s="234">
        <v>0</v>
      </c>
      <c r="U278" s="231">
        <v>0</v>
      </c>
      <c r="V278" s="234">
        <v>0</v>
      </c>
      <c r="W278" s="231">
        <v>0</v>
      </c>
      <c r="X278" s="234">
        <v>0</v>
      </c>
      <c r="Y278" s="231">
        <v>0</v>
      </c>
      <c r="Z278" s="234">
        <v>0</v>
      </c>
      <c r="AA278" s="231">
        <v>0</v>
      </c>
      <c r="AB278" s="234">
        <v>0</v>
      </c>
      <c r="AC278" s="238">
        <f t="shared" si="123"/>
        <v>0</v>
      </c>
      <c r="AD278" s="238"/>
      <c r="AE278" s="238"/>
    </row>
    <row r="279" spans="2:31" x14ac:dyDescent="0.3">
      <c r="B279" s="245" t="s">
        <v>16</v>
      </c>
      <c r="C279" s="245"/>
      <c r="D279" s="245"/>
      <c r="E279" s="231">
        <v>0</v>
      </c>
      <c r="F279" s="234">
        <v>0</v>
      </c>
      <c r="G279" s="231">
        <v>0</v>
      </c>
      <c r="H279" s="234">
        <v>0</v>
      </c>
      <c r="I279" s="231">
        <v>0</v>
      </c>
      <c r="J279" s="234">
        <v>0</v>
      </c>
      <c r="K279" s="231">
        <v>0</v>
      </c>
      <c r="L279" s="234">
        <v>0</v>
      </c>
      <c r="M279" s="231">
        <v>0</v>
      </c>
      <c r="N279" s="234">
        <v>0</v>
      </c>
      <c r="O279" s="231">
        <v>0</v>
      </c>
      <c r="P279" s="234">
        <v>0</v>
      </c>
      <c r="Q279" s="231">
        <v>0</v>
      </c>
      <c r="R279" s="234">
        <v>0</v>
      </c>
      <c r="S279" s="231">
        <v>0</v>
      </c>
      <c r="T279" s="234">
        <v>0</v>
      </c>
      <c r="U279" s="231">
        <v>0</v>
      </c>
      <c r="V279" s="234">
        <v>0</v>
      </c>
      <c r="W279" s="231">
        <v>0</v>
      </c>
      <c r="X279" s="234">
        <v>0</v>
      </c>
      <c r="Y279" s="231">
        <v>0</v>
      </c>
      <c r="Z279" s="234">
        <v>0</v>
      </c>
      <c r="AA279" s="231">
        <v>0</v>
      </c>
      <c r="AB279" s="234">
        <v>0</v>
      </c>
      <c r="AC279" s="238">
        <f t="shared" si="123"/>
        <v>0</v>
      </c>
      <c r="AD279" s="238"/>
      <c r="AE279" s="238"/>
    </row>
    <row r="280" spans="2:31" x14ac:dyDescent="0.3">
      <c r="B280" s="245" t="s">
        <v>17</v>
      </c>
      <c r="C280" s="245"/>
      <c r="D280" s="245"/>
      <c r="E280" s="231">
        <v>0</v>
      </c>
      <c r="F280" s="234">
        <v>0</v>
      </c>
      <c r="G280" s="231">
        <v>0</v>
      </c>
      <c r="H280" s="234">
        <v>0</v>
      </c>
      <c r="I280" s="231">
        <v>0</v>
      </c>
      <c r="J280" s="234">
        <v>0</v>
      </c>
      <c r="K280" s="231">
        <v>0</v>
      </c>
      <c r="L280" s="234">
        <v>0</v>
      </c>
      <c r="M280" s="231">
        <v>0</v>
      </c>
      <c r="N280" s="234">
        <v>0</v>
      </c>
      <c r="O280" s="231">
        <v>0</v>
      </c>
      <c r="P280" s="234">
        <v>0</v>
      </c>
      <c r="Q280" s="231">
        <v>0</v>
      </c>
      <c r="R280" s="234">
        <v>0</v>
      </c>
      <c r="S280" s="231">
        <v>0</v>
      </c>
      <c r="T280" s="234">
        <v>0</v>
      </c>
      <c r="U280" s="231">
        <v>0</v>
      </c>
      <c r="V280" s="234">
        <v>0</v>
      </c>
      <c r="W280" s="231">
        <v>0</v>
      </c>
      <c r="X280" s="234">
        <v>0</v>
      </c>
      <c r="Y280" s="231">
        <v>0</v>
      </c>
      <c r="Z280" s="234">
        <v>0</v>
      </c>
      <c r="AA280" s="231">
        <v>0</v>
      </c>
      <c r="AB280" s="234">
        <v>0</v>
      </c>
      <c r="AC280" s="238">
        <f t="shared" si="123"/>
        <v>0</v>
      </c>
      <c r="AD280" s="238"/>
      <c r="AE280" s="238"/>
    </row>
    <row r="281" spans="2:31" x14ac:dyDescent="0.3">
      <c r="B281" s="245" t="s">
        <v>18</v>
      </c>
      <c r="C281" s="245"/>
      <c r="D281" s="245"/>
      <c r="E281" s="231">
        <v>0</v>
      </c>
      <c r="F281" s="234">
        <v>0</v>
      </c>
      <c r="G281" s="231">
        <v>0</v>
      </c>
      <c r="H281" s="234">
        <v>0</v>
      </c>
      <c r="I281" s="231">
        <v>0</v>
      </c>
      <c r="J281" s="234">
        <v>0</v>
      </c>
      <c r="K281" s="231">
        <v>0</v>
      </c>
      <c r="L281" s="234">
        <v>0</v>
      </c>
      <c r="M281" s="231">
        <v>0</v>
      </c>
      <c r="N281" s="234">
        <v>0</v>
      </c>
      <c r="O281" s="231">
        <v>0</v>
      </c>
      <c r="P281" s="234">
        <v>0</v>
      </c>
      <c r="Q281" s="231">
        <v>0</v>
      </c>
      <c r="R281" s="234">
        <v>0</v>
      </c>
      <c r="S281" s="231">
        <v>0</v>
      </c>
      <c r="T281" s="234">
        <v>0</v>
      </c>
      <c r="U281" s="231">
        <v>0</v>
      </c>
      <c r="V281" s="234">
        <v>0</v>
      </c>
      <c r="W281" s="231">
        <v>0</v>
      </c>
      <c r="X281" s="234">
        <v>0</v>
      </c>
      <c r="Y281" s="231">
        <v>0</v>
      </c>
      <c r="Z281" s="234">
        <v>0</v>
      </c>
      <c r="AA281" s="231">
        <v>0</v>
      </c>
      <c r="AB281" s="234">
        <v>0</v>
      </c>
      <c r="AC281" s="238">
        <f t="shared" si="123"/>
        <v>0</v>
      </c>
      <c r="AD281" s="238"/>
      <c r="AE281" s="238"/>
    </row>
    <row r="282" spans="2:31" x14ac:dyDescent="0.3">
      <c r="B282" s="245" t="s">
        <v>19</v>
      </c>
      <c r="C282" s="245"/>
      <c r="D282" s="245"/>
      <c r="E282" s="231">
        <v>0</v>
      </c>
      <c r="F282" s="234">
        <v>0</v>
      </c>
      <c r="G282" s="231">
        <v>0</v>
      </c>
      <c r="H282" s="234">
        <v>0</v>
      </c>
      <c r="I282" s="231">
        <v>0</v>
      </c>
      <c r="J282" s="234">
        <v>0</v>
      </c>
      <c r="K282" s="231">
        <v>0</v>
      </c>
      <c r="L282" s="234">
        <v>0</v>
      </c>
      <c r="M282" s="231">
        <v>0</v>
      </c>
      <c r="N282" s="234">
        <v>0</v>
      </c>
      <c r="O282" s="231">
        <v>0</v>
      </c>
      <c r="P282" s="234">
        <v>0</v>
      </c>
      <c r="Q282" s="231">
        <v>0</v>
      </c>
      <c r="R282" s="234">
        <v>0</v>
      </c>
      <c r="S282" s="231">
        <v>0</v>
      </c>
      <c r="T282" s="234">
        <v>0</v>
      </c>
      <c r="U282" s="231">
        <v>3.9456666666666664</v>
      </c>
      <c r="V282" s="234">
        <v>19.210000000000019</v>
      </c>
      <c r="W282" s="231">
        <v>14.286999999999997</v>
      </c>
      <c r="X282" s="234">
        <v>0</v>
      </c>
      <c r="Y282" s="231">
        <v>0</v>
      </c>
      <c r="Z282" s="234">
        <v>0</v>
      </c>
      <c r="AA282" s="231">
        <v>0</v>
      </c>
      <c r="AB282" s="234">
        <v>0</v>
      </c>
      <c r="AC282" s="238">
        <f t="shared" si="123"/>
        <v>37.442666666666682</v>
      </c>
      <c r="AD282" s="238"/>
      <c r="AE282" s="238"/>
    </row>
    <row r="283" spans="2:31" x14ac:dyDescent="0.3">
      <c r="B283" s="245" t="s">
        <v>20</v>
      </c>
      <c r="C283" s="245"/>
      <c r="D283" s="245"/>
      <c r="E283" s="231">
        <v>0</v>
      </c>
      <c r="F283" s="234">
        <v>0</v>
      </c>
      <c r="G283" s="231">
        <v>0</v>
      </c>
      <c r="H283" s="234">
        <v>0</v>
      </c>
      <c r="I283" s="231">
        <v>0</v>
      </c>
      <c r="J283" s="234">
        <v>0</v>
      </c>
      <c r="K283" s="231">
        <v>0</v>
      </c>
      <c r="L283" s="234">
        <v>0</v>
      </c>
      <c r="M283" s="231">
        <v>0</v>
      </c>
      <c r="N283" s="234">
        <v>0</v>
      </c>
      <c r="O283" s="231">
        <v>0</v>
      </c>
      <c r="P283" s="234">
        <v>0</v>
      </c>
      <c r="Q283" s="231">
        <v>0</v>
      </c>
      <c r="R283" s="234">
        <v>0</v>
      </c>
      <c r="S283" s="231">
        <v>0</v>
      </c>
      <c r="T283" s="234">
        <v>0</v>
      </c>
      <c r="U283" s="231">
        <v>0</v>
      </c>
      <c r="V283" s="234">
        <v>0</v>
      </c>
      <c r="W283" s="231">
        <v>0</v>
      </c>
      <c r="X283" s="234">
        <v>0</v>
      </c>
      <c r="Y283" s="231">
        <v>0</v>
      </c>
      <c r="Z283" s="234">
        <v>0</v>
      </c>
      <c r="AA283" s="231">
        <v>0</v>
      </c>
      <c r="AB283" s="234">
        <v>0</v>
      </c>
      <c r="AC283" s="238">
        <f t="shared" si="123"/>
        <v>0</v>
      </c>
      <c r="AD283" s="238"/>
      <c r="AE283" s="238"/>
    </row>
    <row r="284" spans="2:31" x14ac:dyDescent="0.3">
      <c r="B284" s="245" t="s">
        <v>21</v>
      </c>
      <c r="C284" s="245"/>
      <c r="D284" s="245"/>
      <c r="E284" s="231">
        <v>0</v>
      </c>
      <c r="F284" s="234">
        <v>0</v>
      </c>
      <c r="G284" s="231">
        <v>0</v>
      </c>
      <c r="H284" s="234">
        <v>0</v>
      </c>
      <c r="I284" s="231">
        <v>0</v>
      </c>
      <c r="J284" s="234">
        <v>0</v>
      </c>
      <c r="K284" s="231">
        <v>0</v>
      </c>
      <c r="L284" s="234">
        <v>0</v>
      </c>
      <c r="M284" s="231">
        <v>0</v>
      </c>
      <c r="N284" s="234">
        <v>0</v>
      </c>
      <c r="O284" s="231">
        <v>0</v>
      </c>
      <c r="P284" s="234">
        <v>0</v>
      </c>
      <c r="Q284" s="231">
        <v>0</v>
      </c>
      <c r="R284" s="234">
        <v>0</v>
      </c>
      <c r="S284" s="231">
        <v>0</v>
      </c>
      <c r="T284" s="234">
        <v>0</v>
      </c>
      <c r="U284" s="231">
        <v>0</v>
      </c>
      <c r="V284" s="234">
        <v>0</v>
      </c>
      <c r="W284" s="231">
        <v>0</v>
      </c>
      <c r="X284" s="234">
        <v>0</v>
      </c>
      <c r="Y284" s="231">
        <v>0</v>
      </c>
      <c r="Z284" s="234">
        <v>0</v>
      </c>
      <c r="AA284" s="231">
        <v>0</v>
      </c>
      <c r="AB284" s="234">
        <v>0</v>
      </c>
      <c r="AC284" s="238">
        <f t="shared" si="123"/>
        <v>0</v>
      </c>
      <c r="AD284" s="238"/>
      <c r="AE284" s="238"/>
    </row>
    <row r="285" spans="2:31" x14ac:dyDescent="0.3">
      <c r="B285" s="245" t="s">
        <v>22</v>
      </c>
      <c r="C285" s="245"/>
      <c r="D285" s="245"/>
      <c r="E285" s="231">
        <v>0</v>
      </c>
      <c r="F285" s="234">
        <v>0</v>
      </c>
      <c r="G285" s="231">
        <v>0</v>
      </c>
      <c r="H285" s="234">
        <v>0</v>
      </c>
      <c r="I285" s="231">
        <v>0</v>
      </c>
      <c r="J285" s="234">
        <v>0</v>
      </c>
      <c r="K285" s="231">
        <v>0</v>
      </c>
      <c r="L285" s="234">
        <v>0</v>
      </c>
      <c r="M285" s="231">
        <v>0</v>
      </c>
      <c r="N285" s="234">
        <v>0</v>
      </c>
      <c r="O285" s="231">
        <v>0</v>
      </c>
      <c r="P285" s="234">
        <v>0</v>
      </c>
      <c r="Q285" s="231">
        <v>0</v>
      </c>
      <c r="R285" s="234">
        <v>0</v>
      </c>
      <c r="S285" s="231">
        <v>0</v>
      </c>
      <c r="T285" s="234">
        <v>0</v>
      </c>
      <c r="U285" s="231">
        <v>0</v>
      </c>
      <c r="V285" s="234">
        <v>0</v>
      </c>
      <c r="W285" s="231">
        <v>0</v>
      </c>
      <c r="X285" s="234">
        <v>0</v>
      </c>
      <c r="Y285" s="231">
        <v>0</v>
      </c>
      <c r="Z285" s="234">
        <v>0</v>
      </c>
      <c r="AA285" s="231">
        <v>0</v>
      </c>
      <c r="AB285" s="234">
        <v>0</v>
      </c>
      <c r="AC285" s="238">
        <f t="shared" si="123"/>
        <v>0</v>
      </c>
      <c r="AD285" s="238"/>
      <c r="AE285" s="238"/>
    </row>
    <row r="286" spans="2:31" x14ac:dyDescent="0.3">
      <c r="B286" s="245" t="s">
        <v>23</v>
      </c>
      <c r="C286" s="245"/>
      <c r="D286" s="245"/>
      <c r="E286" s="231">
        <v>0</v>
      </c>
      <c r="F286" s="234">
        <v>0</v>
      </c>
      <c r="G286" s="231">
        <v>0</v>
      </c>
      <c r="H286" s="234">
        <v>0</v>
      </c>
      <c r="I286" s="231">
        <v>0</v>
      </c>
      <c r="J286" s="234">
        <v>0</v>
      </c>
      <c r="K286" s="231">
        <v>0</v>
      </c>
      <c r="L286" s="234">
        <v>0</v>
      </c>
      <c r="M286" s="231">
        <v>0</v>
      </c>
      <c r="N286" s="234">
        <v>0</v>
      </c>
      <c r="O286" s="231">
        <v>0</v>
      </c>
      <c r="P286" s="234">
        <v>0</v>
      </c>
      <c r="Q286" s="231">
        <v>0</v>
      </c>
      <c r="R286" s="234">
        <v>0</v>
      </c>
      <c r="S286" s="231">
        <v>0</v>
      </c>
      <c r="T286" s="234">
        <v>0</v>
      </c>
      <c r="U286" s="231">
        <v>0</v>
      </c>
      <c r="V286" s="234">
        <v>0</v>
      </c>
      <c r="W286" s="231">
        <v>0</v>
      </c>
      <c r="X286" s="234">
        <v>0</v>
      </c>
      <c r="Y286" s="231">
        <v>0</v>
      </c>
      <c r="Z286" s="234">
        <v>0</v>
      </c>
      <c r="AA286" s="231">
        <v>0</v>
      </c>
      <c r="AB286" s="234">
        <v>0</v>
      </c>
      <c r="AC286" s="238">
        <f t="shared" si="123"/>
        <v>0</v>
      </c>
      <c r="AD286" s="238"/>
      <c r="AE286" s="238"/>
    </row>
    <row r="287" spans="2:31" x14ac:dyDescent="0.3">
      <c r="B287" s="245" t="s">
        <v>24</v>
      </c>
      <c r="C287" s="245"/>
      <c r="D287" s="245"/>
      <c r="E287" s="231">
        <v>0</v>
      </c>
      <c r="F287" s="234">
        <v>0</v>
      </c>
      <c r="G287" s="231">
        <v>0</v>
      </c>
      <c r="H287" s="234">
        <v>0</v>
      </c>
      <c r="I287" s="231">
        <v>0</v>
      </c>
      <c r="J287" s="234">
        <v>0</v>
      </c>
      <c r="K287" s="231">
        <v>0</v>
      </c>
      <c r="L287" s="234">
        <v>0</v>
      </c>
      <c r="M287" s="231">
        <v>0</v>
      </c>
      <c r="N287" s="234">
        <v>0</v>
      </c>
      <c r="O287" s="231">
        <v>0</v>
      </c>
      <c r="P287" s="234">
        <v>0</v>
      </c>
      <c r="Q287" s="231">
        <v>0</v>
      </c>
      <c r="R287" s="234">
        <v>0</v>
      </c>
      <c r="S287" s="231">
        <v>0</v>
      </c>
      <c r="T287" s="234">
        <v>0</v>
      </c>
      <c r="U287" s="231">
        <v>0</v>
      </c>
      <c r="V287" s="234">
        <v>0</v>
      </c>
      <c r="W287" s="231">
        <v>0</v>
      </c>
      <c r="X287" s="234">
        <v>0</v>
      </c>
      <c r="Y287" s="231">
        <v>0</v>
      </c>
      <c r="Z287" s="234">
        <v>0</v>
      </c>
      <c r="AA287" s="231">
        <v>0</v>
      </c>
      <c r="AB287" s="234">
        <v>0</v>
      </c>
      <c r="AC287" s="238">
        <f t="shared" si="123"/>
        <v>0</v>
      </c>
      <c r="AD287" s="238"/>
      <c r="AE287" s="238"/>
    </row>
    <row r="288" spans="2:31" x14ac:dyDescent="0.3">
      <c r="B288" s="245" t="s">
        <v>25</v>
      </c>
      <c r="C288" s="245"/>
      <c r="D288" s="245"/>
      <c r="E288" s="231">
        <v>0</v>
      </c>
      <c r="F288" s="234">
        <v>0</v>
      </c>
      <c r="G288" s="231">
        <v>0</v>
      </c>
      <c r="H288" s="234">
        <v>0</v>
      </c>
      <c r="I288" s="231">
        <v>0</v>
      </c>
      <c r="J288" s="234">
        <v>0</v>
      </c>
      <c r="K288" s="231">
        <v>0</v>
      </c>
      <c r="L288" s="234">
        <v>0</v>
      </c>
      <c r="M288" s="231">
        <v>0</v>
      </c>
      <c r="N288" s="234">
        <v>0</v>
      </c>
      <c r="O288" s="231">
        <v>0</v>
      </c>
      <c r="P288" s="234">
        <v>0</v>
      </c>
      <c r="Q288" s="231">
        <v>0</v>
      </c>
      <c r="R288" s="234">
        <v>0</v>
      </c>
      <c r="S288" s="231">
        <v>0</v>
      </c>
      <c r="T288" s="234">
        <v>0</v>
      </c>
      <c r="U288" s="231">
        <v>0</v>
      </c>
      <c r="V288" s="234">
        <v>0</v>
      </c>
      <c r="W288" s="231">
        <v>0</v>
      </c>
      <c r="X288" s="234">
        <v>0</v>
      </c>
      <c r="Y288" s="231">
        <v>0</v>
      </c>
      <c r="Z288" s="234">
        <v>0</v>
      </c>
      <c r="AA288" s="231">
        <v>0</v>
      </c>
      <c r="AB288" s="234">
        <v>0</v>
      </c>
      <c r="AC288" s="238">
        <f t="shared" si="123"/>
        <v>0</v>
      </c>
      <c r="AD288" s="238"/>
      <c r="AE288" s="238"/>
    </row>
    <row r="289" spans="2:31" x14ac:dyDescent="0.3">
      <c r="B289" s="245" t="s">
        <v>26</v>
      </c>
      <c r="C289" s="245"/>
      <c r="D289" s="245"/>
      <c r="E289" s="231">
        <v>0</v>
      </c>
      <c r="F289" s="234">
        <v>0</v>
      </c>
      <c r="G289" s="231">
        <v>0</v>
      </c>
      <c r="H289" s="234">
        <v>0</v>
      </c>
      <c r="I289" s="231">
        <v>0</v>
      </c>
      <c r="J289" s="234">
        <v>0</v>
      </c>
      <c r="K289" s="231">
        <v>0</v>
      </c>
      <c r="L289" s="234">
        <v>0</v>
      </c>
      <c r="M289" s="231">
        <v>0</v>
      </c>
      <c r="N289" s="234">
        <v>0</v>
      </c>
      <c r="O289" s="231">
        <v>0</v>
      </c>
      <c r="P289" s="234">
        <v>0</v>
      </c>
      <c r="Q289" s="231">
        <v>0</v>
      </c>
      <c r="R289" s="234">
        <v>0</v>
      </c>
      <c r="S289" s="231">
        <v>0</v>
      </c>
      <c r="T289" s="234">
        <v>0</v>
      </c>
      <c r="U289" s="231">
        <v>0</v>
      </c>
      <c r="V289" s="234">
        <v>0</v>
      </c>
      <c r="W289" s="231">
        <v>0</v>
      </c>
      <c r="X289" s="234">
        <v>0</v>
      </c>
      <c r="Y289" s="231">
        <v>0</v>
      </c>
      <c r="Z289" s="234">
        <v>0</v>
      </c>
      <c r="AA289" s="231">
        <v>0</v>
      </c>
      <c r="AB289" s="234">
        <v>0</v>
      </c>
      <c r="AC289" s="238">
        <f t="shared" si="123"/>
        <v>0</v>
      </c>
      <c r="AD289" s="238"/>
      <c r="AE289" s="238"/>
    </row>
    <row r="290" spans="2:31" x14ac:dyDescent="0.3">
      <c r="B290" s="245" t="s">
        <v>27</v>
      </c>
      <c r="C290" s="245"/>
      <c r="D290" s="245"/>
      <c r="E290" s="231">
        <v>0</v>
      </c>
      <c r="F290" s="234">
        <v>0</v>
      </c>
      <c r="G290" s="231">
        <v>0</v>
      </c>
      <c r="H290" s="234">
        <v>0</v>
      </c>
      <c r="I290" s="231">
        <v>0</v>
      </c>
      <c r="J290" s="234">
        <v>0</v>
      </c>
      <c r="K290" s="231">
        <v>0</v>
      </c>
      <c r="L290" s="234">
        <v>0</v>
      </c>
      <c r="M290" s="231">
        <v>0</v>
      </c>
      <c r="N290" s="234">
        <v>0</v>
      </c>
      <c r="O290" s="231">
        <v>0</v>
      </c>
      <c r="P290" s="234">
        <v>0</v>
      </c>
      <c r="Q290" s="231">
        <v>0</v>
      </c>
      <c r="R290" s="234">
        <v>0</v>
      </c>
      <c r="S290" s="231">
        <v>0</v>
      </c>
      <c r="T290" s="234">
        <v>0</v>
      </c>
      <c r="U290" s="231">
        <v>0</v>
      </c>
      <c r="V290" s="234">
        <v>0</v>
      </c>
      <c r="W290" s="231">
        <v>0</v>
      </c>
      <c r="X290" s="234">
        <v>0</v>
      </c>
      <c r="Y290" s="231">
        <v>0</v>
      </c>
      <c r="Z290" s="234">
        <v>0</v>
      </c>
      <c r="AA290" s="231">
        <v>0</v>
      </c>
      <c r="AB290" s="234">
        <v>0</v>
      </c>
      <c r="AC290" s="238">
        <f t="shared" si="123"/>
        <v>0</v>
      </c>
      <c r="AD290" s="238"/>
      <c r="AE290" s="238"/>
    </row>
    <row r="291" spans="2:31" x14ac:dyDescent="0.3">
      <c r="B291" s="245" t="s">
        <v>28</v>
      </c>
      <c r="C291" s="245"/>
      <c r="D291" s="245"/>
      <c r="E291" s="231">
        <v>0</v>
      </c>
      <c r="F291" s="234">
        <v>0</v>
      </c>
      <c r="G291" s="231">
        <v>0</v>
      </c>
      <c r="H291" s="234">
        <v>0</v>
      </c>
      <c r="I291" s="231">
        <v>0</v>
      </c>
      <c r="J291" s="234">
        <v>0</v>
      </c>
      <c r="K291" s="231">
        <v>0</v>
      </c>
      <c r="L291" s="234">
        <v>0</v>
      </c>
      <c r="M291" s="231">
        <v>0</v>
      </c>
      <c r="N291" s="234">
        <v>0</v>
      </c>
      <c r="O291" s="231">
        <v>0</v>
      </c>
      <c r="P291" s="234">
        <v>0</v>
      </c>
      <c r="Q291" s="231">
        <v>0</v>
      </c>
      <c r="R291" s="234">
        <v>0</v>
      </c>
      <c r="S291" s="231">
        <v>0</v>
      </c>
      <c r="T291" s="234">
        <v>0</v>
      </c>
      <c r="U291" s="231">
        <v>0</v>
      </c>
      <c r="V291" s="234">
        <v>0</v>
      </c>
      <c r="W291" s="231">
        <v>0</v>
      </c>
      <c r="X291" s="234">
        <v>0</v>
      </c>
      <c r="Y291" s="231">
        <v>0</v>
      </c>
      <c r="Z291" s="234">
        <v>0</v>
      </c>
      <c r="AA291" s="231">
        <v>0</v>
      </c>
      <c r="AB291" s="234">
        <v>0</v>
      </c>
      <c r="AC291" s="238">
        <f t="shared" si="123"/>
        <v>0</v>
      </c>
      <c r="AD291" s="238"/>
      <c r="AE291" s="238"/>
    </row>
    <row r="292" spans="2:31" x14ac:dyDescent="0.3">
      <c r="B292" s="245" t="s">
        <v>92</v>
      </c>
      <c r="C292" s="245"/>
      <c r="D292" s="245"/>
      <c r="E292" s="231">
        <v>0</v>
      </c>
      <c r="F292" s="234">
        <v>0</v>
      </c>
      <c r="G292" s="231">
        <v>0</v>
      </c>
      <c r="H292" s="234">
        <v>0</v>
      </c>
      <c r="I292" s="231">
        <v>0</v>
      </c>
      <c r="J292" s="234">
        <v>0</v>
      </c>
      <c r="K292" s="231">
        <v>0</v>
      </c>
      <c r="L292" s="234">
        <v>0</v>
      </c>
      <c r="M292" s="231">
        <v>0</v>
      </c>
      <c r="N292" s="234">
        <v>0</v>
      </c>
      <c r="O292" s="231">
        <v>0</v>
      </c>
      <c r="P292" s="234">
        <v>0</v>
      </c>
      <c r="Q292" s="231">
        <v>0</v>
      </c>
      <c r="R292" s="234">
        <v>0</v>
      </c>
      <c r="S292" s="231">
        <v>0</v>
      </c>
      <c r="T292" s="234">
        <v>0</v>
      </c>
      <c r="U292" s="231">
        <v>0</v>
      </c>
      <c r="V292" s="234">
        <v>0</v>
      </c>
      <c r="W292" s="231">
        <v>0</v>
      </c>
      <c r="X292" s="234">
        <v>0</v>
      </c>
      <c r="Y292" s="231">
        <v>0</v>
      </c>
      <c r="Z292" s="234">
        <v>0</v>
      </c>
      <c r="AA292" s="231">
        <v>0</v>
      </c>
      <c r="AB292" s="234">
        <v>0</v>
      </c>
      <c r="AC292" s="238">
        <f t="shared" si="123"/>
        <v>0</v>
      </c>
      <c r="AD292" s="238"/>
      <c r="AE292" s="238"/>
    </row>
    <row r="293" spans="2:31" x14ac:dyDescent="0.3">
      <c r="B293" s="245" t="s">
        <v>29</v>
      </c>
      <c r="C293" s="245"/>
      <c r="D293" s="245"/>
      <c r="E293" s="231">
        <v>0</v>
      </c>
      <c r="F293" s="234">
        <v>0</v>
      </c>
      <c r="G293" s="231">
        <v>0</v>
      </c>
      <c r="H293" s="234">
        <v>0</v>
      </c>
      <c r="I293" s="231">
        <v>0</v>
      </c>
      <c r="J293" s="234">
        <v>0</v>
      </c>
      <c r="K293" s="231">
        <v>0</v>
      </c>
      <c r="L293" s="234">
        <v>0</v>
      </c>
      <c r="M293" s="231">
        <v>0</v>
      </c>
      <c r="N293" s="234">
        <v>0</v>
      </c>
      <c r="O293" s="231">
        <v>0</v>
      </c>
      <c r="P293" s="234">
        <v>0</v>
      </c>
      <c r="Q293" s="231">
        <v>0</v>
      </c>
      <c r="R293" s="234">
        <v>0</v>
      </c>
      <c r="S293" s="231">
        <v>0</v>
      </c>
      <c r="T293" s="234">
        <v>0</v>
      </c>
      <c r="U293" s="231">
        <v>0</v>
      </c>
      <c r="V293" s="234">
        <v>0</v>
      </c>
      <c r="W293" s="231">
        <v>0</v>
      </c>
      <c r="X293" s="234">
        <v>0</v>
      </c>
      <c r="Y293" s="231">
        <v>0</v>
      </c>
      <c r="Z293" s="234">
        <v>0</v>
      </c>
      <c r="AA293" s="231">
        <v>0</v>
      </c>
      <c r="AB293" s="234">
        <v>0</v>
      </c>
      <c r="AC293" s="238">
        <f t="shared" si="123"/>
        <v>0</v>
      </c>
      <c r="AD293" s="238"/>
      <c r="AE293" s="238"/>
    </row>
    <row r="294" spans="2:31" x14ac:dyDescent="0.3">
      <c r="B294" s="245" t="s">
        <v>30</v>
      </c>
      <c r="C294" s="245"/>
      <c r="D294" s="245"/>
      <c r="E294" s="231">
        <v>0</v>
      </c>
      <c r="F294" s="234">
        <v>0</v>
      </c>
      <c r="G294" s="231">
        <v>0</v>
      </c>
      <c r="H294" s="234">
        <v>0</v>
      </c>
      <c r="I294" s="231">
        <v>0</v>
      </c>
      <c r="J294" s="234">
        <v>0</v>
      </c>
      <c r="K294" s="231">
        <v>0</v>
      </c>
      <c r="L294" s="234">
        <v>0</v>
      </c>
      <c r="M294" s="231">
        <v>0</v>
      </c>
      <c r="N294" s="234">
        <v>0</v>
      </c>
      <c r="O294" s="231">
        <v>0</v>
      </c>
      <c r="P294" s="234">
        <v>0</v>
      </c>
      <c r="Q294" s="231">
        <v>0</v>
      </c>
      <c r="R294" s="234">
        <v>0</v>
      </c>
      <c r="S294" s="231">
        <v>0</v>
      </c>
      <c r="T294" s="234">
        <v>0</v>
      </c>
      <c r="U294" s="231">
        <v>0</v>
      </c>
      <c r="V294" s="234">
        <v>0</v>
      </c>
      <c r="W294" s="231">
        <v>0</v>
      </c>
      <c r="X294" s="234">
        <v>0</v>
      </c>
      <c r="Y294" s="231">
        <v>0</v>
      </c>
      <c r="Z294" s="234">
        <v>0</v>
      </c>
      <c r="AA294" s="231">
        <v>0</v>
      </c>
      <c r="AB294" s="234">
        <v>0</v>
      </c>
      <c r="AC294" s="238">
        <f t="shared" si="123"/>
        <v>0</v>
      </c>
      <c r="AD294" s="238"/>
      <c r="AE294" s="238"/>
    </row>
    <row r="295" spans="2:31" x14ac:dyDescent="0.3">
      <c r="B295" s="245" t="s">
        <v>31</v>
      </c>
      <c r="C295" s="245"/>
      <c r="D295" s="245"/>
      <c r="E295" s="231">
        <v>0</v>
      </c>
      <c r="F295" s="234">
        <v>0</v>
      </c>
      <c r="G295" s="231">
        <v>0</v>
      </c>
      <c r="H295" s="234">
        <v>0</v>
      </c>
      <c r="I295" s="231">
        <v>0</v>
      </c>
      <c r="J295" s="234">
        <v>0</v>
      </c>
      <c r="K295" s="231">
        <v>0</v>
      </c>
      <c r="L295" s="234">
        <v>0</v>
      </c>
      <c r="M295" s="231">
        <v>0</v>
      </c>
      <c r="N295" s="234">
        <v>0</v>
      </c>
      <c r="O295" s="231">
        <v>0</v>
      </c>
      <c r="P295" s="234">
        <v>0</v>
      </c>
      <c r="Q295" s="231">
        <v>0</v>
      </c>
      <c r="R295" s="234">
        <v>0</v>
      </c>
      <c r="S295" s="231">
        <v>0</v>
      </c>
      <c r="T295" s="234">
        <v>0</v>
      </c>
      <c r="U295" s="231">
        <v>0</v>
      </c>
      <c r="V295" s="234">
        <v>0</v>
      </c>
      <c r="W295" s="231">
        <v>0</v>
      </c>
      <c r="X295" s="234">
        <v>0</v>
      </c>
      <c r="Y295" s="231">
        <v>0</v>
      </c>
      <c r="Z295" s="234">
        <v>0</v>
      </c>
      <c r="AA295" s="231">
        <v>0</v>
      </c>
      <c r="AB295" s="234">
        <v>0</v>
      </c>
      <c r="AC295" s="238">
        <f t="shared" si="123"/>
        <v>0</v>
      </c>
      <c r="AD295" s="238"/>
      <c r="AE295" s="238"/>
    </row>
    <row r="296" spans="2:31" x14ac:dyDescent="0.3">
      <c r="B296" s="245" t="s">
        <v>32</v>
      </c>
      <c r="C296" s="245"/>
      <c r="D296" s="245"/>
      <c r="E296" s="231">
        <v>0</v>
      </c>
      <c r="F296" s="234">
        <v>0</v>
      </c>
      <c r="G296" s="231">
        <v>0</v>
      </c>
      <c r="H296" s="234">
        <v>0</v>
      </c>
      <c r="I296" s="231">
        <v>0</v>
      </c>
      <c r="J296" s="234">
        <v>0</v>
      </c>
      <c r="K296" s="231">
        <v>0</v>
      </c>
      <c r="L296" s="234">
        <v>0</v>
      </c>
      <c r="M296" s="231">
        <v>0</v>
      </c>
      <c r="N296" s="234">
        <v>0</v>
      </c>
      <c r="O296" s="231">
        <v>0</v>
      </c>
      <c r="P296" s="234">
        <v>0</v>
      </c>
      <c r="Q296" s="231">
        <v>0</v>
      </c>
      <c r="R296" s="234">
        <v>0</v>
      </c>
      <c r="S296" s="231">
        <v>0</v>
      </c>
      <c r="T296" s="234">
        <v>0</v>
      </c>
      <c r="U296" s="231">
        <v>0</v>
      </c>
      <c r="V296" s="234">
        <v>0</v>
      </c>
      <c r="W296" s="231">
        <v>0</v>
      </c>
      <c r="X296" s="234">
        <v>0</v>
      </c>
      <c r="Y296" s="231">
        <v>0</v>
      </c>
      <c r="Z296" s="234">
        <v>0</v>
      </c>
      <c r="AA296" s="231">
        <v>0</v>
      </c>
      <c r="AB296" s="234">
        <v>0</v>
      </c>
      <c r="AC296" s="238">
        <f t="shared" si="123"/>
        <v>0</v>
      </c>
      <c r="AD296" s="238"/>
      <c r="AE296" s="238"/>
    </row>
    <row r="297" spans="2:31" x14ac:dyDescent="0.3">
      <c r="B297" s="245" t="s">
        <v>33</v>
      </c>
      <c r="C297" s="245"/>
      <c r="D297" s="245"/>
      <c r="E297" s="231">
        <v>0</v>
      </c>
      <c r="F297" s="234">
        <v>0</v>
      </c>
      <c r="G297" s="231">
        <v>0</v>
      </c>
      <c r="H297" s="234">
        <v>0</v>
      </c>
      <c r="I297" s="231">
        <v>0</v>
      </c>
      <c r="J297" s="234">
        <v>0</v>
      </c>
      <c r="K297" s="231">
        <v>0</v>
      </c>
      <c r="L297" s="234">
        <v>0</v>
      </c>
      <c r="M297" s="231">
        <v>0</v>
      </c>
      <c r="N297" s="234">
        <v>0</v>
      </c>
      <c r="O297" s="231">
        <v>0</v>
      </c>
      <c r="P297" s="234">
        <v>0</v>
      </c>
      <c r="Q297" s="231">
        <v>0</v>
      </c>
      <c r="R297" s="234">
        <v>0</v>
      </c>
      <c r="S297" s="231">
        <v>0</v>
      </c>
      <c r="T297" s="234">
        <v>0</v>
      </c>
      <c r="U297" s="231">
        <v>0</v>
      </c>
      <c r="V297" s="234">
        <v>0</v>
      </c>
      <c r="W297" s="231">
        <v>0</v>
      </c>
      <c r="X297" s="234">
        <v>0</v>
      </c>
      <c r="Y297" s="231">
        <v>0</v>
      </c>
      <c r="Z297" s="234">
        <v>0</v>
      </c>
      <c r="AA297" s="231">
        <v>0</v>
      </c>
      <c r="AB297" s="234">
        <v>0</v>
      </c>
      <c r="AC297" s="238">
        <f t="shared" si="123"/>
        <v>0</v>
      </c>
      <c r="AD297" s="238"/>
      <c r="AE297" s="238"/>
    </row>
    <row r="298" spans="2:31" x14ac:dyDescent="0.3">
      <c r="B298" s="245" t="s">
        <v>34</v>
      </c>
      <c r="C298" s="245"/>
      <c r="D298" s="245"/>
      <c r="E298" s="231">
        <v>0</v>
      </c>
      <c r="F298" s="234">
        <v>0</v>
      </c>
      <c r="G298" s="231">
        <v>0</v>
      </c>
      <c r="H298" s="234">
        <v>0</v>
      </c>
      <c r="I298" s="231">
        <v>0</v>
      </c>
      <c r="J298" s="234">
        <v>0</v>
      </c>
      <c r="K298" s="231">
        <v>0</v>
      </c>
      <c r="L298" s="234">
        <v>0</v>
      </c>
      <c r="M298" s="231">
        <v>0</v>
      </c>
      <c r="N298" s="234">
        <v>0</v>
      </c>
      <c r="O298" s="231">
        <v>0</v>
      </c>
      <c r="P298" s="234">
        <v>0</v>
      </c>
      <c r="Q298" s="231">
        <v>0</v>
      </c>
      <c r="R298" s="234">
        <v>0</v>
      </c>
      <c r="S298" s="231">
        <v>0</v>
      </c>
      <c r="T298" s="234">
        <v>0</v>
      </c>
      <c r="U298" s="231">
        <v>0</v>
      </c>
      <c r="V298" s="234">
        <v>0</v>
      </c>
      <c r="W298" s="231">
        <v>0</v>
      </c>
      <c r="X298" s="234">
        <v>0</v>
      </c>
      <c r="Y298" s="231">
        <v>0</v>
      </c>
      <c r="Z298" s="234">
        <v>0</v>
      </c>
      <c r="AA298" s="231">
        <v>0</v>
      </c>
      <c r="AB298" s="234">
        <v>0</v>
      </c>
      <c r="AC298" s="238">
        <f t="shared" si="123"/>
        <v>0</v>
      </c>
      <c r="AD298" s="238"/>
      <c r="AE298" s="238"/>
    </row>
    <row r="299" spans="2:31" x14ac:dyDescent="0.3">
      <c r="B299" s="245" t="s">
        <v>35</v>
      </c>
      <c r="C299" s="245"/>
      <c r="D299" s="245"/>
      <c r="E299" s="231">
        <v>0</v>
      </c>
      <c r="F299" s="234">
        <v>0</v>
      </c>
      <c r="G299" s="231">
        <v>0</v>
      </c>
      <c r="H299" s="234">
        <v>0</v>
      </c>
      <c r="I299" s="231">
        <v>0</v>
      </c>
      <c r="J299" s="234">
        <v>0</v>
      </c>
      <c r="K299" s="231">
        <v>0</v>
      </c>
      <c r="L299" s="234">
        <v>0</v>
      </c>
      <c r="M299" s="231">
        <v>0</v>
      </c>
      <c r="N299" s="234">
        <v>0</v>
      </c>
      <c r="O299" s="231">
        <v>0</v>
      </c>
      <c r="P299" s="234">
        <v>0</v>
      </c>
      <c r="Q299" s="231">
        <v>0</v>
      </c>
      <c r="R299" s="234">
        <v>0</v>
      </c>
      <c r="S299" s="231">
        <v>0</v>
      </c>
      <c r="T299" s="234">
        <v>0</v>
      </c>
      <c r="U299" s="231">
        <v>0</v>
      </c>
      <c r="V299" s="234">
        <v>0</v>
      </c>
      <c r="W299" s="231">
        <v>0</v>
      </c>
      <c r="X299" s="234">
        <v>0</v>
      </c>
      <c r="Y299" s="231">
        <v>0</v>
      </c>
      <c r="Z299" s="234">
        <v>0</v>
      </c>
      <c r="AA299" s="231">
        <v>0</v>
      </c>
      <c r="AB299" s="234">
        <v>0</v>
      </c>
      <c r="AC299" s="238">
        <f t="shared" si="123"/>
        <v>0</v>
      </c>
      <c r="AD299" s="238"/>
      <c r="AE299" s="238"/>
    </row>
    <row r="300" spans="2:31" x14ac:dyDescent="0.3">
      <c r="B300" s="245" t="s">
        <v>36</v>
      </c>
      <c r="C300" s="245"/>
      <c r="D300" s="245"/>
      <c r="E300" s="231">
        <v>0</v>
      </c>
      <c r="F300" s="234">
        <v>0</v>
      </c>
      <c r="G300" s="231">
        <v>0</v>
      </c>
      <c r="H300" s="234">
        <v>0</v>
      </c>
      <c r="I300" s="231">
        <v>0</v>
      </c>
      <c r="J300" s="234">
        <v>0</v>
      </c>
      <c r="K300" s="231">
        <v>0</v>
      </c>
      <c r="L300" s="234">
        <v>0</v>
      </c>
      <c r="M300" s="231">
        <v>0</v>
      </c>
      <c r="N300" s="234">
        <v>0</v>
      </c>
      <c r="O300" s="231">
        <v>0</v>
      </c>
      <c r="P300" s="234">
        <v>0</v>
      </c>
      <c r="Q300" s="231">
        <v>0</v>
      </c>
      <c r="R300" s="234">
        <v>0</v>
      </c>
      <c r="S300" s="231">
        <v>0</v>
      </c>
      <c r="T300" s="234">
        <v>0</v>
      </c>
      <c r="U300" s="231">
        <v>0</v>
      </c>
      <c r="V300" s="234">
        <v>0</v>
      </c>
      <c r="W300" s="231">
        <v>0</v>
      </c>
      <c r="X300" s="234">
        <v>0</v>
      </c>
      <c r="Y300" s="231">
        <v>0</v>
      </c>
      <c r="Z300" s="234">
        <v>0</v>
      </c>
      <c r="AA300" s="231">
        <v>0</v>
      </c>
      <c r="AB300" s="234">
        <v>0</v>
      </c>
      <c r="AC300" s="238">
        <f t="shared" si="123"/>
        <v>0</v>
      </c>
      <c r="AD300" s="238"/>
      <c r="AE300" s="238"/>
    </row>
    <row r="301" spans="2:31" x14ac:dyDescent="0.3">
      <c r="B301" s="13" t="s">
        <v>89</v>
      </c>
      <c r="C301" s="13"/>
      <c r="D301" s="13"/>
      <c r="E301" s="231">
        <v>0</v>
      </c>
      <c r="F301" s="234">
        <v>0</v>
      </c>
      <c r="G301" s="231">
        <v>0</v>
      </c>
      <c r="H301" s="234">
        <v>0</v>
      </c>
      <c r="I301" s="231">
        <v>0</v>
      </c>
      <c r="J301" s="234">
        <v>0</v>
      </c>
      <c r="K301" s="231">
        <v>0</v>
      </c>
      <c r="L301" s="234">
        <v>0</v>
      </c>
      <c r="M301" s="231">
        <v>0</v>
      </c>
      <c r="N301" s="234">
        <v>0</v>
      </c>
      <c r="O301" s="231">
        <v>0</v>
      </c>
      <c r="P301" s="234">
        <v>0</v>
      </c>
      <c r="Q301" s="231">
        <v>0</v>
      </c>
      <c r="R301" s="234">
        <v>0</v>
      </c>
      <c r="S301" s="231">
        <v>0</v>
      </c>
      <c r="T301" s="234">
        <v>0</v>
      </c>
      <c r="U301" s="231">
        <v>0</v>
      </c>
      <c r="V301" s="234">
        <v>0</v>
      </c>
      <c r="W301" s="231">
        <v>0</v>
      </c>
      <c r="X301" s="234">
        <v>0</v>
      </c>
      <c r="Y301" s="231">
        <v>0</v>
      </c>
      <c r="Z301" s="234">
        <v>0</v>
      </c>
      <c r="AA301" s="231">
        <v>0</v>
      </c>
      <c r="AB301" s="234">
        <v>0</v>
      </c>
      <c r="AC301" s="238">
        <f t="shared" si="123"/>
        <v>0</v>
      </c>
      <c r="AD301" s="238"/>
      <c r="AE301" s="238"/>
    </row>
    <row r="302" spans="2:31" x14ac:dyDescent="0.3">
      <c r="B302" s="13" t="s">
        <v>90</v>
      </c>
      <c r="C302" s="13"/>
      <c r="D302" s="13"/>
      <c r="E302" s="231">
        <v>0</v>
      </c>
      <c r="F302" s="234">
        <v>0</v>
      </c>
      <c r="G302" s="231">
        <v>0</v>
      </c>
      <c r="H302" s="234">
        <v>0</v>
      </c>
      <c r="I302" s="231">
        <v>0</v>
      </c>
      <c r="J302" s="234">
        <v>0</v>
      </c>
      <c r="K302" s="231">
        <v>0</v>
      </c>
      <c r="L302" s="234">
        <v>0</v>
      </c>
      <c r="M302" s="231">
        <v>0</v>
      </c>
      <c r="N302" s="234">
        <v>0</v>
      </c>
      <c r="O302" s="231">
        <v>0</v>
      </c>
      <c r="P302" s="234">
        <v>0</v>
      </c>
      <c r="Q302" s="231">
        <v>0</v>
      </c>
      <c r="R302" s="234">
        <v>0</v>
      </c>
      <c r="S302" s="231">
        <v>0</v>
      </c>
      <c r="T302" s="234">
        <v>0</v>
      </c>
      <c r="U302" s="231">
        <v>0</v>
      </c>
      <c r="V302" s="234">
        <v>0</v>
      </c>
      <c r="W302" s="231">
        <v>0</v>
      </c>
      <c r="X302" s="234">
        <v>0</v>
      </c>
      <c r="Y302" s="231">
        <v>0</v>
      </c>
      <c r="Z302" s="234">
        <v>0</v>
      </c>
      <c r="AA302" s="231">
        <v>0</v>
      </c>
      <c r="AB302" s="234">
        <v>0</v>
      </c>
      <c r="AC302" s="238">
        <f t="shared" si="123"/>
        <v>0</v>
      </c>
      <c r="AD302" s="238"/>
      <c r="AE302" s="238"/>
    </row>
    <row r="303" spans="2:31" x14ac:dyDescent="0.3">
      <c r="B303" s="14" t="s">
        <v>2</v>
      </c>
      <c r="C303" s="14"/>
      <c r="D303" s="14"/>
      <c r="E303" s="15">
        <f>SUM(E266:E302)</f>
        <v>0</v>
      </c>
      <c r="F303" s="15">
        <f t="shared" ref="F303" si="124">SUM(F266:F302)</f>
        <v>0</v>
      </c>
      <c r="G303" s="15">
        <f t="shared" ref="G303" si="125">SUM(G266:G302)</f>
        <v>0</v>
      </c>
      <c r="H303" s="15">
        <f t="shared" ref="H303" si="126">SUM(H266:H302)</f>
        <v>0</v>
      </c>
      <c r="I303" s="15">
        <f t="shared" ref="I303" si="127">SUM(I266:I302)</f>
        <v>0</v>
      </c>
      <c r="J303" s="15">
        <f t="shared" ref="J303" si="128">SUM(J266:J302)</f>
        <v>0</v>
      </c>
      <c r="K303" s="15">
        <f t="shared" ref="K303" si="129">SUM(K266:K302)</f>
        <v>0</v>
      </c>
      <c r="L303" s="15">
        <f t="shared" ref="L303" si="130">SUM(L266:L302)</f>
        <v>0</v>
      </c>
      <c r="M303" s="15">
        <f t="shared" ref="M303" si="131">SUM(M266:M302)</f>
        <v>0</v>
      </c>
      <c r="N303" s="15">
        <f t="shared" ref="N303" si="132">SUM(N266:N302)</f>
        <v>0</v>
      </c>
      <c r="O303" s="15">
        <f t="shared" ref="O303" si="133">SUM(O266:O302)</f>
        <v>0</v>
      </c>
      <c r="P303" s="15">
        <f t="shared" ref="P303" si="134">SUM(P266:P302)</f>
        <v>0</v>
      </c>
      <c r="Q303" s="15">
        <f t="shared" ref="Q303" si="135">SUM(Q266:Q302)</f>
        <v>0</v>
      </c>
      <c r="R303" s="15">
        <f t="shared" ref="R303" si="136">SUM(R266:R302)</f>
        <v>7.6139999999999972</v>
      </c>
      <c r="S303" s="15">
        <f t="shared" ref="S303" si="137">SUM(S266:S302)</f>
        <v>0</v>
      </c>
      <c r="T303" s="15">
        <f t="shared" ref="T303" si="138">SUM(T266:T302)</f>
        <v>5.7973333333333299</v>
      </c>
      <c r="U303" s="15">
        <f t="shared" ref="U303" si="139">SUM(U266:U302)</f>
        <v>53.469000000000001</v>
      </c>
      <c r="V303" s="15">
        <f t="shared" ref="V303" si="140">SUM(V266:V302)</f>
        <v>183.25283333333331</v>
      </c>
      <c r="W303" s="15">
        <f t="shared" ref="W303" si="141">SUM(W266:W302)</f>
        <v>170.75233333333335</v>
      </c>
      <c r="X303" s="15">
        <f t="shared" ref="X303" si="142">SUM(X266:X302)</f>
        <v>36.589999999999982</v>
      </c>
      <c r="Y303" s="15">
        <f t="shared" ref="Y303" si="143">SUM(Y266:Y302)</f>
        <v>0</v>
      </c>
      <c r="Z303" s="15">
        <f t="shared" ref="Z303" si="144">SUM(Z266:Z302)</f>
        <v>0</v>
      </c>
      <c r="AA303" s="15">
        <f t="shared" ref="AA303" si="145">SUM(AA266:AA302)</f>
        <v>0</v>
      </c>
      <c r="AB303" s="15">
        <f t="shared" ref="AB303" si="146">SUM(AB266:AB302)</f>
        <v>0</v>
      </c>
      <c r="AC303" s="249">
        <f>SUM(AC266:AE302)</f>
        <v>457.47550000000001</v>
      </c>
      <c r="AD303" s="249"/>
      <c r="AE303" s="249"/>
    </row>
    <row r="304" spans="2:31" x14ac:dyDescent="0.3">
      <c r="B304" s="16"/>
      <c r="C304" s="17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2:31" x14ac:dyDescent="0.3">
      <c r="B305" s="16"/>
      <c r="C305" s="17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2:31" x14ac:dyDescent="0.3">
      <c r="B306" s="8">
        <f>'Resumen-Mensual'!$L$22</f>
        <v>44569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4"/>
      <c r="AD306" s="4"/>
      <c r="AE306" s="4"/>
    </row>
    <row r="307" spans="2:31" x14ac:dyDescent="0.3">
      <c r="B307" s="8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4"/>
      <c r="AD307" s="4"/>
      <c r="AE307" s="4"/>
    </row>
    <row r="308" spans="2:31" x14ac:dyDescent="0.3">
      <c r="B308" s="9" t="s">
        <v>81</v>
      </c>
      <c r="C308" s="10"/>
      <c r="D308" s="10"/>
      <c r="E308" s="11">
        <v>1</v>
      </c>
      <c r="F308" s="11">
        <v>2</v>
      </c>
      <c r="G308" s="11">
        <v>3</v>
      </c>
      <c r="H308" s="11">
        <v>4</v>
      </c>
      <c r="I308" s="11">
        <v>5</v>
      </c>
      <c r="J308" s="11">
        <v>6</v>
      </c>
      <c r="K308" s="11">
        <v>7</v>
      </c>
      <c r="L308" s="11">
        <v>8</v>
      </c>
      <c r="M308" s="11">
        <v>9</v>
      </c>
      <c r="N308" s="11">
        <v>10</v>
      </c>
      <c r="O308" s="11">
        <v>11</v>
      </c>
      <c r="P308" s="11">
        <v>12</v>
      </c>
      <c r="Q308" s="11">
        <v>13</v>
      </c>
      <c r="R308" s="11">
        <v>14</v>
      </c>
      <c r="S308" s="11">
        <v>15</v>
      </c>
      <c r="T308" s="11">
        <v>16</v>
      </c>
      <c r="U308" s="11">
        <v>17</v>
      </c>
      <c r="V308" s="11">
        <v>18</v>
      </c>
      <c r="W308" s="11">
        <v>19</v>
      </c>
      <c r="X308" s="11">
        <v>20</v>
      </c>
      <c r="Y308" s="11">
        <v>21</v>
      </c>
      <c r="Z308" s="11">
        <v>22</v>
      </c>
      <c r="AA308" s="11">
        <v>23</v>
      </c>
      <c r="AB308" s="11">
        <v>24</v>
      </c>
      <c r="AC308" s="248" t="s">
        <v>2</v>
      </c>
      <c r="AD308" s="248"/>
      <c r="AE308" s="248"/>
    </row>
    <row r="309" spans="2:31" x14ac:dyDescent="0.3">
      <c r="B309" s="245" t="s">
        <v>4</v>
      </c>
      <c r="C309" s="245"/>
      <c r="D309" s="245"/>
      <c r="E309" s="69">
        <v>0</v>
      </c>
      <c r="F309" s="70">
        <v>0</v>
      </c>
      <c r="G309" s="69">
        <v>0</v>
      </c>
      <c r="H309" s="70">
        <v>0</v>
      </c>
      <c r="I309" s="69">
        <v>0</v>
      </c>
      <c r="J309" s="70">
        <v>0</v>
      </c>
      <c r="K309" s="69">
        <v>0</v>
      </c>
      <c r="L309" s="70">
        <v>0</v>
      </c>
      <c r="M309" s="69">
        <v>0</v>
      </c>
      <c r="N309" s="70">
        <v>0</v>
      </c>
      <c r="O309" s="69">
        <v>0</v>
      </c>
      <c r="P309" s="70">
        <v>0</v>
      </c>
      <c r="Q309" s="69">
        <v>0</v>
      </c>
      <c r="R309" s="70">
        <v>0</v>
      </c>
      <c r="S309" s="69">
        <v>0</v>
      </c>
      <c r="T309" s="70">
        <v>0</v>
      </c>
      <c r="U309" s="69">
        <v>0</v>
      </c>
      <c r="V309" s="70">
        <v>0</v>
      </c>
      <c r="W309" s="69">
        <v>0</v>
      </c>
      <c r="X309" s="70">
        <v>0</v>
      </c>
      <c r="Y309" s="69">
        <v>0</v>
      </c>
      <c r="Z309" s="70">
        <v>0</v>
      </c>
      <c r="AA309" s="69">
        <v>0</v>
      </c>
      <c r="AB309" s="70">
        <v>0</v>
      </c>
      <c r="AC309" s="238">
        <f>SUM(E309:AB309)</f>
        <v>0</v>
      </c>
      <c r="AD309" s="238"/>
      <c r="AE309" s="238"/>
    </row>
    <row r="310" spans="2:31" x14ac:dyDescent="0.3">
      <c r="B310" s="245" t="s">
        <v>5</v>
      </c>
      <c r="C310" s="245"/>
      <c r="D310" s="245"/>
      <c r="E310" s="68">
        <v>0</v>
      </c>
      <c r="F310" s="71">
        <v>0</v>
      </c>
      <c r="G310" s="68">
        <v>0</v>
      </c>
      <c r="H310" s="71">
        <v>0</v>
      </c>
      <c r="I310" s="68">
        <v>0</v>
      </c>
      <c r="J310" s="71">
        <v>0</v>
      </c>
      <c r="K310" s="68">
        <v>0</v>
      </c>
      <c r="L310" s="71">
        <v>0</v>
      </c>
      <c r="M310" s="68">
        <v>0</v>
      </c>
      <c r="N310" s="71">
        <v>0</v>
      </c>
      <c r="O310" s="68">
        <v>0</v>
      </c>
      <c r="P310" s="71">
        <v>0</v>
      </c>
      <c r="Q310" s="68">
        <v>0</v>
      </c>
      <c r="R310" s="71">
        <v>0</v>
      </c>
      <c r="S310" s="68">
        <v>0</v>
      </c>
      <c r="T310" s="71">
        <v>0</v>
      </c>
      <c r="U310" s="68">
        <v>0</v>
      </c>
      <c r="V310" s="71">
        <v>0</v>
      </c>
      <c r="W310" s="68">
        <v>0</v>
      </c>
      <c r="X310" s="71">
        <v>0</v>
      </c>
      <c r="Y310" s="68">
        <v>0</v>
      </c>
      <c r="Z310" s="71">
        <v>0</v>
      </c>
      <c r="AA310" s="68">
        <v>0</v>
      </c>
      <c r="AB310" s="71">
        <v>0</v>
      </c>
      <c r="AC310" s="238">
        <f t="shared" ref="AC310:AC345" si="147">SUM(E310:AB310)</f>
        <v>0</v>
      </c>
      <c r="AD310" s="238"/>
      <c r="AE310" s="238"/>
    </row>
    <row r="311" spans="2:31" x14ac:dyDescent="0.3">
      <c r="B311" s="245" t="s">
        <v>6</v>
      </c>
      <c r="C311" s="245"/>
      <c r="D311" s="245"/>
      <c r="E311" s="68">
        <v>0</v>
      </c>
      <c r="F311" s="71">
        <v>0</v>
      </c>
      <c r="G311" s="68">
        <v>0</v>
      </c>
      <c r="H311" s="71">
        <v>0</v>
      </c>
      <c r="I311" s="68">
        <v>0</v>
      </c>
      <c r="J311" s="71">
        <v>0</v>
      </c>
      <c r="K311" s="68">
        <v>0</v>
      </c>
      <c r="L311" s="71">
        <v>0</v>
      </c>
      <c r="M311" s="68">
        <v>0</v>
      </c>
      <c r="N311" s="71">
        <v>0</v>
      </c>
      <c r="O311" s="68">
        <v>0</v>
      </c>
      <c r="P311" s="71">
        <v>0</v>
      </c>
      <c r="Q311" s="68">
        <v>0</v>
      </c>
      <c r="R311" s="71">
        <v>0</v>
      </c>
      <c r="S311" s="68">
        <v>0</v>
      </c>
      <c r="T311" s="71">
        <v>8.0941666666666716</v>
      </c>
      <c r="U311" s="68">
        <v>26.524499999999989</v>
      </c>
      <c r="V311" s="71">
        <v>7.9995000000000003</v>
      </c>
      <c r="W311" s="68">
        <v>17.799999999999997</v>
      </c>
      <c r="X311" s="71">
        <v>8.466666666666665</v>
      </c>
      <c r="Y311" s="68">
        <v>0.5973333333333315</v>
      </c>
      <c r="Z311" s="71">
        <v>0</v>
      </c>
      <c r="AA311" s="68">
        <v>0</v>
      </c>
      <c r="AB311" s="71">
        <v>0</v>
      </c>
      <c r="AC311" s="238">
        <f t="shared" si="147"/>
        <v>69.482166666666643</v>
      </c>
      <c r="AD311" s="238"/>
      <c r="AE311" s="238"/>
    </row>
    <row r="312" spans="2:31" x14ac:dyDescent="0.3">
      <c r="B312" s="245" t="s">
        <v>91</v>
      </c>
      <c r="C312" s="245"/>
      <c r="D312" s="245"/>
      <c r="E312" s="68">
        <v>0</v>
      </c>
      <c r="F312" s="71">
        <v>0</v>
      </c>
      <c r="G312" s="68">
        <v>0</v>
      </c>
      <c r="H312" s="71">
        <v>0</v>
      </c>
      <c r="I312" s="68">
        <v>0</v>
      </c>
      <c r="J312" s="71">
        <v>0</v>
      </c>
      <c r="K312" s="68">
        <v>0</v>
      </c>
      <c r="L312" s="71">
        <v>0</v>
      </c>
      <c r="M312" s="68">
        <v>0</v>
      </c>
      <c r="N312" s="71">
        <v>0</v>
      </c>
      <c r="O312" s="68">
        <v>0</v>
      </c>
      <c r="P312" s="71">
        <v>0</v>
      </c>
      <c r="Q312" s="68">
        <v>0</v>
      </c>
      <c r="R312" s="71">
        <v>0</v>
      </c>
      <c r="S312" s="68">
        <v>0</v>
      </c>
      <c r="T312" s="71">
        <v>0</v>
      </c>
      <c r="U312" s="68">
        <v>0</v>
      </c>
      <c r="V312" s="71">
        <v>0</v>
      </c>
      <c r="W312" s="68">
        <v>0</v>
      </c>
      <c r="X312" s="71">
        <v>0</v>
      </c>
      <c r="Y312" s="68">
        <v>0</v>
      </c>
      <c r="Z312" s="71">
        <v>0</v>
      </c>
      <c r="AA312" s="68">
        <v>0</v>
      </c>
      <c r="AB312" s="71">
        <v>0</v>
      </c>
      <c r="AC312" s="238">
        <f t="shared" si="147"/>
        <v>0</v>
      </c>
      <c r="AD312" s="238"/>
      <c r="AE312" s="238"/>
    </row>
    <row r="313" spans="2:31" x14ac:dyDescent="0.3">
      <c r="B313" s="245" t="s">
        <v>7</v>
      </c>
      <c r="C313" s="245"/>
      <c r="D313" s="245"/>
      <c r="E313" s="68">
        <v>0</v>
      </c>
      <c r="F313" s="71">
        <v>0</v>
      </c>
      <c r="G313" s="68">
        <v>0</v>
      </c>
      <c r="H313" s="71">
        <v>0</v>
      </c>
      <c r="I313" s="68">
        <v>0</v>
      </c>
      <c r="J313" s="71">
        <v>0</v>
      </c>
      <c r="K313" s="68">
        <v>0</v>
      </c>
      <c r="L313" s="71">
        <v>0</v>
      </c>
      <c r="M313" s="68">
        <v>0</v>
      </c>
      <c r="N313" s="71">
        <v>0</v>
      </c>
      <c r="O313" s="68">
        <v>0</v>
      </c>
      <c r="P313" s="71">
        <v>0</v>
      </c>
      <c r="Q313" s="68">
        <v>0</v>
      </c>
      <c r="R313" s="71">
        <v>0</v>
      </c>
      <c r="S313" s="68">
        <v>1.2989999999999999</v>
      </c>
      <c r="T313" s="71">
        <v>0</v>
      </c>
      <c r="U313" s="68">
        <v>5.3999999999999916E-2</v>
      </c>
      <c r="V313" s="71">
        <v>0</v>
      </c>
      <c r="W313" s="68">
        <v>9.8085000000000004</v>
      </c>
      <c r="X313" s="71">
        <v>11.091166666666668</v>
      </c>
      <c r="Y313" s="68">
        <v>7.3503333333333325</v>
      </c>
      <c r="Z313" s="71">
        <v>0</v>
      </c>
      <c r="AA313" s="68">
        <v>0</v>
      </c>
      <c r="AB313" s="71">
        <v>0</v>
      </c>
      <c r="AC313" s="238">
        <f t="shared" si="147"/>
        <v>29.603000000000002</v>
      </c>
      <c r="AD313" s="238"/>
      <c r="AE313" s="238"/>
    </row>
    <row r="314" spans="2:31" x14ac:dyDescent="0.3">
      <c r="B314" s="245" t="s">
        <v>8</v>
      </c>
      <c r="C314" s="245"/>
      <c r="D314" s="245"/>
      <c r="E314" s="68">
        <v>0</v>
      </c>
      <c r="F314" s="71">
        <v>0</v>
      </c>
      <c r="G314" s="68">
        <v>0</v>
      </c>
      <c r="H314" s="71">
        <v>0</v>
      </c>
      <c r="I314" s="68">
        <v>0</v>
      </c>
      <c r="J314" s="71">
        <v>0</v>
      </c>
      <c r="K314" s="68">
        <v>0</v>
      </c>
      <c r="L314" s="71">
        <v>0</v>
      </c>
      <c r="M314" s="68">
        <v>0</v>
      </c>
      <c r="N314" s="71">
        <v>0</v>
      </c>
      <c r="O314" s="68">
        <v>0</v>
      </c>
      <c r="P314" s="71">
        <v>0</v>
      </c>
      <c r="Q314" s="68">
        <v>0</v>
      </c>
      <c r="R314" s="71">
        <v>0</v>
      </c>
      <c r="S314" s="68">
        <v>0</v>
      </c>
      <c r="T314" s="71">
        <v>0</v>
      </c>
      <c r="U314" s="68">
        <v>0</v>
      </c>
      <c r="V314" s="71">
        <v>8.4999999999999677E-3</v>
      </c>
      <c r="W314" s="68">
        <v>0</v>
      </c>
      <c r="X314" s="71">
        <v>0</v>
      </c>
      <c r="Y314" s="68">
        <v>0</v>
      </c>
      <c r="Z314" s="71">
        <v>0</v>
      </c>
      <c r="AA314" s="68">
        <v>0</v>
      </c>
      <c r="AB314" s="71">
        <v>0</v>
      </c>
      <c r="AC314" s="238">
        <f t="shared" si="147"/>
        <v>8.4999999999999677E-3</v>
      </c>
      <c r="AD314" s="238"/>
      <c r="AE314" s="238"/>
    </row>
    <row r="315" spans="2:31" x14ac:dyDescent="0.3">
      <c r="B315" s="245" t="s">
        <v>9</v>
      </c>
      <c r="C315" s="245"/>
      <c r="D315" s="245"/>
      <c r="E315" s="68">
        <v>0</v>
      </c>
      <c r="F315" s="71">
        <v>0</v>
      </c>
      <c r="G315" s="68">
        <v>0</v>
      </c>
      <c r="H315" s="71">
        <v>0</v>
      </c>
      <c r="I315" s="68">
        <v>0</v>
      </c>
      <c r="J315" s="71">
        <v>0</v>
      </c>
      <c r="K315" s="68">
        <v>0</v>
      </c>
      <c r="L315" s="71">
        <v>0</v>
      </c>
      <c r="M315" s="68">
        <v>0</v>
      </c>
      <c r="N315" s="71">
        <v>0</v>
      </c>
      <c r="O315" s="68">
        <v>0</v>
      </c>
      <c r="P315" s="71">
        <v>0</v>
      </c>
      <c r="Q315" s="68">
        <v>0</v>
      </c>
      <c r="R315" s="71">
        <v>0</v>
      </c>
      <c r="S315" s="68">
        <v>0</v>
      </c>
      <c r="T315" s="71">
        <v>0</v>
      </c>
      <c r="U315" s="68">
        <v>0</v>
      </c>
      <c r="V315" s="71">
        <v>0</v>
      </c>
      <c r="W315" s="68">
        <v>0</v>
      </c>
      <c r="X315" s="71">
        <v>0</v>
      </c>
      <c r="Y315" s="68">
        <v>0</v>
      </c>
      <c r="Z315" s="71">
        <v>0</v>
      </c>
      <c r="AA315" s="68">
        <v>0</v>
      </c>
      <c r="AB315" s="71">
        <v>0</v>
      </c>
      <c r="AC315" s="238">
        <f t="shared" si="147"/>
        <v>0</v>
      </c>
      <c r="AD315" s="238"/>
      <c r="AE315" s="238"/>
    </row>
    <row r="316" spans="2:31" x14ac:dyDescent="0.3">
      <c r="B316" s="245" t="s">
        <v>10</v>
      </c>
      <c r="C316" s="245"/>
      <c r="D316" s="245"/>
      <c r="E316" s="68">
        <v>0</v>
      </c>
      <c r="F316" s="71">
        <v>0</v>
      </c>
      <c r="G316" s="68">
        <v>0</v>
      </c>
      <c r="H316" s="71">
        <v>0</v>
      </c>
      <c r="I316" s="68">
        <v>0</v>
      </c>
      <c r="J316" s="71">
        <v>0</v>
      </c>
      <c r="K316" s="68">
        <v>0</v>
      </c>
      <c r="L316" s="71">
        <v>0</v>
      </c>
      <c r="M316" s="68">
        <v>0</v>
      </c>
      <c r="N316" s="71">
        <v>0</v>
      </c>
      <c r="O316" s="68">
        <v>0</v>
      </c>
      <c r="P316" s="71">
        <v>0</v>
      </c>
      <c r="Q316" s="68">
        <v>0</v>
      </c>
      <c r="R316" s="71">
        <v>0</v>
      </c>
      <c r="S316" s="68">
        <v>0</v>
      </c>
      <c r="T316" s="71">
        <v>0</v>
      </c>
      <c r="U316" s="68">
        <v>0</v>
      </c>
      <c r="V316" s="71">
        <v>0</v>
      </c>
      <c r="W316" s="68">
        <v>0</v>
      </c>
      <c r="X316" s="71">
        <v>0</v>
      </c>
      <c r="Y316" s="68">
        <v>0</v>
      </c>
      <c r="Z316" s="71">
        <v>0</v>
      </c>
      <c r="AA316" s="68">
        <v>0</v>
      </c>
      <c r="AB316" s="71">
        <v>0</v>
      </c>
      <c r="AC316" s="238">
        <f t="shared" si="147"/>
        <v>0</v>
      </c>
      <c r="AD316" s="238"/>
      <c r="AE316" s="238"/>
    </row>
    <row r="317" spans="2:31" x14ac:dyDescent="0.3">
      <c r="B317" s="245" t="s">
        <v>11</v>
      </c>
      <c r="C317" s="245"/>
      <c r="D317" s="245"/>
      <c r="E317" s="68">
        <v>0</v>
      </c>
      <c r="F317" s="71">
        <v>0</v>
      </c>
      <c r="G317" s="68">
        <v>0</v>
      </c>
      <c r="H317" s="71">
        <v>0</v>
      </c>
      <c r="I317" s="68">
        <v>0</v>
      </c>
      <c r="J317" s="71">
        <v>0</v>
      </c>
      <c r="K317" s="68">
        <v>0</v>
      </c>
      <c r="L317" s="71">
        <v>0</v>
      </c>
      <c r="M317" s="68">
        <v>0</v>
      </c>
      <c r="N317" s="71">
        <v>0</v>
      </c>
      <c r="O317" s="68">
        <v>0</v>
      </c>
      <c r="P317" s="71">
        <v>0</v>
      </c>
      <c r="Q317" s="68">
        <v>0</v>
      </c>
      <c r="R317" s="71">
        <v>0</v>
      </c>
      <c r="S317" s="68">
        <v>0</v>
      </c>
      <c r="T317" s="71">
        <v>0</v>
      </c>
      <c r="U317" s="68">
        <v>0</v>
      </c>
      <c r="V317" s="71">
        <v>0</v>
      </c>
      <c r="W317" s="68">
        <v>0</v>
      </c>
      <c r="X317" s="71">
        <v>0</v>
      </c>
      <c r="Y317" s="68">
        <v>0</v>
      </c>
      <c r="Z317" s="71">
        <v>0</v>
      </c>
      <c r="AA317" s="68">
        <v>0</v>
      </c>
      <c r="AB317" s="71">
        <v>0</v>
      </c>
      <c r="AC317" s="238">
        <f t="shared" si="147"/>
        <v>0</v>
      </c>
      <c r="AD317" s="238"/>
      <c r="AE317" s="238"/>
    </row>
    <row r="318" spans="2:31" x14ac:dyDescent="0.3">
      <c r="B318" s="245" t="s">
        <v>12</v>
      </c>
      <c r="C318" s="245"/>
      <c r="D318" s="245"/>
      <c r="E318" s="68">
        <v>0</v>
      </c>
      <c r="F318" s="71">
        <v>0</v>
      </c>
      <c r="G318" s="68">
        <v>0</v>
      </c>
      <c r="H318" s="71">
        <v>0</v>
      </c>
      <c r="I318" s="68">
        <v>0</v>
      </c>
      <c r="J318" s="71">
        <v>0</v>
      </c>
      <c r="K318" s="68">
        <v>0</v>
      </c>
      <c r="L318" s="71">
        <v>0</v>
      </c>
      <c r="M318" s="68">
        <v>0</v>
      </c>
      <c r="N318" s="71">
        <v>0</v>
      </c>
      <c r="O318" s="68">
        <v>0</v>
      </c>
      <c r="P318" s="71">
        <v>0</v>
      </c>
      <c r="Q318" s="68">
        <v>0</v>
      </c>
      <c r="R318" s="71">
        <v>0</v>
      </c>
      <c r="S318" s="68">
        <v>0</v>
      </c>
      <c r="T318" s="71">
        <v>0</v>
      </c>
      <c r="U318" s="68">
        <v>0</v>
      </c>
      <c r="V318" s="71">
        <v>0</v>
      </c>
      <c r="W318" s="68">
        <v>0</v>
      </c>
      <c r="X318" s="71">
        <v>0</v>
      </c>
      <c r="Y318" s="68">
        <v>0</v>
      </c>
      <c r="Z318" s="71">
        <v>0</v>
      </c>
      <c r="AA318" s="68">
        <v>0</v>
      </c>
      <c r="AB318" s="71">
        <v>0</v>
      </c>
      <c r="AC318" s="238">
        <f t="shared" si="147"/>
        <v>0</v>
      </c>
      <c r="AD318" s="238"/>
      <c r="AE318" s="238"/>
    </row>
    <row r="319" spans="2:31" x14ac:dyDescent="0.3">
      <c r="B319" s="245" t="s">
        <v>13</v>
      </c>
      <c r="C319" s="245"/>
      <c r="D319" s="245"/>
      <c r="E319" s="68">
        <v>0</v>
      </c>
      <c r="F319" s="71">
        <v>0</v>
      </c>
      <c r="G319" s="68">
        <v>0</v>
      </c>
      <c r="H319" s="71">
        <v>0</v>
      </c>
      <c r="I319" s="68">
        <v>0</v>
      </c>
      <c r="J319" s="71">
        <v>0</v>
      </c>
      <c r="K319" s="68">
        <v>0</v>
      </c>
      <c r="L319" s="71">
        <v>0</v>
      </c>
      <c r="M319" s="68">
        <v>0</v>
      </c>
      <c r="N319" s="71">
        <v>0</v>
      </c>
      <c r="O319" s="68">
        <v>0</v>
      </c>
      <c r="P319" s="71">
        <v>0</v>
      </c>
      <c r="Q319" s="68">
        <v>0</v>
      </c>
      <c r="R319" s="71">
        <v>0</v>
      </c>
      <c r="S319" s="68">
        <v>0</v>
      </c>
      <c r="T319" s="71">
        <v>0</v>
      </c>
      <c r="U319" s="68">
        <v>0</v>
      </c>
      <c r="V319" s="71">
        <v>0</v>
      </c>
      <c r="W319" s="68">
        <v>0</v>
      </c>
      <c r="X319" s="71">
        <v>0</v>
      </c>
      <c r="Y319" s="68">
        <v>0</v>
      </c>
      <c r="Z319" s="71">
        <v>0</v>
      </c>
      <c r="AA319" s="68">
        <v>0</v>
      </c>
      <c r="AB319" s="71">
        <v>0</v>
      </c>
      <c r="AC319" s="238">
        <f t="shared" si="147"/>
        <v>0</v>
      </c>
      <c r="AD319" s="238"/>
      <c r="AE319" s="238"/>
    </row>
    <row r="320" spans="2:31" x14ac:dyDescent="0.3">
      <c r="B320" s="245" t="s">
        <v>14</v>
      </c>
      <c r="C320" s="245"/>
      <c r="D320" s="245"/>
      <c r="E320" s="68">
        <v>0</v>
      </c>
      <c r="F320" s="71">
        <v>0</v>
      </c>
      <c r="G320" s="68">
        <v>0</v>
      </c>
      <c r="H320" s="71">
        <v>0</v>
      </c>
      <c r="I320" s="68">
        <v>0</v>
      </c>
      <c r="J320" s="71">
        <v>0</v>
      </c>
      <c r="K320" s="68">
        <v>0</v>
      </c>
      <c r="L320" s="71">
        <v>0</v>
      </c>
      <c r="M320" s="68">
        <v>0</v>
      </c>
      <c r="N320" s="71">
        <v>0</v>
      </c>
      <c r="O320" s="68">
        <v>0</v>
      </c>
      <c r="P320" s="71">
        <v>0</v>
      </c>
      <c r="Q320" s="68">
        <v>0</v>
      </c>
      <c r="R320" s="71">
        <v>0</v>
      </c>
      <c r="S320" s="68">
        <v>0</v>
      </c>
      <c r="T320" s="71">
        <v>0</v>
      </c>
      <c r="U320" s="68">
        <v>0</v>
      </c>
      <c r="V320" s="71">
        <v>0</v>
      </c>
      <c r="W320" s="68">
        <v>0</v>
      </c>
      <c r="X320" s="71">
        <v>0</v>
      </c>
      <c r="Y320" s="68">
        <v>0</v>
      </c>
      <c r="Z320" s="71">
        <v>0</v>
      </c>
      <c r="AA320" s="68">
        <v>0</v>
      </c>
      <c r="AB320" s="71">
        <v>0</v>
      </c>
      <c r="AC320" s="238">
        <f t="shared" si="147"/>
        <v>0</v>
      </c>
      <c r="AD320" s="238"/>
      <c r="AE320" s="238"/>
    </row>
    <row r="321" spans="2:31" x14ac:dyDescent="0.3">
      <c r="B321" s="245" t="s">
        <v>15</v>
      </c>
      <c r="C321" s="245"/>
      <c r="D321" s="245"/>
      <c r="E321" s="68">
        <v>0</v>
      </c>
      <c r="F321" s="71">
        <v>0</v>
      </c>
      <c r="G321" s="68">
        <v>0</v>
      </c>
      <c r="H321" s="71">
        <v>0</v>
      </c>
      <c r="I321" s="68">
        <v>0</v>
      </c>
      <c r="J321" s="71">
        <v>0</v>
      </c>
      <c r="K321" s="68">
        <v>0</v>
      </c>
      <c r="L321" s="71">
        <v>0</v>
      </c>
      <c r="M321" s="68">
        <v>0</v>
      </c>
      <c r="N321" s="71">
        <v>0</v>
      </c>
      <c r="O321" s="68">
        <v>0</v>
      </c>
      <c r="P321" s="71">
        <v>0</v>
      </c>
      <c r="Q321" s="68">
        <v>0</v>
      </c>
      <c r="R321" s="71">
        <v>0</v>
      </c>
      <c r="S321" s="68">
        <v>0</v>
      </c>
      <c r="T321" s="71">
        <v>0</v>
      </c>
      <c r="U321" s="68">
        <v>0</v>
      </c>
      <c r="V321" s="71">
        <v>0</v>
      </c>
      <c r="W321" s="68">
        <v>0</v>
      </c>
      <c r="X321" s="71">
        <v>0</v>
      </c>
      <c r="Y321" s="68">
        <v>0</v>
      </c>
      <c r="Z321" s="71">
        <v>0</v>
      </c>
      <c r="AA321" s="68">
        <v>0</v>
      </c>
      <c r="AB321" s="71">
        <v>0</v>
      </c>
      <c r="AC321" s="238">
        <f t="shared" si="147"/>
        <v>0</v>
      </c>
      <c r="AD321" s="238"/>
      <c r="AE321" s="238"/>
    </row>
    <row r="322" spans="2:31" x14ac:dyDescent="0.3">
      <c r="B322" s="245" t="s">
        <v>16</v>
      </c>
      <c r="C322" s="245"/>
      <c r="D322" s="245"/>
      <c r="E322" s="68">
        <v>0</v>
      </c>
      <c r="F322" s="71">
        <v>0</v>
      </c>
      <c r="G322" s="68">
        <v>0</v>
      </c>
      <c r="H322" s="71">
        <v>0</v>
      </c>
      <c r="I322" s="68">
        <v>0</v>
      </c>
      <c r="J322" s="71">
        <v>0</v>
      </c>
      <c r="K322" s="68">
        <v>0</v>
      </c>
      <c r="L322" s="71">
        <v>0</v>
      </c>
      <c r="M322" s="68">
        <v>0</v>
      </c>
      <c r="N322" s="71">
        <v>0</v>
      </c>
      <c r="O322" s="68">
        <v>0</v>
      </c>
      <c r="P322" s="71">
        <v>0</v>
      </c>
      <c r="Q322" s="68">
        <v>0</v>
      </c>
      <c r="R322" s="71">
        <v>0</v>
      </c>
      <c r="S322" s="68">
        <v>0</v>
      </c>
      <c r="T322" s="71">
        <v>0</v>
      </c>
      <c r="U322" s="68">
        <v>0</v>
      </c>
      <c r="V322" s="71">
        <v>0</v>
      </c>
      <c r="W322" s="68">
        <v>0</v>
      </c>
      <c r="X322" s="71">
        <v>0</v>
      </c>
      <c r="Y322" s="68">
        <v>0</v>
      </c>
      <c r="Z322" s="71">
        <v>0</v>
      </c>
      <c r="AA322" s="68">
        <v>0</v>
      </c>
      <c r="AB322" s="71">
        <v>0</v>
      </c>
      <c r="AC322" s="238">
        <f t="shared" si="147"/>
        <v>0</v>
      </c>
      <c r="AD322" s="238"/>
      <c r="AE322" s="238"/>
    </row>
    <row r="323" spans="2:31" x14ac:dyDescent="0.3">
      <c r="B323" s="245" t="s">
        <v>17</v>
      </c>
      <c r="C323" s="245"/>
      <c r="D323" s="245"/>
      <c r="E323" s="68">
        <v>0</v>
      </c>
      <c r="F323" s="71">
        <v>0</v>
      </c>
      <c r="G323" s="68">
        <v>0</v>
      </c>
      <c r="H323" s="71">
        <v>0</v>
      </c>
      <c r="I323" s="68">
        <v>0</v>
      </c>
      <c r="J323" s="71">
        <v>0</v>
      </c>
      <c r="K323" s="68">
        <v>0</v>
      </c>
      <c r="L323" s="71">
        <v>0</v>
      </c>
      <c r="M323" s="68">
        <v>0</v>
      </c>
      <c r="N323" s="71">
        <v>0</v>
      </c>
      <c r="O323" s="68">
        <v>0</v>
      </c>
      <c r="P323" s="71">
        <v>0</v>
      </c>
      <c r="Q323" s="68">
        <v>0</v>
      </c>
      <c r="R323" s="71">
        <v>0</v>
      </c>
      <c r="S323" s="68">
        <v>0</v>
      </c>
      <c r="T323" s="71">
        <v>0</v>
      </c>
      <c r="U323" s="68">
        <v>0</v>
      </c>
      <c r="V323" s="71">
        <v>0</v>
      </c>
      <c r="W323" s="68">
        <v>0</v>
      </c>
      <c r="X323" s="71">
        <v>0</v>
      </c>
      <c r="Y323" s="68">
        <v>0</v>
      </c>
      <c r="Z323" s="71">
        <v>0</v>
      </c>
      <c r="AA323" s="68">
        <v>0</v>
      </c>
      <c r="AB323" s="71">
        <v>0</v>
      </c>
      <c r="AC323" s="238">
        <f t="shared" si="147"/>
        <v>0</v>
      </c>
      <c r="AD323" s="238"/>
      <c r="AE323" s="238"/>
    </row>
    <row r="324" spans="2:31" x14ac:dyDescent="0.3">
      <c r="B324" s="245" t="s">
        <v>18</v>
      </c>
      <c r="C324" s="245"/>
      <c r="D324" s="245"/>
      <c r="E324" s="68">
        <v>0</v>
      </c>
      <c r="F324" s="71">
        <v>0</v>
      </c>
      <c r="G324" s="68">
        <v>0</v>
      </c>
      <c r="H324" s="71">
        <v>0</v>
      </c>
      <c r="I324" s="68">
        <v>0</v>
      </c>
      <c r="J324" s="71">
        <v>0</v>
      </c>
      <c r="K324" s="68">
        <v>0</v>
      </c>
      <c r="L324" s="71">
        <v>0</v>
      </c>
      <c r="M324" s="68">
        <v>0</v>
      </c>
      <c r="N324" s="71">
        <v>0</v>
      </c>
      <c r="O324" s="68">
        <v>0</v>
      </c>
      <c r="P324" s="71">
        <v>0</v>
      </c>
      <c r="Q324" s="68">
        <v>0</v>
      </c>
      <c r="R324" s="71">
        <v>0</v>
      </c>
      <c r="S324" s="68">
        <v>0</v>
      </c>
      <c r="T324" s="71">
        <v>0</v>
      </c>
      <c r="U324" s="68">
        <v>0</v>
      </c>
      <c r="V324" s="71">
        <v>0</v>
      </c>
      <c r="W324" s="68">
        <v>0</v>
      </c>
      <c r="X324" s="71">
        <v>0</v>
      </c>
      <c r="Y324" s="68">
        <v>0</v>
      </c>
      <c r="Z324" s="71">
        <v>0</v>
      </c>
      <c r="AA324" s="68">
        <v>0</v>
      </c>
      <c r="AB324" s="71">
        <v>0</v>
      </c>
      <c r="AC324" s="238">
        <f t="shared" si="147"/>
        <v>0</v>
      </c>
      <c r="AD324" s="238"/>
      <c r="AE324" s="238"/>
    </row>
    <row r="325" spans="2:31" x14ac:dyDescent="0.3">
      <c r="B325" s="245" t="s">
        <v>19</v>
      </c>
      <c r="C325" s="245"/>
      <c r="D325" s="245"/>
      <c r="E325" s="68">
        <v>0</v>
      </c>
      <c r="F325" s="71">
        <v>0</v>
      </c>
      <c r="G325" s="68">
        <v>0</v>
      </c>
      <c r="H325" s="71">
        <v>0</v>
      </c>
      <c r="I325" s="68">
        <v>0</v>
      </c>
      <c r="J325" s="71">
        <v>0</v>
      </c>
      <c r="K325" s="68">
        <v>0</v>
      </c>
      <c r="L325" s="71">
        <v>0</v>
      </c>
      <c r="M325" s="68">
        <v>0</v>
      </c>
      <c r="N325" s="71">
        <v>0</v>
      </c>
      <c r="O325" s="68">
        <v>0</v>
      </c>
      <c r="P325" s="71">
        <v>0</v>
      </c>
      <c r="Q325" s="68">
        <v>0</v>
      </c>
      <c r="R325" s="71">
        <v>0</v>
      </c>
      <c r="S325" s="68">
        <v>0</v>
      </c>
      <c r="T325" s="71">
        <v>0</v>
      </c>
      <c r="U325" s="68">
        <v>0</v>
      </c>
      <c r="V325" s="71">
        <v>0</v>
      </c>
      <c r="W325" s="68">
        <v>0</v>
      </c>
      <c r="X325" s="71">
        <v>0</v>
      </c>
      <c r="Y325" s="68">
        <v>0</v>
      </c>
      <c r="Z325" s="71">
        <v>0</v>
      </c>
      <c r="AA325" s="68">
        <v>0</v>
      </c>
      <c r="AB325" s="71">
        <v>0</v>
      </c>
      <c r="AC325" s="238">
        <f t="shared" si="147"/>
        <v>0</v>
      </c>
      <c r="AD325" s="238"/>
      <c r="AE325" s="238"/>
    </row>
    <row r="326" spans="2:31" x14ac:dyDescent="0.3">
      <c r="B326" s="245" t="s">
        <v>20</v>
      </c>
      <c r="C326" s="245"/>
      <c r="D326" s="245"/>
      <c r="E326" s="68">
        <v>0</v>
      </c>
      <c r="F326" s="71">
        <v>0</v>
      </c>
      <c r="G326" s="68">
        <v>0</v>
      </c>
      <c r="H326" s="71">
        <v>0</v>
      </c>
      <c r="I326" s="68">
        <v>0</v>
      </c>
      <c r="J326" s="71">
        <v>0</v>
      </c>
      <c r="K326" s="68">
        <v>0</v>
      </c>
      <c r="L326" s="71">
        <v>0</v>
      </c>
      <c r="M326" s="68">
        <v>0</v>
      </c>
      <c r="N326" s="71">
        <v>0</v>
      </c>
      <c r="O326" s="68">
        <v>0</v>
      </c>
      <c r="P326" s="71">
        <v>0</v>
      </c>
      <c r="Q326" s="68">
        <v>0</v>
      </c>
      <c r="R326" s="71">
        <v>0</v>
      </c>
      <c r="S326" s="68">
        <v>0</v>
      </c>
      <c r="T326" s="71">
        <v>0</v>
      </c>
      <c r="U326" s="68">
        <v>0</v>
      </c>
      <c r="V326" s="71">
        <v>0</v>
      </c>
      <c r="W326" s="68">
        <v>0</v>
      </c>
      <c r="X326" s="71">
        <v>0</v>
      </c>
      <c r="Y326" s="68">
        <v>0</v>
      </c>
      <c r="Z326" s="71">
        <v>0</v>
      </c>
      <c r="AA326" s="68">
        <v>0</v>
      </c>
      <c r="AB326" s="71">
        <v>0</v>
      </c>
      <c r="AC326" s="238">
        <f t="shared" si="147"/>
        <v>0</v>
      </c>
      <c r="AD326" s="238"/>
      <c r="AE326" s="238"/>
    </row>
    <row r="327" spans="2:31" x14ac:dyDescent="0.3">
      <c r="B327" s="245" t="s">
        <v>21</v>
      </c>
      <c r="C327" s="245"/>
      <c r="D327" s="245"/>
      <c r="E327" s="68">
        <v>0</v>
      </c>
      <c r="F327" s="71">
        <v>0</v>
      </c>
      <c r="G327" s="68">
        <v>0</v>
      </c>
      <c r="H327" s="71">
        <v>0</v>
      </c>
      <c r="I327" s="68">
        <v>0</v>
      </c>
      <c r="J327" s="71">
        <v>0</v>
      </c>
      <c r="K327" s="68">
        <v>0</v>
      </c>
      <c r="L327" s="71">
        <v>0</v>
      </c>
      <c r="M327" s="68">
        <v>0</v>
      </c>
      <c r="N327" s="71">
        <v>0</v>
      </c>
      <c r="O327" s="68">
        <v>0</v>
      </c>
      <c r="P327" s="71">
        <v>0</v>
      </c>
      <c r="Q327" s="68">
        <v>0</v>
      </c>
      <c r="R327" s="71">
        <v>0</v>
      </c>
      <c r="S327" s="68">
        <v>0</v>
      </c>
      <c r="T327" s="71">
        <v>0</v>
      </c>
      <c r="U327" s="68">
        <v>0</v>
      </c>
      <c r="V327" s="71">
        <v>0</v>
      </c>
      <c r="W327" s="68">
        <v>0</v>
      </c>
      <c r="X327" s="71">
        <v>0</v>
      </c>
      <c r="Y327" s="68">
        <v>0</v>
      </c>
      <c r="Z327" s="71">
        <v>0</v>
      </c>
      <c r="AA327" s="68">
        <v>0</v>
      </c>
      <c r="AB327" s="71">
        <v>0</v>
      </c>
      <c r="AC327" s="238">
        <f t="shared" si="147"/>
        <v>0</v>
      </c>
      <c r="AD327" s="238"/>
      <c r="AE327" s="238"/>
    </row>
    <row r="328" spans="2:31" x14ac:dyDescent="0.3">
      <c r="B328" s="245" t="s">
        <v>22</v>
      </c>
      <c r="C328" s="245"/>
      <c r="D328" s="245"/>
      <c r="E328" s="68">
        <v>0</v>
      </c>
      <c r="F328" s="71">
        <v>0</v>
      </c>
      <c r="G328" s="68">
        <v>0</v>
      </c>
      <c r="H328" s="71">
        <v>0</v>
      </c>
      <c r="I328" s="68">
        <v>0</v>
      </c>
      <c r="J328" s="71">
        <v>0</v>
      </c>
      <c r="K328" s="68">
        <v>0</v>
      </c>
      <c r="L328" s="71">
        <v>0</v>
      </c>
      <c r="M328" s="68">
        <v>0</v>
      </c>
      <c r="N328" s="71">
        <v>0</v>
      </c>
      <c r="O328" s="68">
        <v>0</v>
      </c>
      <c r="P328" s="71">
        <v>0</v>
      </c>
      <c r="Q328" s="68">
        <v>0</v>
      </c>
      <c r="R328" s="71">
        <v>0</v>
      </c>
      <c r="S328" s="68">
        <v>0</v>
      </c>
      <c r="T328" s="71">
        <v>0</v>
      </c>
      <c r="U328" s="68">
        <v>0</v>
      </c>
      <c r="V328" s="71">
        <v>0</v>
      </c>
      <c r="W328" s="68">
        <v>0</v>
      </c>
      <c r="X328" s="71">
        <v>0</v>
      </c>
      <c r="Y328" s="68">
        <v>0</v>
      </c>
      <c r="Z328" s="71">
        <v>0</v>
      </c>
      <c r="AA328" s="68">
        <v>0</v>
      </c>
      <c r="AB328" s="71">
        <v>0</v>
      </c>
      <c r="AC328" s="238">
        <f t="shared" si="147"/>
        <v>0</v>
      </c>
      <c r="AD328" s="238"/>
      <c r="AE328" s="238"/>
    </row>
    <row r="329" spans="2:31" x14ac:dyDescent="0.3">
      <c r="B329" s="245" t="s">
        <v>23</v>
      </c>
      <c r="C329" s="245"/>
      <c r="D329" s="245"/>
      <c r="E329" s="68">
        <v>0</v>
      </c>
      <c r="F329" s="71">
        <v>0</v>
      </c>
      <c r="G329" s="68">
        <v>0</v>
      </c>
      <c r="H329" s="71">
        <v>0</v>
      </c>
      <c r="I329" s="68">
        <v>0</v>
      </c>
      <c r="J329" s="71">
        <v>0</v>
      </c>
      <c r="K329" s="68">
        <v>0</v>
      </c>
      <c r="L329" s="71">
        <v>0</v>
      </c>
      <c r="M329" s="68">
        <v>0</v>
      </c>
      <c r="N329" s="71">
        <v>0</v>
      </c>
      <c r="O329" s="68">
        <v>0</v>
      </c>
      <c r="P329" s="71">
        <v>0</v>
      </c>
      <c r="Q329" s="68">
        <v>0</v>
      </c>
      <c r="R329" s="71">
        <v>0</v>
      </c>
      <c r="S329" s="68">
        <v>0</v>
      </c>
      <c r="T329" s="71">
        <v>0</v>
      </c>
      <c r="U329" s="68">
        <v>0</v>
      </c>
      <c r="V329" s="71">
        <v>0</v>
      </c>
      <c r="W329" s="68">
        <v>0</v>
      </c>
      <c r="X329" s="71">
        <v>0</v>
      </c>
      <c r="Y329" s="68">
        <v>0</v>
      </c>
      <c r="Z329" s="71">
        <v>0</v>
      </c>
      <c r="AA329" s="68">
        <v>0</v>
      </c>
      <c r="AB329" s="71">
        <v>0</v>
      </c>
      <c r="AC329" s="238">
        <f t="shared" si="147"/>
        <v>0</v>
      </c>
      <c r="AD329" s="238"/>
      <c r="AE329" s="238"/>
    </row>
    <row r="330" spans="2:31" x14ac:dyDescent="0.3">
      <c r="B330" s="245" t="s">
        <v>24</v>
      </c>
      <c r="C330" s="245"/>
      <c r="D330" s="245"/>
      <c r="E330" s="68">
        <v>0</v>
      </c>
      <c r="F330" s="71">
        <v>0</v>
      </c>
      <c r="G330" s="68">
        <v>0</v>
      </c>
      <c r="H330" s="71">
        <v>0</v>
      </c>
      <c r="I330" s="68">
        <v>0</v>
      </c>
      <c r="J330" s="71">
        <v>0</v>
      </c>
      <c r="K330" s="68">
        <v>0</v>
      </c>
      <c r="L330" s="71">
        <v>0</v>
      </c>
      <c r="M330" s="68">
        <v>0</v>
      </c>
      <c r="N330" s="71">
        <v>0</v>
      </c>
      <c r="O330" s="68">
        <v>0</v>
      </c>
      <c r="P330" s="71">
        <v>0</v>
      </c>
      <c r="Q330" s="68">
        <v>0</v>
      </c>
      <c r="R330" s="71">
        <v>0</v>
      </c>
      <c r="S330" s="68">
        <v>0</v>
      </c>
      <c r="T330" s="71">
        <v>0</v>
      </c>
      <c r="U330" s="68">
        <v>0</v>
      </c>
      <c r="V330" s="71">
        <v>0</v>
      </c>
      <c r="W330" s="68">
        <v>0</v>
      </c>
      <c r="X330" s="71">
        <v>0</v>
      </c>
      <c r="Y330" s="68">
        <v>0</v>
      </c>
      <c r="Z330" s="71">
        <v>0</v>
      </c>
      <c r="AA330" s="68">
        <v>0</v>
      </c>
      <c r="AB330" s="71">
        <v>0</v>
      </c>
      <c r="AC330" s="238">
        <f t="shared" si="147"/>
        <v>0</v>
      </c>
      <c r="AD330" s="238"/>
      <c r="AE330" s="238"/>
    </row>
    <row r="331" spans="2:31" x14ac:dyDescent="0.3">
      <c r="B331" s="245" t="s">
        <v>25</v>
      </c>
      <c r="C331" s="245"/>
      <c r="D331" s="245"/>
      <c r="E331" s="68">
        <v>0</v>
      </c>
      <c r="F331" s="71">
        <v>0</v>
      </c>
      <c r="G331" s="68">
        <v>0</v>
      </c>
      <c r="H331" s="71">
        <v>0</v>
      </c>
      <c r="I331" s="68">
        <v>0</v>
      </c>
      <c r="J331" s="71">
        <v>0</v>
      </c>
      <c r="K331" s="68">
        <v>0</v>
      </c>
      <c r="L331" s="71">
        <v>0</v>
      </c>
      <c r="M331" s="68">
        <v>0</v>
      </c>
      <c r="N331" s="71">
        <v>0</v>
      </c>
      <c r="O331" s="68">
        <v>0</v>
      </c>
      <c r="P331" s="71">
        <v>0</v>
      </c>
      <c r="Q331" s="68">
        <v>0</v>
      </c>
      <c r="R331" s="71">
        <v>0</v>
      </c>
      <c r="S331" s="68">
        <v>0</v>
      </c>
      <c r="T331" s="71">
        <v>0</v>
      </c>
      <c r="U331" s="68">
        <v>0</v>
      </c>
      <c r="V331" s="71">
        <v>0</v>
      </c>
      <c r="W331" s="68">
        <v>0</v>
      </c>
      <c r="X331" s="71">
        <v>0</v>
      </c>
      <c r="Y331" s="68">
        <v>0</v>
      </c>
      <c r="Z331" s="71">
        <v>0</v>
      </c>
      <c r="AA331" s="68">
        <v>0</v>
      </c>
      <c r="AB331" s="71">
        <v>0</v>
      </c>
      <c r="AC331" s="238">
        <f t="shared" si="147"/>
        <v>0</v>
      </c>
      <c r="AD331" s="238"/>
      <c r="AE331" s="238"/>
    </row>
    <row r="332" spans="2:31" x14ac:dyDescent="0.3">
      <c r="B332" s="245" t="s">
        <v>26</v>
      </c>
      <c r="C332" s="245"/>
      <c r="D332" s="245"/>
      <c r="E332" s="68">
        <v>0</v>
      </c>
      <c r="F332" s="71">
        <v>0</v>
      </c>
      <c r="G332" s="68">
        <v>0</v>
      </c>
      <c r="H332" s="71">
        <v>0</v>
      </c>
      <c r="I332" s="68">
        <v>0</v>
      </c>
      <c r="J332" s="71">
        <v>0</v>
      </c>
      <c r="K332" s="68">
        <v>0</v>
      </c>
      <c r="L332" s="71">
        <v>0</v>
      </c>
      <c r="M332" s="68">
        <v>0</v>
      </c>
      <c r="N332" s="71">
        <v>0</v>
      </c>
      <c r="O332" s="68">
        <v>0</v>
      </c>
      <c r="P332" s="71">
        <v>0</v>
      </c>
      <c r="Q332" s="68">
        <v>0</v>
      </c>
      <c r="R332" s="71">
        <v>0</v>
      </c>
      <c r="S332" s="68">
        <v>0</v>
      </c>
      <c r="T332" s="71">
        <v>0</v>
      </c>
      <c r="U332" s="68">
        <v>0</v>
      </c>
      <c r="V332" s="71">
        <v>0</v>
      </c>
      <c r="W332" s="68">
        <v>0</v>
      </c>
      <c r="X332" s="71">
        <v>0</v>
      </c>
      <c r="Y332" s="68">
        <v>0</v>
      </c>
      <c r="Z332" s="71">
        <v>0</v>
      </c>
      <c r="AA332" s="68">
        <v>0</v>
      </c>
      <c r="AB332" s="71">
        <v>0</v>
      </c>
      <c r="AC332" s="238">
        <f t="shared" si="147"/>
        <v>0</v>
      </c>
      <c r="AD332" s="238"/>
      <c r="AE332" s="238"/>
    </row>
    <row r="333" spans="2:31" x14ac:dyDescent="0.3">
      <c r="B333" s="245" t="s">
        <v>27</v>
      </c>
      <c r="C333" s="245"/>
      <c r="D333" s="245"/>
      <c r="E333" s="68">
        <v>0</v>
      </c>
      <c r="F333" s="71">
        <v>0</v>
      </c>
      <c r="G333" s="68">
        <v>0</v>
      </c>
      <c r="H333" s="71">
        <v>0</v>
      </c>
      <c r="I333" s="68">
        <v>0</v>
      </c>
      <c r="J333" s="71">
        <v>0</v>
      </c>
      <c r="K333" s="68">
        <v>0</v>
      </c>
      <c r="L333" s="71">
        <v>0</v>
      </c>
      <c r="M333" s="68">
        <v>0</v>
      </c>
      <c r="N333" s="71">
        <v>0</v>
      </c>
      <c r="O333" s="68">
        <v>0</v>
      </c>
      <c r="P333" s="71">
        <v>0</v>
      </c>
      <c r="Q333" s="68">
        <v>0</v>
      </c>
      <c r="R333" s="71">
        <v>0</v>
      </c>
      <c r="S333" s="68">
        <v>0</v>
      </c>
      <c r="T333" s="71">
        <v>0</v>
      </c>
      <c r="U333" s="68">
        <v>0</v>
      </c>
      <c r="V333" s="71">
        <v>0</v>
      </c>
      <c r="W333" s="68">
        <v>0</v>
      </c>
      <c r="X333" s="71">
        <v>0</v>
      </c>
      <c r="Y333" s="68">
        <v>0</v>
      </c>
      <c r="Z333" s="71">
        <v>0</v>
      </c>
      <c r="AA333" s="68">
        <v>0</v>
      </c>
      <c r="AB333" s="71">
        <v>0</v>
      </c>
      <c r="AC333" s="238">
        <f t="shared" si="147"/>
        <v>0</v>
      </c>
      <c r="AD333" s="238"/>
      <c r="AE333" s="238"/>
    </row>
    <row r="334" spans="2:31" x14ac:dyDescent="0.3">
      <c r="B334" s="245" t="s">
        <v>28</v>
      </c>
      <c r="C334" s="245"/>
      <c r="D334" s="245"/>
      <c r="E334" s="68">
        <v>0</v>
      </c>
      <c r="F334" s="71">
        <v>0</v>
      </c>
      <c r="G334" s="68">
        <v>0</v>
      </c>
      <c r="H334" s="71">
        <v>0</v>
      </c>
      <c r="I334" s="68">
        <v>0</v>
      </c>
      <c r="J334" s="71">
        <v>0</v>
      </c>
      <c r="K334" s="68">
        <v>0</v>
      </c>
      <c r="L334" s="71">
        <v>0</v>
      </c>
      <c r="M334" s="68">
        <v>0</v>
      </c>
      <c r="N334" s="71">
        <v>0</v>
      </c>
      <c r="O334" s="68">
        <v>0</v>
      </c>
      <c r="P334" s="71">
        <v>0</v>
      </c>
      <c r="Q334" s="68">
        <v>0</v>
      </c>
      <c r="R334" s="71">
        <v>0</v>
      </c>
      <c r="S334" s="68">
        <v>0</v>
      </c>
      <c r="T334" s="71">
        <v>0</v>
      </c>
      <c r="U334" s="68">
        <v>0</v>
      </c>
      <c r="V334" s="71">
        <v>0</v>
      </c>
      <c r="W334" s="68">
        <v>0</v>
      </c>
      <c r="X334" s="71">
        <v>0</v>
      </c>
      <c r="Y334" s="68">
        <v>0</v>
      </c>
      <c r="Z334" s="71">
        <v>0</v>
      </c>
      <c r="AA334" s="68">
        <v>0</v>
      </c>
      <c r="AB334" s="71">
        <v>0</v>
      </c>
      <c r="AC334" s="238">
        <f t="shared" si="147"/>
        <v>0</v>
      </c>
      <c r="AD334" s="238"/>
      <c r="AE334" s="238"/>
    </row>
    <row r="335" spans="2:31" x14ac:dyDescent="0.3">
      <c r="B335" s="245" t="s">
        <v>92</v>
      </c>
      <c r="C335" s="245"/>
      <c r="D335" s="245"/>
      <c r="E335" s="68">
        <v>0</v>
      </c>
      <c r="F335" s="71">
        <v>0</v>
      </c>
      <c r="G335" s="68">
        <v>0</v>
      </c>
      <c r="H335" s="71">
        <v>0</v>
      </c>
      <c r="I335" s="68">
        <v>0</v>
      </c>
      <c r="J335" s="71">
        <v>0</v>
      </c>
      <c r="K335" s="68">
        <v>0</v>
      </c>
      <c r="L335" s="71">
        <v>0</v>
      </c>
      <c r="M335" s="68">
        <v>0</v>
      </c>
      <c r="N335" s="71">
        <v>0</v>
      </c>
      <c r="O335" s="68">
        <v>0</v>
      </c>
      <c r="P335" s="71">
        <v>0</v>
      </c>
      <c r="Q335" s="68">
        <v>0</v>
      </c>
      <c r="R335" s="71">
        <v>0</v>
      </c>
      <c r="S335" s="68">
        <v>0</v>
      </c>
      <c r="T335" s="71">
        <v>0</v>
      </c>
      <c r="U335" s="68">
        <v>0</v>
      </c>
      <c r="V335" s="71">
        <v>0</v>
      </c>
      <c r="W335" s="68">
        <v>0</v>
      </c>
      <c r="X335" s="71">
        <v>0</v>
      </c>
      <c r="Y335" s="68">
        <v>0</v>
      </c>
      <c r="Z335" s="71">
        <v>0</v>
      </c>
      <c r="AA335" s="68">
        <v>0</v>
      </c>
      <c r="AB335" s="71">
        <v>0</v>
      </c>
      <c r="AC335" s="238">
        <f t="shared" si="147"/>
        <v>0</v>
      </c>
      <c r="AD335" s="238"/>
      <c r="AE335" s="238"/>
    </row>
    <row r="336" spans="2:31" x14ac:dyDescent="0.3">
      <c r="B336" s="245" t="s">
        <v>29</v>
      </c>
      <c r="C336" s="245"/>
      <c r="D336" s="245"/>
      <c r="E336" s="68">
        <v>0</v>
      </c>
      <c r="F336" s="71">
        <v>0</v>
      </c>
      <c r="G336" s="68">
        <v>0</v>
      </c>
      <c r="H336" s="71">
        <v>0</v>
      </c>
      <c r="I336" s="68">
        <v>0</v>
      </c>
      <c r="J336" s="71">
        <v>0</v>
      </c>
      <c r="K336" s="68">
        <v>0</v>
      </c>
      <c r="L336" s="71">
        <v>0</v>
      </c>
      <c r="M336" s="68">
        <v>0</v>
      </c>
      <c r="N336" s="71">
        <v>0</v>
      </c>
      <c r="O336" s="68">
        <v>0</v>
      </c>
      <c r="P336" s="71">
        <v>0</v>
      </c>
      <c r="Q336" s="68">
        <v>0</v>
      </c>
      <c r="R336" s="71">
        <v>0</v>
      </c>
      <c r="S336" s="68">
        <v>0</v>
      </c>
      <c r="T336" s="71">
        <v>0</v>
      </c>
      <c r="U336" s="68">
        <v>0</v>
      </c>
      <c r="V336" s="71">
        <v>0</v>
      </c>
      <c r="W336" s="68">
        <v>0</v>
      </c>
      <c r="X336" s="71">
        <v>0</v>
      </c>
      <c r="Y336" s="68">
        <v>0</v>
      </c>
      <c r="Z336" s="71">
        <v>0</v>
      </c>
      <c r="AA336" s="68">
        <v>0</v>
      </c>
      <c r="AB336" s="71">
        <v>0</v>
      </c>
      <c r="AC336" s="238">
        <f t="shared" si="147"/>
        <v>0</v>
      </c>
      <c r="AD336" s="238"/>
      <c r="AE336" s="238"/>
    </row>
    <row r="337" spans="2:31" x14ac:dyDescent="0.3">
      <c r="B337" s="245" t="s">
        <v>30</v>
      </c>
      <c r="C337" s="245"/>
      <c r="D337" s="245"/>
      <c r="E337" s="68">
        <v>0</v>
      </c>
      <c r="F337" s="71">
        <v>0</v>
      </c>
      <c r="G337" s="68">
        <v>0</v>
      </c>
      <c r="H337" s="71">
        <v>0</v>
      </c>
      <c r="I337" s="68">
        <v>0</v>
      </c>
      <c r="J337" s="71">
        <v>0</v>
      </c>
      <c r="K337" s="68">
        <v>0</v>
      </c>
      <c r="L337" s="71">
        <v>0</v>
      </c>
      <c r="M337" s="68">
        <v>0</v>
      </c>
      <c r="N337" s="71">
        <v>0</v>
      </c>
      <c r="O337" s="68">
        <v>0</v>
      </c>
      <c r="P337" s="71">
        <v>0</v>
      </c>
      <c r="Q337" s="68">
        <v>0</v>
      </c>
      <c r="R337" s="71">
        <v>0</v>
      </c>
      <c r="S337" s="68">
        <v>0</v>
      </c>
      <c r="T337" s="71">
        <v>0</v>
      </c>
      <c r="U337" s="68">
        <v>0</v>
      </c>
      <c r="V337" s="71">
        <v>0</v>
      </c>
      <c r="W337" s="68">
        <v>0</v>
      </c>
      <c r="X337" s="71">
        <v>0</v>
      </c>
      <c r="Y337" s="68">
        <v>0</v>
      </c>
      <c r="Z337" s="71">
        <v>0</v>
      </c>
      <c r="AA337" s="68">
        <v>0</v>
      </c>
      <c r="AB337" s="71">
        <v>0</v>
      </c>
      <c r="AC337" s="238">
        <f t="shared" si="147"/>
        <v>0</v>
      </c>
      <c r="AD337" s="238"/>
      <c r="AE337" s="238"/>
    </row>
    <row r="338" spans="2:31" x14ac:dyDescent="0.3">
      <c r="B338" s="245" t="s">
        <v>31</v>
      </c>
      <c r="C338" s="245"/>
      <c r="D338" s="245"/>
      <c r="E338" s="68">
        <v>0</v>
      </c>
      <c r="F338" s="71">
        <v>0</v>
      </c>
      <c r="G338" s="68">
        <v>0</v>
      </c>
      <c r="H338" s="71">
        <v>0</v>
      </c>
      <c r="I338" s="68">
        <v>0</v>
      </c>
      <c r="J338" s="71">
        <v>0</v>
      </c>
      <c r="K338" s="68">
        <v>0</v>
      </c>
      <c r="L338" s="71">
        <v>0</v>
      </c>
      <c r="M338" s="68">
        <v>0</v>
      </c>
      <c r="N338" s="71">
        <v>0</v>
      </c>
      <c r="O338" s="68">
        <v>0</v>
      </c>
      <c r="P338" s="71">
        <v>0</v>
      </c>
      <c r="Q338" s="68">
        <v>0</v>
      </c>
      <c r="R338" s="71">
        <v>0</v>
      </c>
      <c r="S338" s="68">
        <v>0</v>
      </c>
      <c r="T338" s="71">
        <v>0</v>
      </c>
      <c r="U338" s="68">
        <v>0</v>
      </c>
      <c r="V338" s="71">
        <v>0</v>
      </c>
      <c r="W338" s="68">
        <v>0</v>
      </c>
      <c r="X338" s="71">
        <v>0</v>
      </c>
      <c r="Y338" s="68">
        <v>0</v>
      </c>
      <c r="Z338" s="71">
        <v>0</v>
      </c>
      <c r="AA338" s="68">
        <v>0</v>
      </c>
      <c r="AB338" s="71">
        <v>0</v>
      </c>
      <c r="AC338" s="238">
        <f t="shared" si="147"/>
        <v>0</v>
      </c>
      <c r="AD338" s="238"/>
      <c r="AE338" s="238"/>
    </row>
    <row r="339" spans="2:31" x14ac:dyDescent="0.3">
      <c r="B339" s="245" t="s">
        <v>32</v>
      </c>
      <c r="C339" s="245"/>
      <c r="D339" s="245"/>
      <c r="E339" s="68">
        <v>0</v>
      </c>
      <c r="F339" s="71">
        <v>0</v>
      </c>
      <c r="G339" s="68">
        <v>0</v>
      </c>
      <c r="H339" s="71">
        <v>0</v>
      </c>
      <c r="I339" s="68">
        <v>0</v>
      </c>
      <c r="J339" s="71">
        <v>0</v>
      </c>
      <c r="K339" s="68">
        <v>0</v>
      </c>
      <c r="L339" s="71">
        <v>0</v>
      </c>
      <c r="M339" s="68">
        <v>0</v>
      </c>
      <c r="N339" s="71">
        <v>0</v>
      </c>
      <c r="O339" s="68">
        <v>0</v>
      </c>
      <c r="P339" s="71">
        <v>0</v>
      </c>
      <c r="Q339" s="68">
        <v>0</v>
      </c>
      <c r="R339" s="71">
        <v>0</v>
      </c>
      <c r="S339" s="68">
        <v>0</v>
      </c>
      <c r="T339" s="71">
        <v>0</v>
      </c>
      <c r="U339" s="68">
        <v>0</v>
      </c>
      <c r="V339" s="71">
        <v>0</v>
      </c>
      <c r="W339" s="68">
        <v>0</v>
      </c>
      <c r="X339" s="71">
        <v>0</v>
      </c>
      <c r="Y339" s="68">
        <v>0</v>
      </c>
      <c r="Z339" s="71">
        <v>0</v>
      </c>
      <c r="AA339" s="68">
        <v>0</v>
      </c>
      <c r="AB339" s="71">
        <v>0</v>
      </c>
      <c r="AC339" s="238">
        <f t="shared" si="147"/>
        <v>0</v>
      </c>
      <c r="AD339" s="238"/>
      <c r="AE339" s="238"/>
    </row>
    <row r="340" spans="2:31" x14ac:dyDescent="0.3">
      <c r="B340" s="245" t="s">
        <v>33</v>
      </c>
      <c r="C340" s="245"/>
      <c r="D340" s="245"/>
      <c r="E340" s="68">
        <v>0</v>
      </c>
      <c r="F340" s="71">
        <v>0</v>
      </c>
      <c r="G340" s="68">
        <v>0</v>
      </c>
      <c r="H340" s="71">
        <v>0</v>
      </c>
      <c r="I340" s="68">
        <v>0</v>
      </c>
      <c r="J340" s="71">
        <v>0</v>
      </c>
      <c r="K340" s="68">
        <v>0</v>
      </c>
      <c r="L340" s="71">
        <v>0</v>
      </c>
      <c r="M340" s="68">
        <v>0</v>
      </c>
      <c r="N340" s="71">
        <v>0</v>
      </c>
      <c r="O340" s="68">
        <v>0</v>
      </c>
      <c r="P340" s="71">
        <v>0</v>
      </c>
      <c r="Q340" s="68">
        <v>0</v>
      </c>
      <c r="R340" s="71">
        <v>0</v>
      </c>
      <c r="S340" s="68">
        <v>0</v>
      </c>
      <c r="T340" s="71">
        <v>0</v>
      </c>
      <c r="U340" s="68">
        <v>0</v>
      </c>
      <c r="V340" s="71">
        <v>0</v>
      </c>
      <c r="W340" s="68">
        <v>0</v>
      </c>
      <c r="X340" s="71">
        <v>0</v>
      </c>
      <c r="Y340" s="68">
        <v>0</v>
      </c>
      <c r="Z340" s="71">
        <v>0</v>
      </c>
      <c r="AA340" s="68">
        <v>0</v>
      </c>
      <c r="AB340" s="71">
        <v>0</v>
      </c>
      <c r="AC340" s="238">
        <f t="shared" si="147"/>
        <v>0</v>
      </c>
      <c r="AD340" s="238"/>
      <c r="AE340" s="238"/>
    </row>
    <row r="341" spans="2:31" x14ac:dyDescent="0.3">
      <c r="B341" s="245" t="s">
        <v>34</v>
      </c>
      <c r="C341" s="245"/>
      <c r="D341" s="245"/>
      <c r="E341" s="68">
        <v>0</v>
      </c>
      <c r="F341" s="71">
        <v>0</v>
      </c>
      <c r="G341" s="68">
        <v>0</v>
      </c>
      <c r="H341" s="71">
        <v>0</v>
      </c>
      <c r="I341" s="68">
        <v>0</v>
      </c>
      <c r="J341" s="71">
        <v>0</v>
      </c>
      <c r="K341" s="68">
        <v>0</v>
      </c>
      <c r="L341" s="71">
        <v>0</v>
      </c>
      <c r="M341" s="68">
        <v>0</v>
      </c>
      <c r="N341" s="71">
        <v>0</v>
      </c>
      <c r="O341" s="68">
        <v>0</v>
      </c>
      <c r="P341" s="71">
        <v>0</v>
      </c>
      <c r="Q341" s="68">
        <v>0</v>
      </c>
      <c r="R341" s="71">
        <v>0</v>
      </c>
      <c r="S341" s="68">
        <v>0</v>
      </c>
      <c r="T341" s="71">
        <v>0</v>
      </c>
      <c r="U341" s="68">
        <v>0</v>
      </c>
      <c r="V341" s="71">
        <v>0</v>
      </c>
      <c r="W341" s="68">
        <v>0</v>
      </c>
      <c r="X341" s="71">
        <v>0</v>
      </c>
      <c r="Y341" s="68">
        <v>0</v>
      </c>
      <c r="Z341" s="71">
        <v>0</v>
      </c>
      <c r="AA341" s="68">
        <v>0</v>
      </c>
      <c r="AB341" s="71">
        <v>0</v>
      </c>
      <c r="AC341" s="238">
        <f t="shared" si="147"/>
        <v>0</v>
      </c>
      <c r="AD341" s="238"/>
      <c r="AE341" s="238"/>
    </row>
    <row r="342" spans="2:31" x14ac:dyDescent="0.3">
      <c r="B342" s="245" t="s">
        <v>35</v>
      </c>
      <c r="C342" s="245"/>
      <c r="D342" s="245"/>
      <c r="E342" s="68">
        <v>0</v>
      </c>
      <c r="F342" s="71">
        <v>0</v>
      </c>
      <c r="G342" s="68">
        <v>0</v>
      </c>
      <c r="H342" s="71">
        <v>0</v>
      </c>
      <c r="I342" s="68">
        <v>0</v>
      </c>
      <c r="J342" s="71">
        <v>0</v>
      </c>
      <c r="K342" s="68">
        <v>0</v>
      </c>
      <c r="L342" s="71">
        <v>0</v>
      </c>
      <c r="M342" s="68">
        <v>0</v>
      </c>
      <c r="N342" s="71">
        <v>0</v>
      </c>
      <c r="O342" s="68">
        <v>0</v>
      </c>
      <c r="P342" s="71">
        <v>0</v>
      </c>
      <c r="Q342" s="68">
        <v>0</v>
      </c>
      <c r="R342" s="71">
        <v>0</v>
      </c>
      <c r="S342" s="68">
        <v>0</v>
      </c>
      <c r="T342" s="71">
        <v>0</v>
      </c>
      <c r="U342" s="68">
        <v>0</v>
      </c>
      <c r="V342" s="71">
        <v>0</v>
      </c>
      <c r="W342" s="68">
        <v>0</v>
      </c>
      <c r="X342" s="71">
        <v>0</v>
      </c>
      <c r="Y342" s="68">
        <v>0</v>
      </c>
      <c r="Z342" s="71">
        <v>0</v>
      </c>
      <c r="AA342" s="68">
        <v>0</v>
      </c>
      <c r="AB342" s="71">
        <v>0</v>
      </c>
      <c r="AC342" s="238">
        <f t="shared" si="147"/>
        <v>0</v>
      </c>
      <c r="AD342" s="238"/>
      <c r="AE342" s="238"/>
    </row>
    <row r="343" spans="2:31" x14ac:dyDescent="0.3">
      <c r="B343" s="245" t="s">
        <v>36</v>
      </c>
      <c r="C343" s="245"/>
      <c r="D343" s="245"/>
      <c r="E343" s="68">
        <v>0</v>
      </c>
      <c r="F343" s="71">
        <v>0</v>
      </c>
      <c r="G343" s="68">
        <v>0</v>
      </c>
      <c r="H343" s="71">
        <v>0</v>
      </c>
      <c r="I343" s="68">
        <v>0</v>
      </c>
      <c r="J343" s="71">
        <v>0</v>
      </c>
      <c r="K343" s="68">
        <v>0</v>
      </c>
      <c r="L343" s="71">
        <v>0</v>
      </c>
      <c r="M343" s="68">
        <v>0</v>
      </c>
      <c r="N343" s="71">
        <v>0</v>
      </c>
      <c r="O343" s="68">
        <v>0</v>
      </c>
      <c r="P343" s="71">
        <v>0</v>
      </c>
      <c r="Q343" s="68">
        <v>0</v>
      </c>
      <c r="R343" s="71">
        <v>0</v>
      </c>
      <c r="S343" s="68">
        <v>0</v>
      </c>
      <c r="T343" s="71">
        <v>0</v>
      </c>
      <c r="U343" s="68">
        <v>0</v>
      </c>
      <c r="V343" s="71">
        <v>0</v>
      </c>
      <c r="W343" s="68">
        <v>0</v>
      </c>
      <c r="X343" s="71">
        <v>0</v>
      </c>
      <c r="Y343" s="68">
        <v>0</v>
      </c>
      <c r="Z343" s="71">
        <v>0</v>
      </c>
      <c r="AA343" s="68">
        <v>0</v>
      </c>
      <c r="AB343" s="71">
        <v>0</v>
      </c>
      <c r="AC343" s="238">
        <f t="shared" si="147"/>
        <v>0</v>
      </c>
      <c r="AD343" s="238"/>
      <c r="AE343" s="238"/>
    </row>
    <row r="344" spans="2:31" x14ac:dyDescent="0.3">
      <c r="B344" s="13" t="s">
        <v>89</v>
      </c>
      <c r="C344" s="13"/>
      <c r="D344" s="13"/>
      <c r="E344" s="68">
        <v>0</v>
      </c>
      <c r="F344" s="71">
        <v>0</v>
      </c>
      <c r="G344" s="68">
        <v>0</v>
      </c>
      <c r="H344" s="71">
        <v>0</v>
      </c>
      <c r="I344" s="68">
        <v>0</v>
      </c>
      <c r="J344" s="71">
        <v>0</v>
      </c>
      <c r="K344" s="68">
        <v>0</v>
      </c>
      <c r="L344" s="71">
        <v>0</v>
      </c>
      <c r="M344" s="68">
        <v>0</v>
      </c>
      <c r="N344" s="71">
        <v>0</v>
      </c>
      <c r="O344" s="68">
        <v>0</v>
      </c>
      <c r="P344" s="71">
        <v>0</v>
      </c>
      <c r="Q344" s="68">
        <v>0</v>
      </c>
      <c r="R344" s="71">
        <v>0</v>
      </c>
      <c r="S344" s="68">
        <v>0</v>
      </c>
      <c r="T344" s="71">
        <v>0</v>
      </c>
      <c r="U344" s="68">
        <v>0</v>
      </c>
      <c r="V344" s="71">
        <v>0</v>
      </c>
      <c r="W344" s="68">
        <v>0</v>
      </c>
      <c r="X344" s="71">
        <v>0</v>
      </c>
      <c r="Y344" s="68">
        <v>0</v>
      </c>
      <c r="Z344" s="71">
        <v>0</v>
      </c>
      <c r="AA344" s="68">
        <v>0</v>
      </c>
      <c r="AB344" s="71">
        <v>0</v>
      </c>
      <c r="AC344" s="238">
        <f t="shared" si="147"/>
        <v>0</v>
      </c>
      <c r="AD344" s="238"/>
      <c r="AE344" s="238"/>
    </row>
    <row r="345" spans="2:31" x14ac:dyDescent="0.3">
      <c r="B345" s="13" t="s">
        <v>90</v>
      </c>
      <c r="C345" s="13"/>
      <c r="D345" s="13"/>
      <c r="E345" s="68">
        <v>0</v>
      </c>
      <c r="F345" s="71">
        <v>0</v>
      </c>
      <c r="G345" s="68">
        <v>0</v>
      </c>
      <c r="H345" s="71">
        <v>0</v>
      </c>
      <c r="I345" s="68">
        <v>0</v>
      </c>
      <c r="J345" s="71">
        <v>0</v>
      </c>
      <c r="K345" s="68">
        <v>0</v>
      </c>
      <c r="L345" s="71">
        <v>0</v>
      </c>
      <c r="M345" s="68">
        <v>0</v>
      </c>
      <c r="N345" s="71">
        <v>0</v>
      </c>
      <c r="O345" s="68">
        <v>0</v>
      </c>
      <c r="P345" s="71">
        <v>0</v>
      </c>
      <c r="Q345" s="68">
        <v>0</v>
      </c>
      <c r="R345" s="71">
        <v>0</v>
      </c>
      <c r="S345" s="68">
        <v>0</v>
      </c>
      <c r="T345" s="71">
        <v>0</v>
      </c>
      <c r="U345" s="68">
        <v>0</v>
      </c>
      <c r="V345" s="71">
        <v>0</v>
      </c>
      <c r="W345" s="68">
        <v>0</v>
      </c>
      <c r="X345" s="71">
        <v>0</v>
      </c>
      <c r="Y345" s="68">
        <v>0</v>
      </c>
      <c r="Z345" s="71">
        <v>0</v>
      </c>
      <c r="AA345" s="68">
        <v>0</v>
      </c>
      <c r="AB345" s="71">
        <v>0</v>
      </c>
      <c r="AC345" s="238">
        <f t="shared" si="147"/>
        <v>0</v>
      </c>
      <c r="AD345" s="238"/>
      <c r="AE345" s="238"/>
    </row>
    <row r="346" spans="2:31" x14ac:dyDescent="0.3">
      <c r="B346" s="14" t="s">
        <v>2</v>
      </c>
      <c r="C346" s="14"/>
      <c r="D346" s="14"/>
      <c r="E346" s="15">
        <f>SUM(E309:E345)</f>
        <v>0</v>
      </c>
      <c r="F346" s="15">
        <f t="shared" ref="F346" si="148">SUM(F309:F345)</f>
        <v>0</v>
      </c>
      <c r="G346" s="15">
        <f t="shared" ref="G346" si="149">SUM(G309:G345)</f>
        <v>0</v>
      </c>
      <c r="H346" s="15">
        <f t="shared" ref="H346" si="150">SUM(H309:H345)</f>
        <v>0</v>
      </c>
      <c r="I346" s="15">
        <f t="shared" ref="I346" si="151">SUM(I309:I345)</f>
        <v>0</v>
      </c>
      <c r="J346" s="15">
        <f t="shared" ref="J346" si="152">SUM(J309:J345)</f>
        <v>0</v>
      </c>
      <c r="K346" s="15">
        <f t="shared" ref="K346" si="153">SUM(K309:K345)</f>
        <v>0</v>
      </c>
      <c r="L346" s="15">
        <f t="shared" ref="L346" si="154">SUM(L309:L345)</f>
        <v>0</v>
      </c>
      <c r="M346" s="15">
        <f t="shared" ref="M346" si="155">SUM(M309:M345)</f>
        <v>0</v>
      </c>
      <c r="N346" s="15">
        <f t="shared" ref="N346" si="156">SUM(N309:N345)</f>
        <v>0</v>
      </c>
      <c r="O346" s="15">
        <f t="shared" ref="O346" si="157">SUM(O309:O345)</f>
        <v>0</v>
      </c>
      <c r="P346" s="15">
        <f t="shared" ref="P346" si="158">SUM(P309:P345)</f>
        <v>0</v>
      </c>
      <c r="Q346" s="15">
        <f t="shared" ref="Q346" si="159">SUM(Q309:Q345)</f>
        <v>0</v>
      </c>
      <c r="R346" s="15">
        <f t="shared" ref="R346" si="160">SUM(R309:R345)</f>
        <v>0</v>
      </c>
      <c r="S346" s="15">
        <f t="shared" ref="S346" si="161">SUM(S309:S345)</f>
        <v>1.2989999999999999</v>
      </c>
      <c r="T346" s="15">
        <f t="shared" ref="T346" si="162">SUM(T309:T345)</f>
        <v>8.0941666666666716</v>
      </c>
      <c r="U346" s="15">
        <f t="shared" ref="U346" si="163">SUM(U309:U345)</f>
        <v>26.578499999999988</v>
      </c>
      <c r="V346" s="15">
        <f t="shared" ref="V346" si="164">SUM(V309:V345)</f>
        <v>8.0080000000000009</v>
      </c>
      <c r="W346" s="15">
        <f t="shared" ref="W346" si="165">SUM(W309:W345)</f>
        <v>27.608499999999999</v>
      </c>
      <c r="X346" s="15">
        <f t="shared" ref="X346" si="166">SUM(X309:X345)</f>
        <v>19.557833333333335</v>
      </c>
      <c r="Y346" s="15">
        <f t="shared" ref="Y346" si="167">SUM(Y309:Y345)</f>
        <v>7.947666666666664</v>
      </c>
      <c r="Z346" s="15">
        <f t="shared" ref="Z346" si="168">SUM(Z309:Z345)</f>
        <v>0</v>
      </c>
      <c r="AA346" s="15">
        <f t="shared" ref="AA346" si="169">SUM(AA309:AA345)</f>
        <v>0</v>
      </c>
      <c r="AB346" s="15">
        <f t="shared" ref="AB346" si="170">SUM(AB309:AB345)</f>
        <v>0</v>
      </c>
      <c r="AC346" s="249">
        <f>SUM(AC309:AE345)</f>
        <v>99.09366666666665</v>
      </c>
      <c r="AD346" s="249"/>
      <c r="AE346" s="249"/>
    </row>
    <row r="349" spans="2:31" x14ac:dyDescent="0.3">
      <c r="B349" s="8">
        <f>'Resumen-Mensual'!$M$22</f>
        <v>44570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4"/>
      <c r="AD349" s="4"/>
      <c r="AE349" s="4"/>
    </row>
    <row r="350" spans="2:31" x14ac:dyDescent="0.3">
      <c r="B350" s="8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4"/>
      <c r="AD350" s="4"/>
      <c r="AE350" s="4"/>
    </row>
    <row r="351" spans="2:31" x14ac:dyDescent="0.3">
      <c r="B351" s="9" t="s">
        <v>81</v>
      </c>
      <c r="C351" s="10"/>
      <c r="D351" s="10"/>
      <c r="E351" s="11">
        <v>1</v>
      </c>
      <c r="F351" s="11">
        <v>2</v>
      </c>
      <c r="G351" s="11">
        <v>3</v>
      </c>
      <c r="H351" s="11">
        <v>4</v>
      </c>
      <c r="I351" s="11">
        <v>5</v>
      </c>
      <c r="J351" s="11">
        <v>6</v>
      </c>
      <c r="K351" s="11">
        <v>7</v>
      </c>
      <c r="L351" s="11">
        <v>8</v>
      </c>
      <c r="M351" s="11">
        <v>9</v>
      </c>
      <c r="N351" s="11">
        <v>10</v>
      </c>
      <c r="O351" s="11">
        <v>11</v>
      </c>
      <c r="P351" s="11">
        <v>12</v>
      </c>
      <c r="Q351" s="11">
        <v>13</v>
      </c>
      <c r="R351" s="11">
        <v>14</v>
      </c>
      <c r="S351" s="11">
        <v>15</v>
      </c>
      <c r="T351" s="11">
        <v>16</v>
      </c>
      <c r="U351" s="11">
        <v>17</v>
      </c>
      <c r="V351" s="11">
        <v>18</v>
      </c>
      <c r="W351" s="11">
        <v>19</v>
      </c>
      <c r="X351" s="11">
        <v>20</v>
      </c>
      <c r="Y351" s="11">
        <v>21</v>
      </c>
      <c r="Z351" s="11">
        <v>22</v>
      </c>
      <c r="AA351" s="11">
        <v>23</v>
      </c>
      <c r="AB351" s="11">
        <v>24</v>
      </c>
      <c r="AC351" s="248" t="s">
        <v>2</v>
      </c>
      <c r="AD351" s="248"/>
      <c r="AE351" s="248"/>
    </row>
    <row r="352" spans="2:31" x14ac:dyDescent="0.3">
      <c r="B352" s="245" t="s">
        <v>4</v>
      </c>
      <c r="C352" s="245"/>
      <c r="D352" s="245"/>
      <c r="E352" s="76">
        <v>0</v>
      </c>
      <c r="F352" s="77">
        <v>0</v>
      </c>
      <c r="G352" s="76">
        <v>0</v>
      </c>
      <c r="H352" s="77">
        <v>0</v>
      </c>
      <c r="I352" s="76">
        <v>0</v>
      </c>
      <c r="J352" s="77">
        <v>0</v>
      </c>
      <c r="K352" s="76">
        <v>0</v>
      </c>
      <c r="L352" s="77">
        <v>0</v>
      </c>
      <c r="M352" s="76">
        <v>0</v>
      </c>
      <c r="N352" s="77">
        <v>0</v>
      </c>
      <c r="O352" s="76">
        <v>0</v>
      </c>
      <c r="P352" s="77">
        <v>0</v>
      </c>
      <c r="Q352" s="76">
        <v>0</v>
      </c>
      <c r="R352" s="77">
        <v>0.12200000000000012</v>
      </c>
      <c r="S352" s="76">
        <v>0.28983333333333311</v>
      </c>
      <c r="T352" s="77">
        <v>0</v>
      </c>
      <c r="U352" s="76">
        <v>0</v>
      </c>
      <c r="V352" s="77">
        <v>0</v>
      </c>
      <c r="W352" s="76">
        <v>0</v>
      </c>
      <c r="X352" s="77">
        <v>0</v>
      </c>
      <c r="Y352" s="76">
        <v>0</v>
      </c>
      <c r="Z352" s="77">
        <v>0</v>
      </c>
      <c r="AA352" s="76">
        <v>0</v>
      </c>
      <c r="AB352" s="77">
        <v>0</v>
      </c>
      <c r="AC352" s="238">
        <f>SUM(E352:AB352)</f>
        <v>0.41183333333333322</v>
      </c>
      <c r="AD352" s="238"/>
      <c r="AE352" s="238"/>
    </row>
    <row r="353" spans="2:31" x14ac:dyDescent="0.3">
      <c r="B353" s="245" t="s">
        <v>5</v>
      </c>
      <c r="C353" s="245"/>
      <c r="D353" s="245"/>
      <c r="E353" s="75">
        <v>0</v>
      </c>
      <c r="F353" s="78">
        <v>0</v>
      </c>
      <c r="G353" s="75">
        <v>0</v>
      </c>
      <c r="H353" s="78">
        <v>0</v>
      </c>
      <c r="I353" s="75">
        <v>0</v>
      </c>
      <c r="J353" s="78">
        <v>0</v>
      </c>
      <c r="K353" s="75">
        <v>0</v>
      </c>
      <c r="L353" s="78">
        <v>0</v>
      </c>
      <c r="M353" s="75">
        <v>0</v>
      </c>
      <c r="N353" s="78">
        <v>0</v>
      </c>
      <c r="O353" s="75">
        <v>0</v>
      </c>
      <c r="P353" s="78">
        <v>0</v>
      </c>
      <c r="Q353" s="75">
        <v>0</v>
      </c>
      <c r="R353" s="78">
        <v>11.2575</v>
      </c>
      <c r="S353" s="75">
        <v>36.662000000000013</v>
      </c>
      <c r="T353" s="78">
        <v>10.585999999999995</v>
      </c>
      <c r="U353" s="75">
        <v>0</v>
      </c>
      <c r="V353" s="78">
        <v>0</v>
      </c>
      <c r="W353" s="75">
        <v>0</v>
      </c>
      <c r="X353" s="78">
        <v>0</v>
      </c>
      <c r="Y353" s="75">
        <v>0</v>
      </c>
      <c r="Z353" s="78">
        <v>0</v>
      </c>
      <c r="AA353" s="75">
        <v>0</v>
      </c>
      <c r="AB353" s="78">
        <v>0</v>
      </c>
      <c r="AC353" s="238">
        <f t="shared" ref="AC353:AC388" si="171">SUM(E353:AB353)</f>
        <v>58.505500000000012</v>
      </c>
      <c r="AD353" s="238"/>
      <c r="AE353" s="238"/>
    </row>
    <row r="354" spans="2:31" x14ac:dyDescent="0.3">
      <c r="B354" s="245" t="s">
        <v>6</v>
      </c>
      <c r="C354" s="245"/>
      <c r="D354" s="245"/>
      <c r="E354" s="75">
        <v>0</v>
      </c>
      <c r="F354" s="78">
        <v>0</v>
      </c>
      <c r="G354" s="75">
        <v>0</v>
      </c>
      <c r="H354" s="78">
        <v>0</v>
      </c>
      <c r="I354" s="75">
        <v>0</v>
      </c>
      <c r="J354" s="78">
        <v>0</v>
      </c>
      <c r="K354" s="75">
        <v>0</v>
      </c>
      <c r="L354" s="78">
        <v>0</v>
      </c>
      <c r="M354" s="75">
        <v>0</v>
      </c>
      <c r="N354" s="78">
        <v>0</v>
      </c>
      <c r="O354" s="75">
        <v>0</v>
      </c>
      <c r="P354" s="78">
        <v>0</v>
      </c>
      <c r="Q354" s="75">
        <v>11.884499999999996</v>
      </c>
      <c r="R354" s="78">
        <v>16.339166666666664</v>
      </c>
      <c r="S354" s="75">
        <v>0</v>
      </c>
      <c r="T354" s="78">
        <v>0.439000000000003</v>
      </c>
      <c r="U354" s="75">
        <v>0</v>
      </c>
      <c r="V354" s="78">
        <v>19.304999999999996</v>
      </c>
      <c r="W354" s="75">
        <v>34.148999999999994</v>
      </c>
      <c r="X354" s="78">
        <v>18.192833333333329</v>
      </c>
      <c r="Y354" s="75">
        <v>0</v>
      </c>
      <c r="Z354" s="78">
        <v>0</v>
      </c>
      <c r="AA354" s="75">
        <v>0</v>
      </c>
      <c r="AB354" s="78">
        <v>0</v>
      </c>
      <c r="AC354" s="238">
        <f t="shared" si="171"/>
        <v>100.30949999999997</v>
      </c>
      <c r="AD354" s="238"/>
      <c r="AE354" s="238"/>
    </row>
    <row r="355" spans="2:31" x14ac:dyDescent="0.3">
      <c r="B355" s="245" t="s">
        <v>91</v>
      </c>
      <c r="C355" s="245"/>
      <c r="D355" s="245"/>
      <c r="E355" s="75">
        <v>0</v>
      </c>
      <c r="F355" s="78">
        <v>0</v>
      </c>
      <c r="G355" s="75">
        <v>0</v>
      </c>
      <c r="H355" s="78">
        <v>0</v>
      </c>
      <c r="I355" s="75">
        <v>0</v>
      </c>
      <c r="J355" s="78">
        <v>0</v>
      </c>
      <c r="K355" s="75">
        <v>0</v>
      </c>
      <c r="L355" s="78">
        <v>0</v>
      </c>
      <c r="M355" s="75">
        <v>0</v>
      </c>
      <c r="N355" s="78">
        <v>0</v>
      </c>
      <c r="O355" s="75">
        <v>0</v>
      </c>
      <c r="P355" s="78">
        <v>0</v>
      </c>
      <c r="Q355" s="75">
        <v>0</v>
      </c>
      <c r="R355" s="78">
        <v>0</v>
      </c>
      <c r="S355" s="75">
        <v>0</v>
      </c>
      <c r="T355" s="78">
        <v>0</v>
      </c>
      <c r="U355" s="75">
        <v>0</v>
      </c>
      <c r="V355" s="78">
        <v>0</v>
      </c>
      <c r="W355" s="75">
        <v>0</v>
      </c>
      <c r="X355" s="78">
        <v>0</v>
      </c>
      <c r="Y355" s="75">
        <v>0</v>
      </c>
      <c r="Z355" s="78">
        <v>0</v>
      </c>
      <c r="AA355" s="75">
        <v>0</v>
      </c>
      <c r="AB355" s="78">
        <v>0</v>
      </c>
      <c r="AC355" s="238">
        <f t="shared" si="171"/>
        <v>0</v>
      </c>
      <c r="AD355" s="238"/>
      <c r="AE355" s="238"/>
    </row>
    <row r="356" spans="2:31" x14ac:dyDescent="0.3">
      <c r="B356" s="245" t="s">
        <v>7</v>
      </c>
      <c r="C356" s="245"/>
      <c r="D356" s="245"/>
      <c r="E356" s="75">
        <v>0</v>
      </c>
      <c r="F356" s="78">
        <v>0</v>
      </c>
      <c r="G356" s="75">
        <v>0</v>
      </c>
      <c r="H356" s="78">
        <v>0</v>
      </c>
      <c r="I356" s="75">
        <v>0</v>
      </c>
      <c r="J356" s="78">
        <v>0</v>
      </c>
      <c r="K356" s="75">
        <v>0</v>
      </c>
      <c r="L356" s="78">
        <v>0</v>
      </c>
      <c r="M356" s="75">
        <v>0</v>
      </c>
      <c r="N356" s="78">
        <v>0</v>
      </c>
      <c r="O356" s="75">
        <v>0</v>
      </c>
      <c r="P356" s="78">
        <v>0</v>
      </c>
      <c r="Q356" s="75">
        <v>0</v>
      </c>
      <c r="R356" s="78">
        <v>17.519666666666662</v>
      </c>
      <c r="S356" s="75">
        <v>2.2666666666668077E-2</v>
      </c>
      <c r="T356" s="78">
        <v>8.3333333333328596E-3</v>
      </c>
      <c r="U356" s="75">
        <v>3.8333333333331627E-3</v>
      </c>
      <c r="V356" s="78">
        <v>6.6666666666667616E-3</v>
      </c>
      <c r="W356" s="75">
        <v>7.1666666666665435E-3</v>
      </c>
      <c r="X356" s="78">
        <v>5.3016666666666667</v>
      </c>
      <c r="Y356" s="75">
        <v>0</v>
      </c>
      <c r="Z356" s="78">
        <v>0</v>
      </c>
      <c r="AA356" s="75">
        <v>0</v>
      </c>
      <c r="AB356" s="78">
        <v>0</v>
      </c>
      <c r="AC356" s="238">
        <f t="shared" si="171"/>
        <v>22.869999999999997</v>
      </c>
      <c r="AD356" s="238"/>
      <c r="AE356" s="238"/>
    </row>
    <row r="357" spans="2:31" x14ac:dyDescent="0.3">
      <c r="B357" s="245" t="s">
        <v>8</v>
      </c>
      <c r="C357" s="245"/>
      <c r="D357" s="245"/>
      <c r="E357" s="75">
        <v>0</v>
      </c>
      <c r="F357" s="78">
        <v>0</v>
      </c>
      <c r="G357" s="75">
        <v>0</v>
      </c>
      <c r="H357" s="78">
        <v>0</v>
      </c>
      <c r="I357" s="75">
        <v>0</v>
      </c>
      <c r="J357" s="78">
        <v>0</v>
      </c>
      <c r="K357" s="75">
        <v>0</v>
      </c>
      <c r="L357" s="78">
        <v>0</v>
      </c>
      <c r="M357" s="75">
        <v>0</v>
      </c>
      <c r="N357" s="78">
        <v>0</v>
      </c>
      <c r="O357" s="75">
        <v>0</v>
      </c>
      <c r="P357" s="78">
        <v>0</v>
      </c>
      <c r="Q357" s="75">
        <v>0</v>
      </c>
      <c r="R357" s="78">
        <v>0</v>
      </c>
      <c r="S357" s="75">
        <v>0.32150000000000001</v>
      </c>
      <c r="T357" s="78">
        <v>3.1156666666666664</v>
      </c>
      <c r="U357" s="75">
        <v>0</v>
      </c>
      <c r="V357" s="78">
        <v>0</v>
      </c>
      <c r="W357" s="75">
        <v>0</v>
      </c>
      <c r="X357" s="78">
        <v>0</v>
      </c>
      <c r="Y357" s="75">
        <v>0</v>
      </c>
      <c r="Z357" s="78">
        <v>0</v>
      </c>
      <c r="AA357" s="75">
        <v>0</v>
      </c>
      <c r="AB357" s="78">
        <v>0</v>
      </c>
      <c r="AC357" s="238">
        <f t="shared" si="171"/>
        <v>3.4371666666666663</v>
      </c>
      <c r="AD357" s="238"/>
      <c r="AE357" s="238"/>
    </row>
    <row r="358" spans="2:31" x14ac:dyDescent="0.3">
      <c r="B358" s="245" t="s">
        <v>9</v>
      </c>
      <c r="C358" s="245"/>
      <c r="D358" s="245"/>
      <c r="E358" s="75">
        <v>0</v>
      </c>
      <c r="F358" s="78">
        <v>0</v>
      </c>
      <c r="G358" s="75">
        <v>0</v>
      </c>
      <c r="H358" s="78">
        <v>0</v>
      </c>
      <c r="I358" s="75">
        <v>0</v>
      </c>
      <c r="J358" s="78">
        <v>0</v>
      </c>
      <c r="K358" s="75">
        <v>0</v>
      </c>
      <c r="L358" s="78">
        <v>0</v>
      </c>
      <c r="M358" s="75">
        <v>0</v>
      </c>
      <c r="N358" s="78">
        <v>0</v>
      </c>
      <c r="O358" s="75">
        <v>0</v>
      </c>
      <c r="P358" s="78">
        <v>0</v>
      </c>
      <c r="Q358" s="75">
        <v>0</v>
      </c>
      <c r="R358" s="78">
        <v>2.4461666666666679</v>
      </c>
      <c r="S358" s="75">
        <v>4.5333333333333288E-2</v>
      </c>
      <c r="T358" s="78">
        <v>0</v>
      </c>
      <c r="U358" s="75">
        <v>0</v>
      </c>
      <c r="V358" s="78">
        <v>0</v>
      </c>
      <c r="W358" s="75">
        <v>0</v>
      </c>
      <c r="X358" s="78">
        <v>0</v>
      </c>
      <c r="Y358" s="75">
        <v>0</v>
      </c>
      <c r="Z358" s="78">
        <v>0</v>
      </c>
      <c r="AA358" s="75">
        <v>0</v>
      </c>
      <c r="AB358" s="78">
        <v>0</v>
      </c>
      <c r="AC358" s="238">
        <f t="shared" si="171"/>
        <v>2.4915000000000012</v>
      </c>
      <c r="AD358" s="238"/>
      <c r="AE358" s="238"/>
    </row>
    <row r="359" spans="2:31" x14ac:dyDescent="0.3">
      <c r="B359" s="245" t="s">
        <v>10</v>
      </c>
      <c r="C359" s="245"/>
      <c r="D359" s="245"/>
      <c r="E359" s="75">
        <v>0</v>
      </c>
      <c r="F359" s="78">
        <v>0</v>
      </c>
      <c r="G359" s="75">
        <v>0</v>
      </c>
      <c r="H359" s="78">
        <v>0</v>
      </c>
      <c r="I359" s="75">
        <v>0</v>
      </c>
      <c r="J359" s="78">
        <v>0</v>
      </c>
      <c r="K359" s="75">
        <v>0</v>
      </c>
      <c r="L359" s="78">
        <v>0</v>
      </c>
      <c r="M359" s="75">
        <v>0</v>
      </c>
      <c r="N359" s="78">
        <v>0</v>
      </c>
      <c r="O359" s="75">
        <v>0</v>
      </c>
      <c r="P359" s="78">
        <v>0</v>
      </c>
      <c r="Q359" s="75">
        <v>0</v>
      </c>
      <c r="R359" s="78">
        <v>2.2956666666666674</v>
      </c>
      <c r="S359" s="75">
        <v>3.1265000000000001</v>
      </c>
      <c r="T359" s="78">
        <v>4.4999999999999927E-3</v>
      </c>
      <c r="U359" s="75">
        <v>0</v>
      </c>
      <c r="V359" s="78">
        <v>0</v>
      </c>
      <c r="W359" s="75">
        <v>0</v>
      </c>
      <c r="X359" s="78">
        <v>0</v>
      </c>
      <c r="Y359" s="75">
        <v>0</v>
      </c>
      <c r="Z359" s="78">
        <v>0</v>
      </c>
      <c r="AA359" s="75">
        <v>0</v>
      </c>
      <c r="AB359" s="78">
        <v>0</v>
      </c>
      <c r="AC359" s="238">
        <f t="shared" si="171"/>
        <v>5.4266666666666676</v>
      </c>
      <c r="AD359" s="238"/>
      <c r="AE359" s="238"/>
    </row>
    <row r="360" spans="2:31" x14ac:dyDescent="0.3">
      <c r="B360" s="245" t="s">
        <v>11</v>
      </c>
      <c r="C360" s="245"/>
      <c r="D360" s="245"/>
      <c r="E360" s="75">
        <v>0</v>
      </c>
      <c r="F360" s="78">
        <v>0</v>
      </c>
      <c r="G360" s="75">
        <v>0</v>
      </c>
      <c r="H360" s="78">
        <v>0</v>
      </c>
      <c r="I360" s="75">
        <v>0</v>
      </c>
      <c r="J360" s="78">
        <v>0</v>
      </c>
      <c r="K360" s="75">
        <v>0</v>
      </c>
      <c r="L360" s="78">
        <v>0</v>
      </c>
      <c r="M360" s="75">
        <v>0</v>
      </c>
      <c r="N360" s="78">
        <v>0</v>
      </c>
      <c r="O360" s="75">
        <v>0</v>
      </c>
      <c r="P360" s="78">
        <v>0</v>
      </c>
      <c r="Q360" s="75">
        <v>0</v>
      </c>
      <c r="R360" s="78">
        <v>0.54050000000000009</v>
      </c>
      <c r="S360" s="75">
        <v>1.4333333333333413E-2</v>
      </c>
      <c r="T360" s="78">
        <v>0</v>
      </c>
      <c r="U360" s="75">
        <v>0</v>
      </c>
      <c r="V360" s="78">
        <v>0</v>
      </c>
      <c r="W360" s="75">
        <v>0</v>
      </c>
      <c r="X360" s="78">
        <v>0</v>
      </c>
      <c r="Y360" s="75">
        <v>0</v>
      </c>
      <c r="Z360" s="78">
        <v>0</v>
      </c>
      <c r="AA360" s="75">
        <v>0</v>
      </c>
      <c r="AB360" s="78">
        <v>0</v>
      </c>
      <c r="AC360" s="238">
        <f t="shared" si="171"/>
        <v>0.55483333333333351</v>
      </c>
      <c r="AD360" s="238"/>
      <c r="AE360" s="238"/>
    </row>
    <row r="361" spans="2:31" x14ac:dyDescent="0.3">
      <c r="B361" s="245" t="s">
        <v>12</v>
      </c>
      <c r="C361" s="245"/>
      <c r="D361" s="245"/>
      <c r="E361" s="75">
        <v>0</v>
      </c>
      <c r="F361" s="78">
        <v>0</v>
      </c>
      <c r="G361" s="75">
        <v>0</v>
      </c>
      <c r="H361" s="78">
        <v>0</v>
      </c>
      <c r="I361" s="75">
        <v>0</v>
      </c>
      <c r="J361" s="78">
        <v>0</v>
      </c>
      <c r="K361" s="75">
        <v>0</v>
      </c>
      <c r="L361" s="78">
        <v>0</v>
      </c>
      <c r="M361" s="75">
        <v>0</v>
      </c>
      <c r="N361" s="78">
        <v>0</v>
      </c>
      <c r="O361" s="75">
        <v>0</v>
      </c>
      <c r="P361" s="78">
        <v>0</v>
      </c>
      <c r="Q361" s="75">
        <v>0</v>
      </c>
      <c r="R361" s="78">
        <v>3.8896666666666664</v>
      </c>
      <c r="S361" s="75">
        <v>7.1551666666666645</v>
      </c>
      <c r="T361" s="78">
        <v>1.7758333333333336</v>
      </c>
      <c r="U361" s="75">
        <v>0</v>
      </c>
      <c r="V361" s="78">
        <v>0</v>
      </c>
      <c r="W361" s="75">
        <v>0</v>
      </c>
      <c r="X361" s="78">
        <v>0</v>
      </c>
      <c r="Y361" s="75">
        <v>0</v>
      </c>
      <c r="Z361" s="78">
        <v>0</v>
      </c>
      <c r="AA361" s="75">
        <v>0</v>
      </c>
      <c r="AB361" s="78">
        <v>0</v>
      </c>
      <c r="AC361" s="238">
        <f t="shared" si="171"/>
        <v>12.820666666666664</v>
      </c>
      <c r="AD361" s="238"/>
      <c r="AE361" s="238"/>
    </row>
    <row r="362" spans="2:31" x14ac:dyDescent="0.3">
      <c r="B362" s="245" t="s">
        <v>13</v>
      </c>
      <c r="C362" s="245"/>
      <c r="D362" s="245"/>
      <c r="E362" s="75">
        <v>0</v>
      </c>
      <c r="F362" s="78">
        <v>0</v>
      </c>
      <c r="G362" s="75">
        <v>0</v>
      </c>
      <c r="H362" s="78">
        <v>0</v>
      </c>
      <c r="I362" s="75">
        <v>0</v>
      </c>
      <c r="J362" s="78">
        <v>0</v>
      </c>
      <c r="K362" s="75">
        <v>0</v>
      </c>
      <c r="L362" s="78">
        <v>0</v>
      </c>
      <c r="M362" s="75">
        <v>0</v>
      </c>
      <c r="N362" s="78">
        <v>0</v>
      </c>
      <c r="O362" s="75">
        <v>0</v>
      </c>
      <c r="P362" s="78">
        <v>0</v>
      </c>
      <c r="Q362" s="75">
        <v>0</v>
      </c>
      <c r="R362" s="78">
        <v>4.7401666666666662</v>
      </c>
      <c r="S362" s="75">
        <v>8.2598333333333347</v>
      </c>
      <c r="T362" s="78">
        <v>2.0354999999999999</v>
      </c>
      <c r="U362" s="75">
        <v>0</v>
      </c>
      <c r="V362" s="78">
        <v>0</v>
      </c>
      <c r="W362" s="75">
        <v>0</v>
      </c>
      <c r="X362" s="78">
        <v>0</v>
      </c>
      <c r="Y362" s="75">
        <v>0</v>
      </c>
      <c r="Z362" s="78">
        <v>0</v>
      </c>
      <c r="AA362" s="75">
        <v>0</v>
      </c>
      <c r="AB362" s="78">
        <v>0</v>
      </c>
      <c r="AC362" s="238">
        <f t="shared" si="171"/>
        <v>15.035499999999999</v>
      </c>
      <c r="AD362" s="238"/>
      <c r="AE362" s="238"/>
    </row>
    <row r="363" spans="2:31" x14ac:dyDescent="0.3">
      <c r="B363" s="245" t="s">
        <v>14</v>
      </c>
      <c r="C363" s="245"/>
      <c r="D363" s="245"/>
      <c r="E363" s="75">
        <v>0</v>
      </c>
      <c r="F363" s="78">
        <v>0</v>
      </c>
      <c r="G363" s="75">
        <v>0</v>
      </c>
      <c r="H363" s="78">
        <v>0</v>
      </c>
      <c r="I363" s="75">
        <v>0</v>
      </c>
      <c r="J363" s="78">
        <v>0</v>
      </c>
      <c r="K363" s="75">
        <v>0</v>
      </c>
      <c r="L363" s="78">
        <v>0</v>
      </c>
      <c r="M363" s="75">
        <v>0</v>
      </c>
      <c r="N363" s="78">
        <v>0</v>
      </c>
      <c r="O363" s="75">
        <v>0</v>
      </c>
      <c r="P363" s="78">
        <v>0</v>
      </c>
      <c r="Q363" s="75">
        <v>0</v>
      </c>
      <c r="R363" s="78">
        <v>3.0876666666666641</v>
      </c>
      <c r="S363" s="75">
        <v>5.0753333333333375</v>
      </c>
      <c r="T363" s="78">
        <v>1.1065</v>
      </c>
      <c r="U363" s="75">
        <v>0</v>
      </c>
      <c r="V363" s="78">
        <v>0</v>
      </c>
      <c r="W363" s="75">
        <v>0</v>
      </c>
      <c r="X363" s="78">
        <v>0</v>
      </c>
      <c r="Y363" s="75">
        <v>0</v>
      </c>
      <c r="Z363" s="78">
        <v>0</v>
      </c>
      <c r="AA363" s="75">
        <v>0</v>
      </c>
      <c r="AB363" s="78">
        <v>0</v>
      </c>
      <c r="AC363" s="238">
        <f t="shared" si="171"/>
        <v>9.2695000000000025</v>
      </c>
      <c r="AD363" s="238"/>
      <c r="AE363" s="238"/>
    </row>
    <row r="364" spans="2:31" x14ac:dyDescent="0.3">
      <c r="B364" s="245" t="s">
        <v>15</v>
      </c>
      <c r="C364" s="245"/>
      <c r="D364" s="245"/>
      <c r="E364" s="75">
        <v>0</v>
      </c>
      <c r="F364" s="78">
        <v>0</v>
      </c>
      <c r="G364" s="75">
        <v>0</v>
      </c>
      <c r="H364" s="78">
        <v>0</v>
      </c>
      <c r="I364" s="75">
        <v>0</v>
      </c>
      <c r="J364" s="78">
        <v>0</v>
      </c>
      <c r="K364" s="75">
        <v>0</v>
      </c>
      <c r="L364" s="78">
        <v>0</v>
      </c>
      <c r="M364" s="75">
        <v>0</v>
      </c>
      <c r="N364" s="78">
        <v>0</v>
      </c>
      <c r="O364" s="75">
        <v>0</v>
      </c>
      <c r="P364" s="78">
        <v>0</v>
      </c>
      <c r="Q364" s="75">
        <v>0</v>
      </c>
      <c r="R364" s="78">
        <v>2.3226666666666671</v>
      </c>
      <c r="S364" s="75">
        <v>3.6295000000000002</v>
      </c>
      <c r="T364" s="78">
        <v>0.78616666666666657</v>
      </c>
      <c r="U364" s="75">
        <v>0</v>
      </c>
      <c r="V364" s="78">
        <v>0</v>
      </c>
      <c r="W364" s="75">
        <v>0</v>
      </c>
      <c r="X364" s="78">
        <v>0</v>
      </c>
      <c r="Y364" s="75">
        <v>0</v>
      </c>
      <c r="Z364" s="78">
        <v>0</v>
      </c>
      <c r="AA364" s="75">
        <v>0</v>
      </c>
      <c r="AB364" s="78">
        <v>0</v>
      </c>
      <c r="AC364" s="238">
        <f t="shared" si="171"/>
        <v>6.7383333333333333</v>
      </c>
      <c r="AD364" s="238"/>
      <c r="AE364" s="238"/>
    </row>
    <row r="365" spans="2:31" x14ac:dyDescent="0.3">
      <c r="B365" s="245" t="s">
        <v>16</v>
      </c>
      <c r="C365" s="245"/>
      <c r="D365" s="245"/>
      <c r="E365" s="75">
        <v>0</v>
      </c>
      <c r="F365" s="78">
        <v>0</v>
      </c>
      <c r="G365" s="75">
        <v>0</v>
      </c>
      <c r="H365" s="78">
        <v>0</v>
      </c>
      <c r="I365" s="75">
        <v>0</v>
      </c>
      <c r="J365" s="78">
        <v>0</v>
      </c>
      <c r="K365" s="75">
        <v>0</v>
      </c>
      <c r="L365" s="78">
        <v>0</v>
      </c>
      <c r="M365" s="75">
        <v>0</v>
      </c>
      <c r="N365" s="78">
        <v>0</v>
      </c>
      <c r="O365" s="75">
        <v>0</v>
      </c>
      <c r="P365" s="78">
        <v>0</v>
      </c>
      <c r="Q365" s="75">
        <v>0</v>
      </c>
      <c r="R365" s="78">
        <v>0</v>
      </c>
      <c r="S365" s="75">
        <v>0</v>
      </c>
      <c r="T365" s="78">
        <v>0</v>
      </c>
      <c r="U365" s="75">
        <v>0</v>
      </c>
      <c r="V365" s="78">
        <v>0</v>
      </c>
      <c r="W365" s="75">
        <v>0</v>
      </c>
      <c r="X365" s="78">
        <v>0</v>
      </c>
      <c r="Y365" s="75">
        <v>0</v>
      </c>
      <c r="Z365" s="78">
        <v>0</v>
      </c>
      <c r="AA365" s="75">
        <v>0</v>
      </c>
      <c r="AB365" s="78">
        <v>0</v>
      </c>
      <c r="AC365" s="238">
        <f t="shared" si="171"/>
        <v>0</v>
      </c>
      <c r="AD365" s="238"/>
      <c r="AE365" s="238"/>
    </row>
    <row r="366" spans="2:31" x14ac:dyDescent="0.3">
      <c r="B366" s="245" t="s">
        <v>17</v>
      </c>
      <c r="C366" s="245"/>
      <c r="D366" s="245"/>
      <c r="E366" s="75">
        <v>0</v>
      </c>
      <c r="F366" s="78">
        <v>0</v>
      </c>
      <c r="G366" s="75">
        <v>0</v>
      </c>
      <c r="H366" s="78">
        <v>0</v>
      </c>
      <c r="I366" s="75">
        <v>0</v>
      </c>
      <c r="J366" s="78">
        <v>0</v>
      </c>
      <c r="K366" s="75">
        <v>0</v>
      </c>
      <c r="L366" s="78">
        <v>0</v>
      </c>
      <c r="M366" s="75">
        <v>0</v>
      </c>
      <c r="N366" s="78">
        <v>0</v>
      </c>
      <c r="O366" s="75">
        <v>0</v>
      </c>
      <c r="P366" s="78">
        <v>0</v>
      </c>
      <c r="Q366" s="75">
        <v>0</v>
      </c>
      <c r="R366" s="78">
        <v>0</v>
      </c>
      <c r="S366" s="75">
        <v>0</v>
      </c>
      <c r="T366" s="78">
        <v>0</v>
      </c>
      <c r="U366" s="75">
        <v>0</v>
      </c>
      <c r="V366" s="78">
        <v>0</v>
      </c>
      <c r="W366" s="75">
        <v>0</v>
      </c>
      <c r="X366" s="78">
        <v>0</v>
      </c>
      <c r="Y366" s="75">
        <v>0</v>
      </c>
      <c r="Z366" s="78">
        <v>0</v>
      </c>
      <c r="AA366" s="75">
        <v>0</v>
      </c>
      <c r="AB366" s="78">
        <v>0</v>
      </c>
      <c r="AC366" s="238">
        <f t="shared" si="171"/>
        <v>0</v>
      </c>
      <c r="AD366" s="238"/>
      <c r="AE366" s="238"/>
    </row>
    <row r="367" spans="2:31" x14ac:dyDescent="0.3">
      <c r="B367" s="245" t="s">
        <v>18</v>
      </c>
      <c r="C367" s="245"/>
      <c r="D367" s="245"/>
      <c r="E367" s="75">
        <v>0</v>
      </c>
      <c r="F367" s="78">
        <v>0</v>
      </c>
      <c r="G367" s="75">
        <v>0</v>
      </c>
      <c r="H367" s="78">
        <v>0</v>
      </c>
      <c r="I367" s="75">
        <v>0</v>
      </c>
      <c r="J367" s="78">
        <v>0</v>
      </c>
      <c r="K367" s="75">
        <v>0</v>
      </c>
      <c r="L367" s="78">
        <v>0</v>
      </c>
      <c r="M367" s="75">
        <v>0</v>
      </c>
      <c r="N367" s="78">
        <v>0</v>
      </c>
      <c r="O367" s="75">
        <v>0</v>
      </c>
      <c r="P367" s="78">
        <v>0</v>
      </c>
      <c r="Q367" s="75">
        <v>0</v>
      </c>
      <c r="R367" s="78">
        <v>1.3308333333333338</v>
      </c>
      <c r="S367" s="75">
        <v>2.9304999999999994</v>
      </c>
      <c r="T367" s="78">
        <v>0.16849999999999998</v>
      </c>
      <c r="U367" s="75">
        <v>0</v>
      </c>
      <c r="V367" s="78">
        <v>0</v>
      </c>
      <c r="W367" s="75">
        <v>0</v>
      </c>
      <c r="X367" s="78">
        <v>0</v>
      </c>
      <c r="Y367" s="75">
        <v>0</v>
      </c>
      <c r="Z367" s="78">
        <v>0</v>
      </c>
      <c r="AA367" s="75">
        <v>0</v>
      </c>
      <c r="AB367" s="78">
        <v>0</v>
      </c>
      <c r="AC367" s="238">
        <f t="shared" si="171"/>
        <v>4.4298333333333328</v>
      </c>
      <c r="AD367" s="238"/>
      <c r="AE367" s="238"/>
    </row>
    <row r="368" spans="2:31" x14ac:dyDescent="0.3">
      <c r="B368" s="245" t="s">
        <v>19</v>
      </c>
      <c r="C368" s="245"/>
      <c r="D368" s="245"/>
      <c r="E368" s="75">
        <v>0</v>
      </c>
      <c r="F368" s="78">
        <v>0</v>
      </c>
      <c r="G368" s="75">
        <v>0</v>
      </c>
      <c r="H368" s="78">
        <v>0</v>
      </c>
      <c r="I368" s="75">
        <v>0</v>
      </c>
      <c r="J368" s="78">
        <v>0</v>
      </c>
      <c r="K368" s="75">
        <v>0</v>
      </c>
      <c r="L368" s="78">
        <v>0</v>
      </c>
      <c r="M368" s="75">
        <v>0</v>
      </c>
      <c r="N368" s="78">
        <v>0</v>
      </c>
      <c r="O368" s="75">
        <v>0</v>
      </c>
      <c r="P368" s="78">
        <v>0</v>
      </c>
      <c r="Q368" s="75">
        <v>0</v>
      </c>
      <c r="R368" s="78">
        <v>4.4489999999999998</v>
      </c>
      <c r="S368" s="75">
        <v>6.3244999999999996</v>
      </c>
      <c r="T368" s="78">
        <v>1.5598333333333332</v>
      </c>
      <c r="U368" s="75">
        <v>0</v>
      </c>
      <c r="V368" s="78">
        <v>0</v>
      </c>
      <c r="W368" s="75">
        <v>0</v>
      </c>
      <c r="X368" s="78">
        <v>0</v>
      </c>
      <c r="Y368" s="75">
        <v>0</v>
      </c>
      <c r="Z368" s="78">
        <v>0</v>
      </c>
      <c r="AA368" s="75">
        <v>0</v>
      </c>
      <c r="AB368" s="78">
        <v>0</v>
      </c>
      <c r="AC368" s="238">
        <f t="shared" si="171"/>
        <v>12.333333333333332</v>
      </c>
      <c r="AD368" s="238"/>
      <c r="AE368" s="238"/>
    </row>
    <row r="369" spans="2:31" x14ac:dyDescent="0.3">
      <c r="B369" s="245" t="s">
        <v>20</v>
      </c>
      <c r="C369" s="245"/>
      <c r="D369" s="245"/>
      <c r="E369" s="75">
        <v>0</v>
      </c>
      <c r="F369" s="78">
        <v>0</v>
      </c>
      <c r="G369" s="75">
        <v>0</v>
      </c>
      <c r="H369" s="78">
        <v>0</v>
      </c>
      <c r="I369" s="75">
        <v>0</v>
      </c>
      <c r="J369" s="78">
        <v>0</v>
      </c>
      <c r="K369" s="75">
        <v>0</v>
      </c>
      <c r="L369" s="78">
        <v>0</v>
      </c>
      <c r="M369" s="75">
        <v>0</v>
      </c>
      <c r="N369" s="78">
        <v>0</v>
      </c>
      <c r="O369" s="75">
        <v>0</v>
      </c>
      <c r="P369" s="78">
        <v>0</v>
      </c>
      <c r="Q369" s="75">
        <v>0</v>
      </c>
      <c r="R369" s="78">
        <v>0.17083333333333325</v>
      </c>
      <c r="S369" s="75">
        <v>1.1573333333333338</v>
      </c>
      <c r="T369" s="78">
        <v>0.23216666666666666</v>
      </c>
      <c r="U369" s="75">
        <v>0</v>
      </c>
      <c r="V369" s="78">
        <v>0</v>
      </c>
      <c r="W369" s="75">
        <v>0</v>
      </c>
      <c r="X369" s="78">
        <v>0</v>
      </c>
      <c r="Y369" s="75">
        <v>0</v>
      </c>
      <c r="Z369" s="78">
        <v>0</v>
      </c>
      <c r="AA369" s="75">
        <v>0</v>
      </c>
      <c r="AB369" s="78">
        <v>0</v>
      </c>
      <c r="AC369" s="238">
        <f t="shared" si="171"/>
        <v>1.5603333333333336</v>
      </c>
      <c r="AD369" s="238"/>
      <c r="AE369" s="238"/>
    </row>
    <row r="370" spans="2:31" x14ac:dyDescent="0.3">
      <c r="B370" s="245" t="s">
        <v>21</v>
      </c>
      <c r="C370" s="245"/>
      <c r="D370" s="245"/>
      <c r="E370" s="75">
        <v>0</v>
      </c>
      <c r="F370" s="78">
        <v>0</v>
      </c>
      <c r="G370" s="75">
        <v>0</v>
      </c>
      <c r="H370" s="78">
        <v>0</v>
      </c>
      <c r="I370" s="75">
        <v>0</v>
      </c>
      <c r="J370" s="78">
        <v>0</v>
      </c>
      <c r="K370" s="75">
        <v>0</v>
      </c>
      <c r="L370" s="78">
        <v>0</v>
      </c>
      <c r="M370" s="75">
        <v>0</v>
      </c>
      <c r="N370" s="78">
        <v>0</v>
      </c>
      <c r="O370" s="75">
        <v>0</v>
      </c>
      <c r="P370" s="78">
        <v>0</v>
      </c>
      <c r="Q370" s="75">
        <v>0</v>
      </c>
      <c r="R370" s="78">
        <v>0.78950000000000031</v>
      </c>
      <c r="S370" s="75">
        <v>1.9398333333333333</v>
      </c>
      <c r="T370" s="78">
        <v>0.28500000000000003</v>
      </c>
      <c r="U370" s="75">
        <v>0</v>
      </c>
      <c r="V370" s="78">
        <v>0</v>
      </c>
      <c r="W370" s="75">
        <v>0</v>
      </c>
      <c r="X370" s="78">
        <v>0</v>
      </c>
      <c r="Y370" s="75">
        <v>0</v>
      </c>
      <c r="Z370" s="78">
        <v>0</v>
      </c>
      <c r="AA370" s="75">
        <v>0</v>
      </c>
      <c r="AB370" s="78">
        <v>0</v>
      </c>
      <c r="AC370" s="238">
        <f t="shared" si="171"/>
        <v>3.014333333333334</v>
      </c>
      <c r="AD370" s="238"/>
      <c r="AE370" s="238"/>
    </row>
    <row r="371" spans="2:31" x14ac:dyDescent="0.3">
      <c r="B371" s="245" t="s">
        <v>22</v>
      </c>
      <c r="C371" s="245"/>
      <c r="D371" s="245"/>
      <c r="E371" s="75">
        <v>0</v>
      </c>
      <c r="F371" s="78">
        <v>0</v>
      </c>
      <c r="G371" s="75">
        <v>0</v>
      </c>
      <c r="H371" s="78">
        <v>0</v>
      </c>
      <c r="I371" s="75">
        <v>0</v>
      </c>
      <c r="J371" s="78">
        <v>0</v>
      </c>
      <c r="K371" s="75">
        <v>0</v>
      </c>
      <c r="L371" s="78">
        <v>0</v>
      </c>
      <c r="M371" s="75">
        <v>0</v>
      </c>
      <c r="N371" s="78">
        <v>0</v>
      </c>
      <c r="O371" s="75">
        <v>0</v>
      </c>
      <c r="P371" s="78">
        <v>0</v>
      </c>
      <c r="Q371" s="75">
        <v>0</v>
      </c>
      <c r="R371" s="78">
        <v>0.58850000000000002</v>
      </c>
      <c r="S371" s="75">
        <v>1.2501666666666662</v>
      </c>
      <c r="T371" s="78">
        <v>0.20649999999999996</v>
      </c>
      <c r="U371" s="75">
        <v>0</v>
      </c>
      <c r="V371" s="78">
        <v>0</v>
      </c>
      <c r="W371" s="75">
        <v>0</v>
      </c>
      <c r="X371" s="78">
        <v>0</v>
      </c>
      <c r="Y371" s="75">
        <v>0</v>
      </c>
      <c r="Z371" s="78">
        <v>0</v>
      </c>
      <c r="AA371" s="75">
        <v>0</v>
      </c>
      <c r="AB371" s="78">
        <v>0</v>
      </c>
      <c r="AC371" s="238">
        <f t="shared" si="171"/>
        <v>2.0451666666666664</v>
      </c>
      <c r="AD371" s="238"/>
      <c r="AE371" s="238"/>
    </row>
    <row r="372" spans="2:31" x14ac:dyDescent="0.3">
      <c r="B372" s="245" t="s">
        <v>23</v>
      </c>
      <c r="C372" s="245"/>
      <c r="D372" s="245"/>
      <c r="E372" s="75">
        <v>0</v>
      </c>
      <c r="F372" s="78">
        <v>0</v>
      </c>
      <c r="G372" s="75">
        <v>0</v>
      </c>
      <c r="H372" s="78">
        <v>0</v>
      </c>
      <c r="I372" s="75">
        <v>0</v>
      </c>
      <c r="J372" s="78">
        <v>0</v>
      </c>
      <c r="K372" s="75">
        <v>0</v>
      </c>
      <c r="L372" s="78">
        <v>0</v>
      </c>
      <c r="M372" s="75">
        <v>0</v>
      </c>
      <c r="N372" s="78">
        <v>0</v>
      </c>
      <c r="O372" s="75">
        <v>0</v>
      </c>
      <c r="P372" s="78">
        <v>0</v>
      </c>
      <c r="Q372" s="75">
        <v>0</v>
      </c>
      <c r="R372" s="78">
        <v>2.3111666666666664</v>
      </c>
      <c r="S372" s="75">
        <v>3.9618333333333338</v>
      </c>
      <c r="T372" s="78">
        <v>0.67166666666666686</v>
      </c>
      <c r="U372" s="75">
        <v>0</v>
      </c>
      <c r="V372" s="78">
        <v>0</v>
      </c>
      <c r="W372" s="75">
        <v>0</v>
      </c>
      <c r="X372" s="78">
        <v>0</v>
      </c>
      <c r="Y372" s="75">
        <v>0</v>
      </c>
      <c r="Z372" s="78">
        <v>0</v>
      </c>
      <c r="AA372" s="75">
        <v>0</v>
      </c>
      <c r="AB372" s="78">
        <v>0</v>
      </c>
      <c r="AC372" s="238">
        <f t="shared" si="171"/>
        <v>6.9446666666666665</v>
      </c>
      <c r="AD372" s="238"/>
      <c r="AE372" s="238"/>
    </row>
    <row r="373" spans="2:31" x14ac:dyDescent="0.3">
      <c r="B373" s="245" t="s">
        <v>24</v>
      </c>
      <c r="C373" s="245"/>
      <c r="D373" s="245"/>
      <c r="E373" s="75">
        <v>0</v>
      </c>
      <c r="F373" s="78">
        <v>0</v>
      </c>
      <c r="G373" s="75">
        <v>0</v>
      </c>
      <c r="H373" s="78">
        <v>0</v>
      </c>
      <c r="I373" s="75">
        <v>0</v>
      </c>
      <c r="J373" s="78">
        <v>0</v>
      </c>
      <c r="K373" s="75">
        <v>0</v>
      </c>
      <c r="L373" s="78">
        <v>0</v>
      </c>
      <c r="M373" s="75">
        <v>0</v>
      </c>
      <c r="N373" s="78">
        <v>0</v>
      </c>
      <c r="O373" s="75">
        <v>0</v>
      </c>
      <c r="P373" s="78">
        <v>0</v>
      </c>
      <c r="Q373" s="75">
        <v>0</v>
      </c>
      <c r="R373" s="78">
        <v>0.41116666666666662</v>
      </c>
      <c r="S373" s="75">
        <v>2.5706666666666651</v>
      </c>
      <c r="T373" s="78">
        <v>0.35533333333333328</v>
      </c>
      <c r="U373" s="75">
        <v>0</v>
      </c>
      <c r="V373" s="78">
        <v>0</v>
      </c>
      <c r="W373" s="75">
        <v>0</v>
      </c>
      <c r="X373" s="78">
        <v>0</v>
      </c>
      <c r="Y373" s="75">
        <v>0</v>
      </c>
      <c r="Z373" s="78">
        <v>0</v>
      </c>
      <c r="AA373" s="75">
        <v>0</v>
      </c>
      <c r="AB373" s="78">
        <v>0</v>
      </c>
      <c r="AC373" s="238">
        <f t="shared" si="171"/>
        <v>3.3371666666666648</v>
      </c>
      <c r="AD373" s="238"/>
      <c r="AE373" s="238"/>
    </row>
    <row r="374" spans="2:31" x14ac:dyDescent="0.3">
      <c r="B374" s="245" t="s">
        <v>25</v>
      </c>
      <c r="C374" s="245"/>
      <c r="D374" s="245"/>
      <c r="E374" s="75">
        <v>0</v>
      </c>
      <c r="F374" s="78">
        <v>0</v>
      </c>
      <c r="G374" s="75">
        <v>0</v>
      </c>
      <c r="H374" s="78">
        <v>0</v>
      </c>
      <c r="I374" s="75">
        <v>0</v>
      </c>
      <c r="J374" s="78">
        <v>0</v>
      </c>
      <c r="K374" s="75">
        <v>0</v>
      </c>
      <c r="L374" s="78">
        <v>0</v>
      </c>
      <c r="M374" s="75">
        <v>0</v>
      </c>
      <c r="N374" s="78">
        <v>0</v>
      </c>
      <c r="O374" s="75">
        <v>0</v>
      </c>
      <c r="P374" s="78">
        <v>0</v>
      </c>
      <c r="Q374" s="75">
        <v>0</v>
      </c>
      <c r="R374" s="78">
        <v>4.7906666666666657</v>
      </c>
      <c r="S374" s="75">
        <v>6.9069999999999974</v>
      </c>
      <c r="T374" s="78">
        <v>1.6423333333333332</v>
      </c>
      <c r="U374" s="75">
        <v>0</v>
      </c>
      <c r="V374" s="78">
        <v>0</v>
      </c>
      <c r="W374" s="75">
        <v>0</v>
      </c>
      <c r="X374" s="78">
        <v>0</v>
      </c>
      <c r="Y374" s="75">
        <v>0</v>
      </c>
      <c r="Z374" s="78">
        <v>0</v>
      </c>
      <c r="AA374" s="75">
        <v>0</v>
      </c>
      <c r="AB374" s="78">
        <v>0</v>
      </c>
      <c r="AC374" s="238">
        <f t="shared" si="171"/>
        <v>13.339999999999996</v>
      </c>
      <c r="AD374" s="238"/>
      <c r="AE374" s="238"/>
    </row>
    <row r="375" spans="2:31" x14ac:dyDescent="0.3">
      <c r="B375" s="245" t="s">
        <v>26</v>
      </c>
      <c r="C375" s="245"/>
      <c r="D375" s="245"/>
      <c r="E375" s="75">
        <v>0</v>
      </c>
      <c r="F375" s="78">
        <v>0</v>
      </c>
      <c r="G375" s="75">
        <v>0</v>
      </c>
      <c r="H375" s="78">
        <v>0</v>
      </c>
      <c r="I375" s="75">
        <v>0</v>
      </c>
      <c r="J375" s="78">
        <v>0</v>
      </c>
      <c r="K375" s="75">
        <v>0</v>
      </c>
      <c r="L375" s="78">
        <v>0</v>
      </c>
      <c r="M375" s="75">
        <v>0</v>
      </c>
      <c r="N375" s="78">
        <v>0</v>
      </c>
      <c r="O375" s="75">
        <v>0</v>
      </c>
      <c r="P375" s="78">
        <v>0</v>
      </c>
      <c r="Q375" s="75">
        <v>0</v>
      </c>
      <c r="R375" s="78">
        <v>0</v>
      </c>
      <c r="S375" s="75">
        <v>0</v>
      </c>
      <c r="T375" s="78">
        <v>0</v>
      </c>
      <c r="U375" s="75">
        <v>0</v>
      </c>
      <c r="V375" s="78">
        <v>0</v>
      </c>
      <c r="W375" s="75">
        <v>0</v>
      </c>
      <c r="X375" s="78">
        <v>0</v>
      </c>
      <c r="Y375" s="75">
        <v>0</v>
      </c>
      <c r="Z375" s="78">
        <v>0</v>
      </c>
      <c r="AA375" s="75">
        <v>0</v>
      </c>
      <c r="AB375" s="78">
        <v>0</v>
      </c>
      <c r="AC375" s="238">
        <f t="shared" si="171"/>
        <v>0</v>
      </c>
      <c r="AD375" s="238"/>
      <c r="AE375" s="238"/>
    </row>
    <row r="376" spans="2:31" x14ac:dyDescent="0.3">
      <c r="B376" s="245" t="s">
        <v>27</v>
      </c>
      <c r="C376" s="245"/>
      <c r="D376" s="245"/>
      <c r="E376" s="75">
        <v>0</v>
      </c>
      <c r="F376" s="78">
        <v>0</v>
      </c>
      <c r="G376" s="75">
        <v>0</v>
      </c>
      <c r="H376" s="78">
        <v>0</v>
      </c>
      <c r="I376" s="75">
        <v>0</v>
      </c>
      <c r="J376" s="78">
        <v>0</v>
      </c>
      <c r="K376" s="75">
        <v>0</v>
      </c>
      <c r="L376" s="78">
        <v>0</v>
      </c>
      <c r="M376" s="75">
        <v>0</v>
      </c>
      <c r="N376" s="78">
        <v>0</v>
      </c>
      <c r="O376" s="75">
        <v>0</v>
      </c>
      <c r="P376" s="78">
        <v>0</v>
      </c>
      <c r="Q376" s="75">
        <v>0</v>
      </c>
      <c r="R376" s="78">
        <v>0.36250000000000016</v>
      </c>
      <c r="S376" s="75">
        <v>2.5000000000000001E-2</v>
      </c>
      <c r="T376" s="78">
        <v>6.8333333333333354E-3</v>
      </c>
      <c r="U376" s="75">
        <v>0</v>
      </c>
      <c r="V376" s="78">
        <v>0</v>
      </c>
      <c r="W376" s="75">
        <v>0</v>
      </c>
      <c r="X376" s="78">
        <v>0</v>
      </c>
      <c r="Y376" s="75">
        <v>0</v>
      </c>
      <c r="Z376" s="78">
        <v>0</v>
      </c>
      <c r="AA376" s="75">
        <v>0</v>
      </c>
      <c r="AB376" s="78">
        <v>0</v>
      </c>
      <c r="AC376" s="238">
        <f t="shared" si="171"/>
        <v>0.39433333333333354</v>
      </c>
      <c r="AD376" s="238"/>
      <c r="AE376" s="238"/>
    </row>
    <row r="377" spans="2:31" x14ac:dyDescent="0.3">
      <c r="B377" s="245" t="s">
        <v>28</v>
      </c>
      <c r="C377" s="245"/>
      <c r="D377" s="245"/>
      <c r="E377" s="75">
        <v>0</v>
      </c>
      <c r="F377" s="78">
        <v>0</v>
      </c>
      <c r="G377" s="75">
        <v>0</v>
      </c>
      <c r="H377" s="78">
        <v>0</v>
      </c>
      <c r="I377" s="75">
        <v>0</v>
      </c>
      <c r="J377" s="78">
        <v>0</v>
      </c>
      <c r="K377" s="75">
        <v>0</v>
      </c>
      <c r="L377" s="78">
        <v>0</v>
      </c>
      <c r="M377" s="75">
        <v>0</v>
      </c>
      <c r="N377" s="78">
        <v>0</v>
      </c>
      <c r="O377" s="75">
        <v>0</v>
      </c>
      <c r="P377" s="78">
        <v>0</v>
      </c>
      <c r="Q377" s="75">
        <v>0</v>
      </c>
      <c r="R377" s="78">
        <v>5.7333333333333352</v>
      </c>
      <c r="S377" s="75">
        <v>7.3050000000000033</v>
      </c>
      <c r="T377" s="78">
        <v>1.5838333333333336</v>
      </c>
      <c r="U377" s="75">
        <v>0</v>
      </c>
      <c r="V377" s="78">
        <v>0</v>
      </c>
      <c r="W377" s="75">
        <v>0</v>
      </c>
      <c r="X377" s="78">
        <v>0</v>
      </c>
      <c r="Y377" s="75">
        <v>0</v>
      </c>
      <c r="Z377" s="78">
        <v>0</v>
      </c>
      <c r="AA377" s="75">
        <v>0</v>
      </c>
      <c r="AB377" s="78">
        <v>0</v>
      </c>
      <c r="AC377" s="238">
        <f t="shared" si="171"/>
        <v>14.622166666666672</v>
      </c>
      <c r="AD377" s="238"/>
      <c r="AE377" s="238"/>
    </row>
    <row r="378" spans="2:31" x14ac:dyDescent="0.3">
      <c r="B378" s="245" t="s">
        <v>92</v>
      </c>
      <c r="C378" s="245"/>
      <c r="D378" s="245"/>
      <c r="E378" s="75">
        <v>0</v>
      </c>
      <c r="F378" s="78">
        <v>0</v>
      </c>
      <c r="G378" s="75">
        <v>0</v>
      </c>
      <c r="H378" s="78">
        <v>0</v>
      </c>
      <c r="I378" s="75">
        <v>0</v>
      </c>
      <c r="J378" s="78">
        <v>0</v>
      </c>
      <c r="K378" s="75">
        <v>0</v>
      </c>
      <c r="L378" s="78">
        <v>0</v>
      </c>
      <c r="M378" s="75">
        <v>0</v>
      </c>
      <c r="N378" s="78">
        <v>0</v>
      </c>
      <c r="O378" s="75">
        <v>0</v>
      </c>
      <c r="P378" s="78">
        <v>0</v>
      </c>
      <c r="Q378" s="75">
        <v>0</v>
      </c>
      <c r="R378" s="78">
        <v>0</v>
      </c>
      <c r="S378" s="75">
        <v>0</v>
      </c>
      <c r="T378" s="78">
        <v>0</v>
      </c>
      <c r="U378" s="75">
        <v>0</v>
      </c>
      <c r="V378" s="78">
        <v>0</v>
      </c>
      <c r="W378" s="75">
        <v>0</v>
      </c>
      <c r="X378" s="78">
        <v>0</v>
      </c>
      <c r="Y378" s="75">
        <v>0</v>
      </c>
      <c r="Z378" s="78">
        <v>0</v>
      </c>
      <c r="AA378" s="75">
        <v>0</v>
      </c>
      <c r="AB378" s="78">
        <v>0</v>
      </c>
      <c r="AC378" s="238">
        <f t="shared" si="171"/>
        <v>0</v>
      </c>
      <c r="AD378" s="238"/>
      <c r="AE378" s="238"/>
    </row>
    <row r="379" spans="2:31" x14ac:dyDescent="0.3">
      <c r="B379" s="245" t="s">
        <v>29</v>
      </c>
      <c r="C379" s="245"/>
      <c r="D379" s="245"/>
      <c r="E379" s="75">
        <v>0</v>
      </c>
      <c r="F379" s="78">
        <v>0</v>
      </c>
      <c r="G379" s="75">
        <v>0</v>
      </c>
      <c r="H379" s="78">
        <v>0</v>
      </c>
      <c r="I379" s="75">
        <v>0</v>
      </c>
      <c r="J379" s="78">
        <v>0</v>
      </c>
      <c r="K379" s="75">
        <v>0</v>
      </c>
      <c r="L379" s="78">
        <v>0</v>
      </c>
      <c r="M379" s="75">
        <v>0</v>
      </c>
      <c r="N379" s="78">
        <v>0</v>
      </c>
      <c r="O379" s="75">
        <v>0</v>
      </c>
      <c r="P379" s="78">
        <v>0</v>
      </c>
      <c r="Q379" s="75">
        <v>0</v>
      </c>
      <c r="R379" s="78">
        <v>2.872166666666665</v>
      </c>
      <c r="S379" s="75">
        <v>1.2999999999999901E-2</v>
      </c>
      <c r="T379" s="78">
        <v>0</v>
      </c>
      <c r="U379" s="75">
        <v>0</v>
      </c>
      <c r="V379" s="78">
        <v>0</v>
      </c>
      <c r="W379" s="75">
        <v>0</v>
      </c>
      <c r="X379" s="78">
        <v>0</v>
      </c>
      <c r="Y379" s="75">
        <v>0</v>
      </c>
      <c r="Z379" s="78">
        <v>0</v>
      </c>
      <c r="AA379" s="75">
        <v>0</v>
      </c>
      <c r="AB379" s="78">
        <v>0</v>
      </c>
      <c r="AC379" s="238">
        <f t="shared" si="171"/>
        <v>2.8851666666666649</v>
      </c>
      <c r="AD379" s="238"/>
      <c r="AE379" s="238"/>
    </row>
    <row r="380" spans="2:31" x14ac:dyDescent="0.3">
      <c r="B380" s="245" t="s">
        <v>30</v>
      </c>
      <c r="C380" s="245"/>
      <c r="D380" s="245"/>
      <c r="E380" s="75">
        <v>0</v>
      </c>
      <c r="F380" s="78">
        <v>0</v>
      </c>
      <c r="G380" s="75">
        <v>0</v>
      </c>
      <c r="H380" s="78">
        <v>0</v>
      </c>
      <c r="I380" s="75">
        <v>0</v>
      </c>
      <c r="J380" s="78">
        <v>0</v>
      </c>
      <c r="K380" s="75">
        <v>0</v>
      </c>
      <c r="L380" s="78">
        <v>0</v>
      </c>
      <c r="M380" s="75">
        <v>0</v>
      </c>
      <c r="N380" s="78">
        <v>0</v>
      </c>
      <c r="O380" s="75">
        <v>0</v>
      </c>
      <c r="P380" s="78">
        <v>0</v>
      </c>
      <c r="Q380" s="75">
        <v>0</v>
      </c>
      <c r="R380" s="78">
        <v>0</v>
      </c>
      <c r="S380" s="75">
        <v>1.6999999999999994E-2</v>
      </c>
      <c r="T380" s="78">
        <v>0.49400000000000011</v>
      </c>
      <c r="U380" s="75">
        <v>0</v>
      </c>
      <c r="V380" s="78">
        <v>0</v>
      </c>
      <c r="W380" s="75">
        <v>0</v>
      </c>
      <c r="X380" s="78">
        <v>0</v>
      </c>
      <c r="Y380" s="75">
        <v>0</v>
      </c>
      <c r="Z380" s="78">
        <v>0</v>
      </c>
      <c r="AA380" s="75">
        <v>0</v>
      </c>
      <c r="AB380" s="78">
        <v>0</v>
      </c>
      <c r="AC380" s="238">
        <f t="shared" si="171"/>
        <v>0.51100000000000012</v>
      </c>
      <c r="AD380" s="238"/>
      <c r="AE380" s="238"/>
    </row>
    <row r="381" spans="2:31" x14ac:dyDescent="0.3">
      <c r="B381" s="245" t="s">
        <v>31</v>
      </c>
      <c r="C381" s="245"/>
      <c r="D381" s="245"/>
      <c r="E381" s="75">
        <v>0</v>
      </c>
      <c r="F381" s="78">
        <v>0</v>
      </c>
      <c r="G381" s="75">
        <v>0</v>
      </c>
      <c r="H381" s="78">
        <v>0</v>
      </c>
      <c r="I381" s="75">
        <v>0</v>
      </c>
      <c r="J381" s="78">
        <v>0</v>
      </c>
      <c r="K381" s="75">
        <v>0</v>
      </c>
      <c r="L381" s="78">
        <v>0</v>
      </c>
      <c r="M381" s="75">
        <v>0</v>
      </c>
      <c r="N381" s="78">
        <v>0</v>
      </c>
      <c r="O381" s="75">
        <v>0</v>
      </c>
      <c r="P381" s="78">
        <v>0</v>
      </c>
      <c r="Q381" s="75">
        <v>0</v>
      </c>
      <c r="R381" s="78">
        <v>2.3533333333333335</v>
      </c>
      <c r="S381" s="75">
        <v>2.9300000000000042</v>
      </c>
      <c r="T381" s="78">
        <v>0.59150000000000014</v>
      </c>
      <c r="U381" s="75">
        <v>0</v>
      </c>
      <c r="V381" s="78">
        <v>0</v>
      </c>
      <c r="W381" s="75">
        <v>0</v>
      </c>
      <c r="X381" s="78">
        <v>0</v>
      </c>
      <c r="Y381" s="75">
        <v>0</v>
      </c>
      <c r="Z381" s="78">
        <v>0</v>
      </c>
      <c r="AA381" s="75">
        <v>0</v>
      </c>
      <c r="AB381" s="78">
        <v>0</v>
      </c>
      <c r="AC381" s="238">
        <f t="shared" si="171"/>
        <v>5.8748333333333376</v>
      </c>
      <c r="AD381" s="238"/>
      <c r="AE381" s="238"/>
    </row>
    <row r="382" spans="2:31" x14ac:dyDescent="0.3">
      <c r="B382" s="245" t="s">
        <v>32</v>
      </c>
      <c r="C382" s="245"/>
      <c r="D382" s="245"/>
      <c r="E382" s="75">
        <v>0</v>
      </c>
      <c r="F382" s="78">
        <v>0</v>
      </c>
      <c r="G382" s="75">
        <v>0</v>
      </c>
      <c r="H382" s="78">
        <v>0</v>
      </c>
      <c r="I382" s="75">
        <v>0</v>
      </c>
      <c r="J382" s="78">
        <v>0</v>
      </c>
      <c r="K382" s="75">
        <v>0</v>
      </c>
      <c r="L382" s="78">
        <v>0</v>
      </c>
      <c r="M382" s="75">
        <v>0</v>
      </c>
      <c r="N382" s="78">
        <v>0</v>
      </c>
      <c r="O382" s="75">
        <v>0</v>
      </c>
      <c r="P382" s="78">
        <v>0</v>
      </c>
      <c r="Q382" s="75">
        <v>0</v>
      </c>
      <c r="R382" s="78">
        <v>1.9833333333333356E-2</v>
      </c>
      <c r="S382" s="75">
        <v>1.1833333333333347E-2</v>
      </c>
      <c r="T382" s="78">
        <v>0.49000000000000005</v>
      </c>
      <c r="U382" s="75">
        <v>0</v>
      </c>
      <c r="V382" s="78">
        <v>0</v>
      </c>
      <c r="W382" s="75">
        <v>0</v>
      </c>
      <c r="X382" s="78">
        <v>0</v>
      </c>
      <c r="Y382" s="75">
        <v>0</v>
      </c>
      <c r="Z382" s="78">
        <v>0</v>
      </c>
      <c r="AA382" s="75">
        <v>0</v>
      </c>
      <c r="AB382" s="78">
        <v>0</v>
      </c>
      <c r="AC382" s="238">
        <f t="shared" si="171"/>
        <v>0.52166666666666672</v>
      </c>
      <c r="AD382" s="238"/>
      <c r="AE382" s="238"/>
    </row>
    <row r="383" spans="2:31" x14ac:dyDescent="0.3">
      <c r="B383" s="245" t="s">
        <v>33</v>
      </c>
      <c r="C383" s="245"/>
      <c r="D383" s="245"/>
      <c r="E383" s="75">
        <v>0</v>
      </c>
      <c r="F383" s="78">
        <v>0</v>
      </c>
      <c r="G383" s="75">
        <v>0</v>
      </c>
      <c r="H383" s="78">
        <v>0</v>
      </c>
      <c r="I383" s="75">
        <v>0</v>
      </c>
      <c r="J383" s="78">
        <v>0</v>
      </c>
      <c r="K383" s="75">
        <v>0</v>
      </c>
      <c r="L383" s="78">
        <v>0</v>
      </c>
      <c r="M383" s="75">
        <v>0</v>
      </c>
      <c r="N383" s="78">
        <v>0</v>
      </c>
      <c r="O383" s="75">
        <v>0</v>
      </c>
      <c r="P383" s="78">
        <v>0</v>
      </c>
      <c r="Q383" s="75">
        <v>0</v>
      </c>
      <c r="R383" s="78">
        <v>1.2958333333333334</v>
      </c>
      <c r="S383" s="75">
        <v>2.329333333333333</v>
      </c>
      <c r="T383" s="78">
        <v>0.50133333333333341</v>
      </c>
      <c r="U383" s="75">
        <v>0</v>
      </c>
      <c r="V383" s="78">
        <v>0</v>
      </c>
      <c r="W383" s="75">
        <v>0</v>
      </c>
      <c r="X383" s="78">
        <v>0</v>
      </c>
      <c r="Y383" s="75">
        <v>0</v>
      </c>
      <c r="Z383" s="78">
        <v>0</v>
      </c>
      <c r="AA383" s="75">
        <v>0</v>
      </c>
      <c r="AB383" s="78">
        <v>0</v>
      </c>
      <c r="AC383" s="238">
        <f t="shared" si="171"/>
        <v>4.1265000000000001</v>
      </c>
      <c r="AD383" s="238"/>
      <c r="AE383" s="238"/>
    </row>
    <row r="384" spans="2:31" x14ac:dyDescent="0.3">
      <c r="B384" s="245" t="s">
        <v>34</v>
      </c>
      <c r="C384" s="245"/>
      <c r="D384" s="245"/>
      <c r="E384" s="75">
        <v>0</v>
      </c>
      <c r="F384" s="78">
        <v>0</v>
      </c>
      <c r="G384" s="75">
        <v>0</v>
      </c>
      <c r="H384" s="78">
        <v>0</v>
      </c>
      <c r="I384" s="75">
        <v>0</v>
      </c>
      <c r="J384" s="78">
        <v>0</v>
      </c>
      <c r="K384" s="75">
        <v>0</v>
      </c>
      <c r="L384" s="78">
        <v>0</v>
      </c>
      <c r="M384" s="75">
        <v>0</v>
      </c>
      <c r="N384" s="78">
        <v>0</v>
      </c>
      <c r="O384" s="75">
        <v>0</v>
      </c>
      <c r="P384" s="78">
        <v>0</v>
      </c>
      <c r="Q384" s="75">
        <v>0</v>
      </c>
      <c r="R384" s="78">
        <v>1.8500000000000006E-2</v>
      </c>
      <c r="S384" s="75">
        <v>0.28199999999999997</v>
      </c>
      <c r="T384" s="78">
        <v>0.11500000000000002</v>
      </c>
      <c r="U384" s="75">
        <v>0</v>
      </c>
      <c r="V384" s="78">
        <v>0</v>
      </c>
      <c r="W384" s="75">
        <v>0</v>
      </c>
      <c r="X384" s="78">
        <v>0</v>
      </c>
      <c r="Y384" s="75">
        <v>0</v>
      </c>
      <c r="Z384" s="78">
        <v>0</v>
      </c>
      <c r="AA384" s="75">
        <v>0</v>
      </c>
      <c r="AB384" s="78">
        <v>0</v>
      </c>
      <c r="AC384" s="238">
        <f t="shared" si="171"/>
        <v>0.41549999999999998</v>
      </c>
      <c r="AD384" s="238"/>
      <c r="AE384" s="238"/>
    </row>
    <row r="385" spans="2:31" x14ac:dyDescent="0.3">
      <c r="B385" s="245" t="s">
        <v>35</v>
      </c>
      <c r="C385" s="245"/>
      <c r="D385" s="245"/>
      <c r="E385" s="75">
        <v>0</v>
      </c>
      <c r="F385" s="78">
        <v>0</v>
      </c>
      <c r="G385" s="75">
        <v>0</v>
      </c>
      <c r="H385" s="78">
        <v>0</v>
      </c>
      <c r="I385" s="75">
        <v>0</v>
      </c>
      <c r="J385" s="78">
        <v>0</v>
      </c>
      <c r="K385" s="75">
        <v>0</v>
      </c>
      <c r="L385" s="78">
        <v>0</v>
      </c>
      <c r="M385" s="75">
        <v>0</v>
      </c>
      <c r="N385" s="78">
        <v>0</v>
      </c>
      <c r="O385" s="75">
        <v>0</v>
      </c>
      <c r="P385" s="78">
        <v>0</v>
      </c>
      <c r="Q385" s="75">
        <v>0</v>
      </c>
      <c r="R385" s="78">
        <v>2.7999999999999989</v>
      </c>
      <c r="S385" s="75">
        <v>4.5776666666666692</v>
      </c>
      <c r="T385" s="78">
        <v>1.0498333333333334</v>
      </c>
      <c r="U385" s="75">
        <v>0</v>
      </c>
      <c r="V385" s="78">
        <v>0</v>
      </c>
      <c r="W385" s="75">
        <v>0</v>
      </c>
      <c r="X385" s="78">
        <v>0</v>
      </c>
      <c r="Y385" s="75">
        <v>0</v>
      </c>
      <c r="Z385" s="78">
        <v>0</v>
      </c>
      <c r="AA385" s="75">
        <v>0</v>
      </c>
      <c r="AB385" s="78">
        <v>0</v>
      </c>
      <c r="AC385" s="238">
        <f t="shared" si="171"/>
        <v>8.427500000000002</v>
      </c>
      <c r="AD385" s="238"/>
      <c r="AE385" s="238"/>
    </row>
    <row r="386" spans="2:31" x14ac:dyDescent="0.3">
      <c r="B386" s="245" t="s">
        <v>36</v>
      </c>
      <c r="C386" s="245"/>
      <c r="D386" s="245"/>
      <c r="E386" s="75">
        <v>0</v>
      </c>
      <c r="F386" s="78">
        <v>0</v>
      </c>
      <c r="G386" s="75">
        <v>0</v>
      </c>
      <c r="H386" s="78">
        <v>0</v>
      </c>
      <c r="I386" s="75">
        <v>0</v>
      </c>
      <c r="J386" s="78">
        <v>0</v>
      </c>
      <c r="K386" s="75">
        <v>0</v>
      </c>
      <c r="L386" s="78">
        <v>0</v>
      </c>
      <c r="M386" s="75">
        <v>0</v>
      </c>
      <c r="N386" s="78">
        <v>0</v>
      </c>
      <c r="O386" s="75">
        <v>0</v>
      </c>
      <c r="P386" s="78">
        <v>0</v>
      </c>
      <c r="Q386" s="75">
        <v>0</v>
      </c>
      <c r="R386" s="78">
        <v>0</v>
      </c>
      <c r="S386" s="75">
        <v>0</v>
      </c>
      <c r="T386" s="78">
        <v>0</v>
      </c>
      <c r="U386" s="75">
        <v>0</v>
      </c>
      <c r="V386" s="78">
        <v>0</v>
      </c>
      <c r="W386" s="75">
        <v>0</v>
      </c>
      <c r="X386" s="78">
        <v>0</v>
      </c>
      <c r="Y386" s="75">
        <v>0</v>
      </c>
      <c r="Z386" s="78">
        <v>0</v>
      </c>
      <c r="AA386" s="75">
        <v>0</v>
      </c>
      <c r="AB386" s="78">
        <v>0</v>
      </c>
      <c r="AC386" s="238">
        <f t="shared" si="171"/>
        <v>0</v>
      </c>
      <c r="AD386" s="238"/>
      <c r="AE386" s="238"/>
    </row>
    <row r="387" spans="2:31" x14ac:dyDescent="0.3">
      <c r="B387" s="13" t="s">
        <v>89</v>
      </c>
      <c r="C387" s="13"/>
      <c r="D387" s="13"/>
      <c r="E387" s="75">
        <v>0</v>
      </c>
      <c r="F387" s="78">
        <v>0</v>
      </c>
      <c r="G387" s="75">
        <v>0</v>
      </c>
      <c r="H387" s="78">
        <v>0</v>
      </c>
      <c r="I387" s="75">
        <v>0</v>
      </c>
      <c r="J387" s="78">
        <v>0</v>
      </c>
      <c r="K387" s="75">
        <v>0</v>
      </c>
      <c r="L387" s="78">
        <v>0</v>
      </c>
      <c r="M387" s="75">
        <v>0</v>
      </c>
      <c r="N387" s="78">
        <v>0</v>
      </c>
      <c r="O387" s="75">
        <v>0</v>
      </c>
      <c r="P387" s="78">
        <v>0</v>
      </c>
      <c r="Q387" s="75">
        <v>0</v>
      </c>
      <c r="R387" s="78">
        <v>0</v>
      </c>
      <c r="S387" s="75">
        <v>0</v>
      </c>
      <c r="T387" s="78">
        <v>0</v>
      </c>
      <c r="U387" s="75">
        <v>0</v>
      </c>
      <c r="V387" s="78">
        <v>0</v>
      </c>
      <c r="W387" s="75">
        <v>0</v>
      </c>
      <c r="X387" s="78">
        <v>0</v>
      </c>
      <c r="Y387" s="75">
        <v>0</v>
      </c>
      <c r="Z387" s="78">
        <v>0</v>
      </c>
      <c r="AA387" s="75">
        <v>0</v>
      </c>
      <c r="AB387" s="78">
        <v>0</v>
      </c>
      <c r="AC387" s="238">
        <f t="shared" si="171"/>
        <v>0</v>
      </c>
      <c r="AD387" s="238"/>
      <c r="AE387" s="238"/>
    </row>
    <row r="388" spans="2:31" x14ac:dyDescent="0.3">
      <c r="B388" s="13" t="s">
        <v>90</v>
      </c>
      <c r="C388" s="13"/>
      <c r="D388" s="13"/>
      <c r="E388" s="75">
        <v>0</v>
      </c>
      <c r="F388" s="78">
        <v>0</v>
      </c>
      <c r="G388" s="75">
        <v>0</v>
      </c>
      <c r="H388" s="78">
        <v>0</v>
      </c>
      <c r="I388" s="75">
        <v>0</v>
      </c>
      <c r="J388" s="78">
        <v>0</v>
      </c>
      <c r="K388" s="75">
        <v>0</v>
      </c>
      <c r="L388" s="78">
        <v>0</v>
      </c>
      <c r="M388" s="75">
        <v>0</v>
      </c>
      <c r="N388" s="78">
        <v>0</v>
      </c>
      <c r="O388" s="75">
        <v>0</v>
      </c>
      <c r="P388" s="78">
        <v>0</v>
      </c>
      <c r="Q388" s="75">
        <v>0</v>
      </c>
      <c r="R388" s="78">
        <v>0</v>
      </c>
      <c r="S388" s="75">
        <v>0</v>
      </c>
      <c r="T388" s="78">
        <v>0</v>
      </c>
      <c r="U388" s="75">
        <v>0</v>
      </c>
      <c r="V388" s="78">
        <v>0</v>
      </c>
      <c r="W388" s="75">
        <v>0</v>
      </c>
      <c r="X388" s="78">
        <v>0</v>
      </c>
      <c r="Y388" s="75">
        <v>0</v>
      </c>
      <c r="Z388" s="78">
        <v>0</v>
      </c>
      <c r="AA388" s="75">
        <v>0</v>
      </c>
      <c r="AB388" s="78">
        <v>0</v>
      </c>
      <c r="AC388" s="238">
        <f t="shared" si="171"/>
        <v>0</v>
      </c>
      <c r="AD388" s="238"/>
      <c r="AE388" s="238"/>
    </row>
    <row r="389" spans="2:31" x14ac:dyDescent="0.3">
      <c r="B389" s="14" t="s">
        <v>2</v>
      </c>
      <c r="C389" s="14"/>
      <c r="D389" s="14"/>
      <c r="E389" s="15">
        <f>SUM(E352:E388)</f>
        <v>0</v>
      </c>
      <c r="F389" s="15">
        <f t="shared" ref="F389" si="172">SUM(F352:F388)</f>
        <v>0</v>
      </c>
      <c r="G389" s="15">
        <f t="shared" ref="G389" si="173">SUM(G352:G388)</f>
        <v>0</v>
      </c>
      <c r="H389" s="15">
        <f t="shared" ref="H389" si="174">SUM(H352:H388)</f>
        <v>0</v>
      </c>
      <c r="I389" s="15">
        <f t="shared" ref="I389" si="175">SUM(I352:I388)</f>
        <v>0</v>
      </c>
      <c r="J389" s="15">
        <f t="shared" ref="J389" si="176">SUM(J352:J388)</f>
        <v>0</v>
      </c>
      <c r="K389" s="15">
        <f t="shared" ref="K389" si="177">SUM(K352:K388)</f>
        <v>0</v>
      </c>
      <c r="L389" s="15">
        <f t="shared" ref="L389" si="178">SUM(L352:L388)</f>
        <v>0</v>
      </c>
      <c r="M389" s="15">
        <f t="shared" ref="M389" si="179">SUM(M352:M388)</f>
        <v>0</v>
      </c>
      <c r="N389" s="15">
        <f t="shared" ref="N389" si="180">SUM(N352:N388)</f>
        <v>0</v>
      </c>
      <c r="O389" s="15">
        <f t="shared" ref="O389" si="181">SUM(O352:O388)</f>
        <v>0</v>
      </c>
      <c r="P389" s="15">
        <f t="shared" ref="P389" si="182">SUM(P352:P388)</f>
        <v>0</v>
      </c>
      <c r="Q389" s="15">
        <f t="shared" ref="Q389" si="183">SUM(Q352:Q388)</f>
        <v>11.884499999999996</v>
      </c>
      <c r="R389" s="15">
        <f t="shared" ref="R389" si="184">SUM(R352:R388)</f>
        <v>94.858000000000004</v>
      </c>
      <c r="S389" s="15">
        <f t="shared" ref="S389" si="185">SUM(S352:S388)</f>
        <v>109.13466666666672</v>
      </c>
      <c r="T389" s="15">
        <f t="shared" ref="T389" si="186">SUM(T352:T388)</f>
        <v>29.811166666666665</v>
      </c>
      <c r="U389" s="15">
        <f t="shared" ref="U389" si="187">SUM(U352:U388)</f>
        <v>3.8333333333331627E-3</v>
      </c>
      <c r="V389" s="15">
        <f t="shared" ref="V389" si="188">SUM(V352:V388)</f>
        <v>19.311666666666664</v>
      </c>
      <c r="W389" s="15">
        <f t="shared" ref="W389" si="189">SUM(W352:W388)</f>
        <v>34.156166666666664</v>
      </c>
      <c r="X389" s="15">
        <f t="shared" ref="X389" si="190">SUM(X352:X388)</f>
        <v>23.494499999999995</v>
      </c>
      <c r="Y389" s="15">
        <f t="shared" ref="Y389" si="191">SUM(Y352:Y388)</f>
        <v>0</v>
      </c>
      <c r="Z389" s="15">
        <f t="shared" ref="Z389" si="192">SUM(Z352:Z388)</f>
        <v>0</v>
      </c>
      <c r="AA389" s="15">
        <f t="shared" ref="AA389" si="193">SUM(AA352:AA388)</f>
        <v>0</v>
      </c>
      <c r="AB389" s="15">
        <f t="shared" ref="AB389" si="194">SUM(AB352:AB388)</f>
        <v>0</v>
      </c>
      <c r="AC389" s="249">
        <f>SUM(AC352:AE388)</f>
        <v>322.6545000000001</v>
      </c>
      <c r="AD389" s="249"/>
      <c r="AE389" s="249"/>
    </row>
    <row r="392" spans="2:31" x14ac:dyDescent="0.3">
      <c r="B392" s="8">
        <f>'Resumen-Mensual'!$N$22</f>
        <v>44571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4"/>
      <c r="AD392" s="4"/>
      <c r="AE392" s="4"/>
    </row>
    <row r="393" spans="2:31" x14ac:dyDescent="0.3">
      <c r="B393" s="8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4"/>
      <c r="AD393" s="4"/>
      <c r="AE393" s="4"/>
    </row>
    <row r="394" spans="2:31" x14ac:dyDescent="0.3">
      <c r="B394" s="9" t="s">
        <v>81</v>
      </c>
      <c r="C394" s="10"/>
      <c r="D394" s="10"/>
      <c r="E394" s="11">
        <v>1</v>
      </c>
      <c r="F394" s="11">
        <v>2</v>
      </c>
      <c r="G394" s="11">
        <v>3</v>
      </c>
      <c r="H394" s="11">
        <v>4</v>
      </c>
      <c r="I394" s="11">
        <v>5</v>
      </c>
      <c r="J394" s="11">
        <v>6</v>
      </c>
      <c r="K394" s="11">
        <v>7</v>
      </c>
      <c r="L394" s="11">
        <v>8</v>
      </c>
      <c r="M394" s="11">
        <v>9</v>
      </c>
      <c r="N394" s="11">
        <v>10</v>
      </c>
      <c r="O394" s="11">
        <v>11</v>
      </c>
      <c r="P394" s="11">
        <v>12</v>
      </c>
      <c r="Q394" s="11">
        <v>13</v>
      </c>
      <c r="R394" s="11">
        <v>14</v>
      </c>
      <c r="S394" s="11">
        <v>15</v>
      </c>
      <c r="T394" s="11">
        <v>16</v>
      </c>
      <c r="U394" s="11">
        <v>17</v>
      </c>
      <c r="V394" s="11">
        <v>18</v>
      </c>
      <c r="W394" s="11">
        <v>19</v>
      </c>
      <c r="X394" s="11">
        <v>20</v>
      </c>
      <c r="Y394" s="11">
        <v>21</v>
      </c>
      <c r="Z394" s="11">
        <v>22</v>
      </c>
      <c r="AA394" s="11">
        <v>23</v>
      </c>
      <c r="AB394" s="11">
        <v>24</v>
      </c>
      <c r="AC394" s="248" t="s">
        <v>2</v>
      </c>
      <c r="AD394" s="248"/>
      <c r="AE394" s="248"/>
    </row>
    <row r="395" spans="2:31" x14ac:dyDescent="0.3">
      <c r="B395" s="245" t="s">
        <v>4</v>
      </c>
      <c r="C395" s="245"/>
      <c r="D395" s="245"/>
      <c r="E395" s="83">
        <v>0</v>
      </c>
      <c r="F395" s="84">
        <v>0</v>
      </c>
      <c r="G395" s="83">
        <v>0</v>
      </c>
      <c r="H395" s="84">
        <v>0</v>
      </c>
      <c r="I395" s="83">
        <v>0</v>
      </c>
      <c r="J395" s="84">
        <v>0</v>
      </c>
      <c r="K395" s="83">
        <v>0</v>
      </c>
      <c r="L395" s="84">
        <v>0</v>
      </c>
      <c r="M395" s="83">
        <v>0</v>
      </c>
      <c r="N395" s="84">
        <v>0</v>
      </c>
      <c r="O395" s="83">
        <v>0</v>
      </c>
      <c r="P395" s="84">
        <v>0</v>
      </c>
      <c r="Q395" s="83">
        <v>0</v>
      </c>
      <c r="R395" s="84">
        <v>0</v>
      </c>
      <c r="S395" s="83">
        <v>0</v>
      </c>
      <c r="T395" s="84">
        <v>0</v>
      </c>
      <c r="U395" s="83">
        <v>0</v>
      </c>
      <c r="V395" s="84">
        <v>0</v>
      </c>
      <c r="W395" s="83">
        <v>0</v>
      </c>
      <c r="X395" s="84">
        <v>0</v>
      </c>
      <c r="Y395" s="83">
        <v>0</v>
      </c>
      <c r="Z395" s="84">
        <v>0</v>
      </c>
      <c r="AA395" s="83">
        <v>0</v>
      </c>
      <c r="AB395" s="84">
        <v>0</v>
      </c>
      <c r="AC395" s="238">
        <f>SUM(E395:AB395)</f>
        <v>0</v>
      </c>
      <c r="AD395" s="238"/>
      <c r="AE395" s="238"/>
    </row>
    <row r="396" spans="2:31" x14ac:dyDescent="0.3">
      <c r="B396" s="245" t="s">
        <v>5</v>
      </c>
      <c r="C396" s="245"/>
      <c r="D396" s="245"/>
      <c r="E396" s="82">
        <v>0</v>
      </c>
      <c r="F396" s="85">
        <v>0</v>
      </c>
      <c r="G396" s="82">
        <v>0</v>
      </c>
      <c r="H396" s="85">
        <v>0</v>
      </c>
      <c r="I396" s="82">
        <v>0</v>
      </c>
      <c r="J396" s="85">
        <v>0</v>
      </c>
      <c r="K396" s="82">
        <v>0</v>
      </c>
      <c r="L396" s="85">
        <v>0</v>
      </c>
      <c r="M396" s="82">
        <v>0</v>
      </c>
      <c r="N396" s="85">
        <v>0</v>
      </c>
      <c r="O396" s="82">
        <v>0</v>
      </c>
      <c r="P396" s="85">
        <v>0</v>
      </c>
      <c r="Q396" s="82">
        <v>0</v>
      </c>
      <c r="R396" s="85">
        <v>0</v>
      </c>
      <c r="S396" s="82">
        <v>0</v>
      </c>
      <c r="T396" s="85">
        <v>0</v>
      </c>
      <c r="U396" s="82">
        <v>0</v>
      </c>
      <c r="V396" s="85">
        <v>0</v>
      </c>
      <c r="W396" s="82">
        <v>0</v>
      </c>
      <c r="X396" s="85">
        <v>0</v>
      </c>
      <c r="Y396" s="82">
        <v>0</v>
      </c>
      <c r="Z396" s="85">
        <v>0</v>
      </c>
      <c r="AA396" s="82">
        <v>0</v>
      </c>
      <c r="AB396" s="85">
        <v>0</v>
      </c>
      <c r="AC396" s="238">
        <f t="shared" ref="AC396:AC431" si="195">SUM(E396:AB396)</f>
        <v>0</v>
      </c>
      <c r="AD396" s="238"/>
      <c r="AE396" s="238"/>
    </row>
    <row r="397" spans="2:31" x14ac:dyDescent="0.3">
      <c r="B397" s="245" t="s">
        <v>6</v>
      </c>
      <c r="C397" s="245"/>
      <c r="D397" s="245"/>
      <c r="E397" s="82">
        <v>0</v>
      </c>
      <c r="F397" s="85">
        <v>0</v>
      </c>
      <c r="G397" s="82">
        <v>0</v>
      </c>
      <c r="H397" s="85">
        <v>0</v>
      </c>
      <c r="I397" s="82">
        <v>0</v>
      </c>
      <c r="J397" s="85">
        <v>0</v>
      </c>
      <c r="K397" s="82">
        <v>0</v>
      </c>
      <c r="L397" s="85">
        <v>0</v>
      </c>
      <c r="M397" s="82">
        <v>0</v>
      </c>
      <c r="N397" s="85">
        <v>0</v>
      </c>
      <c r="O397" s="82">
        <v>0</v>
      </c>
      <c r="P397" s="85">
        <v>0</v>
      </c>
      <c r="Q397" s="82">
        <v>0</v>
      </c>
      <c r="R397" s="85">
        <v>0</v>
      </c>
      <c r="S397" s="82">
        <v>0</v>
      </c>
      <c r="T397" s="85">
        <v>0</v>
      </c>
      <c r="U397" s="82">
        <v>0</v>
      </c>
      <c r="V397" s="85">
        <v>0</v>
      </c>
      <c r="W397" s="82">
        <v>0</v>
      </c>
      <c r="X397" s="85">
        <v>2.1120000000000014</v>
      </c>
      <c r="Y397" s="82">
        <v>0</v>
      </c>
      <c r="Z397" s="85">
        <v>0</v>
      </c>
      <c r="AA397" s="82">
        <v>0</v>
      </c>
      <c r="AB397" s="85">
        <v>0</v>
      </c>
      <c r="AC397" s="238">
        <f t="shared" si="195"/>
        <v>2.1120000000000014</v>
      </c>
      <c r="AD397" s="238"/>
      <c r="AE397" s="238"/>
    </row>
    <row r="398" spans="2:31" x14ac:dyDescent="0.3">
      <c r="B398" s="245" t="s">
        <v>91</v>
      </c>
      <c r="C398" s="245"/>
      <c r="D398" s="245"/>
      <c r="E398" s="82">
        <v>0</v>
      </c>
      <c r="F398" s="85">
        <v>0</v>
      </c>
      <c r="G398" s="82">
        <v>0</v>
      </c>
      <c r="H398" s="85">
        <v>0</v>
      </c>
      <c r="I398" s="82">
        <v>0</v>
      </c>
      <c r="J398" s="85">
        <v>0</v>
      </c>
      <c r="K398" s="82">
        <v>0</v>
      </c>
      <c r="L398" s="85">
        <v>0</v>
      </c>
      <c r="M398" s="82">
        <v>0</v>
      </c>
      <c r="N398" s="85">
        <v>0</v>
      </c>
      <c r="O398" s="82">
        <v>0</v>
      </c>
      <c r="P398" s="85">
        <v>0</v>
      </c>
      <c r="Q398" s="82">
        <v>0</v>
      </c>
      <c r="R398" s="85">
        <v>0</v>
      </c>
      <c r="S398" s="82">
        <v>0</v>
      </c>
      <c r="T398" s="85">
        <v>0</v>
      </c>
      <c r="U398" s="82">
        <v>0</v>
      </c>
      <c r="V398" s="85">
        <v>0</v>
      </c>
      <c r="W398" s="82">
        <v>0</v>
      </c>
      <c r="X398" s="85">
        <v>0</v>
      </c>
      <c r="Y398" s="82">
        <v>0</v>
      </c>
      <c r="Z398" s="85">
        <v>0</v>
      </c>
      <c r="AA398" s="82">
        <v>0</v>
      </c>
      <c r="AB398" s="85">
        <v>0</v>
      </c>
      <c r="AC398" s="238">
        <f t="shared" si="195"/>
        <v>0</v>
      </c>
      <c r="AD398" s="238"/>
      <c r="AE398" s="238"/>
    </row>
    <row r="399" spans="2:31" x14ac:dyDescent="0.3">
      <c r="B399" s="245" t="s">
        <v>7</v>
      </c>
      <c r="C399" s="245"/>
      <c r="D399" s="245"/>
      <c r="E399" s="82">
        <v>0</v>
      </c>
      <c r="F399" s="85">
        <v>0</v>
      </c>
      <c r="G399" s="82">
        <v>0</v>
      </c>
      <c r="H399" s="85">
        <v>0</v>
      </c>
      <c r="I399" s="82">
        <v>0</v>
      </c>
      <c r="J399" s="85">
        <v>0</v>
      </c>
      <c r="K399" s="82">
        <v>0</v>
      </c>
      <c r="L399" s="85">
        <v>0</v>
      </c>
      <c r="M399" s="82">
        <v>0</v>
      </c>
      <c r="N399" s="85">
        <v>0</v>
      </c>
      <c r="O399" s="82">
        <v>0</v>
      </c>
      <c r="P399" s="85">
        <v>0.5924999999999998</v>
      </c>
      <c r="Q399" s="82">
        <v>7.5059999999999976</v>
      </c>
      <c r="R399" s="85">
        <v>2.5736666666666665</v>
      </c>
      <c r="S399" s="82">
        <v>0</v>
      </c>
      <c r="T399" s="85">
        <v>0</v>
      </c>
      <c r="U399" s="82">
        <v>0</v>
      </c>
      <c r="V399" s="85">
        <v>0</v>
      </c>
      <c r="W399" s="82">
        <v>0</v>
      </c>
      <c r="X399" s="85">
        <v>0</v>
      </c>
      <c r="Y399" s="82">
        <v>0</v>
      </c>
      <c r="Z399" s="85">
        <v>0</v>
      </c>
      <c r="AA399" s="82">
        <v>0</v>
      </c>
      <c r="AB399" s="85">
        <v>0</v>
      </c>
      <c r="AC399" s="238">
        <f t="shared" si="195"/>
        <v>10.672166666666664</v>
      </c>
      <c r="AD399" s="238"/>
      <c r="AE399" s="238"/>
    </row>
    <row r="400" spans="2:31" x14ac:dyDescent="0.3">
      <c r="B400" s="245" t="s">
        <v>8</v>
      </c>
      <c r="C400" s="245"/>
      <c r="D400" s="245"/>
      <c r="E400" s="82">
        <v>0</v>
      </c>
      <c r="F400" s="85">
        <v>0</v>
      </c>
      <c r="G400" s="82">
        <v>0</v>
      </c>
      <c r="H400" s="85">
        <v>0</v>
      </c>
      <c r="I400" s="82">
        <v>0</v>
      </c>
      <c r="J400" s="85">
        <v>0</v>
      </c>
      <c r="K400" s="82">
        <v>0</v>
      </c>
      <c r="L400" s="85">
        <v>0</v>
      </c>
      <c r="M400" s="82">
        <v>0</v>
      </c>
      <c r="N400" s="85">
        <v>0</v>
      </c>
      <c r="O400" s="82">
        <v>1.6651666666666651</v>
      </c>
      <c r="P400" s="85">
        <v>5.0666666666666655</v>
      </c>
      <c r="Q400" s="82">
        <v>0.65399999999999991</v>
      </c>
      <c r="R400" s="85">
        <v>0</v>
      </c>
      <c r="S400" s="82">
        <v>0</v>
      </c>
      <c r="T400" s="85">
        <v>0</v>
      </c>
      <c r="U400" s="82">
        <v>0</v>
      </c>
      <c r="V400" s="85">
        <v>0</v>
      </c>
      <c r="W400" s="82">
        <v>0</v>
      </c>
      <c r="X400" s="85">
        <v>0</v>
      </c>
      <c r="Y400" s="82">
        <v>0</v>
      </c>
      <c r="Z400" s="85">
        <v>0</v>
      </c>
      <c r="AA400" s="82">
        <v>0</v>
      </c>
      <c r="AB400" s="85">
        <v>0</v>
      </c>
      <c r="AC400" s="238">
        <f t="shared" si="195"/>
        <v>7.3858333333333306</v>
      </c>
      <c r="AD400" s="238"/>
      <c r="AE400" s="238"/>
    </row>
    <row r="401" spans="2:31" x14ac:dyDescent="0.3">
      <c r="B401" s="245" t="s">
        <v>9</v>
      </c>
      <c r="C401" s="245"/>
      <c r="D401" s="245"/>
      <c r="E401" s="82">
        <v>0</v>
      </c>
      <c r="F401" s="85">
        <v>0</v>
      </c>
      <c r="G401" s="82">
        <v>0</v>
      </c>
      <c r="H401" s="85">
        <v>0</v>
      </c>
      <c r="I401" s="82">
        <v>0</v>
      </c>
      <c r="J401" s="85">
        <v>0</v>
      </c>
      <c r="K401" s="82">
        <v>0</v>
      </c>
      <c r="L401" s="85">
        <v>0</v>
      </c>
      <c r="M401" s="82">
        <v>0</v>
      </c>
      <c r="N401" s="85">
        <v>0</v>
      </c>
      <c r="O401" s="82">
        <v>0</v>
      </c>
      <c r="P401" s="85">
        <v>0</v>
      </c>
      <c r="Q401" s="82">
        <v>0</v>
      </c>
      <c r="R401" s="85">
        <v>0</v>
      </c>
      <c r="S401" s="82">
        <v>0</v>
      </c>
      <c r="T401" s="85">
        <v>0</v>
      </c>
      <c r="U401" s="82">
        <v>0</v>
      </c>
      <c r="V401" s="85">
        <v>0</v>
      </c>
      <c r="W401" s="82">
        <v>0</v>
      </c>
      <c r="X401" s="85">
        <v>0</v>
      </c>
      <c r="Y401" s="82">
        <v>0</v>
      </c>
      <c r="Z401" s="85">
        <v>0</v>
      </c>
      <c r="AA401" s="82">
        <v>0</v>
      </c>
      <c r="AB401" s="85">
        <v>0</v>
      </c>
      <c r="AC401" s="238">
        <f t="shared" si="195"/>
        <v>0</v>
      </c>
      <c r="AD401" s="238"/>
      <c r="AE401" s="238"/>
    </row>
    <row r="402" spans="2:31" x14ac:dyDescent="0.3">
      <c r="B402" s="245" t="s">
        <v>10</v>
      </c>
      <c r="C402" s="245"/>
      <c r="D402" s="245"/>
      <c r="E402" s="82">
        <v>0</v>
      </c>
      <c r="F402" s="85">
        <v>0</v>
      </c>
      <c r="G402" s="82">
        <v>0</v>
      </c>
      <c r="H402" s="85">
        <v>0</v>
      </c>
      <c r="I402" s="82">
        <v>0</v>
      </c>
      <c r="J402" s="85">
        <v>0</v>
      </c>
      <c r="K402" s="82">
        <v>0</v>
      </c>
      <c r="L402" s="85">
        <v>0</v>
      </c>
      <c r="M402" s="82">
        <v>0</v>
      </c>
      <c r="N402" s="85">
        <v>0</v>
      </c>
      <c r="O402" s="82">
        <v>0</v>
      </c>
      <c r="P402" s="85">
        <v>0</v>
      </c>
      <c r="Q402" s="82">
        <v>0</v>
      </c>
      <c r="R402" s="85">
        <v>0</v>
      </c>
      <c r="S402" s="82">
        <v>0</v>
      </c>
      <c r="T402" s="85">
        <v>0</v>
      </c>
      <c r="U402" s="82">
        <v>0</v>
      </c>
      <c r="V402" s="85">
        <v>0</v>
      </c>
      <c r="W402" s="82">
        <v>0</v>
      </c>
      <c r="X402" s="85">
        <v>0</v>
      </c>
      <c r="Y402" s="82">
        <v>0</v>
      </c>
      <c r="Z402" s="85">
        <v>0</v>
      </c>
      <c r="AA402" s="82">
        <v>0</v>
      </c>
      <c r="AB402" s="85">
        <v>0</v>
      </c>
      <c r="AC402" s="238">
        <f t="shared" si="195"/>
        <v>0</v>
      </c>
      <c r="AD402" s="238"/>
      <c r="AE402" s="238"/>
    </row>
    <row r="403" spans="2:31" x14ac:dyDescent="0.3">
      <c r="B403" s="245" t="s">
        <v>11</v>
      </c>
      <c r="C403" s="245"/>
      <c r="D403" s="245"/>
      <c r="E403" s="82">
        <v>0</v>
      </c>
      <c r="F403" s="85">
        <v>0</v>
      </c>
      <c r="G403" s="82">
        <v>0</v>
      </c>
      <c r="H403" s="85">
        <v>0</v>
      </c>
      <c r="I403" s="82">
        <v>0</v>
      </c>
      <c r="J403" s="85">
        <v>0</v>
      </c>
      <c r="K403" s="82">
        <v>0</v>
      </c>
      <c r="L403" s="85">
        <v>0</v>
      </c>
      <c r="M403" s="82">
        <v>0</v>
      </c>
      <c r="N403" s="85">
        <v>0</v>
      </c>
      <c r="O403" s="82">
        <v>0</v>
      </c>
      <c r="P403" s="85">
        <v>0</v>
      </c>
      <c r="Q403" s="82">
        <v>0</v>
      </c>
      <c r="R403" s="85">
        <v>0</v>
      </c>
      <c r="S403" s="82">
        <v>0</v>
      </c>
      <c r="T403" s="85">
        <v>0</v>
      </c>
      <c r="U403" s="82">
        <v>0</v>
      </c>
      <c r="V403" s="85">
        <v>0</v>
      </c>
      <c r="W403" s="82">
        <v>0</v>
      </c>
      <c r="X403" s="85">
        <v>0</v>
      </c>
      <c r="Y403" s="82">
        <v>0</v>
      </c>
      <c r="Z403" s="85">
        <v>0</v>
      </c>
      <c r="AA403" s="82">
        <v>0</v>
      </c>
      <c r="AB403" s="85">
        <v>0</v>
      </c>
      <c r="AC403" s="238">
        <f t="shared" si="195"/>
        <v>0</v>
      </c>
      <c r="AD403" s="238"/>
      <c r="AE403" s="238"/>
    </row>
    <row r="404" spans="2:31" x14ac:dyDescent="0.3">
      <c r="B404" s="245" t="s">
        <v>12</v>
      </c>
      <c r="C404" s="245"/>
      <c r="D404" s="245"/>
      <c r="E404" s="82">
        <v>0</v>
      </c>
      <c r="F404" s="85">
        <v>0</v>
      </c>
      <c r="G404" s="82">
        <v>0</v>
      </c>
      <c r="H404" s="85">
        <v>0</v>
      </c>
      <c r="I404" s="82">
        <v>0</v>
      </c>
      <c r="J404" s="85">
        <v>0</v>
      </c>
      <c r="K404" s="82">
        <v>0</v>
      </c>
      <c r="L404" s="85">
        <v>0</v>
      </c>
      <c r="M404" s="82">
        <v>0</v>
      </c>
      <c r="N404" s="85">
        <v>0</v>
      </c>
      <c r="O404" s="82">
        <v>0</v>
      </c>
      <c r="P404" s="85">
        <v>0</v>
      </c>
      <c r="Q404" s="82">
        <v>0</v>
      </c>
      <c r="R404" s="85">
        <v>0</v>
      </c>
      <c r="S404" s="82">
        <v>0</v>
      </c>
      <c r="T404" s="85">
        <v>0</v>
      </c>
      <c r="U404" s="82">
        <v>0</v>
      </c>
      <c r="V404" s="85">
        <v>0</v>
      </c>
      <c r="W404" s="82">
        <v>0</v>
      </c>
      <c r="X404" s="85">
        <v>0</v>
      </c>
      <c r="Y404" s="82">
        <v>0</v>
      </c>
      <c r="Z404" s="85">
        <v>0</v>
      </c>
      <c r="AA404" s="82">
        <v>0</v>
      </c>
      <c r="AB404" s="85">
        <v>0</v>
      </c>
      <c r="AC404" s="238">
        <f t="shared" si="195"/>
        <v>0</v>
      </c>
      <c r="AD404" s="238"/>
      <c r="AE404" s="238"/>
    </row>
    <row r="405" spans="2:31" x14ac:dyDescent="0.3">
      <c r="B405" s="245" t="s">
        <v>13</v>
      </c>
      <c r="C405" s="245"/>
      <c r="D405" s="245"/>
      <c r="E405" s="82">
        <v>0</v>
      </c>
      <c r="F405" s="85">
        <v>0</v>
      </c>
      <c r="G405" s="82">
        <v>0</v>
      </c>
      <c r="H405" s="85">
        <v>0</v>
      </c>
      <c r="I405" s="82">
        <v>0</v>
      </c>
      <c r="J405" s="85">
        <v>0</v>
      </c>
      <c r="K405" s="82">
        <v>0</v>
      </c>
      <c r="L405" s="85">
        <v>0</v>
      </c>
      <c r="M405" s="82">
        <v>0</v>
      </c>
      <c r="N405" s="85">
        <v>0</v>
      </c>
      <c r="O405" s="82">
        <v>0</v>
      </c>
      <c r="P405" s="85">
        <v>0</v>
      </c>
      <c r="Q405" s="82">
        <v>0</v>
      </c>
      <c r="R405" s="85">
        <v>0</v>
      </c>
      <c r="S405" s="82">
        <v>0</v>
      </c>
      <c r="T405" s="85">
        <v>0</v>
      </c>
      <c r="U405" s="82">
        <v>0</v>
      </c>
      <c r="V405" s="85">
        <v>0</v>
      </c>
      <c r="W405" s="82">
        <v>0</v>
      </c>
      <c r="X405" s="85">
        <v>0</v>
      </c>
      <c r="Y405" s="82">
        <v>0</v>
      </c>
      <c r="Z405" s="85">
        <v>0</v>
      </c>
      <c r="AA405" s="82">
        <v>0</v>
      </c>
      <c r="AB405" s="85">
        <v>0</v>
      </c>
      <c r="AC405" s="238">
        <f t="shared" si="195"/>
        <v>0</v>
      </c>
      <c r="AD405" s="238"/>
      <c r="AE405" s="238"/>
    </row>
    <row r="406" spans="2:31" x14ac:dyDescent="0.3">
      <c r="B406" s="245" t="s">
        <v>14</v>
      </c>
      <c r="C406" s="245"/>
      <c r="D406" s="245"/>
      <c r="E406" s="82">
        <v>0</v>
      </c>
      <c r="F406" s="85">
        <v>0</v>
      </c>
      <c r="G406" s="82">
        <v>0</v>
      </c>
      <c r="H406" s="85">
        <v>0</v>
      </c>
      <c r="I406" s="82">
        <v>0</v>
      </c>
      <c r="J406" s="85">
        <v>0</v>
      </c>
      <c r="K406" s="82">
        <v>0</v>
      </c>
      <c r="L406" s="85">
        <v>0</v>
      </c>
      <c r="M406" s="82">
        <v>0</v>
      </c>
      <c r="N406" s="85">
        <v>0</v>
      </c>
      <c r="O406" s="82">
        <v>0</v>
      </c>
      <c r="P406" s="85">
        <v>0</v>
      </c>
      <c r="Q406" s="82">
        <v>0</v>
      </c>
      <c r="R406" s="85">
        <v>0</v>
      </c>
      <c r="S406" s="82">
        <v>0</v>
      </c>
      <c r="T406" s="85">
        <v>0</v>
      </c>
      <c r="U406" s="82">
        <v>0</v>
      </c>
      <c r="V406" s="85">
        <v>0</v>
      </c>
      <c r="W406" s="82">
        <v>0</v>
      </c>
      <c r="X406" s="85">
        <v>0</v>
      </c>
      <c r="Y406" s="82">
        <v>0</v>
      </c>
      <c r="Z406" s="85">
        <v>0</v>
      </c>
      <c r="AA406" s="82">
        <v>0</v>
      </c>
      <c r="AB406" s="85">
        <v>0</v>
      </c>
      <c r="AC406" s="238">
        <f t="shared" si="195"/>
        <v>0</v>
      </c>
      <c r="AD406" s="238"/>
      <c r="AE406" s="238"/>
    </row>
    <row r="407" spans="2:31" x14ac:dyDescent="0.3">
      <c r="B407" s="245" t="s">
        <v>15</v>
      </c>
      <c r="C407" s="245"/>
      <c r="D407" s="245"/>
      <c r="E407" s="82">
        <v>0</v>
      </c>
      <c r="F407" s="85">
        <v>0</v>
      </c>
      <c r="G407" s="82">
        <v>0</v>
      </c>
      <c r="H407" s="85">
        <v>0</v>
      </c>
      <c r="I407" s="82">
        <v>0</v>
      </c>
      <c r="J407" s="85">
        <v>0</v>
      </c>
      <c r="K407" s="82">
        <v>0</v>
      </c>
      <c r="L407" s="85">
        <v>0</v>
      </c>
      <c r="M407" s="82">
        <v>0</v>
      </c>
      <c r="N407" s="85">
        <v>0</v>
      </c>
      <c r="O407" s="82">
        <v>0</v>
      </c>
      <c r="P407" s="85">
        <v>0</v>
      </c>
      <c r="Q407" s="82">
        <v>0</v>
      </c>
      <c r="R407" s="85">
        <v>0</v>
      </c>
      <c r="S407" s="82">
        <v>0</v>
      </c>
      <c r="T407" s="85">
        <v>0</v>
      </c>
      <c r="U407" s="82">
        <v>0</v>
      </c>
      <c r="V407" s="85">
        <v>0</v>
      </c>
      <c r="W407" s="82">
        <v>0</v>
      </c>
      <c r="X407" s="85">
        <v>0</v>
      </c>
      <c r="Y407" s="82">
        <v>0</v>
      </c>
      <c r="Z407" s="85">
        <v>0</v>
      </c>
      <c r="AA407" s="82">
        <v>0</v>
      </c>
      <c r="AB407" s="85">
        <v>0</v>
      </c>
      <c r="AC407" s="238">
        <f t="shared" si="195"/>
        <v>0</v>
      </c>
      <c r="AD407" s="238"/>
      <c r="AE407" s="238"/>
    </row>
    <row r="408" spans="2:31" x14ac:dyDescent="0.3">
      <c r="B408" s="245" t="s">
        <v>16</v>
      </c>
      <c r="C408" s="245"/>
      <c r="D408" s="245"/>
      <c r="E408" s="82">
        <v>0</v>
      </c>
      <c r="F408" s="85">
        <v>0</v>
      </c>
      <c r="G408" s="82">
        <v>0</v>
      </c>
      <c r="H408" s="85">
        <v>0</v>
      </c>
      <c r="I408" s="82">
        <v>0</v>
      </c>
      <c r="J408" s="85">
        <v>0</v>
      </c>
      <c r="K408" s="82">
        <v>0</v>
      </c>
      <c r="L408" s="85">
        <v>0</v>
      </c>
      <c r="M408" s="82">
        <v>0</v>
      </c>
      <c r="N408" s="85">
        <v>0</v>
      </c>
      <c r="O408" s="82">
        <v>0</v>
      </c>
      <c r="P408" s="85">
        <v>0</v>
      </c>
      <c r="Q408" s="82">
        <v>0</v>
      </c>
      <c r="R408" s="85">
        <v>0</v>
      </c>
      <c r="S408" s="82">
        <v>0</v>
      </c>
      <c r="T408" s="85">
        <v>0</v>
      </c>
      <c r="U408" s="82">
        <v>0</v>
      </c>
      <c r="V408" s="85">
        <v>0</v>
      </c>
      <c r="W408" s="82">
        <v>0</v>
      </c>
      <c r="X408" s="85">
        <v>0</v>
      </c>
      <c r="Y408" s="82">
        <v>0</v>
      </c>
      <c r="Z408" s="85">
        <v>0</v>
      </c>
      <c r="AA408" s="82">
        <v>0</v>
      </c>
      <c r="AB408" s="85">
        <v>0</v>
      </c>
      <c r="AC408" s="238">
        <f t="shared" si="195"/>
        <v>0</v>
      </c>
      <c r="AD408" s="238"/>
      <c r="AE408" s="238"/>
    </row>
    <row r="409" spans="2:31" x14ac:dyDescent="0.3">
      <c r="B409" s="245" t="s">
        <v>17</v>
      </c>
      <c r="C409" s="245"/>
      <c r="D409" s="245"/>
      <c r="E409" s="82">
        <v>0</v>
      </c>
      <c r="F409" s="85">
        <v>0</v>
      </c>
      <c r="G409" s="82">
        <v>0</v>
      </c>
      <c r="H409" s="85">
        <v>0</v>
      </c>
      <c r="I409" s="82">
        <v>0</v>
      </c>
      <c r="J409" s="85">
        <v>0</v>
      </c>
      <c r="K409" s="82">
        <v>0</v>
      </c>
      <c r="L409" s="85">
        <v>0</v>
      </c>
      <c r="M409" s="82">
        <v>0</v>
      </c>
      <c r="N409" s="85">
        <v>0</v>
      </c>
      <c r="O409" s="82">
        <v>0</v>
      </c>
      <c r="P409" s="85">
        <v>0</v>
      </c>
      <c r="Q409" s="82">
        <v>0</v>
      </c>
      <c r="R409" s="85">
        <v>0</v>
      </c>
      <c r="S409" s="82">
        <v>0</v>
      </c>
      <c r="T409" s="85">
        <v>0</v>
      </c>
      <c r="U409" s="82">
        <v>0</v>
      </c>
      <c r="V409" s="85">
        <v>0</v>
      </c>
      <c r="W409" s="82">
        <v>0</v>
      </c>
      <c r="X409" s="85">
        <v>0</v>
      </c>
      <c r="Y409" s="82">
        <v>0</v>
      </c>
      <c r="Z409" s="85">
        <v>0</v>
      </c>
      <c r="AA409" s="82">
        <v>0</v>
      </c>
      <c r="AB409" s="85">
        <v>0</v>
      </c>
      <c r="AC409" s="238">
        <f t="shared" si="195"/>
        <v>0</v>
      </c>
      <c r="AD409" s="238"/>
      <c r="AE409" s="238"/>
    </row>
    <row r="410" spans="2:31" x14ac:dyDescent="0.3">
      <c r="B410" s="245" t="s">
        <v>18</v>
      </c>
      <c r="C410" s="245"/>
      <c r="D410" s="245"/>
      <c r="E410" s="82">
        <v>0</v>
      </c>
      <c r="F410" s="85">
        <v>0</v>
      </c>
      <c r="G410" s="82">
        <v>0</v>
      </c>
      <c r="H410" s="85">
        <v>0</v>
      </c>
      <c r="I410" s="82">
        <v>0</v>
      </c>
      <c r="J410" s="85">
        <v>0</v>
      </c>
      <c r="K410" s="82">
        <v>0</v>
      </c>
      <c r="L410" s="85">
        <v>0</v>
      </c>
      <c r="M410" s="82">
        <v>0</v>
      </c>
      <c r="N410" s="85">
        <v>0</v>
      </c>
      <c r="O410" s="82">
        <v>0</v>
      </c>
      <c r="P410" s="85">
        <v>0</v>
      </c>
      <c r="Q410" s="82">
        <v>0</v>
      </c>
      <c r="R410" s="85">
        <v>0</v>
      </c>
      <c r="S410" s="82">
        <v>0</v>
      </c>
      <c r="T410" s="85">
        <v>0</v>
      </c>
      <c r="U410" s="82">
        <v>0</v>
      </c>
      <c r="V410" s="85">
        <v>0</v>
      </c>
      <c r="W410" s="82">
        <v>0</v>
      </c>
      <c r="X410" s="85">
        <v>0</v>
      </c>
      <c r="Y410" s="82">
        <v>0</v>
      </c>
      <c r="Z410" s="85">
        <v>0</v>
      </c>
      <c r="AA410" s="82">
        <v>0</v>
      </c>
      <c r="AB410" s="85">
        <v>0</v>
      </c>
      <c r="AC410" s="238">
        <f t="shared" si="195"/>
        <v>0</v>
      </c>
      <c r="AD410" s="238"/>
      <c r="AE410" s="238"/>
    </row>
    <row r="411" spans="2:31" x14ac:dyDescent="0.3">
      <c r="B411" s="245" t="s">
        <v>19</v>
      </c>
      <c r="C411" s="245"/>
      <c r="D411" s="245"/>
      <c r="E411" s="82">
        <v>0</v>
      </c>
      <c r="F411" s="85">
        <v>0</v>
      </c>
      <c r="G411" s="82">
        <v>0</v>
      </c>
      <c r="H411" s="85">
        <v>0</v>
      </c>
      <c r="I411" s="82">
        <v>0</v>
      </c>
      <c r="J411" s="85">
        <v>0</v>
      </c>
      <c r="K411" s="82">
        <v>0</v>
      </c>
      <c r="L411" s="85">
        <v>0</v>
      </c>
      <c r="M411" s="82">
        <v>0</v>
      </c>
      <c r="N411" s="85">
        <v>0</v>
      </c>
      <c r="O411" s="82">
        <v>0</v>
      </c>
      <c r="P411" s="85">
        <v>0</v>
      </c>
      <c r="Q411" s="82">
        <v>0</v>
      </c>
      <c r="R411" s="85">
        <v>0</v>
      </c>
      <c r="S411" s="82">
        <v>0</v>
      </c>
      <c r="T411" s="85">
        <v>0</v>
      </c>
      <c r="U411" s="82">
        <v>0</v>
      </c>
      <c r="V411" s="85">
        <v>0</v>
      </c>
      <c r="W411" s="82">
        <v>0</v>
      </c>
      <c r="X411" s="85">
        <v>0</v>
      </c>
      <c r="Y411" s="82">
        <v>0</v>
      </c>
      <c r="Z411" s="85">
        <v>0</v>
      </c>
      <c r="AA411" s="82">
        <v>0</v>
      </c>
      <c r="AB411" s="85">
        <v>0</v>
      </c>
      <c r="AC411" s="238">
        <f t="shared" si="195"/>
        <v>0</v>
      </c>
      <c r="AD411" s="238"/>
      <c r="AE411" s="238"/>
    </row>
    <row r="412" spans="2:31" x14ac:dyDescent="0.3">
      <c r="B412" s="245" t="s">
        <v>20</v>
      </c>
      <c r="C412" s="245"/>
      <c r="D412" s="245"/>
      <c r="E412" s="82">
        <v>0</v>
      </c>
      <c r="F412" s="85">
        <v>0</v>
      </c>
      <c r="G412" s="82">
        <v>0</v>
      </c>
      <c r="H412" s="85">
        <v>0</v>
      </c>
      <c r="I412" s="82">
        <v>0</v>
      </c>
      <c r="J412" s="85">
        <v>0</v>
      </c>
      <c r="K412" s="82">
        <v>0</v>
      </c>
      <c r="L412" s="85">
        <v>0</v>
      </c>
      <c r="M412" s="82">
        <v>0</v>
      </c>
      <c r="N412" s="85">
        <v>0</v>
      </c>
      <c r="O412" s="82">
        <v>0</v>
      </c>
      <c r="P412" s="85">
        <v>0</v>
      </c>
      <c r="Q412" s="82">
        <v>0</v>
      </c>
      <c r="R412" s="85">
        <v>0</v>
      </c>
      <c r="S412" s="82">
        <v>0</v>
      </c>
      <c r="T412" s="85">
        <v>0</v>
      </c>
      <c r="U412" s="82">
        <v>0</v>
      </c>
      <c r="V412" s="85">
        <v>0</v>
      </c>
      <c r="W412" s="82">
        <v>0</v>
      </c>
      <c r="X412" s="85">
        <v>0</v>
      </c>
      <c r="Y412" s="82">
        <v>0</v>
      </c>
      <c r="Z412" s="85">
        <v>0</v>
      </c>
      <c r="AA412" s="82">
        <v>0</v>
      </c>
      <c r="AB412" s="85">
        <v>0</v>
      </c>
      <c r="AC412" s="238">
        <f t="shared" si="195"/>
        <v>0</v>
      </c>
      <c r="AD412" s="238"/>
      <c r="AE412" s="238"/>
    </row>
    <row r="413" spans="2:31" x14ac:dyDescent="0.3">
      <c r="B413" s="245" t="s">
        <v>21</v>
      </c>
      <c r="C413" s="245"/>
      <c r="D413" s="245"/>
      <c r="E413" s="82">
        <v>0</v>
      </c>
      <c r="F413" s="85">
        <v>0</v>
      </c>
      <c r="G413" s="82">
        <v>0</v>
      </c>
      <c r="H413" s="85">
        <v>0</v>
      </c>
      <c r="I413" s="82">
        <v>0</v>
      </c>
      <c r="J413" s="85">
        <v>0</v>
      </c>
      <c r="K413" s="82">
        <v>0</v>
      </c>
      <c r="L413" s="85">
        <v>0</v>
      </c>
      <c r="M413" s="82">
        <v>0</v>
      </c>
      <c r="N413" s="85">
        <v>0</v>
      </c>
      <c r="O413" s="82">
        <v>0</v>
      </c>
      <c r="P413" s="85">
        <v>0</v>
      </c>
      <c r="Q413" s="82">
        <v>0</v>
      </c>
      <c r="R413" s="85">
        <v>0</v>
      </c>
      <c r="S413" s="82">
        <v>0</v>
      </c>
      <c r="T413" s="85">
        <v>0</v>
      </c>
      <c r="U413" s="82">
        <v>0</v>
      </c>
      <c r="V413" s="85">
        <v>0</v>
      </c>
      <c r="W413" s="82">
        <v>0</v>
      </c>
      <c r="X413" s="85">
        <v>0</v>
      </c>
      <c r="Y413" s="82">
        <v>0</v>
      </c>
      <c r="Z413" s="85">
        <v>0</v>
      </c>
      <c r="AA413" s="82">
        <v>0</v>
      </c>
      <c r="AB413" s="85">
        <v>0</v>
      </c>
      <c r="AC413" s="238">
        <f t="shared" si="195"/>
        <v>0</v>
      </c>
      <c r="AD413" s="238"/>
      <c r="AE413" s="238"/>
    </row>
    <row r="414" spans="2:31" x14ac:dyDescent="0.3">
      <c r="B414" s="245" t="s">
        <v>22</v>
      </c>
      <c r="C414" s="245"/>
      <c r="D414" s="245"/>
      <c r="E414" s="82">
        <v>0</v>
      </c>
      <c r="F414" s="85">
        <v>0</v>
      </c>
      <c r="G414" s="82">
        <v>0</v>
      </c>
      <c r="H414" s="85">
        <v>0</v>
      </c>
      <c r="I414" s="82">
        <v>0</v>
      </c>
      <c r="J414" s="85">
        <v>0</v>
      </c>
      <c r="K414" s="82">
        <v>0</v>
      </c>
      <c r="L414" s="85">
        <v>0</v>
      </c>
      <c r="M414" s="82">
        <v>0</v>
      </c>
      <c r="N414" s="85">
        <v>0</v>
      </c>
      <c r="O414" s="82">
        <v>0</v>
      </c>
      <c r="P414" s="85">
        <v>0</v>
      </c>
      <c r="Q414" s="82">
        <v>0</v>
      </c>
      <c r="R414" s="85">
        <v>0</v>
      </c>
      <c r="S414" s="82">
        <v>0</v>
      </c>
      <c r="T414" s="85">
        <v>0</v>
      </c>
      <c r="U414" s="82">
        <v>0</v>
      </c>
      <c r="V414" s="85">
        <v>0</v>
      </c>
      <c r="W414" s="82">
        <v>0</v>
      </c>
      <c r="X414" s="85">
        <v>0</v>
      </c>
      <c r="Y414" s="82">
        <v>0</v>
      </c>
      <c r="Z414" s="85">
        <v>0</v>
      </c>
      <c r="AA414" s="82">
        <v>0</v>
      </c>
      <c r="AB414" s="85">
        <v>0</v>
      </c>
      <c r="AC414" s="238">
        <f t="shared" si="195"/>
        <v>0</v>
      </c>
      <c r="AD414" s="238"/>
      <c r="AE414" s="238"/>
    </row>
    <row r="415" spans="2:31" x14ac:dyDescent="0.3">
      <c r="B415" s="245" t="s">
        <v>23</v>
      </c>
      <c r="C415" s="245"/>
      <c r="D415" s="245"/>
      <c r="E415" s="82">
        <v>0</v>
      </c>
      <c r="F415" s="85">
        <v>0</v>
      </c>
      <c r="G415" s="82">
        <v>0</v>
      </c>
      <c r="H415" s="85">
        <v>0</v>
      </c>
      <c r="I415" s="82">
        <v>0</v>
      </c>
      <c r="J415" s="85">
        <v>0</v>
      </c>
      <c r="K415" s="82">
        <v>0</v>
      </c>
      <c r="L415" s="85">
        <v>0</v>
      </c>
      <c r="M415" s="82">
        <v>0</v>
      </c>
      <c r="N415" s="85">
        <v>0</v>
      </c>
      <c r="O415" s="82">
        <v>0</v>
      </c>
      <c r="P415" s="85">
        <v>0</v>
      </c>
      <c r="Q415" s="82">
        <v>0</v>
      </c>
      <c r="R415" s="85">
        <v>0</v>
      </c>
      <c r="S415" s="82">
        <v>0</v>
      </c>
      <c r="T415" s="85">
        <v>0</v>
      </c>
      <c r="U415" s="82">
        <v>0</v>
      </c>
      <c r="V415" s="85">
        <v>0</v>
      </c>
      <c r="W415" s="82">
        <v>0</v>
      </c>
      <c r="X415" s="85">
        <v>0</v>
      </c>
      <c r="Y415" s="82">
        <v>0</v>
      </c>
      <c r="Z415" s="85">
        <v>0</v>
      </c>
      <c r="AA415" s="82">
        <v>0</v>
      </c>
      <c r="AB415" s="85">
        <v>0</v>
      </c>
      <c r="AC415" s="238">
        <f t="shared" si="195"/>
        <v>0</v>
      </c>
      <c r="AD415" s="238"/>
      <c r="AE415" s="238"/>
    </row>
    <row r="416" spans="2:31" x14ac:dyDescent="0.3">
      <c r="B416" s="245" t="s">
        <v>24</v>
      </c>
      <c r="C416" s="245"/>
      <c r="D416" s="245"/>
      <c r="E416" s="82">
        <v>0</v>
      </c>
      <c r="F416" s="85">
        <v>0</v>
      </c>
      <c r="G416" s="82">
        <v>0</v>
      </c>
      <c r="H416" s="85">
        <v>0</v>
      </c>
      <c r="I416" s="82">
        <v>0</v>
      </c>
      <c r="J416" s="85">
        <v>0</v>
      </c>
      <c r="K416" s="82">
        <v>0</v>
      </c>
      <c r="L416" s="85">
        <v>0</v>
      </c>
      <c r="M416" s="82">
        <v>0</v>
      </c>
      <c r="N416" s="85">
        <v>0</v>
      </c>
      <c r="O416" s="82">
        <v>0</v>
      </c>
      <c r="P416" s="85">
        <v>0</v>
      </c>
      <c r="Q416" s="82">
        <v>0</v>
      </c>
      <c r="R416" s="85">
        <v>0</v>
      </c>
      <c r="S416" s="82">
        <v>0</v>
      </c>
      <c r="T416" s="85">
        <v>0</v>
      </c>
      <c r="U416" s="82">
        <v>0</v>
      </c>
      <c r="V416" s="85">
        <v>0</v>
      </c>
      <c r="W416" s="82">
        <v>0</v>
      </c>
      <c r="X416" s="85">
        <v>0</v>
      </c>
      <c r="Y416" s="82">
        <v>0</v>
      </c>
      <c r="Z416" s="85">
        <v>0</v>
      </c>
      <c r="AA416" s="82">
        <v>0</v>
      </c>
      <c r="AB416" s="85">
        <v>0</v>
      </c>
      <c r="AC416" s="238">
        <f t="shared" si="195"/>
        <v>0</v>
      </c>
      <c r="AD416" s="238"/>
      <c r="AE416" s="238"/>
    </row>
    <row r="417" spans="2:31" x14ac:dyDescent="0.3">
      <c r="B417" s="245" t="s">
        <v>25</v>
      </c>
      <c r="C417" s="245"/>
      <c r="D417" s="245"/>
      <c r="E417" s="82">
        <v>0</v>
      </c>
      <c r="F417" s="85">
        <v>0</v>
      </c>
      <c r="G417" s="82">
        <v>0</v>
      </c>
      <c r="H417" s="85">
        <v>0</v>
      </c>
      <c r="I417" s="82">
        <v>0</v>
      </c>
      <c r="J417" s="85">
        <v>0</v>
      </c>
      <c r="K417" s="82">
        <v>0</v>
      </c>
      <c r="L417" s="85">
        <v>0</v>
      </c>
      <c r="M417" s="82">
        <v>0</v>
      </c>
      <c r="N417" s="85">
        <v>0</v>
      </c>
      <c r="O417" s="82">
        <v>0</v>
      </c>
      <c r="P417" s="85">
        <v>0</v>
      </c>
      <c r="Q417" s="82">
        <v>0</v>
      </c>
      <c r="R417" s="85">
        <v>0</v>
      </c>
      <c r="S417" s="82">
        <v>0</v>
      </c>
      <c r="T417" s="85">
        <v>0</v>
      </c>
      <c r="U417" s="82">
        <v>0</v>
      </c>
      <c r="V417" s="85">
        <v>0</v>
      </c>
      <c r="W417" s="82">
        <v>0</v>
      </c>
      <c r="X417" s="85">
        <v>0</v>
      </c>
      <c r="Y417" s="82">
        <v>0</v>
      </c>
      <c r="Z417" s="85">
        <v>0</v>
      </c>
      <c r="AA417" s="82">
        <v>0</v>
      </c>
      <c r="AB417" s="85">
        <v>0</v>
      </c>
      <c r="AC417" s="238">
        <f t="shared" si="195"/>
        <v>0</v>
      </c>
      <c r="AD417" s="238"/>
      <c r="AE417" s="238"/>
    </row>
    <row r="418" spans="2:31" x14ac:dyDescent="0.3">
      <c r="B418" s="245" t="s">
        <v>26</v>
      </c>
      <c r="C418" s="245"/>
      <c r="D418" s="245"/>
      <c r="E418" s="82">
        <v>0</v>
      </c>
      <c r="F418" s="85">
        <v>0</v>
      </c>
      <c r="G418" s="82">
        <v>0</v>
      </c>
      <c r="H418" s="85">
        <v>0</v>
      </c>
      <c r="I418" s="82">
        <v>0</v>
      </c>
      <c r="J418" s="85">
        <v>0</v>
      </c>
      <c r="K418" s="82">
        <v>0</v>
      </c>
      <c r="L418" s="85">
        <v>0</v>
      </c>
      <c r="M418" s="82">
        <v>0</v>
      </c>
      <c r="N418" s="85">
        <v>0</v>
      </c>
      <c r="O418" s="82">
        <v>0</v>
      </c>
      <c r="P418" s="85">
        <v>0</v>
      </c>
      <c r="Q418" s="82">
        <v>0</v>
      </c>
      <c r="R418" s="85">
        <v>0</v>
      </c>
      <c r="S418" s="82">
        <v>0</v>
      </c>
      <c r="T418" s="85">
        <v>0</v>
      </c>
      <c r="U418" s="82">
        <v>0</v>
      </c>
      <c r="V418" s="85">
        <v>0</v>
      </c>
      <c r="W418" s="82">
        <v>0</v>
      </c>
      <c r="X418" s="85">
        <v>0</v>
      </c>
      <c r="Y418" s="82">
        <v>0</v>
      </c>
      <c r="Z418" s="85">
        <v>0</v>
      </c>
      <c r="AA418" s="82">
        <v>0</v>
      </c>
      <c r="AB418" s="85">
        <v>0</v>
      </c>
      <c r="AC418" s="238">
        <f t="shared" si="195"/>
        <v>0</v>
      </c>
      <c r="AD418" s="238"/>
      <c r="AE418" s="238"/>
    </row>
    <row r="419" spans="2:31" x14ac:dyDescent="0.3">
      <c r="B419" s="245" t="s">
        <v>27</v>
      </c>
      <c r="C419" s="245"/>
      <c r="D419" s="245"/>
      <c r="E419" s="82">
        <v>0</v>
      </c>
      <c r="F419" s="85">
        <v>0</v>
      </c>
      <c r="G419" s="82">
        <v>0</v>
      </c>
      <c r="H419" s="85">
        <v>0</v>
      </c>
      <c r="I419" s="82">
        <v>0</v>
      </c>
      <c r="J419" s="85">
        <v>0</v>
      </c>
      <c r="K419" s="82">
        <v>0</v>
      </c>
      <c r="L419" s="85">
        <v>0</v>
      </c>
      <c r="M419" s="82">
        <v>0</v>
      </c>
      <c r="N419" s="85">
        <v>0</v>
      </c>
      <c r="O419" s="82">
        <v>0</v>
      </c>
      <c r="P419" s="85">
        <v>0</v>
      </c>
      <c r="Q419" s="82">
        <v>0</v>
      </c>
      <c r="R419" s="85">
        <v>0</v>
      </c>
      <c r="S419" s="82">
        <v>0</v>
      </c>
      <c r="T419" s="85">
        <v>0</v>
      </c>
      <c r="U419" s="82">
        <v>0</v>
      </c>
      <c r="V419" s="85">
        <v>0</v>
      </c>
      <c r="W419" s="82">
        <v>0</v>
      </c>
      <c r="X419" s="85">
        <v>0</v>
      </c>
      <c r="Y419" s="82">
        <v>0</v>
      </c>
      <c r="Z419" s="85">
        <v>0</v>
      </c>
      <c r="AA419" s="82">
        <v>0</v>
      </c>
      <c r="AB419" s="85">
        <v>0</v>
      </c>
      <c r="AC419" s="238">
        <f t="shared" si="195"/>
        <v>0</v>
      </c>
      <c r="AD419" s="238"/>
      <c r="AE419" s="238"/>
    </row>
    <row r="420" spans="2:31" x14ac:dyDescent="0.3">
      <c r="B420" s="245" t="s">
        <v>28</v>
      </c>
      <c r="C420" s="245"/>
      <c r="D420" s="245"/>
      <c r="E420" s="82">
        <v>0</v>
      </c>
      <c r="F420" s="85">
        <v>0</v>
      </c>
      <c r="G420" s="82">
        <v>0</v>
      </c>
      <c r="H420" s="85">
        <v>0</v>
      </c>
      <c r="I420" s="82">
        <v>0</v>
      </c>
      <c r="J420" s="85">
        <v>0</v>
      </c>
      <c r="K420" s="82">
        <v>0</v>
      </c>
      <c r="L420" s="85">
        <v>0</v>
      </c>
      <c r="M420" s="82">
        <v>0</v>
      </c>
      <c r="N420" s="85">
        <v>0</v>
      </c>
      <c r="O420" s="82">
        <v>0</v>
      </c>
      <c r="P420" s="85">
        <v>0</v>
      </c>
      <c r="Q420" s="82">
        <v>0</v>
      </c>
      <c r="R420" s="85">
        <v>0</v>
      </c>
      <c r="S420" s="82">
        <v>0</v>
      </c>
      <c r="T420" s="85">
        <v>0</v>
      </c>
      <c r="U420" s="82">
        <v>0</v>
      </c>
      <c r="V420" s="85">
        <v>0</v>
      </c>
      <c r="W420" s="82">
        <v>0</v>
      </c>
      <c r="X420" s="85">
        <v>0</v>
      </c>
      <c r="Y420" s="82">
        <v>0</v>
      </c>
      <c r="Z420" s="85">
        <v>0</v>
      </c>
      <c r="AA420" s="82">
        <v>0</v>
      </c>
      <c r="AB420" s="85">
        <v>0</v>
      </c>
      <c r="AC420" s="238">
        <f t="shared" si="195"/>
        <v>0</v>
      </c>
      <c r="AD420" s="238"/>
      <c r="AE420" s="238"/>
    </row>
    <row r="421" spans="2:31" x14ac:dyDescent="0.3">
      <c r="B421" s="245" t="s">
        <v>92</v>
      </c>
      <c r="C421" s="245"/>
      <c r="D421" s="245"/>
      <c r="E421" s="82">
        <v>0</v>
      </c>
      <c r="F421" s="85">
        <v>0</v>
      </c>
      <c r="G421" s="82">
        <v>0</v>
      </c>
      <c r="H421" s="85">
        <v>0</v>
      </c>
      <c r="I421" s="82">
        <v>0</v>
      </c>
      <c r="J421" s="85">
        <v>0</v>
      </c>
      <c r="K421" s="82">
        <v>0</v>
      </c>
      <c r="L421" s="85">
        <v>0</v>
      </c>
      <c r="M421" s="82">
        <v>0</v>
      </c>
      <c r="N421" s="85">
        <v>0</v>
      </c>
      <c r="O421" s="82">
        <v>0</v>
      </c>
      <c r="P421" s="85">
        <v>0</v>
      </c>
      <c r="Q421" s="82">
        <v>0</v>
      </c>
      <c r="R421" s="85">
        <v>0</v>
      </c>
      <c r="S421" s="82">
        <v>0</v>
      </c>
      <c r="T421" s="85">
        <v>0</v>
      </c>
      <c r="U421" s="82">
        <v>0</v>
      </c>
      <c r="V421" s="85">
        <v>0</v>
      </c>
      <c r="W421" s="82">
        <v>0</v>
      </c>
      <c r="X421" s="85">
        <v>0</v>
      </c>
      <c r="Y421" s="82">
        <v>0</v>
      </c>
      <c r="Z421" s="85">
        <v>0</v>
      </c>
      <c r="AA421" s="82">
        <v>0</v>
      </c>
      <c r="AB421" s="85">
        <v>0</v>
      </c>
      <c r="AC421" s="238">
        <f t="shared" si="195"/>
        <v>0</v>
      </c>
      <c r="AD421" s="238"/>
      <c r="AE421" s="238"/>
    </row>
    <row r="422" spans="2:31" x14ac:dyDescent="0.3">
      <c r="B422" s="245" t="s">
        <v>29</v>
      </c>
      <c r="C422" s="245"/>
      <c r="D422" s="245"/>
      <c r="E422" s="82">
        <v>0</v>
      </c>
      <c r="F422" s="85">
        <v>0</v>
      </c>
      <c r="G422" s="82">
        <v>0</v>
      </c>
      <c r="H422" s="85">
        <v>0</v>
      </c>
      <c r="I422" s="82">
        <v>0</v>
      </c>
      <c r="J422" s="85">
        <v>0</v>
      </c>
      <c r="K422" s="82">
        <v>0</v>
      </c>
      <c r="L422" s="85">
        <v>0</v>
      </c>
      <c r="M422" s="82">
        <v>0</v>
      </c>
      <c r="N422" s="85">
        <v>0</v>
      </c>
      <c r="O422" s="82">
        <v>0</v>
      </c>
      <c r="P422" s="85">
        <v>0</v>
      </c>
      <c r="Q422" s="82">
        <v>0</v>
      </c>
      <c r="R422" s="85">
        <v>0</v>
      </c>
      <c r="S422" s="82">
        <v>0</v>
      </c>
      <c r="T422" s="85">
        <v>0</v>
      </c>
      <c r="U422" s="82">
        <v>0</v>
      </c>
      <c r="V422" s="85">
        <v>0</v>
      </c>
      <c r="W422" s="82">
        <v>0</v>
      </c>
      <c r="X422" s="85">
        <v>0</v>
      </c>
      <c r="Y422" s="82">
        <v>0</v>
      </c>
      <c r="Z422" s="85">
        <v>0</v>
      </c>
      <c r="AA422" s="82">
        <v>0</v>
      </c>
      <c r="AB422" s="85">
        <v>0</v>
      </c>
      <c r="AC422" s="238">
        <f t="shared" si="195"/>
        <v>0</v>
      </c>
      <c r="AD422" s="238"/>
      <c r="AE422" s="238"/>
    </row>
    <row r="423" spans="2:31" x14ac:dyDescent="0.3">
      <c r="B423" s="245" t="s">
        <v>30</v>
      </c>
      <c r="C423" s="245"/>
      <c r="D423" s="245"/>
      <c r="E423" s="82">
        <v>0</v>
      </c>
      <c r="F423" s="85">
        <v>0</v>
      </c>
      <c r="G423" s="82">
        <v>0</v>
      </c>
      <c r="H423" s="85">
        <v>0</v>
      </c>
      <c r="I423" s="82">
        <v>0</v>
      </c>
      <c r="J423" s="85">
        <v>0</v>
      </c>
      <c r="K423" s="82">
        <v>0</v>
      </c>
      <c r="L423" s="85">
        <v>0</v>
      </c>
      <c r="M423" s="82">
        <v>0</v>
      </c>
      <c r="N423" s="85">
        <v>0</v>
      </c>
      <c r="O423" s="82">
        <v>0</v>
      </c>
      <c r="P423" s="85">
        <v>0</v>
      </c>
      <c r="Q423" s="82">
        <v>0</v>
      </c>
      <c r="R423" s="85">
        <v>0</v>
      </c>
      <c r="S423" s="82">
        <v>0</v>
      </c>
      <c r="T423" s="85">
        <v>0</v>
      </c>
      <c r="U423" s="82">
        <v>0</v>
      </c>
      <c r="V423" s="85">
        <v>0</v>
      </c>
      <c r="W423" s="82">
        <v>0</v>
      </c>
      <c r="X423" s="85">
        <v>0</v>
      </c>
      <c r="Y423" s="82">
        <v>0</v>
      </c>
      <c r="Z423" s="85">
        <v>0</v>
      </c>
      <c r="AA423" s="82">
        <v>0</v>
      </c>
      <c r="AB423" s="85">
        <v>0</v>
      </c>
      <c r="AC423" s="238">
        <f t="shared" si="195"/>
        <v>0</v>
      </c>
      <c r="AD423" s="238"/>
      <c r="AE423" s="238"/>
    </row>
    <row r="424" spans="2:31" x14ac:dyDescent="0.3">
      <c r="B424" s="245" t="s">
        <v>31</v>
      </c>
      <c r="C424" s="245"/>
      <c r="D424" s="245"/>
      <c r="E424" s="82">
        <v>0</v>
      </c>
      <c r="F424" s="85">
        <v>0</v>
      </c>
      <c r="G424" s="82">
        <v>0</v>
      </c>
      <c r="H424" s="85">
        <v>0</v>
      </c>
      <c r="I424" s="82">
        <v>0</v>
      </c>
      <c r="J424" s="85">
        <v>0</v>
      </c>
      <c r="K424" s="82">
        <v>0</v>
      </c>
      <c r="L424" s="85">
        <v>0</v>
      </c>
      <c r="M424" s="82">
        <v>0</v>
      </c>
      <c r="N424" s="85">
        <v>0</v>
      </c>
      <c r="O424" s="82">
        <v>0</v>
      </c>
      <c r="P424" s="85">
        <v>0</v>
      </c>
      <c r="Q424" s="82">
        <v>0</v>
      </c>
      <c r="R424" s="85">
        <v>0</v>
      </c>
      <c r="S424" s="82">
        <v>0</v>
      </c>
      <c r="T424" s="85">
        <v>0</v>
      </c>
      <c r="U424" s="82">
        <v>0</v>
      </c>
      <c r="V424" s="85">
        <v>0</v>
      </c>
      <c r="W424" s="82">
        <v>0</v>
      </c>
      <c r="X424" s="85">
        <v>0</v>
      </c>
      <c r="Y424" s="82">
        <v>0</v>
      </c>
      <c r="Z424" s="85">
        <v>0</v>
      </c>
      <c r="AA424" s="82">
        <v>0</v>
      </c>
      <c r="AB424" s="85">
        <v>0</v>
      </c>
      <c r="AC424" s="238">
        <f t="shared" si="195"/>
        <v>0</v>
      </c>
      <c r="AD424" s="238"/>
      <c r="AE424" s="238"/>
    </row>
    <row r="425" spans="2:31" x14ac:dyDescent="0.3">
      <c r="B425" s="245" t="s">
        <v>32</v>
      </c>
      <c r="C425" s="245"/>
      <c r="D425" s="245"/>
      <c r="E425" s="82">
        <v>0</v>
      </c>
      <c r="F425" s="85">
        <v>0</v>
      </c>
      <c r="G425" s="82">
        <v>0</v>
      </c>
      <c r="H425" s="85">
        <v>0</v>
      </c>
      <c r="I425" s="82">
        <v>0</v>
      </c>
      <c r="J425" s="85">
        <v>0</v>
      </c>
      <c r="K425" s="82">
        <v>0</v>
      </c>
      <c r="L425" s="85">
        <v>0</v>
      </c>
      <c r="M425" s="82">
        <v>0</v>
      </c>
      <c r="N425" s="85">
        <v>0</v>
      </c>
      <c r="O425" s="82">
        <v>0</v>
      </c>
      <c r="P425" s="85">
        <v>0</v>
      </c>
      <c r="Q425" s="82">
        <v>0</v>
      </c>
      <c r="R425" s="85">
        <v>0</v>
      </c>
      <c r="S425" s="82">
        <v>0</v>
      </c>
      <c r="T425" s="85">
        <v>0</v>
      </c>
      <c r="U425" s="82">
        <v>0</v>
      </c>
      <c r="V425" s="85">
        <v>0</v>
      </c>
      <c r="W425" s="82">
        <v>0</v>
      </c>
      <c r="X425" s="85">
        <v>0</v>
      </c>
      <c r="Y425" s="82">
        <v>0</v>
      </c>
      <c r="Z425" s="85">
        <v>0</v>
      </c>
      <c r="AA425" s="82">
        <v>0</v>
      </c>
      <c r="AB425" s="85">
        <v>0</v>
      </c>
      <c r="AC425" s="238">
        <f t="shared" si="195"/>
        <v>0</v>
      </c>
      <c r="AD425" s="238"/>
      <c r="AE425" s="238"/>
    </row>
    <row r="426" spans="2:31" x14ac:dyDescent="0.3">
      <c r="B426" s="245" t="s">
        <v>33</v>
      </c>
      <c r="C426" s="245"/>
      <c r="D426" s="245"/>
      <c r="E426" s="82">
        <v>0</v>
      </c>
      <c r="F426" s="85">
        <v>0</v>
      </c>
      <c r="G426" s="82">
        <v>0</v>
      </c>
      <c r="H426" s="85">
        <v>0</v>
      </c>
      <c r="I426" s="82">
        <v>0</v>
      </c>
      <c r="J426" s="85">
        <v>0</v>
      </c>
      <c r="K426" s="82">
        <v>0</v>
      </c>
      <c r="L426" s="85">
        <v>0</v>
      </c>
      <c r="M426" s="82">
        <v>0</v>
      </c>
      <c r="N426" s="85">
        <v>0</v>
      </c>
      <c r="O426" s="82">
        <v>0</v>
      </c>
      <c r="P426" s="85">
        <v>0</v>
      </c>
      <c r="Q426" s="82">
        <v>0</v>
      </c>
      <c r="R426" s="85">
        <v>0</v>
      </c>
      <c r="S426" s="82">
        <v>0</v>
      </c>
      <c r="T426" s="85">
        <v>0</v>
      </c>
      <c r="U426" s="82">
        <v>0</v>
      </c>
      <c r="V426" s="85">
        <v>0</v>
      </c>
      <c r="W426" s="82">
        <v>0</v>
      </c>
      <c r="X426" s="85">
        <v>0</v>
      </c>
      <c r="Y426" s="82">
        <v>0</v>
      </c>
      <c r="Z426" s="85">
        <v>0</v>
      </c>
      <c r="AA426" s="82">
        <v>0</v>
      </c>
      <c r="AB426" s="85">
        <v>0</v>
      </c>
      <c r="AC426" s="238">
        <f t="shared" si="195"/>
        <v>0</v>
      </c>
      <c r="AD426" s="238"/>
      <c r="AE426" s="238"/>
    </row>
    <row r="427" spans="2:31" x14ac:dyDescent="0.3">
      <c r="B427" s="245" t="s">
        <v>34</v>
      </c>
      <c r="C427" s="245"/>
      <c r="D427" s="245"/>
      <c r="E427" s="82">
        <v>0</v>
      </c>
      <c r="F427" s="85">
        <v>0</v>
      </c>
      <c r="G427" s="82">
        <v>0</v>
      </c>
      <c r="H427" s="85">
        <v>0</v>
      </c>
      <c r="I427" s="82">
        <v>0</v>
      </c>
      <c r="J427" s="85">
        <v>0</v>
      </c>
      <c r="K427" s="82">
        <v>0</v>
      </c>
      <c r="L427" s="85">
        <v>0</v>
      </c>
      <c r="M427" s="82">
        <v>0</v>
      </c>
      <c r="N427" s="85">
        <v>0</v>
      </c>
      <c r="O427" s="82">
        <v>0</v>
      </c>
      <c r="P427" s="85">
        <v>0</v>
      </c>
      <c r="Q427" s="82">
        <v>0</v>
      </c>
      <c r="R427" s="85">
        <v>0</v>
      </c>
      <c r="S427" s="82">
        <v>0</v>
      </c>
      <c r="T427" s="85">
        <v>0</v>
      </c>
      <c r="U427" s="82">
        <v>0</v>
      </c>
      <c r="V427" s="85">
        <v>0</v>
      </c>
      <c r="W427" s="82">
        <v>0</v>
      </c>
      <c r="X427" s="85">
        <v>0</v>
      </c>
      <c r="Y427" s="82">
        <v>0</v>
      </c>
      <c r="Z427" s="85">
        <v>0</v>
      </c>
      <c r="AA427" s="82">
        <v>0</v>
      </c>
      <c r="AB427" s="85">
        <v>0</v>
      </c>
      <c r="AC427" s="238">
        <f t="shared" si="195"/>
        <v>0</v>
      </c>
      <c r="AD427" s="238"/>
      <c r="AE427" s="238"/>
    </row>
    <row r="428" spans="2:31" x14ac:dyDescent="0.3">
      <c r="B428" s="245" t="s">
        <v>35</v>
      </c>
      <c r="C428" s="245"/>
      <c r="D428" s="245"/>
      <c r="E428" s="82">
        <v>0</v>
      </c>
      <c r="F428" s="85">
        <v>0</v>
      </c>
      <c r="G428" s="82">
        <v>0</v>
      </c>
      <c r="H428" s="85">
        <v>0</v>
      </c>
      <c r="I428" s="82">
        <v>0</v>
      </c>
      <c r="J428" s="85">
        <v>0</v>
      </c>
      <c r="K428" s="82">
        <v>0</v>
      </c>
      <c r="L428" s="85">
        <v>0</v>
      </c>
      <c r="M428" s="82">
        <v>0</v>
      </c>
      <c r="N428" s="85">
        <v>0</v>
      </c>
      <c r="O428" s="82">
        <v>0</v>
      </c>
      <c r="P428" s="85">
        <v>0</v>
      </c>
      <c r="Q428" s="82">
        <v>0</v>
      </c>
      <c r="R428" s="85">
        <v>0</v>
      </c>
      <c r="S428" s="82">
        <v>0</v>
      </c>
      <c r="T428" s="85">
        <v>0</v>
      </c>
      <c r="U428" s="82">
        <v>0</v>
      </c>
      <c r="V428" s="85">
        <v>0</v>
      </c>
      <c r="W428" s="82">
        <v>0</v>
      </c>
      <c r="X428" s="85">
        <v>0</v>
      </c>
      <c r="Y428" s="82">
        <v>0</v>
      </c>
      <c r="Z428" s="85">
        <v>0</v>
      </c>
      <c r="AA428" s="82">
        <v>0</v>
      </c>
      <c r="AB428" s="85">
        <v>0</v>
      </c>
      <c r="AC428" s="238">
        <f t="shared" si="195"/>
        <v>0</v>
      </c>
      <c r="AD428" s="238"/>
      <c r="AE428" s="238"/>
    </row>
    <row r="429" spans="2:31" x14ac:dyDescent="0.3">
      <c r="B429" s="245" t="s">
        <v>36</v>
      </c>
      <c r="C429" s="245"/>
      <c r="D429" s="245"/>
      <c r="E429" s="82">
        <v>0</v>
      </c>
      <c r="F429" s="85">
        <v>0</v>
      </c>
      <c r="G429" s="82">
        <v>0</v>
      </c>
      <c r="H429" s="85">
        <v>0</v>
      </c>
      <c r="I429" s="82">
        <v>0</v>
      </c>
      <c r="J429" s="85">
        <v>0</v>
      </c>
      <c r="K429" s="82">
        <v>0</v>
      </c>
      <c r="L429" s="85">
        <v>0</v>
      </c>
      <c r="M429" s="82">
        <v>0</v>
      </c>
      <c r="N429" s="85">
        <v>0</v>
      </c>
      <c r="O429" s="82">
        <v>0</v>
      </c>
      <c r="P429" s="85">
        <v>0</v>
      </c>
      <c r="Q429" s="82">
        <v>0</v>
      </c>
      <c r="R429" s="85">
        <v>0</v>
      </c>
      <c r="S429" s="82">
        <v>0</v>
      </c>
      <c r="T429" s="85">
        <v>0</v>
      </c>
      <c r="U429" s="82">
        <v>0</v>
      </c>
      <c r="V429" s="85">
        <v>0</v>
      </c>
      <c r="W429" s="82">
        <v>0</v>
      </c>
      <c r="X429" s="85">
        <v>0</v>
      </c>
      <c r="Y429" s="82">
        <v>0</v>
      </c>
      <c r="Z429" s="85">
        <v>0</v>
      </c>
      <c r="AA429" s="82">
        <v>0</v>
      </c>
      <c r="AB429" s="85">
        <v>0</v>
      </c>
      <c r="AC429" s="238">
        <f t="shared" si="195"/>
        <v>0</v>
      </c>
      <c r="AD429" s="238"/>
      <c r="AE429" s="238"/>
    </row>
    <row r="430" spans="2:31" x14ac:dyDescent="0.3">
      <c r="B430" s="13" t="s">
        <v>89</v>
      </c>
      <c r="C430" s="13"/>
      <c r="D430" s="13"/>
      <c r="E430" s="82">
        <v>0</v>
      </c>
      <c r="F430" s="85">
        <v>0</v>
      </c>
      <c r="G430" s="82">
        <v>0</v>
      </c>
      <c r="H430" s="85">
        <v>0</v>
      </c>
      <c r="I430" s="82">
        <v>0</v>
      </c>
      <c r="J430" s="85">
        <v>0</v>
      </c>
      <c r="K430" s="82">
        <v>0</v>
      </c>
      <c r="L430" s="85">
        <v>0</v>
      </c>
      <c r="M430" s="82">
        <v>0</v>
      </c>
      <c r="N430" s="85">
        <v>0</v>
      </c>
      <c r="O430" s="82">
        <v>0</v>
      </c>
      <c r="P430" s="85">
        <v>0</v>
      </c>
      <c r="Q430" s="82">
        <v>0</v>
      </c>
      <c r="R430" s="85">
        <v>0</v>
      </c>
      <c r="S430" s="82">
        <v>0</v>
      </c>
      <c r="T430" s="85">
        <v>0</v>
      </c>
      <c r="U430" s="82">
        <v>0</v>
      </c>
      <c r="V430" s="85">
        <v>0</v>
      </c>
      <c r="W430" s="82">
        <v>0</v>
      </c>
      <c r="X430" s="85">
        <v>0</v>
      </c>
      <c r="Y430" s="82">
        <v>0</v>
      </c>
      <c r="Z430" s="85">
        <v>0</v>
      </c>
      <c r="AA430" s="82">
        <v>0</v>
      </c>
      <c r="AB430" s="85">
        <v>0</v>
      </c>
      <c r="AC430" s="238">
        <f t="shared" si="195"/>
        <v>0</v>
      </c>
      <c r="AD430" s="238"/>
      <c r="AE430" s="238"/>
    </row>
    <row r="431" spans="2:31" x14ac:dyDescent="0.3">
      <c r="B431" s="13" t="s">
        <v>90</v>
      </c>
      <c r="C431" s="13"/>
      <c r="D431" s="13"/>
      <c r="E431" s="82">
        <v>0</v>
      </c>
      <c r="F431" s="85">
        <v>0</v>
      </c>
      <c r="G431" s="82">
        <v>0</v>
      </c>
      <c r="H431" s="85">
        <v>0</v>
      </c>
      <c r="I431" s="82">
        <v>0</v>
      </c>
      <c r="J431" s="85">
        <v>0</v>
      </c>
      <c r="K431" s="82">
        <v>0</v>
      </c>
      <c r="L431" s="85">
        <v>0</v>
      </c>
      <c r="M431" s="82">
        <v>0</v>
      </c>
      <c r="N431" s="85">
        <v>0</v>
      </c>
      <c r="O431" s="82">
        <v>0</v>
      </c>
      <c r="P431" s="85">
        <v>0</v>
      </c>
      <c r="Q431" s="82">
        <v>0</v>
      </c>
      <c r="R431" s="85">
        <v>0</v>
      </c>
      <c r="S431" s="82">
        <v>0</v>
      </c>
      <c r="T431" s="85">
        <v>0</v>
      </c>
      <c r="U431" s="82">
        <v>0</v>
      </c>
      <c r="V431" s="85">
        <v>0</v>
      </c>
      <c r="W431" s="82">
        <v>0</v>
      </c>
      <c r="X431" s="85">
        <v>0</v>
      </c>
      <c r="Y431" s="82">
        <v>0</v>
      </c>
      <c r="Z431" s="85">
        <v>0</v>
      </c>
      <c r="AA431" s="82">
        <v>0</v>
      </c>
      <c r="AB431" s="85">
        <v>0</v>
      </c>
      <c r="AC431" s="238">
        <f t="shared" si="195"/>
        <v>0</v>
      </c>
      <c r="AD431" s="238"/>
      <c r="AE431" s="238"/>
    </row>
    <row r="432" spans="2:31" x14ac:dyDescent="0.3">
      <c r="B432" s="14" t="s">
        <v>2</v>
      </c>
      <c r="C432" s="14"/>
      <c r="D432" s="14"/>
      <c r="E432" s="15">
        <f>SUM(E395:E431)</f>
        <v>0</v>
      </c>
      <c r="F432" s="15">
        <f t="shared" ref="F432" si="196">SUM(F395:F431)</f>
        <v>0</v>
      </c>
      <c r="G432" s="15">
        <f t="shared" ref="G432" si="197">SUM(G395:G431)</f>
        <v>0</v>
      </c>
      <c r="H432" s="15">
        <f t="shared" ref="H432" si="198">SUM(H395:H431)</f>
        <v>0</v>
      </c>
      <c r="I432" s="15">
        <f t="shared" ref="I432" si="199">SUM(I395:I431)</f>
        <v>0</v>
      </c>
      <c r="J432" s="15">
        <f t="shared" ref="J432" si="200">SUM(J395:J431)</f>
        <v>0</v>
      </c>
      <c r="K432" s="15">
        <f t="shared" ref="K432" si="201">SUM(K395:K431)</f>
        <v>0</v>
      </c>
      <c r="L432" s="15">
        <f t="shared" ref="L432" si="202">SUM(L395:L431)</f>
        <v>0</v>
      </c>
      <c r="M432" s="15">
        <f t="shared" ref="M432" si="203">SUM(M395:M431)</f>
        <v>0</v>
      </c>
      <c r="N432" s="15">
        <f t="shared" ref="N432" si="204">SUM(N395:N431)</f>
        <v>0</v>
      </c>
      <c r="O432" s="15">
        <f t="shared" ref="O432" si="205">SUM(O395:O431)</f>
        <v>1.6651666666666651</v>
      </c>
      <c r="P432" s="15">
        <f t="shared" ref="P432" si="206">SUM(P395:P431)</f>
        <v>5.6591666666666658</v>
      </c>
      <c r="Q432" s="15">
        <f t="shared" ref="Q432" si="207">SUM(Q395:Q431)</f>
        <v>8.1599999999999966</v>
      </c>
      <c r="R432" s="15">
        <f t="shared" ref="R432" si="208">SUM(R395:R431)</f>
        <v>2.5736666666666665</v>
      </c>
      <c r="S432" s="15">
        <f t="shared" ref="S432" si="209">SUM(S395:S431)</f>
        <v>0</v>
      </c>
      <c r="T432" s="15">
        <f t="shared" ref="T432" si="210">SUM(T395:T431)</f>
        <v>0</v>
      </c>
      <c r="U432" s="15">
        <f t="shared" ref="U432" si="211">SUM(U395:U431)</f>
        <v>0</v>
      </c>
      <c r="V432" s="15">
        <f t="shared" ref="V432" si="212">SUM(V395:V431)</f>
        <v>0</v>
      </c>
      <c r="W432" s="15">
        <f t="shared" ref="W432" si="213">SUM(W395:W431)</f>
        <v>0</v>
      </c>
      <c r="X432" s="15">
        <f t="shared" ref="X432" si="214">SUM(X395:X431)</f>
        <v>2.1120000000000014</v>
      </c>
      <c r="Y432" s="15">
        <f t="shared" ref="Y432" si="215">SUM(Y395:Y431)</f>
        <v>0</v>
      </c>
      <c r="Z432" s="15">
        <f t="shared" ref="Z432" si="216">SUM(Z395:Z431)</f>
        <v>0</v>
      </c>
      <c r="AA432" s="15">
        <f t="shared" ref="AA432" si="217">SUM(AA395:AA431)</f>
        <v>0</v>
      </c>
      <c r="AB432" s="15">
        <f t="shared" ref="AB432" si="218">SUM(AB395:AB431)</f>
        <v>0</v>
      </c>
      <c r="AC432" s="249">
        <f>SUM(AC395:AE431)</f>
        <v>20.169999999999995</v>
      </c>
      <c r="AD432" s="249"/>
      <c r="AE432" s="249"/>
    </row>
    <row r="435" spans="2:31" x14ac:dyDescent="0.3">
      <c r="B435" s="8">
        <f>'Resumen-Mensual'!$O$22</f>
        <v>44572</v>
      </c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4"/>
      <c r="AD435" s="4"/>
      <c r="AE435" s="4"/>
    </row>
    <row r="436" spans="2:31" x14ac:dyDescent="0.3">
      <c r="B436" s="8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4"/>
      <c r="AD436" s="4"/>
      <c r="AE436" s="4"/>
    </row>
    <row r="437" spans="2:31" x14ac:dyDescent="0.3">
      <c r="B437" s="9" t="s">
        <v>81</v>
      </c>
      <c r="C437" s="10"/>
      <c r="D437" s="10"/>
      <c r="E437" s="11">
        <v>1</v>
      </c>
      <c r="F437" s="11">
        <v>2</v>
      </c>
      <c r="G437" s="11">
        <v>3</v>
      </c>
      <c r="H437" s="11">
        <v>4</v>
      </c>
      <c r="I437" s="11">
        <v>5</v>
      </c>
      <c r="J437" s="11">
        <v>6</v>
      </c>
      <c r="K437" s="11">
        <v>7</v>
      </c>
      <c r="L437" s="11">
        <v>8</v>
      </c>
      <c r="M437" s="11">
        <v>9</v>
      </c>
      <c r="N437" s="11">
        <v>10</v>
      </c>
      <c r="O437" s="11">
        <v>11</v>
      </c>
      <c r="P437" s="11">
        <v>12</v>
      </c>
      <c r="Q437" s="11">
        <v>13</v>
      </c>
      <c r="R437" s="11">
        <v>14</v>
      </c>
      <c r="S437" s="11">
        <v>15</v>
      </c>
      <c r="T437" s="11">
        <v>16</v>
      </c>
      <c r="U437" s="11">
        <v>17</v>
      </c>
      <c r="V437" s="11">
        <v>18</v>
      </c>
      <c r="W437" s="11">
        <v>19</v>
      </c>
      <c r="X437" s="11">
        <v>20</v>
      </c>
      <c r="Y437" s="11">
        <v>21</v>
      </c>
      <c r="Z437" s="11">
        <v>22</v>
      </c>
      <c r="AA437" s="11">
        <v>23</v>
      </c>
      <c r="AB437" s="11">
        <v>24</v>
      </c>
      <c r="AC437" s="248" t="s">
        <v>2</v>
      </c>
      <c r="AD437" s="248"/>
      <c r="AE437" s="248"/>
    </row>
    <row r="438" spans="2:31" x14ac:dyDescent="0.3">
      <c r="B438" s="245" t="s">
        <v>4</v>
      </c>
      <c r="C438" s="245"/>
      <c r="D438" s="245"/>
      <c r="E438" s="90">
        <v>0</v>
      </c>
      <c r="F438" s="91">
        <v>0</v>
      </c>
      <c r="G438" s="90">
        <v>0</v>
      </c>
      <c r="H438" s="91">
        <v>0</v>
      </c>
      <c r="I438" s="90">
        <v>0</v>
      </c>
      <c r="J438" s="91">
        <v>0</v>
      </c>
      <c r="K438" s="90">
        <v>0</v>
      </c>
      <c r="L438" s="91">
        <v>0</v>
      </c>
      <c r="M438" s="90">
        <v>0</v>
      </c>
      <c r="N438" s="91">
        <v>0</v>
      </c>
      <c r="O438" s="90">
        <v>0</v>
      </c>
      <c r="P438" s="91">
        <v>0</v>
      </c>
      <c r="Q438" s="90">
        <v>0</v>
      </c>
      <c r="R438" s="91">
        <v>26.800000000000018</v>
      </c>
      <c r="S438" s="90">
        <v>49.30000000000004</v>
      </c>
      <c r="T438" s="91">
        <v>57.900000000000063</v>
      </c>
      <c r="U438" s="90">
        <v>62.599999999999937</v>
      </c>
      <c r="V438" s="91">
        <v>2.8350000000000004</v>
      </c>
      <c r="W438" s="90">
        <v>0</v>
      </c>
      <c r="X438" s="91">
        <v>0</v>
      </c>
      <c r="Y438" s="90">
        <v>0</v>
      </c>
      <c r="Z438" s="91">
        <v>0</v>
      </c>
      <c r="AA438" s="90">
        <v>0</v>
      </c>
      <c r="AB438" s="91">
        <v>0</v>
      </c>
      <c r="AC438" s="238">
        <f>SUM(E438:AB438)</f>
        <v>199.43500000000006</v>
      </c>
      <c r="AD438" s="238"/>
      <c r="AE438" s="238"/>
    </row>
    <row r="439" spans="2:31" x14ac:dyDescent="0.3">
      <c r="B439" s="245" t="s">
        <v>5</v>
      </c>
      <c r="C439" s="245"/>
      <c r="D439" s="245"/>
      <c r="E439" s="89">
        <v>0</v>
      </c>
      <c r="F439" s="92">
        <v>0</v>
      </c>
      <c r="G439" s="89">
        <v>0</v>
      </c>
      <c r="H439" s="92">
        <v>0</v>
      </c>
      <c r="I439" s="89">
        <v>0</v>
      </c>
      <c r="J439" s="92">
        <v>0</v>
      </c>
      <c r="K439" s="89">
        <v>0</v>
      </c>
      <c r="L439" s="92">
        <v>0</v>
      </c>
      <c r="M439" s="89">
        <v>0</v>
      </c>
      <c r="N439" s="92">
        <v>0</v>
      </c>
      <c r="O439" s="89">
        <v>0</v>
      </c>
      <c r="P439" s="92">
        <v>0</v>
      </c>
      <c r="Q439" s="89">
        <v>0</v>
      </c>
      <c r="R439" s="92">
        <v>10.1555</v>
      </c>
      <c r="S439" s="89">
        <v>35.983499999999999</v>
      </c>
      <c r="T439" s="92">
        <v>45.278166666666671</v>
      </c>
      <c r="U439" s="89">
        <v>43.530833333333334</v>
      </c>
      <c r="V439" s="92">
        <v>2.4140000000000001</v>
      </c>
      <c r="W439" s="89">
        <v>0</v>
      </c>
      <c r="X439" s="92">
        <v>0</v>
      </c>
      <c r="Y439" s="89">
        <v>0</v>
      </c>
      <c r="Z439" s="92">
        <v>0</v>
      </c>
      <c r="AA439" s="89">
        <v>0</v>
      </c>
      <c r="AB439" s="92">
        <v>0</v>
      </c>
      <c r="AC439" s="238">
        <f t="shared" ref="AC439:AC474" si="219">SUM(E439:AB439)</f>
        <v>137.36199999999999</v>
      </c>
      <c r="AD439" s="238"/>
      <c r="AE439" s="238"/>
    </row>
    <row r="440" spans="2:31" x14ac:dyDescent="0.3">
      <c r="B440" s="245" t="s">
        <v>6</v>
      </c>
      <c r="C440" s="245"/>
      <c r="D440" s="245"/>
      <c r="E440" s="89">
        <v>0</v>
      </c>
      <c r="F440" s="92">
        <v>0</v>
      </c>
      <c r="G440" s="89">
        <v>0</v>
      </c>
      <c r="H440" s="92">
        <v>0</v>
      </c>
      <c r="I440" s="89">
        <v>0</v>
      </c>
      <c r="J440" s="92">
        <v>0</v>
      </c>
      <c r="K440" s="89">
        <v>0</v>
      </c>
      <c r="L440" s="92">
        <v>0</v>
      </c>
      <c r="M440" s="89">
        <v>0</v>
      </c>
      <c r="N440" s="92">
        <v>0</v>
      </c>
      <c r="O440" s="89">
        <v>0</v>
      </c>
      <c r="P440" s="92">
        <v>0</v>
      </c>
      <c r="Q440" s="89">
        <v>0</v>
      </c>
      <c r="R440" s="92">
        <v>1.9895000000000005</v>
      </c>
      <c r="S440" s="89">
        <v>7.7791666666666606</v>
      </c>
      <c r="T440" s="92">
        <v>0</v>
      </c>
      <c r="U440" s="89">
        <v>23.273833333333343</v>
      </c>
      <c r="V440" s="92">
        <v>9.5923333333333378</v>
      </c>
      <c r="W440" s="89">
        <v>0.88450000000000017</v>
      </c>
      <c r="X440" s="92">
        <v>0</v>
      </c>
      <c r="Y440" s="89">
        <v>0</v>
      </c>
      <c r="Z440" s="92">
        <v>0</v>
      </c>
      <c r="AA440" s="89">
        <v>0</v>
      </c>
      <c r="AB440" s="92">
        <v>0</v>
      </c>
      <c r="AC440" s="238">
        <f t="shared" si="219"/>
        <v>43.519333333333343</v>
      </c>
      <c r="AD440" s="238"/>
      <c r="AE440" s="238"/>
    </row>
    <row r="441" spans="2:31" x14ac:dyDescent="0.3">
      <c r="B441" s="245" t="s">
        <v>91</v>
      </c>
      <c r="C441" s="245"/>
      <c r="D441" s="245"/>
      <c r="E441" s="89">
        <v>0</v>
      </c>
      <c r="F441" s="92">
        <v>0</v>
      </c>
      <c r="G441" s="89">
        <v>0</v>
      </c>
      <c r="H441" s="92">
        <v>0</v>
      </c>
      <c r="I441" s="89">
        <v>0</v>
      </c>
      <c r="J441" s="92">
        <v>0</v>
      </c>
      <c r="K441" s="89">
        <v>0</v>
      </c>
      <c r="L441" s="92">
        <v>0</v>
      </c>
      <c r="M441" s="89">
        <v>0</v>
      </c>
      <c r="N441" s="92">
        <v>0</v>
      </c>
      <c r="O441" s="89">
        <v>0</v>
      </c>
      <c r="P441" s="92">
        <v>0</v>
      </c>
      <c r="Q441" s="89">
        <v>0</v>
      </c>
      <c r="R441" s="92">
        <v>0</v>
      </c>
      <c r="S441" s="89">
        <v>0</v>
      </c>
      <c r="T441" s="92">
        <v>0</v>
      </c>
      <c r="U441" s="89">
        <v>0</v>
      </c>
      <c r="V441" s="92">
        <v>0</v>
      </c>
      <c r="W441" s="89">
        <v>0</v>
      </c>
      <c r="X441" s="92">
        <v>0</v>
      </c>
      <c r="Y441" s="89">
        <v>0</v>
      </c>
      <c r="Z441" s="92">
        <v>0</v>
      </c>
      <c r="AA441" s="89">
        <v>0</v>
      </c>
      <c r="AB441" s="92">
        <v>0</v>
      </c>
      <c r="AC441" s="238">
        <f t="shared" si="219"/>
        <v>0</v>
      </c>
      <c r="AD441" s="238"/>
      <c r="AE441" s="238"/>
    </row>
    <row r="442" spans="2:31" x14ac:dyDescent="0.3">
      <c r="B442" s="245" t="s">
        <v>7</v>
      </c>
      <c r="C442" s="245"/>
      <c r="D442" s="245"/>
      <c r="E442" s="89">
        <v>0</v>
      </c>
      <c r="F442" s="92">
        <v>0</v>
      </c>
      <c r="G442" s="89">
        <v>0</v>
      </c>
      <c r="H442" s="92">
        <v>0</v>
      </c>
      <c r="I442" s="89">
        <v>0</v>
      </c>
      <c r="J442" s="92">
        <v>0</v>
      </c>
      <c r="K442" s="89">
        <v>0</v>
      </c>
      <c r="L442" s="92">
        <v>0</v>
      </c>
      <c r="M442" s="89">
        <v>0</v>
      </c>
      <c r="N442" s="92">
        <v>0</v>
      </c>
      <c r="O442" s="89">
        <v>0</v>
      </c>
      <c r="P442" s="92">
        <v>1.1723333333333334</v>
      </c>
      <c r="Q442" s="89">
        <v>0</v>
      </c>
      <c r="R442" s="92">
        <v>30.621500000000001</v>
      </c>
      <c r="S442" s="89">
        <v>58.930833333333347</v>
      </c>
      <c r="T442" s="92">
        <v>10.166666666666664</v>
      </c>
      <c r="U442" s="89">
        <v>1.7666666666666466E-2</v>
      </c>
      <c r="V442" s="92">
        <v>5.1166666666666076E-2</v>
      </c>
      <c r="W442" s="89">
        <v>0</v>
      </c>
      <c r="X442" s="92">
        <v>0</v>
      </c>
      <c r="Y442" s="89">
        <v>0</v>
      </c>
      <c r="Z442" s="92">
        <v>0</v>
      </c>
      <c r="AA442" s="89">
        <v>0</v>
      </c>
      <c r="AB442" s="92">
        <v>0</v>
      </c>
      <c r="AC442" s="238">
        <f t="shared" si="219"/>
        <v>100.96016666666667</v>
      </c>
      <c r="AD442" s="238"/>
      <c r="AE442" s="238"/>
    </row>
    <row r="443" spans="2:31" x14ac:dyDescent="0.3">
      <c r="B443" s="245" t="s">
        <v>8</v>
      </c>
      <c r="C443" s="245"/>
      <c r="D443" s="245"/>
      <c r="E443" s="89">
        <v>0</v>
      </c>
      <c r="F443" s="92">
        <v>0</v>
      </c>
      <c r="G443" s="89">
        <v>0</v>
      </c>
      <c r="H443" s="92">
        <v>0</v>
      </c>
      <c r="I443" s="89">
        <v>0</v>
      </c>
      <c r="J443" s="92">
        <v>0</v>
      </c>
      <c r="K443" s="89">
        <v>0</v>
      </c>
      <c r="L443" s="92">
        <v>0</v>
      </c>
      <c r="M443" s="89">
        <v>0</v>
      </c>
      <c r="N443" s="92">
        <v>0</v>
      </c>
      <c r="O443" s="89">
        <v>0</v>
      </c>
      <c r="P443" s="92">
        <v>0</v>
      </c>
      <c r="Q443" s="89">
        <v>0</v>
      </c>
      <c r="R443" s="92">
        <v>0</v>
      </c>
      <c r="S443" s="89">
        <v>9.2324999999999964</v>
      </c>
      <c r="T443" s="92">
        <v>19.130000000000003</v>
      </c>
      <c r="U443" s="89">
        <v>0.356333333333333</v>
      </c>
      <c r="V443" s="92">
        <v>3.7628333333333344</v>
      </c>
      <c r="W443" s="89">
        <v>0</v>
      </c>
      <c r="X443" s="92">
        <v>0</v>
      </c>
      <c r="Y443" s="89">
        <v>0</v>
      </c>
      <c r="Z443" s="92">
        <v>0</v>
      </c>
      <c r="AA443" s="89">
        <v>0</v>
      </c>
      <c r="AB443" s="92">
        <v>0</v>
      </c>
      <c r="AC443" s="238">
        <f t="shared" si="219"/>
        <v>32.481666666666662</v>
      </c>
      <c r="AD443" s="238"/>
      <c r="AE443" s="238"/>
    </row>
    <row r="444" spans="2:31" x14ac:dyDescent="0.3">
      <c r="B444" s="245" t="s">
        <v>9</v>
      </c>
      <c r="C444" s="245"/>
      <c r="D444" s="245"/>
      <c r="E444" s="89">
        <v>0</v>
      </c>
      <c r="F444" s="92">
        <v>0</v>
      </c>
      <c r="G444" s="89">
        <v>0</v>
      </c>
      <c r="H444" s="92">
        <v>0</v>
      </c>
      <c r="I444" s="89">
        <v>0</v>
      </c>
      <c r="J444" s="92">
        <v>0</v>
      </c>
      <c r="K444" s="89">
        <v>0</v>
      </c>
      <c r="L444" s="92">
        <v>0</v>
      </c>
      <c r="M444" s="89">
        <v>0</v>
      </c>
      <c r="N444" s="92">
        <v>0</v>
      </c>
      <c r="O444" s="89">
        <v>0</v>
      </c>
      <c r="P444" s="92">
        <v>0</v>
      </c>
      <c r="Q444" s="89">
        <v>0</v>
      </c>
      <c r="R444" s="92">
        <v>14.533333333333324</v>
      </c>
      <c r="S444" s="89">
        <v>31.200000000000031</v>
      </c>
      <c r="T444" s="92">
        <v>43.5</v>
      </c>
      <c r="U444" s="89">
        <v>54.699999999999953</v>
      </c>
      <c r="V444" s="92">
        <v>3.2350000000000003</v>
      </c>
      <c r="W444" s="89">
        <v>0</v>
      </c>
      <c r="X444" s="92">
        <v>0</v>
      </c>
      <c r="Y444" s="89">
        <v>0</v>
      </c>
      <c r="Z444" s="92">
        <v>0</v>
      </c>
      <c r="AA444" s="89">
        <v>0</v>
      </c>
      <c r="AB444" s="92">
        <v>0</v>
      </c>
      <c r="AC444" s="238">
        <f t="shared" si="219"/>
        <v>147.16833333333332</v>
      </c>
      <c r="AD444" s="238"/>
      <c r="AE444" s="238"/>
    </row>
    <row r="445" spans="2:31" x14ac:dyDescent="0.3">
      <c r="B445" s="245" t="s">
        <v>10</v>
      </c>
      <c r="C445" s="245"/>
      <c r="D445" s="245"/>
      <c r="E445" s="89">
        <v>0</v>
      </c>
      <c r="F445" s="92">
        <v>0</v>
      </c>
      <c r="G445" s="89">
        <v>0</v>
      </c>
      <c r="H445" s="92">
        <v>0</v>
      </c>
      <c r="I445" s="89">
        <v>0</v>
      </c>
      <c r="J445" s="92">
        <v>0</v>
      </c>
      <c r="K445" s="89">
        <v>0</v>
      </c>
      <c r="L445" s="92">
        <v>0</v>
      </c>
      <c r="M445" s="89">
        <v>0</v>
      </c>
      <c r="N445" s="92">
        <v>0</v>
      </c>
      <c r="O445" s="89">
        <v>0</v>
      </c>
      <c r="P445" s="92">
        <v>0</v>
      </c>
      <c r="Q445" s="89">
        <v>0</v>
      </c>
      <c r="R445" s="92">
        <v>0</v>
      </c>
      <c r="S445" s="89">
        <v>0</v>
      </c>
      <c r="T445" s="92">
        <v>2.798333333333332</v>
      </c>
      <c r="U445" s="89">
        <v>5.0413333333333332</v>
      </c>
      <c r="V445" s="92">
        <v>0</v>
      </c>
      <c r="W445" s="89">
        <v>0</v>
      </c>
      <c r="X445" s="92">
        <v>0</v>
      </c>
      <c r="Y445" s="89">
        <v>0</v>
      </c>
      <c r="Z445" s="92">
        <v>0</v>
      </c>
      <c r="AA445" s="89">
        <v>0</v>
      </c>
      <c r="AB445" s="92">
        <v>0</v>
      </c>
      <c r="AC445" s="238">
        <f t="shared" si="219"/>
        <v>7.8396666666666652</v>
      </c>
      <c r="AD445" s="238"/>
      <c r="AE445" s="238"/>
    </row>
    <row r="446" spans="2:31" x14ac:dyDescent="0.3">
      <c r="B446" s="245" t="s">
        <v>11</v>
      </c>
      <c r="C446" s="245"/>
      <c r="D446" s="245"/>
      <c r="E446" s="89">
        <v>0</v>
      </c>
      <c r="F446" s="92">
        <v>0</v>
      </c>
      <c r="G446" s="89">
        <v>0</v>
      </c>
      <c r="H446" s="92">
        <v>0</v>
      </c>
      <c r="I446" s="89">
        <v>0</v>
      </c>
      <c r="J446" s="92">
        <v>0</v>
      </c>
      <c r="K446" s="89">
        <v>0</v>
      </c>
      <c r="L446" s="92">
        <v>0</v>
      </c>
      <c r="M446" s="89">
        <v>0</v>
      </c>
      <c r="N446" s="92">
        <v>0</v>
      </c>
      <c r="O446" s="89">
        <v>0</v>
      </c>
      <c r="P446" s="92">
        <v>0</v>
      </c>
      <c r="Q446" s="89">
        <v>0</v>
      </c>
      <c r="R446" s="92">
        <v>0</v>
      </c>
      <c r="S446" s="89">
        <v>0</v>
      </c>
      <c r="T446" s="92">
        <v>8.4205000000000059</v>
      </c>
      <c r="U446" s="89">
        <v>9.1603333333333339</v>
      </c>
      <c r="V446" s="92">
        <v>0</v>
      </c>
      <c r="W446" s="89">
        <v>0</v>
      </c>
      <c r="X446" s="92">
        <v>0</v>
      </c>
      <c r="Y446" s="89">
        <v>0</v>
      </c>
      <c r="Z446" s="92">
        <v>0</v>
      </c>
      <c r="AA446" s="89">
        <v>0</v>
      </c>
      <c r="AB446" s="92">
        <v>0</v>
      </c>
      <c r="AC446" s="238">
        <f t="shared" si="219"/>
        <v>17.580833333333338</v>
      </c>
      <c r="AD446" s="238"/>
      <c r="AE446" s="238"/>
    </row>
    <row r="447" spans="2:31" x14ac:dyDescent="0.3">
      <c r="B447" s="245" t="s">
        <v>12</v>
      </c>
      <c r="C447" s="245"/>
      <c r="D447" s="245"/>
      <c r="E447" s="89">
        <v>0</v>
      </c>
      <c r="F447" s="92">
        <v>0</v>
      </c>
      <c r="G447" s="89">
        <v>0</v>
      </c>
      <c r="H447" s="92">
        <v>0</v>
      </c>
      <c r="I447" s="89">
        <v>0</v>
      </c>
      <c r="J447" s="92">
        <v>0</v>
      </c>
      <c r="K447" s="89">
        <v>0</v>
      </c>
      <c r="L447" s="92">
        <v>0</v>
      </c>
      <c r="M447" s="89">
        <v>0</v>
      </c>
      <c r="N447" s="92">
        <v>0</v>
      </c>
      <c r="O447" s="89">
        <v>0</v>
      </c>
      <c r="P447" s="92">
        <v>0</v>
      </c>
      <c r="Q447" s="89">
        <v>0</v>
      </c>
      <c r="R447" s="92">
        <v>0.31816666666666665</v>
      </c>
      <c r="S447" s="89">
        <v>17.532833333333329</v>
      </c>
      <c r="T447" s="92">
        <v>34.355666666666671</v>
      </c>
      <c r="U447" s="89">
        <v>38.04399999999999</v>
      </c>
      <c r="V447" s="92">
        <v>1.6568333333333334</v>
      </c>
      <c r="W447" s="89">
        <v>0</v>
      </c>
      <c r="X447" s="92">
        <v>0</v>
      </c>
      <c r="Y447" s="89">
        <v>0</v>
      </c>
      <c r="Z447" s="92">
        <v>0</v>
      </c>
      <c r="AA447" s="89">
        <v>0</v>
      </c>
      <c r="AB447" s="92">
        <v>0</v>
      </c>
      <c r="AC447" s="238">
        <f t="shared" si="219"/>
        <v>91.907499999999999</v>
      </c>
      <c r="AD447" s="238"/>
      <c r="AE447" s="238"/>
    </row>
    <row r="448" spans="2:31" x14ac:dyDescent="0.3">
      <c r="B448" s="245" t="s">
        <v>13</v>
      </c>
      <c r="C448" s="245"/>
      <c r="D448" s="245"/>
      <c r="E448" s="89">
        <v>0</v>
      </c>
      <c r="F448" s="92">
        <v>0</v>
      </c>
      <c r="G448" s="89">
        <v>0</v>
      </c>
      <c r="H448" s="92">
        <v>0</v>
      </c>
      <c r="I448" s="89">
        <v>0</v>
      </c>
      <c r="J448" s="92">
        <v>0</v>
      </c>
      <c r="K448" s="89">
        <v>0</v>
      </c>
      <c r="L448" s="92">
        <v>0</v>
      </c>
      <c r="M448" s="89">
        <v>0</v>
      </c>
      <c r="N448" s="92">
        <v>0</v>
      </c>
      <c r="O448" s="89">
        <v>0</v>
      </c>
      <c r="P448" s="92">
        <v>0</v>
      </c>
      <c r="Q448" s="89">
        <v>0</v>
      </c>
      <c r="R448" s="92">
        <v>0</v>
      </c>
      <c r="S448" s="89">
        <v>0</v>
      </c>
      <c r="T448" s="92">
        <v>0</v>
      </c>
      <c r="U448" s="89">
        <v>0</v>
      </c>
      <c r="V448" s="92">
        <v>0</v>
      </c>
      <c r="W448" s="89">
        <v>0</v>
      </c>
      <c r="X448" s="92">
        <v>0</v>
      </c>
      <c r="Y448" s="89">
        <v>0</v>
      </c>
      <c r="Z448" s="92">
        <v>0</v>
      </c>
      <c r="AA448" s="89">
        <v>0</v>
      </c>
      <c r="AB448" s="92">
        <v>0</v>
      </c>
      <c r="AC448" s="238">
        <f t="shared" si="219"/>
        <v>0</v>
      </c>
      <c r="AD448" s="238"/>
      <c r="AE448" s="238"/>
    </row>
    <row r="449" spans="2:31" x14ac:dyDescent="0.3">
      <c r="B449" s="245" t="s">
        <v>14</v>
      </c>
      <c r="C449" s="245"/>
      <c r="D449" s="245"/>
      <c r="E449" s="89">
        <v>0</v>
      </c>
      <c r="F449" s="92">
        <v>0</v>
      </c>
      <c r="G449" s="89">
        <v>0</v>
      </c>
      <c r="H449" s="92">
        <v>0</v>
      </c>
      <c r="I449" s="89">
        <v>0</v>
      </c>
      <c r="J449" s="92">
        <v>0</v>
      </c>
      <c r="K449" s="89">
        <v>0</v>
      </c>
      <c r="L449" s="92">
        <v>0</v>
      </c>
      <c r="M449" s="89">
        <v>0</v>
      </c>
      <c r="N449" s="92">
        <v>0</v>
      </c>
      <c r="O449" s="89">
        <v>0</v>
      </c>
      <c r="P449" s="92">
        <v>0</v>
      </c>
      <c r="Q449" s="89">
        <v>0</v>
      </c>
      <c r="R449" s="92">
        <v>0</v>
      </c>
      <c r="S449" s="89">
        <v>4.1833333333333375E-2</v>
      </c>
      <c r="T449" s="92">
        <v>3.5931666666666646</v>
      </c>
      <c r="U449" s="89">
        <v>4.8678333333333361</v>
      </c>
      <c r="V449" s="92">
        <v>0.2235</v>
      </c>
      <c r="W449" s="89">
        <v>0</v>
      </c>
      <c r="X449" s="92">
        <v>0</v>
      </c>
      <c r="Y449" s="89">
        <v>0</v>
      </c>
      <c r="Z449" s="92">
        <v>0</v>
      </c>
      <c r="AA449" s="89">
        <v>0</v>
      </c>
      <c r="AB449" s="92">
        <v>0</v>
      </c>
      <c r="AC449" s="238">
        <f t="shared" si="219"/>
        <v>8.7263333333333346</v>
      </c>
      <c r="AD449" s="238"/>
      <c r="AE449" s="238"/>
    </row>
    <row r="450" spans="2:31" x14ac:dyDescent="0.3">
      <c r="B450" s="245" t="s">
        <v>15</v>
      </c>
      <c r="C450" s="245"/>
      <c r="D450" s="245"/>
      <c r="E450" s="89">
        <v>0</v>
      </c>
      <c r="F450" s="92">
        <v>0</v>
      </c>
      <c r="G450" s="89">
        <v>0</v>
      </c>
      <c r="H450" s="92">
        <v>0</v>
      </c>
      <c r="I450" s="89">
        <v>0</v>
      </c>
      <c r="J450" s="92">
        <v>0</v>
      </c>
      <c r="K450" s="89">
        <v>0</v>
      </c>
      <c r="L450" s="92">
        <v>0</v>
      </c>
      <c r="M450" s="89">
        <v>0</v>
      </c>
      <c r="N450" s="92">
        <v>0</v>
      </c>
      <c r="O450" s="89">
        <v>0</v>
      </c>
      <c r="P450" s="92">
        <v>0</v>
      </c>
      <c r="Q450" s="89">
        <v>0</v>
      </c>
      <c r="R450" s="92">
        <v>0</v>
      </c>
      <c r="S450" s="89">
        <v>0</v>
      </c>
      <c r="T450" s="92">
        <v>0</v>
      </c>
      <c r="U450" s="89">
        <v>0</v>
      </c>
      <c r="V450" s="92">
        <v>0</v>
      </c>
      <c r="W450" s="89">
        <v>0</v>
      </c>
      <c r="X450" s="92">
        <v>0</v>
      </c>
      <c r="Y450" s="89">
        <v>0</v>
      </c>
      <c r="Z450" s="92">
        <v>0</v>
      </c>
      <c r="AA450" s="89">
        <v>0</v>
      </c>
      <c r="AB450" s="92">
        <v>0</v>
      </c>
      <c r="AC450" s="238">
        <f t="shared" si="219"/>
        <v>0</v>
      </c>
      <c r="AD450" s="238"/>
      <c r="AE450" s="238"/>
    </row>
    <row r="451" spans="2:31" x14ac:dyDescent="0.3">
      <c r="B451" s="245" t="s">
        <v>16</v>
      </c>
      <c r="C451" s="245"/>
      <c r="D451" s="245"/>
      <c r="E451" s="89">
        <v>0</v>
      </c>
      <c r="F451" s="92">
        <v>0</v>
      </c>
      <c r="G451" s="89">
        <v>0</v>
      </c>
      <c r="H451" s="92">
        <v>0</v>
      </c>
      <c r="I451" s="89">
        <v>0</v>
      </c>
      <c r="J451" s="92">
        <v>0</v>
      </c>
      <c r="K451" s="89">
        <v>0</v>
      </c>
      <c r="L451" s="92">
        <v>0</v>
      </c>
      <c r="M451" s="89">
        <v>0</v>
      </c>
      <c r="N451" s="92">
        <v>0</v>
      </c>
      <c r="O451" s="89">
        <v>0</v>
      </c>
      <c r="P451" s="92">
        <v>0</v>
      </c>
      <c r="Q451" s="89">
        <v>0</v>
      </c>
      <c r="R451" s="92">
        <v>0</v>
      </c>
      <c r="S451" s="89">
        <v>0</v>
      </c>
      <c r="T451" s="92">
        <v>0</v>
      </c>
      <c r="U451" s="89">
        <v>0</v>
      </c>
      <c r="V451" s="92">
        <v>0</v>
      </c>
      <c r="W451" s="89">
        <v>0</v>
      </c>
      <c r="X451" s="92">
        <v>0</v>
      </c>
      <c r="Y451" s="89">
        <v>0</v>
      </c>
      <c r="Z451" s="92">
        <v>0</v>
      </c>
      <c r="AA451" s="89">
        <v>0</v>
      </c>
      <c r="AB451" s="92">
        <v>0</v>
      </c>
      <c r="AC451" s="238">
        <f t="shared" si="219"/>
        <v>0</v>
      </c>
      <c r="AD451" s="238"/>
      <c r="AE451" s="238"/>
    </row>
    <row r="452" spans="2:31" x14ac:dyDescent="0.3">
      <c r="B452" s="245" t="s">
        <v>17</v>
      </c>
      <c r="C452" s="245"/>
      <c r="D452" s="245"/>
      <c r="E452" s="89">
        <v>0</v>
      </c>
      <c r="F452" s="92">
        <v>0</v>
      </c>
      <c r="G452" s="89">
        <v>0</v>
      </c>
      <c r="H452" s="92">
        <v>0</v>
      </c>
      <c r="I452" s="89">
        <v>0</v>
      </c>
      <c r="J452" s="92">
        <v>0</v>
      </c>
      <c r="K452" s="89">
        <v>0</v>
      </c>
      <c r="L452" s="92">
        <v>0</v>
      </c>
      <c r="M452" s="89">
        <v>0</v>
      </c>
      <c r="N452" s="92">
        <v>0</v>
      </c>
      <c r="O452" s="89">
        <v>0</v>
      </c>
      <c r="P452" s="92">
        <v>0</v>
      </c>
      <c r="Q452" s="89">
        <v>0</v>
      </c>
      <c r="R452" s="92">
        <v>0</v>
      </c>
      <c r="S452" s="89">
        <v>2.4735000000000005</v>
      </c>
      <c r="T452" s="92">
        <v>5.2244999999999964</v>
      </c>
      <c r="U452" s="89">
        <v>7.803833333333329</v>
      </c>
      <c r="V452" s="92">
        <v>0.3949999999999998</v>
      </c>
      <c r="W452" s="89">
        <v>0</v>
      </c>
      <c r="X452" s="92">
        <v>0</v>
      </c>
      <c r="Y452" s="89">
        <v>0</v>
      </c>
      <c r="Z452" s="92">
        <v>0</v>
      </c>
      <c r="AA452" s="89">
        <v>0</v>
      </c>
      <c r="AB452" s="92">
        <v>0</v>
      </c>
      <c r="AC452" s="238">
        <f t="shared" si="219"/>
        <v>15.896833333333326</v>
      </c>
      <c r="AD452" s="238"/>
      <c r="AE452" s="238"/>
    </row>
    <row r="453" spans="2:31" x14ac:dyDescent="0.3">
      <c r="B453" s="245" t="s">
        <v>18</v>
      </c>
      <c r="C453" s="245"/>
      <c r="D453" s="245"/>
      <c r="E453" s="89">
        <v>0</v>
      </c>
      <c r="F453" s="92">
        <v>0</v>
      </c>
      <c r="G453" s="89">
        <v>0</v>
      </c>
      <c r="H453" s="92">
        <v>0</v>
      </c>
      <c r="I453" s="89">
        <v>0</v>
      </c>
      <c r="J453" s="92">
        <v>0</v>
      </c>
      <c r="K453" s="89">
        <v>0</v>
      </c>
      <c r="L453" s="92">
        <v>0</v>
      </c>
      <c r="M453" s="89">
        <v>0</v>
      </c>
      <c r="N453" s="92">
        <v>0</v>
      </c>
      <c r="O453" s="89">
        <v>0</v>
      </c>
      <c r="P453" s="92">
        <v>0</v>
      </c>
      <c r="Q453" s="89">
        <v>0</v>
      </c>
      <c r="R453" s="92">
        <v>0</v>
      </c>
      <c r="S453" s="89">
        <v>0</v>
      </c>
      <c r="T453" s="92">
        <v>0</v>
      </c>
      <c r="U453" s="89">
        <v>0</v>
      </c>
      <c r="V453" s="92">
        <v>0</v>
      </c>
      <c r="W453" s="89">
        <v>0</v>
      </c>
      <c r="X453" s="92">
        <v>0</v>
      </c>
      <c r="Y453" s="89">
        <v>0</v>
      </c>
      <c r="Z453" s="92">
        <v>0</v>
      </c>
      <c r="AA453" s="89">
        <v>0</v>
      </c>
      <c r="AB453" s="92">
        <v>0</v>
      </c>
      <c r="AC453" s="238">
        <f t="shared" si="219"/>
        <v>0</v>
      </c>
      <c r="AD453" s="238"/>
      <c r="AE453" s="238"/>
    </row>
    <row r="454" spans="2:31" x14ac:dyDescent="0.3">
      <c r="B454" s="245" t="s">
        <v>19</v>
      </c>
      <c r="C454" s="245"/>
      <c r="D454" s="245"/>
      <c r="E454" s="89">
        <v>0</v>
      </c>
      <c r="F454" s="92">
        <v>0</v>
      </c>
      <c r="G454" s="89">
        <v>0</v>
      </c>
      <c r="H454" s="92">
        <v>0</v>
      </c>
      <c r="I454" s="89">
        <v>0</v>
      </c>
      <c r="J454" s="92">
        <v>0</v>
      </c>
      <c r="K454" s="89">
        <v>0</v>
      </c>
      <c r="L454" s="92">
        <v>0</v>
      </c>
      <c r="M454" s="89">
        <v>0</v>
      </c>
      <c r="N454" s="92">
        <v>0</v>
      </c>
      <c r="O454" s="89">
        <v>0</v>
      </c>
      <c r="P454" s="92">
        <v>0</v>
      </c>
      <c r="Q454" s="89">
        <v>0</v>
      </c>
      <c r="R454" s="92">
        <v>23.5</v>
      </c>
      <c r="S454" s="89">
        <v>40.759333333333366</v>
      </c>
      <c r="T454" s="92">
        <v>45.55999999999996</v>
      </c>
      <c r="U454" s="89">
        <v>11.890666666666668</v>
      </c>
      <c r="V454" s="92">
        <v>0</v>
      </c>
      <c r="W454" s="89">
        <v>0</v>
      </c>
      <c r="X454" s="92">
        <v>0</v>
      </c>
      <c r="Y454" s="89">
        <v>0</v>
      </c>
      <c r="Z454" s="92">
        <v>0</v>
      </c>
      <c r="AA454" s="89">
        <v>0</v>
      </c>
      <c r="AB454" s="92">
        <v>0</v>
      </c>
      <c r="AC454" s="238">
        <f t="shared" si="219"/>
        <v>121.70999999999998</v>
      </c>
      <c r="AD454" s="238"/>
      <c r="AE454" s="238"/>
    </row>
    <row r="455" spans="2:31" x14ac:dyDescent="0.3">
      <c r="B455" s="245" t="s">
        <v>20</v>
      </c>
      <c r="C455" s="245"/>
      <c r="D455" s="245"/>
      <c r="E455" s="89">
        <v>0</v>
      </c>
      <c r="F455" s="92">
        <v>0</v>
      </c>
      <c r="G455" s="89">
        <v>0</v>
      </c>
      <c r="H455" s="92">
        <v>0</v>
      </c>
      <c r="I455" s="89">
        <v>0</v>
      </c>
      <c r="J455" s="92">
        <v>0</v>
      </c>
      <c r="K455" s="89">
        <v>0</v>
      </c>
      <c r="L455" s="92">
        <v>0</v>
      </c>
      <c r="M455" s="89">
        <v>0</v>
      </c>
      <c r="N455" s="92">
        <v>0</v>
      </c>
      <c r="O455" s="89">
        <v>0</v>
      </c>
      <c r="P455" s="92">
        <v>0</v>
      </c>
      <c r="Q455" s="89">
        <v>0</v>
      </c>
      <c r="R455" s="92">
        <v>0</v>
      </c>
      <c r="S455" s="89">
        <v>0</v>
      </c>
      <c r="T455" s="92">
        <v>0</v>
      </c>
      <c r="U455" s="89">
        <v>0</v>
      </c>
      <c r="V455" s="92">
        <v>0</v>
      </c>
      <c r="W455" s="89">
        <v>0</v>
      </c>
      <c r="X455" s="92">
        <v>0</v>
      </c>
      <c r="Y455" s="89">
        <v>0</v>
      </c>
      <c r="Z455" s="92">
        <v>0</v>
      </c>
      <c r="AA455" s="89">
        <v>0</v>
      </c>
      <c r="AB455" s="92">
        <v>0</v>
      </c>
      <c r="AC455" s="238">
        <f t="shared" si="219"/>
        <v>0</v>
      </c>
      <c r="AD455" s="238"/>
      <c r="AE455" s="238"/>
    </row>
    <row r="456" spans="2:31" x14ac:dyDescent="0.3">
      <c r="B456" s="245" t="s">
        <v>21</v>
      </c>
      <c r="C456" s="245"/>
      <c r="D456" s="245"/>
      <c r="E456" s="89">
        <v>0</v>
      </c>
      <c r="F456" s="92">
        <v>0</v>
      </c>
      <c r="G456" s="89">
        <v>0</v>
      </c>
      <c r="H456" s="92">
        <v>0</v>
      </c>
      <c r="I456" s="89">
        <v>0</v>
      </c>
      <c r="J456" s="92">
        <v>0</v>
      </c>
      <c r="K456" s="89">
        <v>0</v>
      </c>
      <c r="L456" s="92">
        <v>0</v>
      </c>
      <c r="M456" s="89">
        <v>0</v>
      </c>
      <c r="N456" s="92">
        <v>0</v>
      </c>
      <c r="O456" s="89">
        <v>0</v>
      </c>
      <c r="P456" s="92">
        <v>0</v>
      </c>
      <c r="Q456" s="89">
        <v>0</v>
      </c>
      <c r="R456" s="92">
        <v>0</v>
      </c>
      <c r="S456" s="89">
        <v>0</v>
      </c>
      <c r="T456" s="92">
        <v>0</v>
      </c>
      <c r="U456" s="89">
        <v>0</v>
      </c>
      <c r="V456" s="92">
        <v>0</v>
      </c>
      <c r="W456" s="89">
        <v>0</v>
      </c>
      <c r="X456" s="92">
        <v>0</v>
      </c>
      <c r="Y456" s="89">
        <v>0</v>
      </c>
      <c r="Z456" s="92">
        <v>0</v>
      </c>
      <c r="AA456" s="89">
        <v>0</v>
      </c>
      <c r="AB456" s="92">
        <v>0</v>
      </c>
      <c r="AC456" s="238">
        <f t="shared" si="219"/>
        <v>0</v>
      </c>
      <c r="AD456" s="238"/>
      <c r="AE456" s="238"/>
    </row>
    <row r="457" spans="2:31" x14ac:dyDescent="0.3">
      <c r="B457" s="245" t="s">
        <v>22</v>
      </c>
      <c r="C457" s="245"/>
      <c r="D457" s="245"/>
      <c r="E457" s="89">
        <v>0</v>
      </c>
      <c r="F457" s="92">
        <v>0</v>
      </c>
      <c r="G457" s="89">
        <v>0</v>
      </c>
      <c r="H457" s="92">
        <v>0</v>
      </c>
      <c r="I457" s="89">
        <v>0</v>
      </c>
      <c r="J457" s="92">
        <v>0</v>
      </c>
      <c r="K457" s="89">
        <v>0</v>
      </c>
      <c r="L457" s="92">
        <v>0</v>
      </c>
      <c r="M457" s="89">
        <v>0</v>
      </c>
      <c r="N457" s="92">
        <v>0</v>
      </c>
      <c r="O457" s="89">
        <v>0</v>
      </c>
      <c r="P457" s="92">
        <v>0</v>
      </c>
      <c r="Q457" s="89">
        <v>0</v>
      </c>
      <c r="R457" s="92">
        <v>0</v>
      </c>
      <c r="S457" s="89">
        <v>0</v>
      </c>
      <c r="T457" s="92">
        <v>0</v>
      </c>
      <c r="U457" s="89">
        <v>0</v>
      </c>
      <c r="V457" s="92">
        <v>0</v>
      </c>
      <c r="W457" s="89">
        <v>0</v>
      </c>
      <c r="X457" s="92">
        <v>0</v>
      </c>
      <c r="Y457" s="89">
        <v>0</v>
      </c>
      <c r="Z457" s="92">
        <v>0</v>
      </c>
      <c r="AA457" s="89">
        <v>0</v>
      </c>
      <c r="AB457" s="92">
        <v>0</v>
      </c>
      <c r="AC457" s="238">
        <f t="shared" si="219"/>
        <v>0</v>
      </c>
      <c r="AD457" s="238"/>
      <c r="AE457" s="238"/>
    </row>
    <row r="458" spans="2:31" x14ac:dyDescent="0.3">
      <c r="B458" s="245" t="s">
        <v>23</v>
      </c>
      <c r="C458" s="245"/>
      <c r="D458" s="245"/>
      <c r="E458" s="89">
        <v>0</v>
      </c>
      <c r="F458" s="92">
        <v>0</v>
      </c>
      <c r="G458" s="89">
        <v>0</v>
      </c>
      <c r="H458" s="92">
        <v>0</v>
      </c>
      <c r="I458" s="89">
        <v>0</v>
      </c>
      <c r="J458" s="92">
        <v>0</v>
      </c>
      <c r="K458" s="89">
        <v>0</v>
      </c>
      <c r="L458" s="92">
        <v>0</v>
      </c>
      <c r="M458" s="89">
        <v>0</v>
      </c>
      <c r="N458" s="92">
        <v>0</v>
      </c>
      <c r="O458" s="89">
        <v>0</v>
      </c>
      <c r="P458" s="92">
        <v>0</v>
      </c>
      <c r="Q458" s="89">
        <v>0</v>
      </c>
      <c r="R458" s="92">
        <v>0</v>
      </c>
      <c r="S458" s="89">
        <v>0</v>
      </c>
      <c r="T458" s="92">
        <v>0</v>
      </c>
      <c r="U458" s="89">
        <v>0</v>
      </c>
      <c r="V458" s="92">
        <v>0</v>
      </c>
      <c r="W458" s="89">
        <v>0</v>
      </c>
      <c r="X458" s="92">
        <v>0</v>
      </c>
      <c r="Y458" s="89">
        <v>0</v>
      </c>
      <c r="Z458" s="92">
        <v>0</v>
      </c>
      <c r="AA458" s="89">
        <v>0</v>
      </c>
      <c r="AB458" s="92">
        <v>0</v>
      </c>
      <c r="AC458" s="238">
        <f t="shared" si="219"/>
        <v>0</v>
      </c>
      <c r="AD458" s="238"/>
      <c r="AE458" s="238"/>
    </row>
    <row r="459" spans="2:31" x14ac:dyDescent="0.3">
      <c r="B459" s="245" t="s">
        <v>24</v>
      </c>
      <c r="C459" s="245"/>
      <c r="D459" s="245"/>
      <c r="E459" s="89">
        <v>0</v>
      </c>
      <c r="F459" s="92">
        <v>0</v>
      </c>
      <c r="G459" s="89">
        <v>0</v>
      </c>
      <c r="H459" s="92">
        <v>0</v>
      </c>
      <c r="I459" s="89">
        <v>0</v>
      </c>
      <c r="J459" s="92">
        <v>0</v>
      </c>
      <c r="K459" s="89">
        <v>0</v>
      </c>
      <c r="L459" s="92">
        <v>0</v>
      </c>
      <c r="M459" s="89">
        <v>0</v>
      </c>
      <c r="N459" s="92">
        <v>0</v>
      </c>
      <c r="O459" s="89">
        <v>0</v>
      </c>
      <c r="P459" s="92">
        <v>0</v>
      </c>
      <c r="Q459" s="89">
        <v>0</v>
      </c>
      <c r="R459" s="92">
        <v>0</v>
      </c>
      <c r="S459" s="89">
        <v>0</v>
      </c>
      <c r="T459" s="92">
        <v>0</v>
      </c>
      <c r="U459" s="89">
        <v>0</v>
      </c>
      <c r="V459" s="92">
        <v>0</v>
      </c>
      <c r="W459" s="89">
        <v>0</v>
      </c>
      <c r="X459" s="92">
        <v>0</v>
      </c>
      <c r="Y459" s="89">
        <v>0</v>
      </c>
      <c r="Z459" s="92">
        <v>0</v>
      </c>
      <c r="AA459" s="89">
        <v>0</v>
      </c>
      <c r="AB459" s="92">
        <v>0</v>
      </c>
      <c r="AC459" s="238">
        <f t="shared" si="219"/>
        <v>0</v>
      </c>
      <c r="AD459" s="238"/>
      <c r="AE459" s="238"/>
    </row>
    <row r="460" spans="2:31" x14ac:dyDescent="0.3">
      <c r="B460" s="245" t="s">
        <v>25</v>
      </c>
      <c r="C460" s="245"/>
      <c r="D460" s="245"/>
      <c r="E460" s="89">
        <v>0</v>
      </c>
      <c r="F460" s="92">
        <v>0</v>
      </c>
      <c r="G460" s="89">
        <v>0</v>
      </c>
      <c r="H460" s="92">
        <v>0</v>
      </c>
      <c r="I460" s="89">
        <v>0</v>
      </c>
      <c r="J460" s="92">
        <v>0</v>
      </c>
      <c r="K460" s="89">
        <v>0</v>
      </c>
      <c r="L460" s="92">
        <v>0</v>
      </c>
      <c r="M460" s="89">
        <v>0</v>
      </c>
      <c r="N460" s="92">
        <v>0</v>
      </c>
      <c r="O460" s="89">
        <v>0</v>
      </c>
      <c r="P460" s="92">
        <v>0</v>
      </c>
      <c r="Q460" s="89">
        <v>0</v>
      </c>
      <c r="R460" s="92">
        <v>0</v>
      </c>
      <c r="S460" s="89">
        <v>0</v>
      </c>
      <c r="T460" s="92">
        <v>0</v>
      </c>
      <c r="U460" s="89">
        <v>0</v>
      </c>
      <c r="V460" s="92">
        <v>0</v>
      </c>
      <c r="W460" s="89">
        <v>0</v>
      </c>
      <c r="X460" s="92">
        <v>0</v>
      </c>
      <c r="Y460" s="89">
        <v>0</v>
      </c>
      <c r="Z460" s="92">
        <v>0</v>
      </c>
      <c r="AA460" s="89">
        <v>0</v>
      </c>
      <c r="AB460" s="92">
        <v>0</v>
      </c>
      <c r="AC460" s="238">
        <f t="shared" si="219"/>
        <v>0</v>
      </c>
      <c r="AD460" s="238"/>
      <c r="AE460" s="238"/>
    </row>
    <row r="461" spans="2:31" x14ac:dyDescent="0.3">
      <c r="B461" s="245" t="s">
        <v>26</v>
      </c>
      <c r="C461" s="245"/>
      <c r="D461" s="245"/>
      <c r="E461" s="89">
        <v>0</v>
      </c>
      <c r="F461" s="92">
        <v>0</v>
      </c>
      <c r="G461" s="89">
        <v>0</v>
      </c>
      <c r="H461" s="92">
        <v>0</v>
      </c>
      <c r="I461" s="89">
        <v>0</v>
      </c>
      <c r="J461" s="92">
        <v>0</v>
      </c>
      <c r="K461" s="89">
        <v>0</v>
      </c>
      <c r="L461" s="92">
        <v>0</v>
      </c>
      <c r="M461" s="89">
        <v>0</v>
      </c>
      <c r="N461" s="92">
        <v>0</v>
      </c>
      <c r="O461" s="89">
        <v>0</v>
      </c>
      <c r="P461" s="92">
        <v>0</v>
      </c>
      <c r="Q461" s="89">
        <v>0</v>
      </c>
      <c r="R461" s="92">
        <v>0</v>
      </c>
      <c r="S461" s="89">
        <v>0</v>
      </c>
      <c r="T461" s="92">
        <v>0</v>
      </c>
      <c r="U461" s="89">
        <v>0</v>
      </c>
      <c r="V461" s="92">
        <v>0</v>
      </c>
      <c r="W461" s="89">
        <v>0</v>
      </c>
      <c r="X461" s="92">
        <v>0</v>
      </c>
      <c r="Y461" s="89">
        <v>0</v>
      </c>
      <c r="Z461" s="92">
        <v>0</v>
      </c>
      <c r="AA461" s="89">
        <v>0</v>
      </c>
      <c r="AB461" s="92">
        <v>0</v>
      </c>
      <c r="AC461" s="238">
        <f t="shared" si="219"/>
        <v>0</v>
      </c>
      <c r="AD461" s="238"/>
      <c r="AE461" s="238"/>
    </row>
    <row r="462" spans="2:31" x14ac:dyDescent="0.3">
      <c r="B462" s="245" t="s">
        <v>27</v>
      </c>
      <c r="C462" s="245"/>
      <c r="D462" s="245"/>
      <c r="E462" s="89">
        <v>0</v>
      </c>
      <c r="F462" s="92">
        <v>0</v>
      </c>
      <c r="G462" s="89">
        <v>0</v>
      </c>
      <c r="H462" s="92">
        <v>0</v>
      </c>
      <c r="I462" s="89">
        <v>0</v>
      </c>
      <c r="J462" s="92">
        <v>0</v>
      </c>
      <c r="K462" s="89">
        <v>0</v>
      </c>
      <c r="L462" s="92">
        <v>0</v>
      </c>
      <c r="M462" s="89">
        <v>0</v>
      </c>
      <c r="N462" s="92">
        <v>0</v>
      </c>
      <c r="O462" s="89">
        <v>0</v>
      </c>
      <c r="P462" s="92">
        <v>0</v>
      </c>
      <c r="Q462" s="89">
        <v>0</v>
      </c>
      <c r="R462" s="92">
        <v>0</v>
      </c>
      <c r="S462" s="89">
        <v>0</v>
      </c>
      <c r="T462" s="92">
        <v>0</v>
      </c>
      <c r="U462" s="89">
        <v>0</v>
      </c>
      <c r="V462" s="92">
        <v>0</v>
      </c>
      <c r="W462" s="89">
        <v>0</v>
      </c>
      <c r="X462" s="92">
        <v>0</v>
      </c>
      <c r="Y462" s="89">
        <v>0</v>
      </c>
      <c r="Z462" s="92">
        <v>0</v>
      </c>
      <c r="AA462" s="89">
        <v>0</v>
      </c>
      <c r="AB462" s="92">
        <v>0</v>
      </c>
      <c r="AC462" s="238">
        <f t="shared" si="219"/>
        <v>0</v>
      </c>
      <c r="AD462" s="238"/>
      <c r="AE462" s="238"/>
    </row>
    <row r="463" spans="2:31" x14ac:dyDescent="0.3">
      <c r="B463" s="245" t="s">
        <v>28</v>
      </c>
      <c r="C463" s="245"/>
      <c r="D463" s="245"/>
      <c r="E463" s="89">
        <v>0</v>
      </c>
      <c r="F463" s="92">
        <v>0</v>
      </c>
      <c r="G463" s="89">
        <v>0</v>
      </c>
      <c r="H463" s="92">
        <v>0</v>
      </c>
      <c r="I463" s="89">
        <v>0</v>
      </c>
      <c r="J463" s="92">
        <v>0</v>
      </c>
      <c r="K463" s="89">
        <v>0</v>
      </c>
      <c r="L463" s="92">
        <v>0</v>
      </c>
      <c r="M463" s="89">
        <v>0</v>
      </c>
      <c r="N463" s="92">
        <v>0</v>
      </c>
      <c r="O463" s="89">
        <v>0</v>
      </c>
      <c r="P463" s="92">
        <v>0</v>
      </c>
      <c r="Q463" s="89">
        <v>0</v>
      </c>
      <c r="R463" s="92">
        <v>0</v>
      </c>
      <c r="S463" s="89">
        <v>0</v>
      </c>
      <c r="T463" s="92">
        <v>0</v>
      </c>
      <c r="U463" s="89">
        <v>0</v>
      </c>
      <c r="V463" s="92">
        <v>0</v>
      </c>
      <c r="W463" s="89">
        <v>0</v>
      </c>
      <c r="X463" s="92">
        <v>0</v>
      </c>
      <c r="Y463" s="89">
        <v>0</v>
      </c>
      <c r="Z463" s="92">
        <v>0</v>
      </c>
      <c r="AA463" s="89">
        <v>0</v>
      </c>
      <c r="AB463" s="92">
        <v>0</v>
      </c>
      <c r="AC463" s="238">
        <f t="shared" si="219"/>
        <v>0</v>
      </c>
      <c r="AD463" s="238"/>
      <c r="AE463" s="238"/>
    </row>
    <row r="464" spans="2:31" x14ac:dyDescent="0.3">
      <c r="B464" s="245" t="s">
        <v>92</v>
      </c>
      <c r="C464" s="245"/>
      <c r="D464" s="245"/>
      <c r="E464" s="89">
        <v>0</v>
      </c>
      <c r="F464" s="92">
        <v>0</v>
      </c>
      <c r="G464" s="89">
        <v>0</v>
      </c>
      <c r="H464" s="92">
        <v>0</v>
      </c>
      <c r="I464" s="89">
        <v>0</v>
      </c>
      <c r="J464" s="92">
        <v>0</v>
      </c>
      <c r="K464" s="89">
        <v>0</v>
      </c>
      <c r="L464" s="92">
        <v>0</v>
      </c>
      <c r="M464" s="89">
        <v>0</v>
      </c>
      <c r="N464" s="92">
        <v>0</v>
      </c>
      <c r="O464" s="89">
        <v>0</v>
      </c>
      <c r="P464" s="92">
        <v>0</v>
      </c>
      <c r="Q464" s="89">
        <v>0</v>
      </c>
      <c r="R464" s="92">
        <v>0</v>
      </c>
      <c r="S464" s="89">
        <v>0</v>
      </c>
      <c r="T464" s="92">
        <v>0</v>
      </c>
      <c r="U464" s="89">
        <v>0</v>
      </c>
      <c r="V464" s="92">
        <v>0</v>
      </c>
      <c r="W464" s="89">
        <v>0</v>
      </c>
      <c r="X464" s="92">
        <v>0</v>
      </c>
      <c r="Y464" s="89">
        <v>0</v>
      </c>
      <c r="Z464" s="92">
        <v>0</v>
      </c>
      <c r="AA464" s="89">
        <v>0</v>
      </c>
      <c r="AB464" s="92">
        <v>0</v>
      </c>
      <c r="AC464" s="238">
        <f t="shared" si="219"/>
        <v>0</v>
      </c>
      <c r="AD464" s="238"/>
      <c r="AE464" s="238"/>
    </row>
    <row r="465" spans="2:31" x14ac:dyDescent="0.3">
      <c r="B465" s="245" t="s">
        <v>29</v>
      </c>
      <c r="C465" s="245"/>
      <c r="D465" s="245"/>
      <c r="E465" s="89">
        <v>0</v>
      </c>
      <c r="F465" s="92">
        <v>0</v>
      </c>
      <c r="G465" s="89">
        <v>0</v>
      </c>
      <c r="H465" s="92">
        <v>0</v>
      </c>
      <c r="I465" s="89">
        <v>0</v>
      </c>
      <c r="J465" s="92">
        <v>0</v>
      </c>
      <c r="K465" s="89">
        <v>0</v>
      </c>
      <c r="L465" s="92">
        <v>0</v>
      </c>
      <c r="M465" s="89">
        <v>0</v>
      </c>
      <c r="N465" s="92">
        <v>0</v>
      </c>
      <c r="O465" s="89">
        <v>0</v>
      </c>
      <c r="P465" s="92">
        <v>0</v>
      </c>
      <c r="Q465" s="89">
        <v>0</v>
      </c>
      <c r="R465" s="92">
        <v>0</v>
      </c>
      <c r="S465" s="89">
        <v>0</v>
      </c>
      <c r="T465" s="92">
        <v>0</v>
      </c>
      <c r="U465" s="89">
        <v>0</v>
      </c>
      <c r="V465" s="92">
        <v>0</v>
      </c>
      <c r="W465" s="89">
        <v>0</v>
      </c>
      <c r="X465" s="92">
        <v>0</v>
      </c>
      <c r="Y465" s="89">
        <v>0</v>
      </c>
      <c r="Z465" s="92">
        <v>0</v>
      </c>
      <c r="AA465" s="89">
        <v>0</v>
      </c>
      <c r="AB465" s="92">
        <v>0</v>
      </c>
      <c r="AC465" s="238">
        <f t="shared" si="219"/>
        <v>0</v>
      </c>
      <c r="AD465" s="238"/>
      <c r="AE465" s="238"/>
    </row>
    <row r="466" spans="2:31" x14ac:dyDescent="0.3">
      <c r="B466" s="245" t="s">
        <v>30</v>
      </c>
      <c r="C466" s="245"/>
      <c r="D466" s="245"/>
      <c r="E466" s="89">
        <v>0</v>
      </c>
      <c r="F466" s="92">
        <v>0</v>
      </c>
      <c r="G466" s="89">
        <v>0</v>
      </c>
      <c r="H466" s="92">
        <v>0</v>
      </c>
      <c r="I466" s="89">
        <v>0</v>
      </c>
      <c r="J466" s="92">
        <v>0</v>
      </c>
      <c r="K466" s="89">
        <v>0</v>
      </c>
      <c r="L466" s="92">
        <v>0</v>
      </c>
      <c r="M466" s="89">
        <v>0</v>
      </c>
      <c r="N466" s="92">
        <v>0</v>
      </c>
      <c r="O466" s="89">
        <v>0</v>
      </c>
      <c r="P466" s="92">
        <v>0</v>
      </c>
      <c r="Q466" s="89">
        <v>0</v>
      </c>
      <c r="R466" s="92">
        <v>0</v>
      </c>
      <c r="S466" s="89">
        <v>0</v>
      </c>
      <c r="T466" s="92">
        <v>0</v>
      </c>
      <c r="U466" s="89">
        <v>0</v>
      </c>
      <c r="V466" s="92">
        <v>0</v>
      </c>
      <c r="W466" s="89">
        <v>0</v>
      </c>
      <c r="X466" s="92">
        <v>0</v>
      </c>
      <c r="Y466" s="89">
        <v>0</v>
      </c>
      <c r="Z466" s="92">
        <v>0</v>
      </c>
      <c r="AA466" s="89">
        <v>0</v>
      </c>
      <c r="AB466" s="92">
        <v>0</v>
      </c>
      <c r="AC466" s="238">
        <f t="shared" si="219"/>
        <v>0</v>
      </c>
      <c r="AD466" s="238"/>
      <c r="AE466" s="238"/>
    </row>
    <row r="467" spans="2:31" x14ac:dyDescent="0.3">
      <c r="B467" s="245" t="s">
        <v>31</v>
      </c>
      <c r="C467" s="245"/>
      <c r="D467" s="245"/>
      <c r="E467" s="89">
        <v>0</v>
      </c>
      <c r="F467" s="92">
        <v>0</v>
      </c>
      <c r="G467" s="89">
        <v>0</v>
      </c>
      <c r="H467" s="92">
        <v>0</v>
      </c>
      <c r="I467" s="89">
        <v>0</v>
      </c>
      <c r="J467" s="92">
        <v>0</v>
      </c>
      <c r="K467" s="89">
        <v>0</v>
      </c>
      <c r="L467" s="92">
        <v>0</v>
      </c>
      <c r="M467" s="89">
        <v>0</v>
      </c>
      <c r="N467" s="92">
        <v>0</v>
      </c>
      <c r="O467" s="89">
        <v>0</v>
      </c>
      <c r="P467" s="92">
        <v>0</v>
      </c>
      <c r="Q467" s="89">
        <v>0</v>
      </c>
      <c r="R467" s="92">
        <v>0</v>
      </c>
      <c r="S467" s="89">
        <v>0</v>
      </c>
      <c r="T467" s="92">
        <v>0</v>
      </c>
      <c r="U467" s="89">
        <v>0</v>
      </c>
      <c r="V467" s="92">
        <v>0</v>
      </c>
      <c r="W467" s="89">
        <v>0</v>
      </c>
      <c r="X467" s="92">
        <v>0</v>
      </c>
      <c r="Y467" s="89">
        <v>0</v>
      </c>
      <c r="Z467" s="92">
        <v>0</v>
      </c>
      <c r="AA467" s="89">
        <v>0</v>
      </c>
      <c r="AB467" s="92">
        <v>0</v>
      </c>
      <c r="AC467" s="238">
        <f t="shared" si="219"/>
        <v>0</v>
      </c>
      <c r="AD467" s="238"/>
      <c r="AE467" s="238"/>
    </row>
    <row r="468" spans="2:31" x14ac:dyDescent="0.3">
      <c r="B468" s="245" t="s">
        <v>32</v>
      </c>
      <c r="C468" s="245"/>
      <c r="D468" s="245"/>
      <c r="E468" s="89">
        <v>0</v>
      </c>
      <c r="F468" s="92">
        <v>0</v>
      </c>
      <c r="G468" s="89">
        <v>0</v>
      </c>
      <c r="H468" s="92">
        <v>0</v>
      </c>
      <c r="I468" s="89">
        <v>0</v>
      </c>
      <c r="J468" s="92">
        <v>0</v>
      </c>
      <c r="K468" s="89">
        <v>0</v>
      </c>
      <c r="L468" s="92">
        <v>0</v>
      </c>
      <c r="M468" s="89">
        <v>0</v>
      </c>
      <c r="N468" s="92">
        <v>0</v>
      </c>
      <c r="O468" s="89">
        <v>0</v>
      </c>
      <c r="P468" s="92">
        <v>0</v>
      </c>
      <c r="Q468" s="89">
        <v>0</v>
      </c>
      <c r="R468" s="92">
        <v>0</v>
      </c>
      <c r="S468" s="89">
        <v>0</v>
      </c>
      <c r="T468" s="92">
        <v>0</v>
      </c>
      <c r="U468" s="89">
        <v>0</v>
      </c>
      <c r="V468" s="92">
        <v>0</v>
      </c>
      <c r="W468" s="89">
        <v>0</v>
      </c>
      <c r="X468" s="92">
        <v>0</v>
      </c>
      <c r="Y468" s="89">
        <v>0</v>
      </c>
      <c r="Z468" s="92">
        <v>0</v>
      </c>
      <c r="AA468" s="89">
        <v>0</v>
      </c>
      <c r="AB468" s="92">
        <v>0</v>
      </c>
      <c r="AC468" s="238">
        <f t="shared" si="219"/>
        <v>0</v>
      </c>
      <c r="AD468" s="238"/>
      <c r="AE468" s="238"/>
    </row>
    <row r="469" spans="2:31" x14ac:dyDescent="0.3">
      <c r="B469" s="245" t="s">
        <v>33</v>
      </c>
      <c r="C469" s="245"/>
      <c r="D469" s="245"/>
      <c r="E469" s="89">
        <v>0</v>
      </c>
      <c r="F469" s="92">
        <v>0</v>
      </c>
      <c r="G469" s="89">
        <v>0</v>
      </c>
      <c r="H469" s="92">
        <v>0</v>
      </c>
      <c r="I469" s="89">
        <v>0</v>
      </c>
      <c r="J469" s="92">
        <v>0</v>
      </c>
      <c r="K469" s="89">
        <v>0</v>
      </c>
      <c r="L469" s="92">
        <v>0</v>
      </c>
      <c r="M469" s="89">
        <v>0</v>
      </c>
      <c r="N469" s="92">
        <v>0</v>
      </c>
      <c r="O469" s="89">
        <v>0</v>
      </c>
      <c r="P469" s="92">
        <v>0</v>
      </c>
      <c r="Q469" s="89">
        <v>0</v>
      </c>
      <c r="R469" s="92">
        <v>0</v>
      </c>
      <c r="S469" s="89">
        <v>0</v>
      </c>
      <c r="T469" s="92">
        <v>0</v>
      </c>
      <c r="U469" s="89">
        <v>0</v>
      </c>
      <c r="V469" s="92">
        <v>0</v>
      </c>
      <c r="W469" s="89">
        <v>0</v>
      </c>
      <c r="X469" s="92">
        <v>0</v>
      </c>
      <c r="Y469" s="89">
        <v>0</v>
      </c>
      <c r="Z469" s="92">
        <v>0</v>
      </c>
      <c r="AA469" s="89">
        <v>0</v>
      </c>
      <c r="AB469" s="92">
        <v>0</v>
      </c>
      <c r="AC469" s="238">
        <f t="shared" si="219"/>
        <v>0</v>
      </c>
      <c r="AD469" s="238"/>
      <c r="AE469" s="238"/>
    </row>
    <row r="470" spans="2:31" x14ac:dyDescent="0.3">
      <c r="B470" s="245" t="s">
        <v>34</v>
      </c>
      <c r="C470" s="245"/>
      <c r="D470" s="245"/>
      <c r="E470" s="89">
        <v>0</v>
      </c>
      <c r="F470" s="92">
        <v>0</v>
      </c>
      <c r="G470" s="89">
        <v>0</v>
      </c>
      <c r="H470" s="92">
        <v>0</v>
      </c>
      <c r="I470" s="89">
        <v>0</v>
      </c>
      <c r="J470" s="92">
        <v>0</v>
      </c>
      <c r="K470" s="89">
        <v>0</v>
      </c>
      <c r="L470" s="92">
        <v>0</v>
      </c>
      <c r="M470" s="89">
        <v>0</v>
      </c>
      <c r="N470" s="92">
        <v>0</v>
      </c>
      <c r="O470" s="89">
        <v>0</v>
      </c>
      <c r="P470" s="92">
        <v>0</v>
      </c>
      <c r="Q470" s="89">
        <v>0</v>
      </c>
      <c r="R470" s="92">
        <v>0</v>
      </c>
      <c r="S470" s="89">
        <v>0</v>
      </c>
      <c r="T470" s="92">
        <v>0</v>
      </c>
      <c r="U470" s="89">
        <v>0</v>
      </c>
      <c r="V470" s="92">
        <v>0</v>
      </c>
      <c r="W470" s="89">
        <v>0</v>
      </c>
      <c r="X470" s="92">
        <v>0</v>
      </c>
      <c r="Y470" s="89">
        <v>0</v>
      </c>
      <c r="Z470" s="92">
        <v>0</v>
      </c>
      <c r="AA470" s="89">
        <v>0</v>
      </c>
      <c r="AB470" s="92">
        <v>0</v>
      </c>
      <c r="AC470" s="238">
        <f t="shared" si="219"/>
        <v>0</v>
      </c>
      <c r="AD470" s="238"/>
      <c r="AE470" s="238"/>
    </row>
    <row r="471" spans="2:31" x14ac:dyDescent="0.3">
      <c r="B471" s="245" t="s">
        <v>35</v>
      </c>
      <c r="C471" s="245"/>
      <c r="D471" s="245"/>
      <c r="E471" s="89">
        <v>0</v>
      </c>
      <c r="F471" s="92">
        <v>0</v>
      </c>
      <c r="G471" s="89">
        <v>0</v>
      </c>
      <c r="H471" s="92">
        <v>0</v>
      </c>
      <c r="I471" s="89">
        <v>0</v>
      </c>
      <c r="J471" s="92">
        <v>0</v>
      </c>
      <c r="K471" s="89">
        <v>0</v>
      </c>
      <c r="L471" s="92">
        <v>0</v>
      </c>
      <c r="M471" s="89">
        <v>0</v>
      </c>
      <c r="N471" s="92">
        <v>0</v>
      </c>
      <c r="O471" s="89">
        <v>0</v>
      </c>
      <c r="P471" s="92">
        <v>0</v>
      </c>
      <c r="Q471" s="89">
        <v>0</v>
      </c>
      <c r="R471" s="92">
        <v>0</v>
      </c>
      <c r="S471" s="89">
        <v>0</v>
      </c>
      <c r="T471" s="92">
        <v>0</v>
      </c>
      <c r="U471" s="89">
        <v>0</v>
      </c>
      <c r="V471" s="92">
        <v>0</v>
      </c>
      <c r="W471" s="89">
        <v>0</v>
      </c>
      <c r="X471" s="92">
        <v>0</v>
      </c>
      <c r="Y471" s="89">
        <v>0</v>
      </c>
      <c r="Z471" s="92">
        <v>0</v>
      </c>
      <c r="AA471" s="89">
        <v>0</v>
      </c>
      <c r="AB471" s="92">
        <v>0</v>
      </c>
      <c r="AC471" s="238">
        <f t="shared" si="219"/>
        <v>0</v>
      </c>
      <c r="AD471" s="238"/>
      <c r="AE471" s="238"/>
    </row>
    <row r="472" spans="2:31" x14ac:dyDescent="0.3">
      <c r="B472" s="245" t="s">
        <v>36</v>
      </c>
      <c r="C472" s="245"/>
      <c r="D472" s="245"/>
      <c r="E472" s="89">
        <v>0</v>
      </c>
      <c r="F472" s="92">
        <v>0</v>
      </c>
      <c r="G472" s="89">
        <v>0</v>
      </c>
      <c r="H472" s="92">
        <v>0</v>
      </c>
      <c r="I472" s="89">
        <v>0</v>
      </c>
      <c r="J472" s="92">
        <v>0</v>
      </c>
      <c r="K472" s="89">
        <v>0</v>
      </c>
      <c r="L472" s="92">
        <v>0</v>
      </c>
      <c r="M472" s="89">
        <v>0</v>
      </c>
      <c r="N472" s="92">
        <v>0</v>
      </c>
      <c r="O472" s="89">
        <v>0</v>
      </c>
      <c r="P472" s="92">
        <v>0</v>
      </c>
      <c r="Q472" s="89">
        <v>0</v>
      </c>
      <c r="R472" s="92">
        <v>0</v>
      </c>
      <c r="S472" s="89">
        <v>0</v>
      </c>
      <c r="T472" s="92">
        <v>0</v>
      </c>
      <c r="U472" s="89">
        <v>0</v>
      </c>
      <c r="V472" s="92">
        <v>0</v>
      </c>
      <c r="W472" s="89">
        <v>0</v>
      </c>
      <c r="X472" s="92">
        <v>0</v>
      </c>
      <c r="Y472" s="89">
        <v>0</v>
      </c>
      <c r="Z472" s="92">
        <v>0</v>
      </c>
      <c r="AA472" s="89">
        <v>0</v>
      </c>
      <c r="AB472" s="92">
        <v>0</v>
      </c>
      <c r="AC472" s="238">
        <f t="shared" si="219"/>
        <v>0</v>
      </c>
      <c r="AD472" s="238"/>
      <c r="AE472" s="238"/>
    </row>
    <row r="473" spans="2:31" x14ac:dyDescent="0.3">
      <c r="B473" s="13" t="s">
        <v>89</v>
      </c>
      <c r="C473" s="13"/>
      <c r="D473" s="13"/>
      <c r="E473" s="89">
        <v>0</v>
      </c>
      <c r="F473" s="92">
        <v>0</v>
      </c>
      <c r="G473" s="89">
        <v>0</v>
      </c>
      <c r="H473" s="92">
        <v>0</v>
      </c>
      <c r="I473" s="89">
        <v>0</v>
      </c>
      <c r="J473" s="92">
        <v>0</v>
      </c>
      <c r="K473" s="89">
        <v>0</v>
      </c>
      <c r="L473" s="92">
        <v>0</v>
      </c>
      <c r="M473" s="89">
        <v>0</v>
      </c>
      <c r="N473" s="92">
        <v>0</v>
      </c>
      <c r="O473" s="89">
        <v>0</v>
      </c>
      <c r="P473" s="92">
        <v>0</v>
      </c>
      <c r="Q473" s="89">
        <v>0</v>
      </c>
      <c r="R473" s="92">
        <v>0</v>
      </c>
      <c r="S473" s="89">
        <v>0</v>
      </c>
      <c r="T473" s="92">
        <v>0</v>
      </c>
      <c r="U473" s="89">
        <v>0</v>
      </c>
      <c r="V473" s="92">
        <v>0</v>
      </c>
      <c r="W473" s="89">
        <v>0</v>
      </c>
      <c r="X473" s="92">
        <v>0</v>
      </c>
      <c r="Y473" s="89">
        <v>0</v>
      </c>
      <c r="Z473" s="92">
        <v>0</v>
      </c>
      <c r="AA473" s="89">
        <v>0</v>
      </c>
      <c r="AB473" s="92">
        <v>0</v>
      </c>
      <c r="AC473" s="238">
        <f t="shared" si="219"/>
        <v>0</v>
      </c>
      <c r="AD473" s="238"/>
      <c r="AE473" s="238"/>
    </row>
    <row r="474" spans="2:31" x14ac:dyDescent="0.3">
      <c r="B474" s="13" t="s">
        <v>90</v>
      </c>
      <c r="C474" s="13"/>
      <c r="D474" s="13"/>
      <c r="E474" s="89">
        <v>0</v>
      </c>
      <c r="F474" s="92">
        <v>0</v>
      </c>
      <c r="G474" s="89">
        <v>0</v>
      </c>
      <c r="H474" s="92">
        <v>0</v>
      </c>
      <c r="I474" s="89">
        <v>0</v>
      </c>
      <c r="J474" s="92">
        <v>0</v>
      </c>
      <c r="K474" s="89">
        <v>0</v>
      </c>
      <c r="L474" s="92">
        <v>0</v>
      </c>
      <c r="M474" s="89">
        <v>0</v>
      </c>
      <c r="N474" s="92">
        <v>0</v>
      </c>
      <c r="O474" s="89">
        <v>0</v>
      </c>
      <c r="P474" s="92">
        <v>0</v>
      </c>
      <c r="Q474" s="89">
        <v>0</v>
      </c>
      <c r="R474" s="92">
        <v>0</v>
      </c>
      <c r="S474" s="89">
        <v>0</v>
      </c>
      <c r="T474" s="92">
        <v>0</v>
      </c>
      <c r="U474" s="89">
        <v>0</v>
      </c>
      <c r="V474" s="92">
        <v>0</v>
      </c>
      <c r="W474" s="89">
        <v>0</v>
      </c>
      <c r="X474" s="92">
        <v>0</v>
      </c>
      <c r="Y474" s="89">
        <v>0</v>
      </c>
      <c r="Z474" s="92">
        <v>0</v>
      </c>
      <c r="AA474" s="89">
        <v>0</v>
      </c>
      <c r="AB474" s="92">
        <v>0</v>
      </c>
      <c r="AC474" s="238">
        <f t="shared" si="219"/>
        <v>0</v>
      </c>
      <c r="AD474" s="238"/>
      <c r="AE474" s="238"/>
    </row>
    <row r="475" spans="2:31" x14ac:dyDescent="0.3">
      <c r="B475" s="14" t="s">
        <v>2</v>
      </c>
      <c r="C475" s="14"/>
      <c r="D475" s="14"/>
      <c r="E475" s="15">
        <f>SUM(E438:E474)</f>
        <v>0</v>
      </c>
      <c r="F475" s="15">
        <f t="shared" ref="F475" si="220">SUM(F438:F474)</f>
        <v>0</v>
      </c>
      <c r="G475" s="15">
        <f t="shared" ref="G475" si="221">SUM(G438:G474)</f>
        <v>0</v>
      </c>
      <c r="H475" s="15">
        <f t="shared" ref="H475" si="222">SUM(H438:H474)</f>
        <v>0</v>
      </c>
      <c r="I475" s="15">
        <f t="shared" ref="I475" si="223">SUM(I438:I474)</f>
        <v>0</v>
      </c>
      <c r="J475" s="15">
        <f t="shared" ref="J475" si="224">SUM(J438:J474)</f>
        <v>0</v>
      </c>
      <c r="K475" s="15">
        <f t="shared" ref="K475" si="225">SUM(K438:K474)</f>
        <v>0</v>
      </c>
      <c r="L475" s="15">
        <f t="shared" ref="L475" si="226">SUM(L438:L474)</f>
        <v>0</v>
      </c>
      <c r="M475" s="15">
        <f t="shared" ref="M475" si="227">SUM(M438:M474)</f>
        <v>0</v>
      </c>
      <c r="N475" s="15">
        <f t="shared" ref="N475" si="228">SUM(N438:N474)</f>
        <v>0</v>
      </c>
      <c r="O475" s="15">
        <f t="shared" ref="O475" si="229">SUM(O438:O474)</f>
        <v>0</v>
      </c>
      <c r="P475" s="15">
        <f t="shared" ref="P475" si="230">SUM(P438:P474)</f>
        <v>1.1723333333333334</v>
      </c>
      <c r="Q475" s="15">
        <f t="shared" ref="Q475" si="231">SUM(Q438:Q474)</f>
        <v>0</v>
      </c>
      <c r="R475" s="15">
        <f t="shared" ref="R475" si="232">SUM(R438:R474)</f>
        <v>107.91800000000002</v>
      </c>
      <c r="S475" s="15">
        <f t="shared" ref="S475" si="233">SUM(S438:S474)</f>
        <v>253.23350000000005</v>
      </c>
      <c r="T475" s="15">
        <f t="shared" ref="T475" si="234">SUM(T438:T474)</f>
        <v>275.92700000000002</v>
      </c>
      <c r="U475" s="15">
        <f t="shared" ref="U475" si="235">SUM(U438:U474)</f>
        <v>261.28666666666658</v>
      </c>
      <c r="V475" s="15">
        <f t="shared" ref="V475" si="236">SUM(V438:V474)</f>
        <v>24.165666666666674</v>
      </c>
      <c r="W475" s="15">
        <f t="shared" ref="W475" si="237">SUM(W438:W474)</f>
        <v>0.88450000000000017</v>
      </c>
      <c r="X475" s="15">
        <f t="shared" ref="X475" si="238">SUM(X438:X474)</f>
        <v>0</v>
      </c>
      <c r="Y475" s="15">
        <f t="shared" ref="Y475" si="239">SUM(Y438:Y474)</f>
        <v>0</v>
      </c>
      <c r="Z475" s="15">
        <f t="shared" ref="Z475" si="240">SUM(Z438:Z474)</f>
        <v>0</v>
      </c>
      <c r="AA475" s="15">
        <f t="shared" ref="AA475" si="241">SUM(AA438:AA474)</f>
        <v>0</v>
      </c>
      <c r="AB475" s="15">
        <f t="shared" ref="AB475" si="242">SUM(AB438:AB474)</f>
        <v>0</v>
      </c>
      <c r="AC475" s="249">
        <f>SUM(AC438:AE474)</f>
        <v>924.58766666666656</v>
      </c>
      <c r="AD475" s="249"/>
      <c r="AE475" s="249"/>
    </row>
    <row r="478" spans="2:31" x14ac:dyDescent="0.3">
      <c r="B478" s="8">
        <f>'Resumen-Mensual'!$P$22</f>
        <v>44573</v>
      </c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4"/>
      <c r="AD478" s="4"/>
      <c r="AE478" s="4"/>
    </row>
    <row r="479" spans="2:31" x14ac:dyDescent="0.3">
      <c r="B479" s="8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4"/>
      <c r="AD479" s="4"/>
      <c r="AE479" s="4"/>
    </row>
    <row r="480" spans="2:31" x14ac:dyDescent="0.3">
      <c r="B480" s="9" t="s">
        <v>81</v>
      </c>
      <c r="C480" s="10"/>
      <c r="D480" s="10"/>
      <c r="E480" s="11">
        <v>1</v>
      </c>
      <c r="F480" s="11">
        <v>2</v>
      </c>
      <c r="G480" s="11">
        <v>3</v>
      </c>
      <c r="H480" s="11">
        <v>4</v>
      </c>
      <c r="I480" s="11">
        <v>5</v>
      </c>
      <c r="J480" s="11">
        <v>6</v>
      </c>
      <c r="K480" s="11">
        <v>7</v>
      </c>
      <c r="L480" s="11">
        <v>8</v>
      </c>
      <c r="M480" s="11">
        <v>9</v>
      </c>
      <c r="N480" s="11">
        <v>10</v>
      </c>
      <c r="O480" s="11">
        <v>11</v>
      </c>
      <c r="P480" s="11">
        <v>12</v>
      </c>
      <c r="Q480" s="11">
        <v>13</v>
      </c>
      <c r="R480" s="11">
        <v>14</v>
      </c>
      <c r="S480" s="11">
        <v>15</v>
      </c>
      <c r="T480" s="11">
        <v>16</v>
      </c>
      <c r="U480" s="11">
        <v>17</v>
      </c>
      <c r="V480" s="11">
        <v>18</v>
      </c>
      <c r="W480" s="11">
        <v>19</v>
      </c>
      <c r="X480" s="11">
        <v>20</v>
      </c>
      <c r="Y480" s="11">
        <v>21</v>
      </c>
      <c r="Z480" s="11">
        <v>22</v>
      </c>
      <c r="AA480" s="11">
        <v>23</v>
      </c>
      <c r="AB480" s="11">
        <v>24</v>
      </c>
      <c r="AC480" s="248" t="s">
        <v>2</v>
      </c>
      <c r="AD480" s="248"/>
      <c r="AE480" s="248"/>
    </row>
    <row r="481" spans="2:31" x14ac:dyDescent="0.3">
      <c r="B481" s="245" t="s">
        <v>4</v>
      </c>
      <c r="C481" s="245"/>
      <c r="D481" s="245"/>
      <c r="E481" s="97">
        <v>0</v>
      </c>
      <c r="F481" s="98">
        <v>0</v>
      </c>
      <c r="G481" s="97">
        <v>0</v>
      </c>
      <c r="H481" s="98">
        <v>0</v>
      </c>
      <c r="I481" s="97">
        <v>0</v>
      </c>
      <c r="J481" s="98">
        <v>0</v>
      </c>
      <c r="K481" s="97">
        <v>0</v>
      </c>
      <c r="L481" s="98">
        <v>0</v>
      </c>
      <c r="M481" s="97">
        <v>0</v>
      </c>
      <c r="N481" s="98">
        <v>0</v>
      </c>
      <c r="O481" s="97">
        <v>0</v>
      </c>
      <c r="P481" s="98">
        <v>0</v>
      </c>
      <c r="Q481" s="97">
        <v>0</v>
      </c>
      <c r="R481" s="98">
        <v>0</v>
      </c>
      <c r="S481" s="97">
        <v>0</v>
      </c>
      <c r="T481" s="98">
        <v>0</v>
      </c>
      <c r="U481" s="97">
        <v>0</v>
      </c>
      <c r="V481" s="98">
        <v>0</v>
      </c>
      <c r="W481" s="97">
        <v>0</v>
      </c>
      <c r="X481" s="98">
        <v>0</v>
      </c>
      <c r="Y481" s="97">
        <v>0</v>
      </c>
      <c r="Z481" s="98">
        <v>0</v>
      </c>
      <c r="AA481" s="97">
        <v>0</v>
      </c>
      <c r="AB481" s="98">
        <v>0</v>
      </c>
      <c r="AC481" s="238">
        <f>SUM(E481:AB481)</f>
        <v>0</v>
      </c>
      <c r="AD481" s="238"/>
      <c r="AE481" s="238"/>
    </row>
    <row r="482" spans="2:31" x14ac:dyDescent="0.3">
      <c r="B482" s="245" t="s">
        <v>5</v>
      </c>
      <c r="C482" s="245"/>
      <c r="D482" s="245"/>
      <c r="E482" s="96">
        <v>0</v>
      </c>
      <c r="F482" s="99">
        <v>0</v>
      </c>
      <c r="G482" s="96">
        <v>0</v>
      </c>
      <c r="H482" s="99">
        <v>0</v>
      </c>
      <c r="I482" s="96">
        <v>0</v>
      </c>
      <c r="J482" s="99">
        <v>0</v>
      </c>
      <c r="K482" s="96">
        <v>0</v>
      </c>
      <c r="L482" s="99">
        <v>0</v>
      </c>
      <c r="M482" s="96">
        <v>0</v>
      </c>
      <c r="N482" s="99">
        <v>0</v>
      </c>
      <c r="O482" s="96">
        <v>0</v>
      </c>
      <c r="P482" s="99">
        <v>0</v>
      </c>
      <c r="Q482" s="96">
        <v>0</v>
      </c>
      <c r="R482" s="99">
        <v>11.916333333333331</v>
      </c>
      <c r="S482" s="96">
        <v>30.762499999999985</v>
      </c>
      <c r="T482" s="99">
        <v>44.229833333333339</v>
      </c>
      <c r="U482" s="96">
        <v>55.629499999999993</v>
      </c>
      <c r="V482" s="99">
        <v>51.255166666666668</v>
      </c>
      <c r="W482" s="96">
        <v>18.109166666666663</v>
      </c>
      <c r="X482" s="99">
        <v>0</v>
      </c>
      <c r="Y482" s="96">
        <v>0</v>
      </c>
      <c r="Z482" s="99">
        <v>0</v>
      </c>
      <c r="AA482" s="96">
        <v>0</v>
      </c>
      <c r="AB482" s="99">
        <v>0</v>
      </c>
      <c r="AC482" s="238">
        <f t="shared" ref="AC482:AC517" si="243">SUM(E482:AB482)</f>
        <v>211.90249999999997</v>
      </c>
      <c r="AD482" s="238"/>
      <c r="AE482" s="238"/>
    </row>
    <row r="483" spans="2:31" x14ac:dyDescent="0.3">
      <c r="B483" s="245" t="s">
        <v>6</v>
      </c>
      <c r="C483" s="245"/>
      <c r="D483" s="245"/>
      <c r="E483" s="96">
        <v>0</v>
      </c>
      <c r="F483" s="99">
        <v>0</v>
      </c>
      <c r="G483" s="96">
        <v>0</v>
      </c>
      <c r="H483" s="99">
        <v>0</v>
      </c>
      <c r="I483" s="96">
        <v>0</v>
      </c>
      <c r="J483" s="99">
        <v>0</v>
      </c>
      <c r="K483" s="96">
        <v>0</v>
      </c>
      <c r="L483" s="99">
        <v>0</v>
      </c>
      <c r="M483" s="96">
        <v>0</v>
      </c>
      <c r="N483" s="99">
        <v>0</v>
      </c>
      <c r="O483" s="96">
        <v>0</v>
      </c>
      <c r="P483" s="99">
        <v>0</v>
      </c>
      <c r="Q483" s="96">
        <v>0</v>
      </c>
      <c r="R483" s="99">
        <v>0</v>
      </c>
      <c r="S483" s="96">
        <v>0</v>
      </c>
      <c r="T483" s="99">
        <v>0</v>
      </c>
      <c r="U483" s="96">
        <v>0</v>
      </c>
      <c r="V483" s="99">
        <v>8.8166666666667712E-2</v>
      </c>
      <c r="W483" s="96">
        <v>0</v>
      </c>
      <c r="X483" s="99">
        <v>0</v>
      </c>
      <c r="Y483" s="96">
        <v>0</v>
      </c>
      <c r="Z483" s="99">
        <v>0</v>
      </c>
      <c r="AA483" s="96">
        <v>0</v>
      </c>
      <c r="AB483" s="99">
        <v>0</v>
      </c>
      <c r="AC483" s="238">
        <f t="shared" si="243"/>
        <v>8.8166666666667712E-2</v>
      </c>
      <c r="AD483" s="238"/>
      <c r="AE483" s="238"/>
    </row>
    <row r="484" spans="2:31" x14ac:dyDescent="0.3">
      <c r="B484" s="245" t="s">
        <v>91</v>
      </c>
      <c r="C484" s="245"/>
      <c r="D484" s="245"/>
      <c r="E484" s="96">
        <v>0</v>
      </c>
      <c r="F484" s="99">
        <v>0</v>
      </c>
      <c r="G484" s="96">
        <v>0</v>
      </c>
      <c r="H484" s="99">
        <v>0</v>
      </c>
      <c r="I484" s="96">
        <v>0</v>
      </c>
      <c r="J484" s="99">
        <v>0</v>
      </c>
      <c r="K484" s="96">
        <v>0</v>
      </c>
      <c r="L484" s="99">
        <v>0</v>
      </c>
      <c r="M484" s="96">
        <v>0</v>
      </c>
      <c r="N484" s="99">
        <v>0</v>
      </c>
      <c r="O484" s="96">
        <v>0</v>
      </c>
      <c r="P484" s="99">
        <v>0</v>
      </c>
      <c r="Q484" s="96">
        <v>0</v>
      </c>
      <c r="R484" s="99">
        <v>0</v>
      </c>
      <c r="S484" s="96">
        <v>0</v>
      </c>
      <c r="T484" s="99">
        <v>0</v>
      </c>
      <c r="U484" s="96">
        <v>0</v>
      </c>
      <c r="V484" s="99">
        <v>0</v>
      </c>
      <c r="W484" s="96">
        <v>0</v>
      </c>
      <c r="X484" s="99">
        <v>0</v>
      </c>
      <c r="Y484" s="96">
        <v>0</v>
      </c>
      <c r="Z484" s="99">
        <v>0</v>
      </c>
      <c r="AA484" s="96">
        <v>0</v>
      </c>
      <c r="AB484" s="99">
        <v>0</v>
      </c>
      <c r="AC484" s="238">
        <f t="shared" si="243"/>
        <v>0</v>
      </c>
      <c r="AD484" s="238"/>
      <c r="AE484" s="238"/>
    </row>
    <row r="485" spans="2:31" x14ac:dyDescent="0.3">
      <c r="B485" s="245" t="s">
        <v>7</v>
      </c>
      <c r="C485" s="245"/>
      <c r="D485" s="245"/>
      <c r="E485" s="96">
        <v>0</v>
      </c>
      <c r="F485" s="99">
        <v>0</v>
      </c>
      <c r="G485" s="96">
        <v>0</v>
      </c>
      <c r="H485" s="99">
        <v>0</v>
      </c>
      <c r="I485" s="96">
        <v>0</v>
      </c>
      <c r="J485" s="99">
        <v>0</v>
      </c>
      <c r="K485" s="96">
        <v>0</v>
      </c>
      <c r="L485" s="99">
        <v>0</v>
      </c>
      <c r="M485" s="96">
        <v>0</v>
      </c>
      <c r="N485" s="99">
        <v>0</v>
      </c>
      <c r="O485" s="96">
        <v>0</v>
      </c>
      <c r="P485" s="99">
        <v>0.39316666666666705</v>
      </c>
      <c r="Q485" s="96">
        <v>10.758833333333337</v>
      </c>
      <c r="R485" s="99">
        <v>17.34416666666667</v>
      </c>
      <c r="S485" s="96">
        <v>21.043166666666668</v>
      </c>
      <c r="T485" s="99">
        <v>30.950666666666667</v>
      </c>
      <c r="U485" s="96">
        <v>30.907666666666668</v>
      </c>
      <c r="V485" s="99">
        <v>30.961666666666666</v>
      </c>
      <c r="W485" s="96">
        <v>49.978499999999983</v>
      </c>
      <c r="X485" s="99">
        <v>7.2638333333333289</v>
      </c>
      <c r="Y485" s="96">
        <v>0</v>
      </c>
      <c r="Z485" s="99">
        <v>0</v>
      </c>
      <c r="AA485" s="96">
        <v>0</v>
      </c>
      <c r="AB485" s="99">
        <v>0</v>
      </c>
      <c r="AC485" s="238">
        <f t="shared" si="243"/>
        <v>199.60166666666666</v>
      </c>
      <c r="AD485" s="238"/>
      <c r="AE485" s="238"/>
    </row>
    <row r="486" spans="2:31" x14ac:dyDescent="0.3">
      <c r="B486" s="245" t="s">
        <v>8</v>
      </c>
      <c r="C486" s="245"/>
      <c r="D486" s="245"/>
      <c r="E486" s="96">
        <v>0</v>
      </c>
      <c r="F486" s="99">
        <v>0</v>
      </c>
      <c r="G486" s="96">
        <v>0</v>
      </c>
      <c r="H486" s="99">
        <v>0</v>
      </c>
      <c r="I486" s="96">
        <v>0</v>
      </c>
      <c r="J486" s="99">
        <v>0</v>
      </c>
      <c r="K486" s="96">
        <v>0</v>
      </c>
      <c r="L486" s="99">
        <v>0</v>
      </c>
      <c r="M486" s="96">
        <v>0</v>
      </c>
      <c r="N486" s="99">
        <v>0</v>
      </c>
      <c r="O486" s="96">
        <v>0</v>
      </c>
      <c r="P486" s="99">
        <v>0</v>
      </c>
      <c r="Q486" s="96">
        <v>0</v>
      </c>
      <c r="R486" s="99">
        <v>9.3896666666666686</v>
      </c>
      <c r="S486" s="96">
        <v>29.844333333333346</v>
      </c>
      <c r="T486" s="99">
        <v>39.16099999999998</v>
      </c>
      <c r="U486" s="96">
        <v>41.3481666666667</v>
      </c>
      <c r="V486" s="99">
        <v>3.2319999999999993</v>
      </c>
      <c r="W486" s="96">
        <v>0</v>
      </c>
      <c r="X486" s="99">
        <v>0</v>
      </c>
      <c r="Y486" s="96">
        <v>0</v>
      </c>
      <c r="Z486" s="99">
        <v>0</v>
      </c>
      <c r="AA486" s="96">
        <v>0</v>
      </c>
      <c r="AB486" s="99">
        <v>0</v>
      </c>
      <c r="AC486" s="238">
        <f t="shared" si="243"/>
        <v>122.97516666666669</v>
      </c>
      <c r="AD486" s="238"/>
      <c r="AE486" s="238"/>
    </row>
    <row r="487" spans="2:31" x14ac:dyDescent="0.3">
      <c r="B487" s="245" t="s">
        <v>9</v>
      </c>
      <c r="C487" s="245"/>
      <c r="D487" s="245"/>
      <c r="E487" s="96">
        <v>0</v>
      </c>
      <c r="F487" s="99">
        <v>0</v>
      </c>
      <c r="G487" s="96">
        <v>0</v>
      </c>
      <c r="H487" s="99">
        <v>0</v>
      </c>
      <c r="I487" s="96">
        <v>0</v>
      </c>
      <c r="J487" s="99">
        <v>0</v>
      </c>
      <c r="K487" s="96">
        <v>0</v>
      </c>
      <c r="L487" s="99">
        <v>0</v>
      </c>
      <c r="M487" s="96">
        <v>0</v>
      </c>
      <c r="N487" s="99">
        <v>0</v>
      </c>
      <c r="O487" s="96">
        <v>0</v>
      </c>
      <c r="P487" s="99">
        <v>0</v>
      </c>
      <c r="Q487" s="96">
        <v>4.333333333333333</v>
      </c>
      <c r="R487" s="99">
        <v>37.299999999999983</v>
      </c>
      <c r="S487" s="96">
        <v>50.099999999999945</v>
      </c>
      <c r="T487" s="99">
        <v>70.099999999999952</v>
      </c>
      <c r="U487" s="96">
        <v>89.399999999999949</v>
      </c>
      <c r="V487" s="99">
        <v>104.19999999999989</v>
      </c>
      <c r="W487" s="96">
        <v>42.524999999999999</v>
      </c>
      <c r="X487" s="99">
        <v>0</v>
      </c>
      <c r="Y487" s="96">
        <v>0</v>
      </c>
      <c r="Z487" s="99">
        <v>0</v>
      </c>
      <c r="AA487" s="96">
        <v>0</v>
      </c>
      <c r="AB487" s="99">
        <v>0</v>
      </c>
      <c r="AC487" s="238">
        <f t="shared" si="243"/>
        <v>397.95833333333303</v>
      </c>
      <c r="AD487" s="238"/>
      <c r="AE487" s="238"/>
    </row>
    <row r="488" spans="2:31" x14ac:dyDescent="0.3">
      <c r="B488" s="245" t="s">
        <v>10</v>
      </c>
      <c r="C488" s="245"/>
      <c r="D488" s="245"/>
      <c r="E488" s="96">
        <v>0</v>
      </c>
      <c r="F488" s="99">
        <v>0</v>
      </c>
      <c r="G488" s="96">
        <v>0</v>
      </c>
      <c r="H488" s="99">
        <v>0</v>
      </c>
      <c r="I488" s="96">
        <v>0</v>
      </c>
      <c r="J488" s="99">
        <v>0</v>
      </c>
      <c r="K488" s="96">
        <v>0</v>
      </c>
      <c r="L488" s="99">
        <v>0</v>
      </c>
      <c r="M488" s="96">
        <v>0</v>
      </c>
      <c r="N488" s="99">
        <v>0</v>
      </c>
      <c r="O488" s="96">
        <v>0</v>
      </c>
      <c r="P488" s="99">
        <v>0</v>
      </c>
      <c r="Q488" s="96">
        <v>0</v>
      </c>
      <c r="R488" s="99">
        <v>0</v>
      </c>
      <c r="S488" s="96">
        <v>0</v>
      </c>
      <c r="T488" s="99">
        <v>0</v>
      </c>
      <c r="U488" s="96">
        <v>0</v>
      </c>
      <c r="V488" s="99">
        <v>4.1816666666666658</v>
      </c>
      <c r="W488" s="96">
        <v>0</v>
      </c>
      <c r="X488" s="99">
        <v>0</v>
      </c>
      <c r="Y488" s="96">
        <v>0</v>
      </c>
      <c r="Z488" s="99">
        <v>0</v>
      </c>
      <c r="AA488" s="96">
        <v>0</v>
      </c>
      <c r="AB488" s="99">
        <v>0</v>
      </c>
      <c r="AC488" s="238">
        <f t="shared" si="243"/>
        <v>4.1816666666666658</v>
      </c>
      <c r="AD488" s="238"/>
      <c r="AE488" s="238"/>
    </row>
    <row r="489" spans="2:31" x14ac:dyDescent="0.3">
      <c r="B489" s="245" t="s">
        <v>11</v>
      </c>
      <c r="C489" s="245"/>
      <c r="D489" s="245"/>
      <c r="E489" s="96">
        <v>0</v>
      </c>
      <c r="F489" s="99">
        <v>0</v>
      </c>
      <c r="G489" s="96">
        <v>0</v>
      </c>
      <c r="H489" s="99">
        <v>0</v>
      </c>
      <c r="I489" s="96">
        <v>0</v>
      </c>
      <c r="J489" s="99">
        <v>0</v>
      </c>
      <c r="K489" s="96">
        <v>0</v>
      </c>
      <c r="L489" s="99">
        <v>0</v>
      </c>
      <c r="M489" s="96">
        <v>0</v>
      </c>
      <c r="N489" s="99">
        <v>0</v>
      </c>
      <c r="O489" s="96">
        <v>0</v>
      </c>
      <c r="P489" s="99">
        <v>0</v>
      </c>
      <c r="Q489" s="96">
        <v>0</v>
      </c>
      <c r="R489" s="99">
        <v>0</v>
      </c>
      <c r="S489" s="96">
        <v>0</v>
      </c>
      <c r="T489" s="99">
        <v>0</v>
      </c>
      <c r="U489" s="96">
        <v>15.6945</v>
      </c>
      <c r="V489" s="99">
        <v>12.799166666666668</v>
      </c>
      <c r="W489" s="96">
        <v>0</v>
      </c>
      <c r="X489" s="99">
        <v>0</v>
      </c>
      <c r="Y489" s="96">
        <v>0</v>
      </c>
      <c r="Z489" s="99">
        <v>0</v>
      </c>
      <c r="AA489" s="96">
        <v>0</v>
      </c>
      <c r="AB489" s="99">
        <v>0</v>
      </c>
      <c r="AC489" s="238">
        <f t="shared" si="243"/>
        <v>28.49366666666667</v>
      </c>
      <c r="AD489" s="238"/>
      <c r="AE489" s="238"/>
    </row>
    <row r="490" spans="2:31" x14ac:dyDescent="0.3">
      <c r="B490" s="245" t="s">
        <v>12</v>
      </c>
      <c r="C490" s="245"/>
      <c r="D490" s="245"/>
      <c r="E490" s="96">
        <v>0</v>
      </c>
      <c r="F490" s="99">
        <v>0</v>
      </c>
      <c r="G490" s="96">
        <v>0</v>
      </c>
      <c r="H490" s="99">
        <v>0</v>
      </c>
      <c r="I490" s="96">
        <v>0</v>
      </c>
      <c r="J490" s="99">
        <v>0</v>
      </c>
      <c r="K490" s="96">
        <v>0</v>
      </c>
      <c r="L490" s="99">
        <v>0</v>
      </c>
      <c r="M490" s="96">
        <v>0</v>
      </c>
      <c r="N490" s="99">
        <v>0</v>
      </c>
      <c r="O490" s="96">
        <v>0</v>
      </c>
      <c r="P490" s="99">
        <v>0</v>
      </c>
      <c r="Q490" s="96">
        <v>0</v>
      </c>
      <c r="R490" s="99">
        <v>2.7860000000000005</v>
      </c>
      <c r="S490" s="96">
        <v>3.0038333333333367</v>
      </c>
      <c r="T490" s="99">
        <v>18.604666666666667</v>
      </c>
      <c r="U490" s="96">
        <v>38.348166666666678</v>
      </c>
      <c r="V490" s="99">
        <v>23.327833333333324</v>
      </c>
      <c r="W490" s="96">
        <v>3.5090000000000017</v>
      </c>
      <c r="X490" s="99">
        <v>0</v>
      </c>
      <c r="Y490" s="96">
        <v>0</v>
      </c>
      <c r="Z490" s="99">
        <v>0</v>
      </c>
      <c r="AA490" s="96">
        <v>0</v>
      </c>
      <c r="AB490" s="99">
        <v>0</v>
      </c>
      <c r="AC490" s="238">
        <f t="shared" si="243"/>
        <v>89.57950000000001</v>
      </c>
      <c r="AD490" s="238"/>
      <c r="AE490" s="238"/>
    </row>
    <row r="491" spans="2:31" x14ac:dyDescent="0.3">
      <c r="B491" s="245" t="s">
        <v>13</v>
      </c>
      <c r="C491" s="245"/>
      <c r="D491" s="245"/>
      <c r="E491" s="96">
        <v>0</v>
      </c>
      <c r="F491" s="99">
        <v>0</v>
      </c>
      <c r="G491" s="96">
        <v>0</v>
      </c>
      <c r="H491" s="99">
        <v>0</v>
      </c>
      <c r="I491" s="96">
        <v>0</v>
      </c>
      <c r="J491" s="99">
        <v>0</v>
      </c>
      <c r="K491" s="96">
        <v>0</v>
      </c>
      <c r="L491" s="99">
        <v>0</v>
      </c>
      <c r="M491" s="96">
        <v>0</v>
      </c>
      <c r="N491" s="99">
        <v>0</v>
      </c>
      <c r="O491" s="96">
        <v>0</v>
      </c>
      <c r="P491" s="99">
        <v>0</v>
      </c>
      <c r="Q491" s="96">
        <v>0</v>
      </c>
      <c r="R491" s="99">
        <v>0</v>
      </c>
      <c r="S491" s="96">
        <v>0</v>
      </c>
      <c r="T491" s="99">
        <v>0</v>
      </c>
      <c r="U491" s="96">
        <v>0</v>
      </c>
      <c r="V491" s="99">
        <v>0</v>
      </c>
      <c r="W491" s="96">
        <v>0</v>
      </c>
      <c r="X491" s="99">
        <v>0</v>
      </c>
      <c r="Y491" s="96">
        <v>0</v>
      </c>
      <c r="Z491" s="99">
        <v>0</v>
      </c>
      <c r="AA491" s="96">
        <v>0</v>
      </c>
      <c r="AB491" s="99">
        <v>0</v>
      </c>
      <c r="AC491" s="238">
        <f t="shared" si="243"/>
        <v>0</v>
      </c>
      <c r="AD491" s="238"/>
      <c r="AE491" s="238"/>
    </row>
    <row r="492" spans="2:31" x14ac:dyDescent="0.3">
      <c r="B492" s="245" t="s">
        <v>14</v>
      </c>
      <c r="C492" s="245"/>
      <c r="D492" s="245"/>
      <c r="E492" s="96">
        <v>0</v>
      </c>
      <c r="F492" s="99">
        <v>0</v>
      </c>
      <c r="G492" s="96">
        <v>0</v>
      </c>
      <c r="H492" s="99">
        <v>0</v>
      </c>
      <c r="I492" s="96">
        <v>0</v>
      </c>
      <c r="J492" s="99">
        <v>0</v>
      </c>
      <c r="K492" s="96">
        <v>0</v>
      </c>
      <c r="L492" s="99">
        <v>0</v>
      </c>
      <c r="M492" s="96">
        <v>0</v>
      </c>
      <c r="N492" s="99">
        <v>0</v>
      </c>
      <c r="O492" s="96">
        <v>0</v>
      </c>
      <c r="P492" s="99">
        <v>0</v>
      </c>
      <c r="Q492" s="96">
        <v>0</v>
      </c>
      <c r="R492" s="99">
        <v>0.24600000000000002</v>
      </c>
      <c r="S492" s="96">
        <v>3.6634999999999991</v>
      </c>
      <c r="T492" s="99">
        <v>4.8049999999999979</v>
      </c>
      <c r="U492" s="96">
        <v>5.0098333333333329</v>
      </c>
      <c r="V492" s="99">
        <v>4.7316666666666647</v>
      </c>
      <c r="W492" s="96">
        <v>1.6589999999999996</v>
      </c>
      <c r="X492" s="99">
        <v>0</v>
      </c>
      <c r="Y492" s="96">
        <v>0</v>
      </c>
      <c r="Z492" s="99">
        <v>0</v>
      </c>
      <c r="AA492" s="96">
        <v>0</v>
      </c>
      <c r="AB492" s="99">
        <v>0</v>
      </c>
      <c r="AC492" s="238">
        <f t="shared" si="243"/>
        <v>20.114999999999995</v>
      </c>
      <c r="AD492" s="238"/>
      <c r="AE492" s="238"/>
    </row>
    <row r="493" spans="2:31" x14ac:dyDescent="0.3">
      <c r="B493" s="245" t="s">
        <v>15</v>
      </c>
      <c r="C493" s="245"/>
      <c r="D493" s="245"/>
      <c r="E493" s="96">
        <v>0</v>
      </c>
      <c r="F493" s="99">
        <v>0</v>
      </c>
      <c r="G493" s="96">
        <v>0</v>
      </c>
      <c r="H493" s="99">
        <v>0</v>
      </c>
      <c r="I493" s="96">
        <v>0</v>
      </c>
      <c r="J493" s="99">
        <v>0</v>
      </c>
      <c r="K493" s="96">
        <v>0</v>
      </c>
      <c r="L493" s="99">
        <v>0</v>
      </c>
      <c r="M493" s="96">
        <v>0</v>
      </c>
      <c r="N493" s="99">
        <v>0</v>
      </c>
      <c r="O493" s="96">
        <v>0</v>
      </c>
      <c r="P493" s="99">
        <v>0</v>
      </c>
      <c r="Q493" s="96">
        <v>0</v>
      </c>
      <c r="R493" s="99">
        <v>0</v>
      </c>
      <c r="S493" s="96">
        <v>0</v>
      </c>
      <c r="T493" s="99">
        <v>0</v>
      </c>
      <c r="U493" s="96">
        <v>0</v>
      </c>
      <c r="V493" s="99">
        <v>0</v>
      </c>
      <c r="W493" s="96">
        <v>0</v>
      </c>
      <c r="X493" s="99">
        <v>0</v>
      </c>
      <c r="Y493" s="96">
        <v>0</v>
      </c>
      <c r="Z493" s="99">
        <v>0</v>
      </c>
      <c r="AA493" s="96">
        <v>0</v>
      </c>
      <c r="AB493" s="99">
        <v>0</v>
      </c>
      <c r="AC493" s="238">
        <f t="shared" si="243"/>
        <v>0</v>
      </c>
      <c r="AD493" s="238"/>
      <c r="AE493" s="238"/>
    </row>
    <row r="494" spans="2:31" x14ac:dyDescent="0.3">
      <c r="B494" s="245" t="s">
        <v>16</v>
      </c>
      <c r="C494" s="245"/>
      <c r="D494" s="245"/>
      <c r="E494" s="96">
        <v>0</v>
      </c>
      <c r="F494" s="99">
        <v>0</v>
      </c>
      <c r="G494" s="96">
        <v>0</v>
      </c>
      <c r="H494" s="99">
        <v>0</v>
      </c>
      <c r="I494" s="96">
        <v>0</v>
      </c>
      <c r="J494" s="99">
        <v>0</v>
      </c>
      <c r="K494" s="96">
        <v>0</v>
      </c>
      <c r="L494" s="99">
        <v>0</v>
      </c>
      <c r="M494" s="96">
        <v>0</v>
      </c>
      <c r="N494" s="99">
        <v>0</v>
      </c>
      <c r="O494" s="96">
        <v>0</v>
      </c>
      <c r="P494" s="99">
        <v>0</v>
      </c>
      <c r="Q494" s="96">
        <v>0</v>
      </c>
      <c r="R494" s="99">
        <v>0</v>
      </c>
      <c r="S494" s="96">
        <v>0</v>
      </c>
      <c r="T494" s="99">
        <v>0</v>
      </c>
      <c r="U494" s="96">
        <v>0</v>
      </c>
      <c r="V494" s="99">
        <v>0</v>
      </c>
      <c r="W494" s="96">
        <v>0</v>
      </c>
      <c r="X494" s="99">
        <v>0</v>
      </c>
      <c r="Y494" s="96">
        <v>0</v>
      </c>
      <c r="Z494" s="99">
        <v>0</v>
      </c>
      <c r="AA494" s="96">
        <v>0</v>
      </c>
      <c r="AB494" s="99">
        <v>0</v>
      </c>
      <c r="AC494" s="238">
        <f t="shared" si="243"/>
        <v>0</v>
      </c>
      <c r="AD494" s="238"/>
      <c r="AE494" s="238"/>
    </row>
    <row r="495" spans="2:31" x14ac:dyDescent="0.3">
      <c r="B495" s="245" t="s">
        <v>17</v>
      </c>
      <c r="C495" s="245"/>
      <c r="D495" s="245"/>
      <c r="E495" s="96">
        <v>0</v>
      </c>
      <c r="F495" s="99">
        <v>0</v>
      </c>
      <c r="G495" s="96">
        <v>0</v>
      </c>
      <c r="H495" s="99">
        <v>0</v>
      </c>
      <c r="I495" s="96">
        <v>0</v>
      </c>
      <c r="J495" s="99">
        <v>0</v>
      </c>
      <c r="K495" s="96">
        <v>0</v>
      </c>
      <c r="L495" s="99">
        <v>0</v>
      </c>
      <c r="M495" s="96">
        <v>0</v>
      </c>
      <c r="N495" s="99">
        <v>0</v>
      </c>
      <c r="O495" s="96">
        <v>0</v>
      </c>
      <c r="P495" s="99">
        <v>0</v>
      </c>
      <c r="Q495" s="96">
        <v>0</v>
      </c>
      <c r="R495" s="99">
        <v>0</v>
      </c>
      <c r="S495" s="96">
        <v>5.4531666666666672</v>
      </c>
      <c r="T495" s="99">
        <v>14.011833333333328</v>
      </c>
      <c r="U495" s="96">
        <v>17.989666666666668</v>
      </c>
      <c r="V495" s="99">
        <v>19.629666666666665</v>
      </c>
      <c r="W495" s="96">
        <v>6.9131666666666653</v>
      </c>
      <c r="X495" s="99">
        <v>0</v>
      </c>
      <c r="Y495" s="96">
        <v>0</v>
      </c>
      <c r="Z495" s="99">
        <v>0</v>
      </c>
      <c r="AA495" s="96">
        <v>0</v>
      </c>
      <c r="AB495" s="99">
        <v>0</v>
      </c>
      <c r="AC495" s="238">
        <f t="shared" si="243"/>
        <v>63.997500000000002</v>
      </c>
      <c r="AD495" s="238"/>
      <c r="AE495" s="238"/>
    </row>
    <row r="496" spans="2:31" x14ac:dyDescent="0.3">
      <c r="B496" s="245" t="s">
        <v>18</v>
      </c>
      <c r="C496" s="245"/>
      <c r="D496" s="245"/>
      <c r="E496" s="96">
        <v>0</v>
      </c>
      <c r="F496" s="99">
        <v>0</v>
      </c>
      <c r="G496" s="96">
        <v>0</v>
      </c>
      <c r="H496" s="99">
        <v>0</v>
      </c>
      <c r="I496" s="96">
        <v>0</v>
      </c>
      <c r="J496" s="99">
        <v>0</v>
      </c>
      <c r="K496" s="96">
        <v>0</v>
      </c>
      <c r="L496" s="99">
        <v>0</v>
      </c>
      <c r="M496" s="96">
        <v>0</v>
      </c>
      <c r="N496" s="99">
        <v>0</v>
      </c>
      <c r="O496" s="96">
        <v>0</v>
      </c>
      <c r="P496" s="99">
        <v>0</v>
      </c>
      <c r="Q496" s="96">
        <v>0</v>
      </c>
      <c r="R496" s="99">
        <v>0</v>
      </c>
      <c r="S496" s="96">
        <v>0</v>
      </c>
      <c r="T496" s="99">
        <v>0</v>
      </c>
      <c r="U496" s="96">
        <v>0</v>
      </c>
      <c r="V496" s="99">
        <v>0</v>
      </c>
      <c r="W496" s="96">
        <v>0</v>
      </c>
      <c r="X496" s="99">
        <v>0</v>
      </c>
      <c r="Y496" s="96">
        <v>0</v>
      </c>
      <c r="Z496" s="99">
        <v>0</v>
      </c>
      <c r="AA496" s="96">
        <v>0</v>
      </c>
      <c r="AB496" s="99">
        <v>0</v>
      </c>
      <c r="AC496" s="238">
        <f t="shared" si="243"/>
        <v>0</v>
      </c>
      <c r="AD496" s="238"/>
      <c r="AE496" s="238"/>
    </row>
    <row r="497" spans="2:31" x14ac:dyDescent="0.3">
      <c r="B497" s="245" t="s">
        <v>19</v>
      </c>
      <c r="C497" s="245"/>
      <c r="D497" s="245"/>
      <c r="E497" s="96">
        <v>0</v>
      </c>
      <c r="F497" s="99">
        <v>0</v>
      </c>
      <c r="G497" s="96">
        <v>0</v>
      </c>
      <c r="H497" s="99">
        <v>0</v>
      </c>
      <c r="I497" s="96">
        <v>0</v>
      </c>
      <c r="J497" s="99">
        <v>0</v>
      </c>
      <c r="K497" s="96">
        <v>0</v>
      </c>
      <c r="L497" s="99">
        <v>0</v>
      </c>
      <c r="M497" s="96">
        <v>0</v>
      </c>
      <c r="N497" s="99">
        <v>0</v>
      </c>
      <c r="O497" s="96">
        <v>0</v>
      </c>
      <c r="P497" s="99">
        <v>0</v>
      </c>
      <c r="Q497" s="96">
        <v>0</v>
      </c>
      <c r="R497" s="99">
        <v>0</v>
      </c>
      <c r="S497" s="96">
        <v>0</v>
      </c>
      <c r="T497" s="99">
        <v>0</v>
      </c>
      <c r="U497" s="96">
        <v>0</v>
      </c>
      <c r="V497" s="99">
        <v>0</v>
      </c>
      <c r="W497" s="96">
        <v>0</v>
      </c>
      <c r="X497" s="99">
        <v>0</v>
      </c>
      <c r="Y497" s="96">
        <v>0</v>
      </c>
      <c r="Z497" s="99">
        <v>0</v>
      </c>
      <c r="AA497" s="96">
        <v>0</v>
      </c>
      <c r="AB497" s="99">
        <v>0</v>
      </c>
      <c r="AC497" s="238">
        <f t="shared" si="243"/>
        <v>0</v>
      </c>
      <c r="AD497" s="238"/>
      <c r="AE497" s="238"/>
    </row>
    <row r="498" spans="2:31" x14ac:dyDescent="0.3">
      <c r="B498" s="245" t="s">
        <v>20</v>
      </c>
      <c r="C498" s="245"/>
      <c r="D498" s="245"/>
      <c r="E498" s="96">
        <v>0</v>
      </c>
      <c r="F498" s="99">
        <v>0</v>
      </c>
      <c r="G498" s="96">
        <v>0</v>
      </c>
      <c r="H498" s="99">
        <v>0</v>
      </c>
      <c r="I498" s="96">
        <v>0</v>
      </c>
      <c r="J498" s="99">
        <v>0</v>
      </c>
      <c r="K498" s="96">
        <v>0</v>
      </c>
      <c r="L498" s="99">
        <v>0</v>
      </c>
      <c r="M498" s="96">
        <v>0</v>
      </c>
      <c r="N498" s="99">
        <v>0</v>
      </c>
      <c r="O498" s="96">
        <v>0</v>
      </c>
      <c r="P498" s="99">
        <v>0</v>
      </c>
      <c r="Q498" s="96">
        <v>0</v>
      </c>
      <c r="R498" s="99">
        <v>0</v>
      </c>
      <c r="S498" s="96">
        <v>0</v>
      </c>
      <c r="T498" s="99">
        <v>2.1800000000000028</v>
      </c>
      <c r="U498" s="96">
        <v>4.9799999999999995</v>
      </c>
      <c r="V498" s="99">
        <v>6.6800000000000059</v>
      </c>
      <c r="W498" s="96">
        <v>2.5130000000000012</v>
      </c>
      <c r="X498" s="99">
        <v>0</v>
      </c>
      <c r="Y498" s="96">
        <v>0</v>
      </c>
      <c r="Z498" s="99">
        <v>0</v>
      </c>
      <c r="AA498" s="96">
        <v>0</v>
      </c>
      <c r="AB498" s="99">
        <v>0</v>
      </c>
      <c r="AC498" s="238">
        <f t="shared" si="243"/>
        <v>16.353000000000009</v>
      </c>
      <c r="AD498" s="238"/>
      <c r="AE498" s="238"/>
    </row>
    <row r="499" spans="2:31" x14ac:dyDescent="0.3">
      <c r="B499" s="245" t="s">
        <v>21</v>
      </c>
      <c r="C499" s="245"/>
      <c r="D499" s="245"/>
      <c r="E499" s="96">
        <v>0</v>
      </c>
      <c r="F499" s="99">
        <v>0</v>
      </c>
      <c r="G499" s="96">
        <v>0</v>
      </c>
      <c r="H499" s="99">
        <v>0</v>
      </c>
      <c r="I499" s="96">
        <v>0</v>
      </c>
      <c r="J499" s="99">
        <v>0</v>
      </c>
      <c r="K499" s="96">
        <v>0</v>
      </c>
      <c r="L499" s="99">
        <v>0</v>
      </c>
      <c r="M499" s="96">
        <v>0</v>
      </c>
      <c r="N499" s="99">
        <v>0</v>
      </c>
      <c r="O499" s="96">
        <v>0</v>
      </c>
      <c r="P499" s="99">
        <v>0</v>
      </c>
      <c r="Q499" s="96">
        <v>5.3333333333333384E-3</v>
      </c>
      <c r="R499" s="99">
        <v>0</v>
      </c>
      <c r="S499" s="96">
        <v>0.23366666666666666</v>
      </c>
      <c r="T499" s="99">
        <v>3.6255000000000006</v>
      </c>
      <c r="U499" s="96">
        <v>7.1095000000000006</v>
      </c>
      <c r="V499" s="99">
        <v>0</v>
      </c>
      <c r="W499" s="96">
        <v>0.11433333333333326</v>
      </c>
      <c r="X499" s="99">
        <v>0</v>
      </c>
      <c r="Y499" s="96">
        <v>0</v>
      </c>
      <c r="Z499" s="99">
        <v>0</v>
      </c>
      <c r="AA499" s="96">
        <v>0</v>
      </c>
      <c r="AB499" s="99">
        <v>0</v>
      </c>
      <c r="AC499" s="238">
        <f t="shared" si="243"/>
        <v>11.088333333333333</v>
      </c>
      <c r="AD499" s="238"/>
      <c r="AE499" s="238"/>
    </row>
    <row r="500" spans="2:31" x14ac:dyDescent="0.3">
      <c r="B500" s="245" t="s">
        <v>22</v>
      </c>
      <c r="C500" s="245"/>
      <c r="D500" s="245"/>
      <c r="E500" s="96">
        <v>0</v>
      </c>
      <c r="F500" s="99">
        <v>0</v>
      </c>
      <c r="G500" s="96">
        <v>0</v>
      </c>
      <c r="H500" s="99">
        <v>0</v>
      </c>
      <c r="I500" s="96">
        <v>0</v>
      </c>
      <c r="J500" s="99">
        <v>0</v>
      </c>
      <c r="K500" s="96">
        <v>0</v>
      </c>
      <c r="L500" s="99">
        <v>0</v>
      </c>
      <c r="M500" s="96">
        <v>0</v>
      </c>
      <c r="N500" s="99">
        <v>0</v>
      </c>
      <c r="O500" s="96">
        <v>0</v>
      </c>
      <c r="P500" s="99">
        <v>0</v>
      </c>
      <c r="Q500" s="96">
        <v>0</v>
      </c>
      <c r="R500" s="99">
        <v>1.2061666666666666</v>
      </c>
      <c r="S500" s="96">
        <v>1.8724999999999996</v>
      </c>
      <c r="T500" s="99">
        <v>2.0950000000000006</v>
      </c>
      <c r="U500" s="96">
        <v>2.8213333333333335</v>
      </c>
      <c r="V500" s="99">
        <v>0.88433333333333297</v>
      </c>
      <c r="W500" s="96">
        <v>6.3333333333333167E-3</v>
      </c>
      <c r="X500" s="99">
        <v>0</v>
      </c>
      <c r="Y500" s="96">
        <v>0</v>
      </c>
      <c r="Z500" s="99">
        <v>0</v>
      </c>
      <c r="AA500" s="96">
        <v>0</v>
      </c>
      <c r="AB500" s="99">
        <v>0</v>
      </c>
      <c r="AC500" s="238">
        <f t="shared" si="243"/>
        <v>8.8856666666666673</v>
      </c>
      <c r="AD500" s="238"/>
      <c r="AE500" s="238"/>
    </row>
    <row r="501" spans="2:31" x14ac:dyDescent="0.3">
      <c r="B501" s="245" t="s">
        <v>23</v>
      </c>
      <c r="C501" s="245"/>
      <c r="D501" s="245"/>
      <c r="E501" s="96">
        <v>0</v>
      </c>
      <c r="F501" s="99">
        <v>0</v>
      </c>
      <c r="G501" s="96">
        <v>0</v>
      </c>
      <c r="H501" s="99">
        <v>0</v>
      </c>
      <c r="I501" s="96">
        <v>0</v>
      </c>
      <c r="J501" s="99">
        <v>0</v>
      </c>
      <c r="K501" s="96">
        <v>0</v>
      </c>
      <c r="L501" s="99">
        <v>0</v>
      </c>
      <c r="M501" s="96">
        <v>0</v>
      </c>
      <c r="N501" s="99">
        <v>0</v>
      </c>
      <c r="O501" s="96">
        <v>0</v>
      </c>
      <c r="P501" s="99">
        <v>0</v>
      </c>
      <c r="Q501" s="96">
        <v>0</v>
      </c>
      <c r="R501" s="99">
        <v>0.28366666666666679</v>
      </c>
      <c r="S501" s="96">
        <v>0.46083333333333343</v>
      </c>
      <c r="T501" s="99">
        <v>1.601</v>
      </c>
      <c r="U501" s="96">
        <v>4.0103333333333344</v>
      </c>
      <c r="V501" s="99">
        <v>6.9011666666666693</v>
      </c>
      <c r="W501" s="96">
        <v>2.0418333333333334</v>
      </c>
      <c r="X501" s="99">
        <v>0</v>
      </c>
      <c r="Y501" s="96">
        <v>0</v>
      </c>
      <c r="Z501" s="99">
        <v>0</v>
      </c>
      <c r="AA501" s="96">
        <v>0</v>
      </c>
      <c r="AB501" s="99">
        <v>0</v>
      </c>
      <c r="AC501" s="238">
        <f t="shared" si="243"/>
        <v>15.298833333333338</v>
      </c>
      <c r="AD501" s="238"/>
      <c r="AE501" s="238"/>
    </row>
    <row r="502" spans="2:31" x14ac:dyDescent="0.3">
      <c r="B502" s="245" t="s">
        <v>24</v>
      </c>
      <c r="C502" s="245"/>
      <c r="D502" s="245"/>
      <c r="E502" s="96">
        <v>0</v>
      </c>
      <c r="F502" s="99">
        <v>0</v>
      </c>
      <c r="G502" s="96">
        <v>0</v>
      </c>
      <c r="H502" s="99">
        <v>0</v>
      </c>
      <c r="I502" s="96">
        <v>0</v>
      </c>
      <c r="J502" s="99">
        <v>0</v>
      </c>
      <c r="K502" s="96">
        <v>0</v>
      </c>
      <c r="L502" s="99">
        <v>0</v>
      </c>
      <c r="M502" s="96">
        <v>0</v>
      </c>
      <c r="N502" s="99">
        <v>0</v>
      </c>
      <c r="O502" s="96">
        <v>0</v>
      </c>
      <c r="P502" s="99">
        <v>0</v>
      </c>
      <c r="Q502" s="96">
        <v>0</v>
      </c>
      <c r="R502" s="99">
        <v>0</v>
      </c>
      <c r="S502" s="96">
        <v>0</v>
      </c>
      <c r="T502" s="99">
        <v>0</v>
      </c>
      <c r="U502" s="96">
        <v>0</v>
      </c>
      <c r="V502" s="99">
        <v>0</v>
      </c>
      <c r="W502" s="96">
        <v>0</v>
      </c>
      <c r="X502" s="99">
        <v>0</v>
      </c>
      <c r="Y502" s="96">
        <v>0</v>
      </c>
      <c r="Z502" s="99">
        <v>0</v>
      </c>
      <c r="AA502" s="96">
        <v>0</v>
      </c>
      <c r="AB502" s="99">
        <v>0</v>
      </c>
      <c r="AC502" s="238">
        <f t="shared" si="243"/>
        <v>0</v>
      </c>
      <c r="AD502" s="238"/>
      <c r="AE502" s="238"/>
    </row>
    <row r="503" spans="2:31" x14ac:dyDescent="0.3">
      <c r="B503" s="245" t="s">
        <v>25</v>
      </c>
      <c r="C503" s="245"/>
      <c r="D503" s="245"/>
      <c r="E503" s="96">
        <v>0</v>
      </c>
      <c r="F503" s="99">
        <v>0</v>
      </c>
      <c r="G503" s="96">
        <v>0</v>
      </c>
      <c r="H503" s="99">
        <v>0</v>
      </c>
      <c r="I503" s="96">
        <v>0</v>
      </c>
      <c r="J503" s="99">
        <v>0</v>
      </c>
      <c r="K503" s="96">
        <v>0</v>
      </c>
      <c r="L503" s="99">
        <v>0</v>
      </c>
      <c r="M503" s="96">
        <v>0</v>
      </c>
      <c r="N503" s="99">
        <v>0</v>
      </c>
      <c r="O503" s="96">
        <v>0</v>
      </c>
      <c r="P503" s="99">
        <v>0</v>
      </c>
      <c r="Q503" s="96">
        <v>0</v>
      </c>
      <c r="R503" s="99">
        <v>0</v>
      </c>
      <c r="S503" s="96">
        <v>0</v>
      </c>
      <c r="T503" s="99">
        <v>0</v>
      </c>
      <c r="U503" s="96">
        <v>0</v>
      </c>
      <c r="V503" s="99">
        <v>0</v>
      </c>
      <c r="W503" s="96">
        <v>0</v>
      </c>
      <c r="X503" s="99">
        <v>0</v>
      </c>
      <c r="Y503" s="96">
        <v>0</v>
      </c>
      <c r="Z503" s="99">
        <v>0</v>
      </c>
      <c r="AA503" s="96">
        <v>0</v>
      </c>
      <c r="AB503" s="99">
        <v>0</v>
      </c>
      <c r="AC503" s="238">
        <f t="shared" si="243"/>
        <v>0</v>
      </c>
      <c r="AD503" s="238"/>
      <c r="AE503" s="238"/>
    </row>
    <row r="504" spans="2:31" x14ac:dyDescent="0.3">
      <c r="B504" s="245" t="s">
        <v>26</v>
      </c>
      <c r="C504" s="245"/>
      <c r="D504" s="245"/>
      <c r="E504" s="96">
        <v>0</v>
      </c>
      <c r="F504" s="99">
        <v>0</v>
      </c>
      <c r="G504" s="96">
        <v>0</v>
      </c>
      <c r="H504" s="99">
        <v>0</v>
      </c>
      <c r="I504" s="96">
        <v>0</v>
      </c>
      <c r="J504" s="99">
        <v>0</v>
      </c>
      <c r="K504" s="96">
        <v>0</v>
      </c>
      <c r="L504" s="99">
        <v>0</v>
      </c>
      <c r="M504" s="96">
        <v>0</v>
      </c>
      <c r="N504" s="99">
        <v>0</v>
      </c>
      <c r="O504" s="96">
        <v>0</v>
      </c>
      <c r="P504" s="99">
        <v>0</v>
      </c>
      <c r="Q504" s="96">
        <v>0</v>
      </c>
      <c r="R504" s="99">
        <v>0</v>
      </c>
      <c r="S504" s="96">
        <v>0</v>
      </c>
      <c r="T504" s="99">
        <v>0</v>
      </c>
      <c r="U504" s="96">
        <v>0</v>
      </c>
      <c r="V504" s="99">
        <v>0</v>
      </c>
      <c r="W504" s="96">
        <v>0</v>
      </c>
      <c r="X504" s="99">
        <v>0</v>
      </c>
      <c r="Y504" s="96">
        <v>0</v>
      </c>
      <c r="Z504" s="99">
        <v>0</v>
      </c>
      <c r="AA504" s="96">
        <v>0</v>
      </c>
      <c r="AB504" s="99">
        <v>0</v>
      </c>
      <c r="AC504" s="238">
        <f t="shared" si="243"/>
        <v>0</v>
      </c>
      <c r="AD504" s="238"/>
      <c r="AE504" s="238"/>
    </row>
    <row r="505" spans="2:31" x14ac:dyDescent="0.3">
      <c r="B505" s="245" t="s">
        <v>27</v>
      </c>
      <c r="C505" s="245"/>
      <c r="D505" s="245"/>
      <c r="E505" s="96">
        <v>0</v>
      </c>
      <c r="F505" s="99">
        <v>0</v>
      </c>
      <c r="G505" s="96">
        <v>0</v>
      </c>
      <c r="H505" s="99">
        <v>0</v>
      </c>
      <c r="I505" s="96">
        <v>0</v>
      </c>
      <c r="J505" s="99">
        <v>0</v>
      </c>
      <c r="K505" s="96">
        <v>0</v>
      </c>
      <c r="L505" s="99">
        <v>0</v>
      </c>
      <c r="M505" s="96">
        <v>0</v>
      </c>
      <c r="N505" s="99">
        <v>0</v>
      </c>
      <c r="O505" s="96">
        <v>0</v>
      </c>
      <c r="P505" s="99">
        <v>0</v>
      </c>
      <c r="Q505" s="96">
        <v>0</v>
      </c>
      <c r="R505" s="99">
        <v>0</v>
      </c>
      <c r="S505" s="96">
        <v>0</v>
      </c>
      <c r="T505" s="99">
        <v>0</v>
      </c>
      <c r="U505" s="96">
        <v>0</v>
      </c>
      <c r="V505" s="99">
        <v>0</v>
      </c>
      <c r="W505" s="96">
        <v>0</v>
      </c>
      <c r="X505" s="99">
        <v>0</v>
      </c>
      <c r="Y505" s="96">
        <v>0</v>
      </c>
      <c r="Z505" s="99">
        <v>0</v>
      </c>
      <c r="AA505" s="96">
        <v>0</v>
      </c>
      <c r="AB505" s="99">
        <v>0</v>
      </c>
      <c r="AC505" s="238">
        <f t="shared" si="243"/>
        <v>0</v>
      </c>
      <c r="AD505" s="238"/>
      <c r="AE505" s="238"/>
    </row>
    <row r="506" spans="2:31" x14ac:dyDescent="0.3">
      <c r="B506" s="245" t="s">
        <v>28</v>
      </c>
      <c r="C506" s="245"/>
      <c r="D506" s="245"/>
      <c r="E506" s="96">
        <v>0</v>
      </c>
      <c r="F506" s="99">
        <v>0</v>
      </c>
      <c r="G506" s="96">
        <v>0</v>
      </c>
      <c r="H506" s="99">
        <v>0</v>
      </c>
      <c r="I506" s="96">
        <v>0</v>
      </c>
      <c r="J506" s="99">
        <v>0</v>
      </c>
      <c r="K506" s="96">
        <v>0</v>
      </c>
      <c r="L506" s="99">
        <v>0</v>
      </c>
      <c r="M506" s="96">
        <v>0</v>
      </c>
      <c r="N506" s="99">
        <v>0</v>
      </c>
      <c r="O506" s="96">
        <v>0</v>
      </c>
      <c r="P506" s="99">
        <v>0</v>
      </c>
      <c r="Q506" s="96">
        <v>0</v>
      </c>
      <c r="R506" s="99">
        <v>0</v>
      </c>
      <c r="S506" s="96">
        <v>0</v>
      </c>
      <c r="T506" s="99">
        <v>0</v>
      </c>
      <c r="U506" s="96">
        <v>0</v>
      </c>
      <c r="V506" s="99">
        <v>0</v>
      </c>
      <c r="W506" s="96">
        <v>0</v>
      </c>
      <c r="X506" s="99">
        <v>0</v>
      </c>
      <c r="Y506" s="96">
        <v>0</v>
      </c>
      <c r="Z506" s="99">
        <v>0</v>
      </c>
      <c r="AA506" s="96">
        <v>0</v>
      </c>
      <c r="AB506" s="99">
        <v>0</v>
      </c>
      <c r="AC506" s="238">
        <f t="shared" si="243"/>
        <v>0</v>
      </c>
      <c r="AD506" s="238"/>
      <c r="AE506" s="238"/>
    </row>
    <row r="507" spans="2:31" x14ac:dyDescent="0.3">
      <c r="B507" s="245" t="s">
        <v>92</v>
      </c>
      <c r="C507" s="245"/>
      <c r="D507" s="245"/>
      <c r="E507" s="96">
        <v>0</v>
      </c>
      <c r="F507" s="99">
        <v>0</v>
      </c>
      <c r="G507" s="96">
        <v>0</v>
      </c>
      <c r="H507" s="99">
        <v>0</v>
      </c>
      <c r="I507" s="96">
        <v>0</v>
      </c>
      <c r="J507" s="99">
        <v>0</v>
      </c>
      <c r="K507" s="96">
        <v>0</v>
      </c>
      <c r="L507" s="99">
        <v>0</v>
      </c>
      <c r="M507" s="96">
        <v>0</v>
      </c>
      <c r="N507" s="99">
        <v>0</v>
      </c>
      <c r="O507" s="96">
        <v>0</v>
      </c>
      <c r="P507" s="99">
        <v>0</v>
      </c>
      <c r="Q507" s="96">
        <v>0</v>
      </c>
      <c r="R507" s="99">
        <v>0</v>
      </c>
      <c r="S507" s="96">
        <v>0</v>
      </c>
      <c r="T507" s="99">
        <v>0</v>
      </c>
      <c r="U507" s="96">
        <v>0</v>
      </c>
      <c r="V507" s="99">
        <v>0</v>
      </c>
      <c r="W507" s="96">
        <v>0</v>
      </c>
      <c r="X507" s="99">
        <v>0</v>
      </c>
      <c r="Y507" s="96">
        <v>0</v>
      </c>
      <c r="Z507" s="99">
        <v>0</v>
      </c>
      <c r="AA507" s="96">
        <v>0</v>
      </c>
      <c r="AB507" s="99">
        <v>0</v>
      </c>
      <c r="AC507" s="238">
        <f t="shared" si="243"/>
        <v>0</v>
      </c>
      <c r="AD507" s="238"/>
      <c r="AE507" s="238"/>
    </row>
    <row r="508" spans="2:31" x14ac:dyDescent="0.3">
      <c r="B508" s="245" t="s">
        <v>29</v>
      </c>
      <c r="C508" s="245"/>
      <c r="D508" s="245"/>
      <c r="E508" s="96">
        <v>0</v>
      </c>
      <c r="F508" s="99">
        <v>0</v>
      </c>
      <c r="G508" s="96">
        <v>0</v>
      </c>
      <c r="H508" s="99">
        <v>0</v>
      </c>
      <c r="I508" s="96">
        <v>0</v>
      </c>
      <c r="J508" s="99">
        <v>0</v>
      </c>
      <c r="K508" s="96">
        <v>0</v>
      </c>
      <c r="L508" s="99">
        <v>0</v>
      </c>
      <c r="M508" s="96">
        <v>0</v>
      </c>
      <c r="N508" s="99">
        <v>0</v>
      </c>
      <c r="O508" s="96">
        <v>0</v>
      </c>
      <c r="P508" s="99">
        <v>0</v>
      </c>
      <c r="Q508" s="96">
        <v>0</v>
      </c>
      <c r="R508" s="99">
        <v>0</v>
      </c>
      <c r="S508" s="96">
        <v>0</v>
      </c>
      <c r="T508" s="99">
        <v>0</v>
      </c>
      <c r="U508" s="96">
        <v>0</v>
      </c>
      <c r="V508" s="99">
        <v>0</v>
      </c>
      <c r="W508" s="96">
        <v>0</v>
      </c>
      <c r="X508" s="99">
        <v>0</v>
      </c>
      <c r="Y508" s="96">
        <v>0</v>
      </c>
      <c r="Z508" s="99">
        <v>0</v>
      </c>
      <c r="AA508" s="96">
        <v>0</v>
      </c>
      <c r="AB508" s="99">
        <v>0</v>
      </c>
      <c r="AC508" s="238">
        <f t="shared" si="243"/>
        <v>0</v>
      </c>
      <c r="AD508" s="238"/>
      <c r="AE508" s="238"/>
    </row>
    <row r="509" spans="2:31" x14ac:dyDescent="0.3">
      <c r="B509" s="245" t="s">
        <v>30</v>
      </c>
      <c r="C509" s="245"/>
      <c r="D509" s="245"/>
      <c r="E509" s="96">
        <v>0</v>
      </c>
      <c r="F509" s="99">
        <v>0</v>
      </c>
      <c r="G509" s="96">
        <v>0</v>
      </c>
      <c r="H509" s="99">
        <v>0</v>
      </c>
      <c r="I509" s="96">
        <v>0</v>
      </c>
      <c r="J509" s="99">
        <v>0</v>
      </c>
      <c r="K509" s="96">
        <v>0</v>
      </c>
      <c r="L509" s="99">
        <v>0</v>
      </c>
      <c r="M509" s="96">
        <v>0</v>
      </c>
      <c r="N509" s="99">
        <v>0</v>
      </c>
      <c r="O509" s="96">
        <v>0</v>
      </c>
      <c r="P509" s="99">
        <v>0</v>
      </c>
      <c r="Q509" s="96">
        <v>0</v>
      </c>
      <c r="R509" s="99">
        <v>0</v>
      </c>
      <c r="S509" s="96">
        <v>0</v>
      </c>
      <c r="T509" s="99">
        <v>0</v>
      </c>
      <c r="U509" s="96">
        <v>0</v>
      </c>
      <c r="V509" s="99">
        <v>0</v>
      </c>
      <c r="W509" s="96">
        <v>0</v>
      </c>
      <c r="X509" s="99">
        <v>0</v>
      </c>
      <c r="Y509" s="96">
        <v>0</v>
      </c>
      <c r="Z509" s="99">
        <v>0</v>
      </c>
      <c r="AA509" s="96">
        <v>0</v>
      </c>
      <c r="AB509" s="99">
        <v>0</v>
      </c>
      <c r="AC509" s="238">
        <f t="shared" si="243"/>
        <v>0</v>
      </c>
      <c r="AD509" s="238"/>
      <c r="AE509" s="238"/>
    </row>
    <row r="510" spans="2:31" x14ac:dyDescent="0.3">
      <c r="B510" s="245" t="s">
        <v>31</v>
      </c>
      <c r="C510" s="245"/>
      <c r="D510" s="245"/>
      <c r="E510" s="96">
        <v>0</v>
      </c>
      <c r="F510" s="99">
        <v>0</v>
      </c>
      <c r="G510" s="96">
        <v>0</v>
      </c>
      <c r="H510" s="99">
        <v>0</v>
      </c>
      <c r="I510" s="96">
        <v>0</v>
      </c>
      <c r="J510" s="99">
        <v>0</v>
      </c>
      <c r="K510" s="96">
        <v>0</v>
      </c>
      <c r="L510" s="99">
        <v>0</v>
      </c>
      <c r="M510" s="96">
        <v>0</v>
      </c>
      <c r="N510" s="99">
        <v>0</v>
      </c>
      <c r="O510" s="96">
        <v>0</v>
      </c>
      <c r="P510" s="99">
        <v>0</v>
      </c>
      <c r="Q510" s="96">
        <v>0</v>
      </c>
      <c r="R510" s="99">
        <v>0</v>
      </c>
      <c r="S510" s="96">
        <v>0</v>
      </c>
      <c r="T510" s="99">
        <v>0</v>
      </c>
      <c r="U510" s="96">
        <v>0</v>
      </c>
      <c r="V510" s="99">
        <v>0</v>
      </c>
      <c r="W510" s="96">
        <v>0</v>
      </c>
      <c r="X510" s="99">
        <v>0</v>
      </c>
      <c r="Y510" s="96">
        <v>0</v>
      </c>
      <c r="Z510" s="99">
        <v>0</v>
      </c>
      <c r="AA510" s="96">
        <v>0</v>
      </c>
      <c r="AB510" s="99">
        <v>0</v>
      </c>
      <c r="AC510" s="238">
        <f t="shared" si="243"/>
        <v>0</v>
      </c>
      <c r="AD510" s="238"/>
      <c r="AE510" s="238"/>
    </row>
    <row r="511" spans="2:31" x14ac:dyDescent="0.3">
      <c r="B511" s="245" t="s">
        <v>32</v>
      </c>
      <c r="C511" s="245"/>
      <c r="D511" s="245"/>
      <c r="E511" s="96">
        <v>0</v>
      </c>
      <c r="F511" s="99">
        <v>0</v>
      </c>
      <c r="G511" s="96">
        <v>0</v>
      </c>
      <c r="H511" s="99">
        <v>0</v>
      </c>
      <c r="I511" s="96">
        <v>0</v>
      </c>
      <c r="J511" s="99">
        <v>0</v>
      </c>
      <c r="K511" s="96">
        <v>0</v>
      </c>
      <c r="L511" s="99">
        <v>0</v>
      </c>
      <c r="M511" s="96">
        <v>0</v>
      </c>
      <c r="N511" s="99">
        <v>0</v>
      </c>
      <c r="O511" s="96">
        <v>0</v>
      </c>
      <c r="P511" s="99">
        <v>0</v>
      </c>
      <c r="Q511" s="96">
        <v>0</v>
      </c>
      <c r="R511" s="99">
        <v>0</v>
      </c>
      <c r="S511" s="96">
        <v>0</v>
      </c>
      <c r="T511" s="99">
        <v>0</v>
      </c>
      <c r="U511" s="96">
        <v>0</v>
      </c>
      <c r="V511" s="99">
        <v>0</v>
      </c>
      <c r="W511" s="96">
        <v>0</v>
      </c>
      <c r="X511" s="99">
        <v>0</v>
      </c>
      <c r="Y511" s="96">
        <v>0</v>
      </c>
      <c r="Z511" s="99">
        <v>0</v>
      </c>
      <c r="AA511" s="96">
        <v>0</v>
      </c>
      <c r="AB511" s="99">
        <v>0</v>
      </c>
      <c r="AC511" s="238">
        <f t="shared" si="243"/>
        <v>0</v>
      </c>
      <c r="AD511" s="238"/>
      <c r="AE511" s="238"/>
    </row>
    <row r="512" spans="2:31" x14ac:dyDescent="0.3">
      <c r="B512" s="245" t="s">
        <v>33</v>
      </c>
      <c r="C512" s="245"/>
      <c r="D512" s="245"/>
      <c r="E512" s="96">
        <v>0</v>
      </c>
      <c r="F512" s="99">
        <v>0</v>
      </c>
      <c r="G512" s="96">
        <v>0</v>
      </c>
      <c r="H512" s="99">
        <v>0</v>
      </c>
      <c r="I512" s="96">
        <v>0</v>
      </c>
      <c r="J512" s="99">
        <v>0</v>
      </c>
      <c r="K512" s="96">
        <v>0</v>
      </c>
      <c r="L512" s="99">
        <v>0</v>
      </c>
      <c r="M512" s="96">
        <v>0</v>
      </c>
      <c r="N512" s="99">
        <v>0</v>
      </c>
      <c r="O512" s="96">
        <v>0</v>
      </c>
      <c r="P512" s="99">
        <v>0</v>
      </c>
      <c r="Q512" s="96">
        <v>0</v>
      </c>
      <c r="R512" s="99">
        <v>0</v>
      </c>
      <c r="S512" s="96">
        <v>0</v>
      </c>
      <c r="T512" s="99">
        <v>0</v>
      </c>
      <c r="U512" s="96">
        <v>0</v>
      </c>
      <c r="V512" s="99">
        <v>0</v>
      </c>
      <c r="W512" s="96">
        <v>0</v>
      </c>
      <c r="X512" s="99">
        <v>0</v>
      </c>
      <c r="Y512" s="96">
        <v>0</v>
      </c>
      <c r="Z512" s="99">
        <v>0</v>
      </c>
      <c r="AA512" s="96">
        <v>0</v>
      </c>
      <c r="AB512" s="99">
        <v>0</v>
      </c>
      <c r="AC512" s="238">
        <f t="shared" si="243"/>
        <v>0</v>
      </c>
      <c r="AD512" s="238"/>
      <c r="AE512" s="238"/>
    </row>
    <row r="513" spans="2:31" x14ac:dyDescent="0.3">
      <c r="B513" s="245" t="s">
        <v>34</v>
      </c>
      <c r="C513" s="245"/>
      <c r="D513" s="245"/>
      <c r="E513" s="96">
        <v>0</v>
      </c>
      <c r="F513" s="99">
        <v>0</v>
      </c>
      <c r="G513" s="96">
        <v>0</v>
      </c>
      <c r="H513" s="99">
        <v>0</v>
      </c>
      <c r="I513" s="96">
        <v>0</v>
      </c>
      <c r="J513" s="99">
        <v>0</v>
      </c>
      <c r="K513" s="96">
        <v>0</v>
      </c>
      <c r="L513" s="99">
        <v>0</v>
      </c>
      <c r="M513" s="96">
        <v>0</v>
      </c>
      <c r="N513" s="99">
        <v>0</v>
      </c>
      <c r="O513" s="96">
        <v>0</v>
      </c>
      <c r="P513" s="99">
        <v>0</v>
      </c>
      <c r="Q513" s="96">
        <v>0</v>
      </c>
      <c r="R513" s="99">
        <v>0</v>
      </c>
      <c r="S513" s="96">
        <v>0</v>
      </c>
      <c r="T513" s="99">
        <v>0</v>
      </c>
      <c r="U513" s="96">
        <v>0</v>
      </c>
      <c r="V513" s="99">
        <v>0</v>
      </c>
      <c r="W513" s="96">
        <v>0</v>
      </c>
      <c r="X513" s="99">
        <v>0</v>
      </c>
      <c r="Y513" s="96">
        <v>0</v>
      </c>
      <c r="Z513" s="99">
        <v>0</v>
      </c>
      <c r="AA513" s="96">
        <v>0</v>
      </c>
      <c r="AB513" s="99">
        <v>0</v>
      </c>
      <c r="AC513" s="238">
        <f t="shared" si="243"/>
        <v>0</v>
      </c>
      <c r="AD513" s="238"/>
      <c r="AE513" s="238"/>
    </row>
    <row r="514" spans="2:31" x14ac:dyDescent="0.3">
      <c r="B514" s="245" t="s">
        <v>35</v>
      </c>
      <c r="C514" s="245"/>
      <c r="D514" s="245"/>
      <c r="E514" s="96">
        <v>0</v>
      </c>
      <c r="F514" s="99">
        <v>0</v>
      </c>
      <c r="G514" s="96">
        <v>0</v>
      </c>
      <c r="H514" s="99">
        <v>0</v>
      </c>
      <c r="I514" s="96">
        <v>0</v>
      </c>
      <c r="J514" s="99">
        <v>0</v>
      </c>
      <c r="K514" s="96">
        <v>0</v>
      </c>
      <c r="L514" s="99">
        <v>0</v>
      </c>
      <c r="M514" s="96">
        <v>0</v>
      </c>
      <c r="N514" s="99">
        <v>0</v>
      </c>
      <c r="O514" s="96">
        <v>0</v>
      </c>
      <c r="P514" s="99">
        <v>0</v>
      </c>
      <c r="Q514" s="96">
        <v>0</v>
      </c>
      <c r="R514" s="99">
        <v>0</v>
      </c>
      <c r="S514" s="96">
        <v>0</v>
      </c>
      <c r="T514" s="99">
        <v>0</v>
      </c>
      <c r="U514" s="96">
        <v>0</v>
      </c>
      <c r="V514" s="99">
        <v>0</v>
      </c>
      <c r="W514" s="96">
        <v>0</v>
      </c>
      <c r="X514" s="99">
        <v>0</v>
      </c>
      <c r="Y514" s="96">
        <v>0</v>
      </c>
      <c r="Z514" s="99">
        <v>0</v>
      </c>
      <c r="AA514" s="96">
        <v>0</v>
      </c>
      <c r="AB514" s="99">
        <v>0</v>
      </c>
      <c r="AC514" s="238">
        <f t="shared" si="243"/>
        <v>0</v>
      </c>
      <c r="AD514" s="238"/>
      <c r="AE514" s="238"/>
    </row>
    <row r="515" spans="2:31" x14ac:dyDescent="0.3">
      <c r="B515" s="245" t="s">
        <v>36</v>
      </c>
      <c r="C515" s="245"/>
      <c r="D515" s="245"/>
      <c r="E515" s="96">
        <v>0</v>
      </c>
      <c r="F515" s="99">
        <v>0</v>
      </c>
      <c r="G515" s="96">
        <v>0</v>
      </c>
      <c r="H515" s="99">
        <v>0</v>
      </c>
      <c r="I515" s="96">
        <v>0</v>
      </c>
      <c r="J515" s="99">
        <v>0</v>
      </c>
      <c r="K515" s="96">
        <v>0</v>
      </c>
      <c r="L515" s="99">
        <v>0</v>
      </c>
      <c r="M515" s="96">
        <v>0</v>
      </c>
      <c r="N515" s="99">
        <v>0</v>
      </c>
      <c r="O515" s="96">
        <v>0</v>
      </c>
      <c r="P515" s="99">
        <v>0</v>
      </c>
      <c r="Q515" s="96">
        <v>0</v>
      </c>
      <c r="R515" s="99">
        <v>0</v>
      </c>
      <c r="S515" s="96">
        <v>0</v>
      </c>
      <c r="T515" s="99">
        <v>0</v>
      </c>
      <c r="U515" s="96">
        <v>0</v>
      </c>
      <c r="V515" s="99">
        <v>0</v>
      </c>
      <c r="W515" s="96">
        <v>0</v>
      </c>
      <c r="X515" s="99">
        <v>0</v>
      </c>
      <c r="Y515" s="96">
        <v>0</v>
      </c>
      <c r="Z515" s="99">
        <v>0</v>
      </c>
      <c r="AA515" s="96">
        <v>0</v>
      </c>
      <c r="AB515" s="99">
        <v>0</v>
      </c>
      <c r="AC515" s="238">
        <f t="shared" si="243"/>
        <v>0</v>
      </c>
      <c r="AD515" s="238"/>
      <c r="AE515" s="238"/>
    </row>
    <row r="516" spans="2:31" x14ac:dyDescent="0.3">
      <c r="B516" s="13" t="s">
        <v>89</v>
      </c>
      <c r="C516" s="13"/>
      <c r="D516" s="13"/>
      <c r="E516" s="96">
        <v>0</v>
      </c>
      <c r="F516" s="99">
        <v>0</v>
      </c>
      <c r="G516" s="96">
        <v>0</v>
      </c>
      <c r="H516" s="99">
        <v>0</v>
      </c>
      <c r="I516" s="96">
        <v>0</v>
      </c>
      <c r="J516" s="99">
        <v>0</v>
      </c>
      <c r="K516" s="96">
        <v>0</v>
      </c>
      <c r="L516" s="99">
        <v>0</v>
      </c>
      <c r="M516" s="96">
        <v>0</v>
      </c>
      <c r="N516" s="99">
        <v>0</v>
      </c>
      <c r="O516" s="96">
        <v>0</v>
      </c>
      <c r="P516" s="99">
        <v>0</v>
      </c>
      <c r="Q516" s="96">
        <v>0</v>
      </c>
      <c r="R516" s="99">
        <v>0</v>
      </c>
      <c r="S516" s="96">
        <v>0</v>
      </c>
      <c r="T516" s="99">
        <v>0</v>
      </c>
      <c r="U516" s="96">
        <v>0</v>
      </c>
      <c r="V516" s="99">
        <v>0</v>
      </c>
      <c r="W516" s="96">
        <v>0</v>
      </c>
      <c r="X516" s="99">
        <v>0</v>
      </c>
      <c r="Y516" s="96">
        <v>0</v>
      </c>
      <c r="Z516" s="99">
        <v>0</v>
      </c>
      <c r="AA516" s="96">
        <v>0</v>
      </c>
      <c r="AB516" s="99">
        <v>0</v>
      </c>
      <c r="AC516" s="238">
        <f t="shared" si="243"/>
        <v>0</v>
      </c>
      <c r="AD516" s="238"/>
      <c r="AE516" s="238"/>
    </row>
    <row r="517" spans="2:31" x14ac:dyDescent="0.3">
      <c r="B517" s="13" t="s">
        <v>90</v>
      </c>
      <c r="C517" s="13"/>
      <c r="D517" s="13"/>
      <c r="E517" s="96">
        <v>0</v>
      </c>
      <c r="F517" s="99">
        <v>0</v>
      </c>
      <c r="G517" s="96">
        <v>0</v>
      </c>
      <c r="H517" s="99">
        <v>0</v>
      </c>
      <c r="I517" s="96">
        <v>0</v>
      </c>
      <c r="J517" s="99">
        <v>0</v>
      </c>
      <c r="K517" s="96">
        <v>0</v>
      </c>
      <c r="L517" s="99">
        <v>0</v>
      </c>
      <c r="M517" s="96">
        <v>0</v>
      </c>
      <c r="N517" s="99">
        <v>0</v>
      </c>
      <c r="O517" s="96">
        <v>0</v>
      </c>
      <c r="P517" s="99">
        <v>0</v>
      </c>
      <c r="Q517" s="96">
        <v>0</v>
      </c>
      <c r="R517" s="99">
        <v>0</v>
      </c>
      <c r="S517" s="96">
        <v>0</v>
      </c>
      <c r="T517" s="99">
        <v>0</v>
      </c>
      <c r="U517" s="96">
        <v>0</v>
      </c>
      <c r="V517" s="99">
        <v>0</v>
      </c>
      <c r="W517" s="96">
        <v>0</v>
      </c>
      <c r="X517" s="99">
        <v>0</v>
      </c>
      <c r="Y517" s="96">
        <v>0</v>
      </c>
      <c r="Z517" s="99">
        <v>0</v>
      </c>
      <c r="AA517" s="96">
        <v>0</v>
      </c>
      <c r="AB517" s="99">
        <v>0</v>
      </c>
      <c r="AC517" s="238">
        <f t="shared" si="243"/>
        <v>0</v>
      </c>
      <c r="AD517" s="238"/>
      <c r="AE517" s="238"/>
    </row>
    <row r="518" spans="2:31" x14ac:dyDescent="0.3">
      <c r="B518" s="14" t="s">
        <v>2</v>
      </c>
      <c r="C518" s="14"/>
      <c r="D518" s="14"/>
      <c r="E518" s="15">
        <f>SUM(E481:E517)</f>
        <v>0</v>
      </c>
      <c r="F518" s="15">
        <f t="shared" ref="F518" si="244">SUM(F481:F517)</f>
        <v>0</v>
      </c>
      <c r="G518" s="15">
        <f t="shared" ref="G518" si="245">SUM(G481:G517)</f>
        <v>0</v>
      </c>
      <c r="H518" s="15">
        <f t="shared" ref="H518" si="246">SUM(H481:H517)</f>
        <v>0</v>
      </c>
      <c r="I518" s="15">
        <f t="shared" ref="I518" si="247">SUM(I481:I517)</f>
        <v>0</v>
      </c>
      <c r="J518" s="15">
        <f t="shared" ref="J518" si="248">SUM(J481:J517)</f>
        <v>0</v>
      </c>
      <c r="K518" s="15">
        <f t="shared" ref="K518" si="249">SUM(K481:K517)</f>
        <v>0</v>
      </c>
      <c r="L518" s="15">
        <f t="shared" ref="L518" si="250">SUM(L481:L517)</f>
        <v>0</v>
      </c>
      <c r="M518" s="15">
        <f t="shared" ref="M518" si="251">SUM(M481:M517)</f>
        <v>0</v>
      </c>
      <c r="N518" s="15">
        <f t="shared" ref="N518" si="252">SUM(N481:N517)</f>
        <v>0</v>
      </c>
      <c r="O518" s="15">
        <f t="shared" ref="O518" si="253">SUM(O481:O517)</f>
        <v>0</v>
      </c>
      <c r="P518" s="15">
        <f t="shared" ref="P518" si="254">SUM(P481:P517)</f>
        <v>0.39316666666666705</v>
      </c>
      <c r="Q518" s="15">
        <f t="shared" ref="Q518" si="255">SUM(Q481:Q517)</f>
        <v>15.097500000000004</v>
      </c>
      <c r="R518" s="15">
        <f t="shared" ref="R518" si="256">SUM(R481:R517)</f>
        <v>80.47199999999998</v>
      </c>
      <c r="S518" s="15">
        <f t="shared" ref="S518" si="257">SUM(S481:S517)</f>
        <v>146.43749999999997</v>
      </c>
      <c r="T518" s="15">
        <f t="shared" ref="T518" si="258">SUM(T481:T517)</f>
        <v>231.36449999999996</v>
      </c>
      <c r="U518" s="15">
        <f t="shared" ref="U518" si="259">SUM(U481:U517)</f>
        <v>313.24866666666668</v>
      </c>
      <c r="V518" s="15">
        <f t="shared" ref="V518" si="260">SUM(V481:V517)</f>
        <v>268.87249999999995</v>
      </c>
      <c r="W518" s="15">
        <f t="shared" ref="W518" si="261">SUM(W481:W517)</f>
        <v>127.36933333333333</v>
      </c>
      <c r="X518" s="15">
        <f t="shared" ref="X518" si="262">SUM(X481:X517)</f>
        <v>7.2638333333333289</v>
      </c>
      <c r="Y518" s="15">
        <f t="shared" ref="Y518" si="263">SUM(Y481:Y517)</f>
        <v>0</v>
      </c>
      <c r="Z518" s="15">
        <f t="shared" ref="Z518" si="264">SUM(Z481:Z517)</f>
        <v>0</v>
      </c>
      <c r="AA518" s="15">
        <f t="shared" ref="AA518" si="265">SUM(AA481:AA517)</f>
        <v>0</v>
      </c>
      <c r="AB518" s="15">
        <f t="shared" ref="AB518" si="266">SUM(AB481:AB517)</f>
        <v>0</v>
      </c>
      <c r="AC518" s="249">
        <f>SUM(AC481:AE517)</f>
        <v>1190.5189999999996</v>
      </c>
      <c r="AD518" s="249"/>
      <c r="AE518" s="249"/>
    </row>
    <row r="521" spans="2:31" x14ac:dyDescent="0.3">
      <c r="B521" s="8">
        <f>'Resumen-Mensual'!$Q$22</f>
        <v>44574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4"/>
      <c r="AD521" s="4"/>
      <c r="AE521" s="4"/>
    </row>
    <row r="522" spans="2:31" x14ac:dyDescent="0.3">
      <c r="B522" s="8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4"/>
      <c r="AD522" s="4"/>
      <c r="AE522" s="4"/>
    </row>
    <row r="523" spans="2:31" x14ac:dyDescent="0.3">
      <c r="B523" s="9" t="s">
        <v>81</v>
      </c>
      <c r="C523" s="10"/>
      <c r="D523" s="10"/>
      <c r="E523" s="11">
        <v>1</v>
      </c>
      <c r="F523" s="11">
        <v>2</v>
      </c>
      <c r="G523" s="11">
        <v>3</v>
      </c>
      <c r="H523" s="11">
        <v>4</v>
      </c>
      <c r="I523" s="11">
        <v>5</v>
      </c>
      <c r="J523" s="11">
        <v>6</v>
      </c>
      <c r="K523" s="11">
        <v>7</v>
      </c>
      <c r="L523" s="11">
        <v>8</v>
      </c>
      <c r="M523" s="11">
        <v>9</v>
      </c>
      <c r="N523" s="11">
        <v>10</v>
      </c>
      <c r="O523" s="11">
        <v>11</v>
      </c>
      <c r="P523" s="11">
        <v>12</v>
      </c>
      <c r="Q523" s="11">
        <v>13</v>
      </c>
      <c r="R523" s="11">
        <v>14</v>
      </c>
      <c r="S523" s="11">
        <v>15</v>
      </c>
      <c r="T523" s="11">
        <v>16</v>
      </c>
      <c r="U523" s="11">
        <v>17</v>
      </c>
      <c r="V523" s="11">
        <v>18</v>
      </c>
      <c r="W523" s="11">
        <v>19</v>
      </c>
      <c r="X523" s="11">
        <v>20</v>
      </c>
      <c r="Y523" s="11">
        <v>21</v>
      </c>
      <c r="Z523" s="11">
        <v>22</v>
      </c>
      <c r="AA523" s="11">
        <v>23</v>
      </c>
      <c r="AB523" s="11">
        <v>24</v>
      </c>
      <c r="AC523" s="248" t="s">
        <v>2</v>
      </c>
      <c r="AD523" s="248"/>
      <c r="AE523" s="248"/>
    </row>
    <row r="524" spans="2:31" x14ac:dyDescent="0.3">
      <c r="B524" s="245" t="s">
        <v>4</v>
      </c>
      <c r="C524" s="245"/>
      <c r="D524" s="245"/>
      <c r="E524" s="106">
        <v>0</v>
      </c>
      <c r="F524" s="107">
        <v>0</v>
      </c>
      <c r="G524" s="106">
        <v>0</v>
      </c>
      <c r="H524" s="107">
        <v>0</v>
      </c>
      <c r="I524" s="106">
        <v>0</v>
      </c>
      <c r="J524" s="107">
        <v>0</v>
      </c>
      <c r="K524" s="106">
        <v>0</v>
      </c>
      <c r="L524" s="107">
        <v>0</v>
      </c>
      <c r="M524" s="106">
        <v>0</v>
      </c>
      <c r="N524" s="107">
        <v>0</v>
      </c>
      <c r="O524" s="106">
        <v>0</v>
      </c>
      <c r="P524" s="107">
        <v>0</v>
      </c>
      <c r="Q524" s="106">
        <v>0</v>
      </c>
      <c r="R524" s="107">
        <v>0</v>
      </c>
      <c r="S524" s="106">
        <v>0</v>
      </c>
      <c r="T524" s="107">
        <v>0</v>
      </c>
      <c r="U524" s="106">
        <v>0</v>
      </c>
      <c r="V524" s="107">
        <v>0</v>
      </c>
      <c r="W524" s="106">
        <v>0</v>
      </c>
      <c r="X524" s="107">
        <v>0</v>
      </c>
      <c r="Y524" s="106">
        <v>0</v>
      </c>
      <c r="Z524" s="107">
        <v>0</v>
      </c>
      <c r="AA524" s="106">
        <v>0</v>
      </c>
      <c r="AB524" s="107">
        <v>0</v>
      </c>
      <c r="AC524" s="238">
        <f>SUM(E524:AB524)</f>
        <v>0</v>
      </c>
      <c r="AD524" s="238"/>
      <c r="AE524" s="238"/>
    </row>
    <row r="525" spans="2:31" x14ac:dyDescent="0.3">
      <c r="B525" s="245" t="s">
        <v>5</v>
      </c>
      <c r="C525" s="245"/>
      <c r="D525" s="245"/>
      <c r="E525" s="105">
        <v>0</v>
      </c>
      <c r="F525" s="108">
        <v>0</v>
      </c>
      <c r="G525" s="105">
        <v>0</v>
      </c>
      <c r="H525" s="108">
        <v>0</v>
      </c>
      <c r="I525" s="105">
        <v>0</v>
      </c>
      <c r="J525" s="108">
        <v>0</v>
      </c>
      <c r="K525" s="105">
        <v>0</v>
      </c>
      <c r="L525" s="108">
        <v>0</v>
      </c>
      <c r="M525" s="105">
        <v>0</v>
      </c>
      <c r="N525" s="108">
        <v>0</v>
      </c>
      <c r="O525" s="105">
        <v>0</v>
      </c>
      <c r="P525" s="108">
        <v>0</v>
      </c>
      <c r="Q525" s="105">
        <v>0</v>
      </c>
      <c r="R525" s="108">
        <v>14.893666666666668</v>
      </c>
      <c r="S525" s="105">
        <v>38.086499999999994</v>
      </c>
      <c r="T525" s="108">
        <v>52.640166666666673</v>
      </c>
      <c r="U525" s="105">
        <v>62.467833333333324</v>
      </c>
      <c r="V525" s="108">
        <v>52.070666666666646</v>
      </c>
      <c r="W525" s="105">
        <v>42.117500000000014</v>
      </c>
      <c r="X525" s="108">
        <v>0</v>
      </c>
      <c r="Y525" s="105">
        <v>0</v>
      </c>
      <c r="Z525" s="108">
        <v>0</v>
      </c>
      <c r="AA525" s="105">
        <v>0</v>
      </c>
      <c r="AB525" s="108">
        <v>0</v>
      </c>
      <c r="AC525" s="238">
        <f t="shared" ref="AC525:AC560" si="267">SUM(E525:AB525)</f>
        <v>262.27633333333335</v>
      </c>
      <c r="AD525" s="238"/>
      <c r="AE525" s="238"/>
    </row>
    <row r="526" spans="2:31" x14ac:dyDescent="0.3">
      <c r="B526" s="245" t="s">
        <v>6</v>
      </c>
      <c r="C526" s="245"/>
      <c r="D526" s="245"/>
      <c r="E526" s="105">
        <v>0</v>
      </c>
      <c r="F526" s="108">
        <v>0</v>
      </c>
      <c r="G526" s="105">
        <v>0</v>
      </c>
      <c r="H526" s="108">
        <v>0</v>
      </c>
      <c r="I526" s="105">
        <v>0</v>
      </c>
      <c r="J526" s="108">
        <v>0</v>
      </c>
      <c r="K526" s="105">
        <v>0</v>
      </c>
      <c r="L526" s="108">
        <v>0</v>
      </c>
      <c r="M526" s="105">
        <v>0</v>
      </c>
      <c r="N526" s="108">
        <v>0</v>
      </c>
      <c r="O526" s="105">
        <v>0</v>
      </c>
      <c r="P526" s="108">
        <v>0</v>
      </c>
      <c r="Q526" s="105">
        <v>0</v>
      </c>
      <c r="R526" s="108">
        <v>0.6105000000000006</v>
      </c>
      <c r="S526" s="105">
        <v>0</v>
      </c>
      <c r="T526" s="108">
        <v>0</v>
      </c>
      <c r="U526" s="105">
        <v>20.817166666666662</v>
      </c>
      <c r="V526" s="108">
        <v>6.9004999999999974</v>
      </c>
      <c r="W526" s="105">
        <v>12.48566666666667</v>
      </c>
      <c r="X526" s="108">
        <v>0</v>
      </c>
      <c r="Y526" s="105">
        <v>0</v>
      </c>
      <c r="Z526" s="108">
        <v>0</v>
      </c>
      <c r="AA526" s="105">
        <v>0</v>
      </c>
      <c r="AB526" s="108">
        <v>0</v>
      </c>
      <c r="AC526" s="238">
        <f t="shared" si="267"/>
        <v>40.813833333333335</v>
      </c>
      <c r="AD526" s="238"/>
      <c r="AE526" s="238"/>
    </row>
    <row r="527" spans="2:31" x14ac:dyDescent="0.3">
      <c r="B527" s="245" t="s">
        <v>91</v>
      </c>
      <c r="C527" s="245"/>
      <c r="D527" s="245"/>
      <c r="E527" s="105">
        <v>0</v>
      </c>
      <c r="F527" s="108">
        <v>0</v>
      </c>
      <c r="G527" s="105">
        <v>0</v>
      </c>
      <c r="H527" s="108">
        <v>0</v>
      </c>
      <c r="I527" s="105">
        <v>0</v>
      </c>
      <c r="J527" s="108">
        <v>0</v>
      </c>
      <c r="K527" s="105">
        <v>0</v>
      </c>
      <c r="L527" s="108">
        <v>0</v>
      </c>
      <c r="M527" s="105">
        <v>0</v>
      </c>
      <c r="N527" s="108">
        <v>0</v>
      </c>
      <c r="O527" s="105">
        <v>0</v>
      </c>
      <c r="P527" s="108">
        <v>0</v>
      </c>
      <c r="Q527" s="105">
        <v>0</v>
      </c>
      <c r="R527" s="108">
        <v>0</v>
      </c>
      <c r="S527" s="105">
        <v>0</v>
      </c>
      <c r="T527" s="108">
        <v>0</v>
      </c>
      <c r="U527" s="105">
        <v>0</v>
      </c>
      <c r="V527" s="108">
        <v>0</v>
      </c>
      <c r="W527" s="105">
        <v>0</v>
      </c>
      <c r="X527" s="108">
        <v>0</v>
      </c>
      <c r="Y527" s="105">
        <v>0</v>
      </c>
      <c r="Z527" s="108">
        <v>0</v>
      </c>
      <c r="AA527" s="105">
        <v>0</v>
      </c>
      <c r="AB527" s="108">
        <v>0</v>
      </c>
      <c r="AC527" s="238">
        <f t="shared" si="267"/>
        <v>0</v>
      </c>
      <c r="AD527" s="238"/>
      <c r="AE527" s="238"/>
    </row>
    <row r="528" spans="2:31" x14ac:dyDescent="0.3">
      <c r="B528" s="245" t="s">
        <v>7</v>
      </c>
      <c r="C528" s="245"/>
      <c r="D528" s="245"/>
      <c r="E528" s="105">
        <v>0</v>
      </c>
      <c r="F528" s="108">
        <v>0</v>
      </c>
      <c r="G528" s="105">
        <v>0</v>
      </c>
      <c r="H528" s="108">
        <v>0</v>
      </c>
      <c r="I528" s="105">
        <v>0</v>
      </c>
      <c r="J528" s="108">
        <v>0</v>
      </c>
      <c r="K528" s="105">
        <v>0</v>
      </c>
      <c r="L528" s="108">
        <v>0</v>
      </c>
      <c r="M528" s="105">
        <v>0</v>
      </c>
      <c r="N528" s="108">
        <v>0</v>
      </c>
      <c r="O528" s="105">
        <v>0</v>
      </c>
      <c r="P528" s="108">
        <v>0</v>
      </c>
      <c r="Q528" s="105">
        <v>11.509833333333336</v>
      </c>
      <c r="R528" s="108">
        <v>0.77783333333333315</v>
      </c>
      <c r="S528" s="105">
        <v>0</v>
      </c>
      <c r="T528" s="108">
        <v>0.38999999999999679</v>
      </c>
      <c r="U528" s="105">
        <v>0</v>
      </c>
      <c r="V528" s="108">
        <v>9.8284999999999947</v>
      </c>
      <c r="W528" s="105">
        <v>27.938499999999998</v>
      </c>
      <c r="X528" s="108">
        <v>8.8921666666666681</v>
      </c>
      <c r="Y528" s="105">
        <v>0</v>
      </c>
      <c r="Z528" s="108">
        <v>0</v>
      </c>
      <c r="AA528" s="105">
        <v>0</v>
      </c>
      <c r="AB528" s="108">
        <v>0</v>
      </c>
      <c r="AC528" s="238">
        <f t="shared" si="267"/>
        <v>59.336833333333331</v>
      </c>
      <c r="AD528" s="238"/>
      <c r="AE528" s="238"/>
    </row>
    <row r="529" spans="2:31" x14ac:dyDescent="0.3">
      <c r="B529" s="245" t="s">
        <v>8</v>
      </c>
      <c r="C529" s="245"/>
      <c r="D529" s="245"/>
      <c r="E529" s="105">
        <v>0</v>
      </c>
      <c r="F529" s="108">
        <v>0</v>
      </c>
      <c r="G529" s="105">
        <v>0</v>
      </c>
      <c r="H529" s="108">
        <v>0</v>
      </c>
      <c r="I529" s="105">
        <v>0</v>
      </c>
      <c r="J529" s="108">
        <v>0</v>
      </c>
      <c r="K529" s="105">
        <v>0</v>
      </c>
      <c r="L529" s="108">
        <v>0</v>
      </c>
      <c r="M529" s="105">
        <v>0</v>
      </c>
      <c r="N529" s="108">
        <v>0</v>
      </c>
      <c r="O529" s="105">
        <v>0</v>
      </c>
      <c r="P529" s="108">
        <v>0</v>
      </c>
      <c r="Q529" s="105">
        <v>0</v>
      </c>
      <c r="R529" s="108">
        <v>9.118166666666669</v>
      </c>
      <c r="S529" s="105">
        <v>24.841833333333309</v>
      </c>
      <c r="T529" s="108">
        <v>32.088666666666697</v>
      </c>
      <c r="U529" s="105">
        <v>28.070000000000011</v>
      </c>
      <c r="V529" s="108">
        <v>1.9526666666666668</v>
      </c>
      <c r="W529" s="105">
        <v>0.14349999999999999</v>
      </c>
      <c r="X529" s="108">
        <v>0</v>
      </c>
      <c r="Y529" s="105">
        <v>0</v>
      </c>
      <c r="Z529" s="108">
        <v>0</v>
      </c>
      <c r="AA529" s="105">
        <v>0</v>
      </c>
      <c r="AB529" s="108">
        <v>0</v>
      </c>
      <c r="AC529" s="238">
        <f t="shared" si="267"/>
        <v>96.21483333333336</v>
      </c>
      <c r="AD529" s="238"/>
      <c r="AE529" s="238"/>
    </row>
    <row r="530" spans="2:31" x14ac:dyDescent="0.3">
      <c r="B530" s="245" t="s">
        <v>9</v>
      </c>
      <c r="C530" s="245"/>
      <c r="D530" s="245"/>
      <c r="E530" s="105">
        <v>0</v>
      </c>
      <c r="F530" s="108">
        <v>0</v>
      </c>
      <c r="G530" s="105">
        <v>0</v>
      </c>
      <c r="H530" s="108">
        <v>0</v>
      </c>
      <c r="I530" s="105">
        <v>0</v>
      </c>
      <c r="J530" s="108">
        <v>0</v>
      </c>
      <c r="K530" s="105">
        <v>0</v>
      </c>
      <c r="L530" s="108">
        <v>0</v>
      </c>
      <c r="M530" s="105">
        <v>0</v>
      </c>
      <c r="N530" s="108">
        <v>0</v>
      </c>
      <c r="O530" s="105">
        <v>0</v>
      </c>
      <c r="P530" s="108">
        <v>0</v>
      </c>
      <c r="Q530" s="105">
        <v>0</v>
      </c>
      <c r="R530" s="108">
        <v>65.333333333333329</v>
      </c>
      <c r="S530" s="105">
        <v>88.300000000000097</v>
      </c>
      <c r="T530" s="108">
        <v>103.10000000000008</v>
      </c>
      <c r="U530" s="105">
        <v>119.10000000000012</v>
      </c>
      <c r="V530" s="108">
        <v>134.30000000000013</v>
      </c>
      <c r="W530" s="105">
        <v>129.82666666666677</v>
      </c>
      <c r="X530" s="108">
        <v>0</v>
      </c>
      <c r="Y530" s="105">
        <v>0</v>
      </c>
      <c r="Z530" s="108">
        <v>0</v>
      </c>
      <c r="AA530" s="105">
        <v>0</v>
      </c>
      <c r="AB530" s="108">
        <v>0</v>
      </c>
      <c r="AC530" s="238">
        <f t="shared" si="267"/>
        <v>639.96000000000049</v>
      </c>
      <c r="AD530" s="238"/>
      <c r="AE530" s="238"/>
    </row>
    <row r="531" spans="2:31" x14ac:dyDescent="0.3">
      <c r="B531" s="245" t="s">
        <v>10</v>
      </c>
      <c r="C531" s="245"/>
      <c r="D531" s="245"/>
      <c r="E531" s="105">
        <v>0</v>
      </c>
      <c r="F531" s="108">
        <v>0</v>
      </c>
      <c r="G531" s="105">
        <v>0</v>
      </c>
      <c r="H531" s="108">
        <v>0</v>
      </c>
      <c r="I531" s="105">
        <v>0</v>
      </c>
      <c r="J531" s="108">
        <v>0</v>
      </c>
      <c r="K531" s="105">
        <v>0</v>
      </c>
      <c r="L531" s="108">
        <v>0</v>
      </c>
      <c r="M531" s="105">
        <v>0</v>
      </c>
      <c r="N531" s="108">
        <v>0</v>
      </c>
      <c r="O531" s="105">
        <v>0</v>
      </c>
      <c r="P531" s="108">
        <v>0</v>
      </c>
      <c r="Q531" s="105">
        <v>0</v>
      </c>
      <c r="R531" s="108">
        <v>11.449000000000002</v>
      </c>
      <c r="S531" s="105">
        <v>34.038166666666676</v>
      </c>
      <c r="T531" s="108">
        <v>50.91899999999999</v>
      </c>
      <c r="U531" s="105">
        <v>64.433333333333337</v>
      </c>
      <c r="V531" s="108">
        <v>39.960500000000003</v>
      </c>
      <c r="W531" s="105">
        <v>25.018333333333334</v>
      </c>
      <c r="X531" s="108">
        <v>0</v>
      </c>
      <c r="Y531" s="105">
        <v>0</v>
      </c>
      <c r="Z531" s="108">
        <v>0</v>
      </c>
      <c r="AA531" s="105">
        <v>0</v>
      </c>
      <c r="AB531" s="108">
        <v>0</v>
      </c>
      <c r="AC531" s="238">
        <f t="shared" si="267"/>
        <v>225.81833333333336</v>
      </c>
      <c r="AD531" s="238"/>
      <c r="AE531" s="238"/>
    </row>
    <row r="532" spans="2:31" x14ac:dyDescent="0.3">
      <c r="B532" s="245" t="s">
        <v>11</v>
      </c>
      <c r="C532" s="245"/>
      <c r="D532" s="245"/>
      <c r="E532" s="105">
        <v>0</v>
      </c>
      <c r="F532" s="108">
        <v>0</v>
      </c>
      <c r="G532" s="105">
        <v>0</v>
      </c>
      <c r="H532" s="108">
        <v>0</v>
      </c>
      <c r="I532" s="105">
        <v>0</v>
      </c>
      <c r="J532" s="108">
        <v>0</v>
      </c>
      <c r="K532" s="105">
        <v>0</v>
      </c>
      <c r="L532" s="108">
        <v>0</v>
      </c>
      <c r="M532" s="105">
        <v>0</v>
      </c>
      <c r="N532" s="108">
        <v>0</v>
      </c>
      <c r="O532" s="105">
        <v>0</v>
      </c>
      <c r="P532" s="108">
        <v>0</v>
      </c>
      <c r="Q532" s="105">
        <v>0</v>
      </c>
      <c r="R532" s="108">
        <v>5.7356666666666696</v>
      </c>
      <c r="S532" s="105">
        <v>31.19583333333334</v>
      </c>
      <c r="T532" s="108">
        <v>57.661500000000004</v>
      </c>
      <c r="U532" s="105">
        <v>85.058666666666653</v>
      </c>
      <c r="V532" s="108">
        <v>89.995333333333363</v>
      </c>
      <c r="W532" s="105">
        <v>84.671333333333351</v>
      </c>
      <c r="X532" s="108">
        <v>0</v>
      </c>
      <c r="Y532" s="105">
        <v>0</v>
      </c>
      <c r="Z532" s="108">
        <v>0</v>
      </c>
      <c r="AA532" s="105">
        <v>0</v>
      </c>
      <c r="AB532" s="108">
        <v>0</v>
      </c>
      <c r="AC532" s="238">
        <f t="shared" si="267"/>
        <v>354.31833333333338</v>
      </c>
      <c r="AD532" s="238"/>
      <c r="AE532" s="238"/>
    </row>
    <row r="533" spans="2:31" x14ac:dyDescent="0.3">
      <c r="B533" s="245" t="s">
        <v>12</v>
      </c>
      <c r="C533" s="245"/>
      <c r="D533" s="245"/>
      <c r="E533" s="105">
        <v>0</v>
      </c>
      <c r="F533" s="108">
        <v>0</v>
      </c>
      <c r="G533" s="105">
        <v>0</v>
      </c>
      <c r="H533" s="108">
        <v>0</v>
      </c>
      <c r="I533" s="105">
        <v>0</v>
      </c>
      <c r="J533" s="108">
        <v>0</v>
      </c>
      <c r="K533" s="105">
        <v>0</v>
      </c>
      <c r="L533" s="108">
        <v>0</v>
      </c>
      <c r="M533" s="105">
        <v>0</v>
      </c>
      <c r="N533" s="108">
        <v>0</v>
      </c>
      <c r="O533" s="105">
        <v>0</v>
      </c>
      <c r="P533" s="108">
        <v>0</v>
      </c>
      <c r="Q533" s="105">
        <v>0</v>
      </c>
      <c r="R533" s="108">
        <v>28.026833333333325</v>
      </c>
      <c r="S533" s="105">
        <v>61.76133333333334</v>
      </c>
      <c r="T533" s="108">
        <v>85.363666666666688</v>
      </c>
      <c r="U533" s="105">
        <v>99.158999999999963</v>
      </c>
      <c r="V533" s="108">
        <v>92.502833333333314</v>
      </c>
      <c r="W533" s="105">
        <v>76.560833333333321</v>
      </c>
      <c r="X533" s="108">
        <v>0</v>
      </c>
      <c r="Y533" s="105">
        <v>0</v>
      </c>
      <c r="Z533" s="108">
        <v>0</v>
      </c>
      <c r="AA533" s="105">
        <v>0</v>
      </c>
      <c r="AB533" s="108">
        <v>0</v>
      </c>
      <c r="AC533" s="238">
        <f t="shared" si="267"/>
        <v>443.37450000000001</v>
      </c>
      <c r="AD533" s="238"/>
      <c r="AE533" s="238"/>
    </row>
    <row r="534" spans="2:31" x14ac:dyDescent="0.3">
      <c r="B534" s="245" t="s">
        <v>13</v>
      </c>
      <c r="C534" s="245"/>
      <c r="D534" s="245"/>
      <c r="E534" s="105">
        <v>0</v>
      </c>
      <c r="F534" s="108">
        <v>0</v>
      </c>
      <c r="G534" s="105">
        <v>0</v>
      </c>
      <c r="H534" s="108">
        <v>0</v>
      </c>
      <c r="I534" s="105">
        <v>0</v>
      </c>
      <c r="J534" s="108">
        <v>0</v>
      </c>
      <c r="K534" s="105">
        <v>0</v>
      </c>
      <c r="L534" s="108">
        <v>0</v>
      </c>
      <c r="M534" s="105">
        <v>0</v>
      </c>
      <c r="N534" s="108">
        <v>0</v>
      </c>
      <c r="O534" s="105">
        <v>0</v>
      </c>
      <c r="P534" s="108">
        <v>0</v>
      </c>
      <c r="Q534" s="105">
        <v>0</v>
      </c>
      <c r="R534" s="108">
        <v>0</v>
      </c>
      <c r="S534" s="105">
        <v>14.082500000000007</v>
      </c>
      <c r="T534" s="108">
        <v>0.38699999999999996</v>
      </c>
      <c r="U534" s="105">
        <v>7.7969999999999908</v>
      </c>
      <c r="V534" s="108">
        <v>0</v>
      </c>
      <c r="W534" s="105">
        <v>2.2729999999999961</v>
      </c>
      <c r="X534" s="108">
        <v>0</v>
      </c>
      <c r="Y534" s="105">
        <v>0</v>
      </c>
      <c r="Z534" s="108">
        <v>0</v>
      </c>
      <c r="AA534" s="105">
        <v>0</v>
      </c>
      <c r="AB534" s="108">
        <v>0</v>
      </c>
      <c r="AC534" s="238">
        <f t="shared" si="267"/>
        <v>24.539499999999993</v>
      </c>
      <c r="AD534" s="238"/>
      <c r="AE534" s="238"/>
    </row>
    <row r="535" spans="2:31" x14ac:dyDescent="0.3">
      <c r="B535" s="245" t="s">
        <v>14</v>
      </c>
      <c r="C535" s="245"/>
      <c r="D535" s="245"/>
      <c r="E535" s="105">
        <v>0</v>
      </c>
      <c r="F535" s="108">
        <v>0</v>
      </c>
      <c r="G535" s="105">
        <v>0</v>
      </c>
      <c r="H535" s="108">
        <v>0</v>
      </c>
      <c r="I535" s="105">
        <v>0</v>
      </c>
      <c r="J535" s="108">
        <v>0</v>
      </c>
      <c r="K535" s="105">
        <v>0</v>
      </c>
      <c r="L535" s="108">
        <v>0</v>
      </c>
      <c r="M535" s="105">
        <v>0</v>
      </c>
      <c r="N535" s="108">
        <v>0</v>
      </c>
      <c r="O535" s="105">
        <v>0</v>
      </c>
      <c r="P535" s="108">
        <v>0</v>
      </c>
      <c r="Q535" s="105">
        <v>0</v>
      </c>
      <c r="R535" s="108">
        <v>3.4010000000000011</v>
      </c>
      <c r="S535" s="105">
        <v>4.7670000000000021</v>
      </c>
      <c r="T535" s="108">
        <v>4.5783333333333376</v>
      </c>
      <c r="U535" s="105">
        <v>4.59066666666667</v>
      </c>
      <c r="V535" s="108">
        <v>4.1023333333333341</v>
      </c>
      <c r="W535" s="105">
        <v>3.5641666666666696</v>
      </c>
      <c r="X535" s="108">
        <v>0</v>
      </c>
      <c r="Y535" s="105">
        <v>0</v>
      </c>
      <c r="Z535" s="108">
        <v>0</v>
      </c>
      <c r="AA535" s="105">
        <v>0</v>
      </c>
      <c r="AB535" s="108">
        <v>0</v>
      </c>
      <c r="AC535" s="238">
        <f t="shared" si="267"/>
        <v>25.003500000000013</v>
      </c>
      <c r="AD535" s="238"/>
      <c r="AE535" s="238"/>
    </row>
    <row r="536" spans="2:31" x14ac:dyDescent="0.3">
      <c r="B536" s="245" t="s">
        <v>15</v>
      </c>
      <c r="C536" s="245"/>
      <c r="D536" s="245"/>
      <c r="E536" s="105">
        <v>0</v>
      </c>
      <c r="F536" s="108">
        <v>0</v>
      </c>
      <c r="G536" s="105">
        <v>0</v>
      </c>
      <c r="H536" s="108">
        <v>0</v>
      </c>
      <c r="I536" s="105">
        <v>0</v>
      </c>
      <c r="J536" s="108">
        <v>0</v>
      </c>
      <c r="K536" s="105">
        <v>0</v>
      </c>
      <c r="L536" s="108">
        <v>0</v>
      </c>
      <c r="M536" s="105">
        <v>0</v>
      </c>
      <c r="N536" s="108">
        <v>0</v>
      </c>
      <c r="O536" s="105">
        <v>0</v>
      </c>
      <c r="P536" s="108">
        <v>0</v>
      </c>
      <c r="Q536" s="105">
        <v>0</v>
      </c>
      <c r="R536" s="108">
        <v>4.8724999999999961</v>
      </c>
      <c r="S536" s="105">
        <v>20.863499999999988</v>
      </c>
      <c r="T536" s="108">
        <v>1.8560000000000003</v>
      </c>
      <c r="U536" s="105">
        <v>0</v>
      </c>
      <c r="V536" s="108">
        <v>5.2360000000000007</v>
      </c>
      <c r="W536" s="105">
        <v>7.565500000000001</v>
      </c>
      <c r="X536" s="108">
        <v>0</v>
      </c>
      <c r="Y536" s="105">
        <v>0</v>
      </c>
      <c r="Z536" s="108">
        <v>0</v>
      </c>
      <c r="AA536" s="105">
        <v>0</v>
      </c>
      <c r="AB536" s="108">
        <v>0</v>
      </c>
      <c r="AC536" s="238">
        <f t="shared" si="267"/>
        <v>40.393499999999989</v>
      </c>
      <c r="AD536" s="238"/>
      <c r="AE536" s="238"/>
    </row>
    <row r="537" spans="2:31" x14ac:dyDescent="0.3">
      <c r="B537" s="245" t="s">
        <v>16</v>
      </c>
      <c r="C537" s="245"/>
      <c r="D537" s="245"/>
      <c r="E537" s="105">
        <v>0</v>
      </c>
      <c r="F537" s="108">
        <v>0</v>
      </c>
      <c r="G537" s="105">
        <v>0</v>
      </c>
      <c r="H537" s="108">
        <v>0</v>
      </c>
      <c r="I537" s="105">
        <v>0</v>
      </c>
      <c r="J537" s="108">
        <v>0</v>
      </c>
      <c r="K537" s="105">
        <v>0</v>
      </c>
      <c r="L537" s="108">
        <v>0</v>
      </c>
      <c r="M537" s="105">
        <v>0</v>
      </c>
      <c r="N537" s="108">
        <v>0</v>
      </c>
      <c r="O537" s="105">
        <v>0</v>
      </c>
      <c r="P537" s="108">
        <v>0</v>
      </c>
      <c r="Q537" s="105">
        <v>0</v>
      </c>
      <c r="R537" s="108">
        <v>0</v>
      </c>
      <c r="S537" s="105">
        <v>0</v>
      </c>
      <c r="T537" s="108">
        <v>0</v>
      </c>
      <c r="U537" s="105">
        <v>0</v>
      </c>
      <c r="V537" s="108">
        <v>0</v>
      </c>
      <c r="W537" s="105">
        <v>0</v>
      </c>
      <c r="X537" s="108">
        <v>0</v>
      </c>
      <c r="Y537" s="105">
        <v>0</v>
      </c>
      <c r="Z537" s="108">
        <v>0</v>
      </c>
      <c r="AA537" s="105">
        <v>0</v>
      </c>
      <c r="AB537" s="108">
        <v>0</v>
      </c>
      <c r="AC537" s="238">
        <f t="shared" si="267"/>
        <v>0</v>
      </c>
      <c r="AD537" s="238"/>
      <c r="AE537" s="238"/>
    </row>
    <row r="538" spans="2:31" x14ac:dyDescent="0.3">
      <c r="B538" s="245" t="s">
        <v>17</v>
      </c>
      <c r="C538" s="245"/>
      <c r="D538" s="245"/>
      <c r="E538" s="105">
        <v>0</v>
      </c>
      <c r="F538" s="108">
        <v>0</v>
      </c>
      <c r="G538" s="105">
        <v>0</v>
      </c>
      <c r="H538" s="108">
        <v>0</v>
      </c>
      <c r="I538" s="105">
        <v>0</v>
      </c>
      <c r="J538" s="108">
        <v>0</v>
      </c>
      <c r="K538" s="105">
        <v>0</v>
      </c>
      <c r="L538" s="108">
        <v>0</v>
      </c>
      <c r="M538" s="105">
        <v>0</v>
      </c>
      <c r="N538" s="108">
        <v>0</v>
      </c>
      <c r="O538" s="105">
        <v>0</v>
      </c>
      <c r="P538" s="108">
        <v>0</v>
      </c>
      <c r="Q538" s="105">
        <v>0</v>
      </c>
      <c r="R538" s="108">
        <v>8.259666666666666</v>
      </c>
      <c r="S538" s="105">
        <v>0</v>
      </c>
      <c r="T538" s="108">
        <v>0</v>
      </c>
      <c r="U538" s="105">
        <v>0</v>
      </c>
      <c r="V538" s="108">
        <v>0</v>
      </c>
      <c r="W538" s="105">
        <v>0</v>
      </c>
      <c r="X538" s="108">
        <v>0</v>
      </c>
      <c r="Y538" s="105">
        <v>0</v>
      </c>
      <c r="Z538" s="108">
        <v>0</v>
      </c>
      <c r="AA538" s="105">
        <v>0</v>
      </c>
      <c r="AB538" s="108">
        <v>0</v>
      </c>
      <c r="AC538" s="238">
        <f t="shared" si="267"/>
        <v>8.259666666666666</v>
      </c>
      <c r="AD538" s="238"/>
      <c r="AE538" s="238"/>
    </row>
    <row r="539" spans="2:31" x14ac:dyDescent="0.3">
      <c r="B539" s="245" t="s">
        <v>18</v>
      </c>
      <c r="C539" s="245"/>
      <c r="D539" s="245"/>
      <c r="E539" s="105">
        <v>0</v>
      </c>
      <c r="F539" s="108">
        <v>0</v>
      </c>
      <c r="G539" s="105">
        <v>0</v>
      </c>
      <c r="H539" s="108">
        <v>0</v>
      </c>
      <c r="I539" s="105">
        <v>0</v>
      </c>
      <c r="J539" s="108">
        <v>0</v>
      </c>
      <c r="K539" s="105">
        <v>0</v>
      </c>
      <c r="L539" s="108">
        <v>0</v>
      </c>
      <c r="M539" s="105">
        <v>0</v>
      </c>
      <c r="N539" s="108">
        <v>0</v>
      </c>
      <c r="O539" s="105">
        <v>0</v>
      </c>
      <c r="P539" s="108">
        <v>0</v>
      </c>
      <c r="Q539" s="105">
        <v>0</v>
      </c>
      <c r="R539" s="108">
        <v>0</v>
      </c>
      <c r="S539" s="105">
        <v>0</v>
      </c>
      <c r="T539" s="108">
        <v>0</v>
      </c>
      <c r="U539" s="105">
        <v>0</v>
      </c>
      <c r="V539" s="108">
        <v>0</v>
      </c>
      <c r="W539" s="105">
        <v>0</v>
      </c>
      <c r="X539" s="108">
        <v>0</v>
      </c>
      <c r="Y539" s="105">
        <v>0</v>
      </c>
      <c r="Z539" s="108">
        <v>0</v>
      </c>
      <c r="AA539" s="105">
        <v>0</v>
      </c>
      <c r="AB539" s="108">
        <v>0</v>
      </c>
      <c r="AC539" s="238">
        <f t="shared" si="267"/>
        <v>0</v>
      </c>
      <c r="AD539" s="238"/>
      <c r="AE539" s="238"/>
    </row>
    <row r="540" spans="2:31" x14ac:dyDescent="0.3">
      <c r="B540" s="245" t="s">
        <v>19</v>
      </c>
      <c r="C540" s="245"/>
      <c r="D540" s="245"/>
      <c r="E540" s="105">
        <v>0</v>
      </c>
      <c r="F540" s="108">
        <v>0</v>
      </c>
      <c r="G540" s="105">
        <v>0</v>
      </c>
      <c r="H540" s="108">
        <v>0</v>
      </c>
      <c r="I540" s="105">
        <v>0</v>
      </c>
      <c r="J540" s="108">
        <v>0</v>
      </c>
      <c r="K540" s="105">
        <v>0</v>
      </c>
      <c r="L540" s="108">
        <v>0</v>
      </c>
      <c r="M540" s="105">
        <v>0</v>
      </c>
      <c r="N540" s="108">
        <v>0</v>
      </c>
      <c r="O540" s="105">
        <v>0</v>
      </c>
      <c r="P540" s="108">
        <v>0</v>
      </c>
      <c r="Q540" s="105">
        <v>0</v>
      </c>
      <c r="R540" s="108">
        <v>0</v>
      </c>
      <c r="S540" s="105">
        <v>5.1811666666666687</v>
      </c>
      <c r="T540" s="108">
        <v>11.830333333333339</v>
      </c>
      <c r="U540" s="105">
        <v>3.0341666666666689</v>
      </c>
      <c r="V540" s="108">
        <v>22.107499999999998</v>
      </c>
      <c r="W540" s="105">
        <v>13.290999999999997</v>
      </c>
      <c r="X540" s="108">
        <v>0</v>
      </c>
      <c r="Y540" s="105">
        <v>0</v>
      </c>
      <c r="Z540" s="108">
        <v>0</v>
      </c>
      <c r="AA540" s="105">
        <v>0</v>
      </c>
      <c r="AB540" s="108">
        <v>0</v>
      </c>
      <c r="AC540" s="238">
        <f t="shared" si="267"/>
        <v>55.444166666666675</v>
      </c>
      <c r="AD540" s="238"/>
      <c r="AE540" s="238"/>
    </row>
    <row r="541" spans="2:31" x14ac:dyDescent="0.3">
      <c r="B541" s="245" t="s">
        <v>20</v>
      </c>
      <c r="C541" s="245"/>
      <c r="D541" s="245"/>
      <c r="E541" s="105">
        <v>0</v>
      </c>
      <c r="F541" s="108">
        <v>0</v>
      </c>
      <c r="G541" s="105">
        <v>0</v>
      </c>
      <c r="H541" s="108">
        <v>0</v>
      </c>
      <c r="I541" s="105">
        <v>0</v>
      </c>
      <c r="J541" s="108">
        <v>0</v>
      </c>
      <c r="K541" s="105">
        <v>0</v>
      </c>
      <c r="L541" s="108">
        <v>0</v>
      </c>
      <c r="M541" s="105">
        <v>0</v>
      </c>
      <c r="N541" s="108">
        <v>0</v>
      </c>
      <c r="O541" s="105">
        <v>0</v>
      </c>
      <c r="P541" s="108">
        <v>0</v>
      </c>
      <c r="Q541" s="105">
        <v>0</v>
      </c>
      <c r="R541" s="108">
        <v>6.3666666666666618</v>
      </c>
      <c r="S541" s="105">
        <v>12.110333333333346</v>
      </c>
      <c r="T541" s="108">
        <v>16.698166666666687</v>
      </c>
      <c r="U541" s="105">
        <v>20.48683333333334</v>
      </c>
      <c r="V541" s="108">
        <v>22.875666666666636</v>
      </c>
      <c r="W541" s="105">
        <v>20.856333333333314</v>
      </c>
      <c r="X541" s="108">
        <v>0</v>
      </c>
      <c r="Y541" s="105">
        <v>0</v>
      </c>
      <c r="Z541" s="108">
        <v>0</v>
      </c>
      <c r="AA541" s="105">
        <v>0</v>
      </c>
      <c r="AB541" s="108">
        <v>0</v>
      </c>
      <c r="AC541" s="238">
        <f t="shared" si="267"/>
        <v>99.393999999999977</v>
      </c>
      <c r="AD541" s="238"/>
      <c r="AE541" s="238"/>
    </row>
    <row r="542" spans="2:31" x14ac:dyDescent="0.3">
      <c r="B542" s="245" t="s">
        <v>21</v>
      </c>
      <c r="C542" s="245"/>
      <c r="D542" s="245"/>
      <c r="E542" s="105">
        <v>0</v>
      </c>
      <c r="F542" s="108">
        <v>0</v>
      </c>
      <c r="G542" s="105">
        <v>0</v>
      </c>
      <c r="H542" s="108">
        <v>0</v>
      </c>
      <c r="I542" s="105">
        <v>0</v>
      </c>
      <c r="J542" s="108">
        <v>0</v>
      </c>
      <c r="K542" s="105">
        <v>0</v>
      </c>
      <c r="L542" s="108">
        <v>0</v>
      </c>
      <c r="M542" s="105">
        <v>0</v>
      </c>
      <c r="N542" s="108">
        <v>0</v>
      </c>
      <c r="O542" s="105">
        <v>0</v>
      </c>
      <c r="P542" s="108">
        <v>0</v>
      </c>
      <c r="Q542" s="105">
        <v>0</v>
      </c>
      <c r="R542" s="108">
        <v>4.5853333333333346</v>
      </c>
      <c r="S542" s="105">
        <v>10.351333333333328</v>
      </c>
      <c r="T542" s="108">
        <v>14.692666666666662</v>
      </c>
      <c r="U542" s="105">
        <v>3.9191666666666678</v>
      </c>
      <c r="V542" s="108">
        <v>2.0984999999999991</v>
      </c>
      <c r="W542" s="105">
        <v>0</v>
      </c>
      <c r="X542" s="108">
        <v>0</v>
      </c>
      <c r="Y542" s="105">
        <v>0</v>
      </c>
      <c r="Z542" s="108">
        <v>0</v>
      </c>
      <c r="AA542" s="105">
        <v>0</v>
      </c>
      <c r="AB542" s="108">
        <v>0</v>
      </c>
      <c r="AC542" s="238">
        <f t="shared" si="267"/>
        <v>35.646999999999991</v>
      </c>
      <c r="AD542" s="238"/>
      <c r="AE542" s="238"/>
    </row>
    <row r="543" spans="2:31" x14ac:dyDescent="0.3">
      <c r="B543" s="245" t="s">
        <v>22</v>
      </c>
      <c r="C543" s="245"/>
      <c r="D543" s="245"/>
      <c r="E543" s="105">
        <v>0</v>
      </c>
      <c r="F543" s="108">
        <v>0</v>
      </c>
      <c r="G543" s="105">
        <v>0</v>
      </c>
      <c r="H543" s="108">
        <v>0</v>
      </c>
      <c r="I543" s="105">
        <v>0</v>
      </c>
      <c r="J543" s="108">
        <v>0</v>
      </c>
      <c r="K543" s="105">
        <v>0</v>
      </c>
      <c r="L543" s="108">
        <v>0</v>
      </c>
      <c r="M543" s="105">
        <v>0</v>
      </c>
      <c r="N543" s="108">
        <v>0</v>
      </c>
      <c r="O543" s="105">
        <v>0</v>
      </c>
      <c r="P543" s="108">
        <v>0</v>
      </c>
      <c r="Q543" s="105">
        <v>0</v>
      </c>
      <c r="R543" s="108">
        <v>1.6194999999999999</v>
      </c>
      <c r="S543" s="105">
        <v>0.87433333333333318</v>
      </c>
      <c r="T543" s="108">
        <v>0.35116666666666674</v>
      </c>
      <c r="U543" s="105">
        <v>1.3121666666666674</v>
      </c>
      <c r="V543" s="108">
        <v>2.1451666666666673</v>
      </c>
      <c r="W543" s="105">
        <v>1.0416666666666667</v>
      </c>
      <c r="X543" s="108">
        <v>0</v>
      </c>
      <c r="Y543" s="105">
        <v>0</v>
      </c>
      <c r="Z543" s="108">
        <v>0</v>
      </c>
      <c r="AA543" s="105">
        <v>0</v>
      </c>
      <c r="AB543" s="108">
        <v>0</v>
      </c>
      <c r="AC543" s="238">
        <f t="shared" si="267"/>
        <v>7.3440000000000012</v>
      </c>
      <c r="AD543" s="238"/>
      <c r="AE543" s="238"/>
    </row>
    <row r="544" spans="2:31" x14ac:dyDescent="0.3">
      <c r="B544" s="245" t="s">
        <v>23</v>
      </c>
      <c r="C544" s="245"/>
      <c r="D544" s="245"/>
      <c r="E544" s="105">
        <v>0</v>
      </c>
      <c r="F544" s="108">
        <v>0</v>
      </c>
      <c r="G544" s="105">
        <v>0</v>
      </c>
      <c r="H544" s="108">
        <v>0</v>
      </c>
      <c r="I544" s="105">
        <v>0</v>
      </c>
      <c r="J544" s="108">
        <v>0</v>
      </c>
      <c r="K544" s="105">
        <v>0</v>
      </c>
      <c r="L544" s="108">
        <v>0</v>
      </c>
      <c r="M544" s="105">
        <v>0</v>
      </c>
      <c r="N544" s="108">
        <v>0</v>
      </c>
      <c r="O544" s="105">
        <v>0</v>
      </c>
      <c r="P544" s="108">
        <v>0</v>
      </c>
      <c r="Q544" s="105">
        <v>0</v>
      </c>
      <c r="R544" s="108">
        <v>2.1740000000000013</v>
      </c>
      <c r="S544" s="105">
        <v>8.9976666666666674</v>
      </c>
      <c r="T544" s="108">
        <v>14.81983333333333</v>
      </c>
      <c r="U544" s="105">
        <v>15.191999999999997</v>
      </c>
      <c r="V544" s="108">
        <v>1.0065</v>
      </c>
      <c r="W544" s="105">
        <v>0</v>
      </c>
      <c r="X544" s="108">
        <v>0</v>
      </c>
      <c r="Y544" s="105">
        <v>0</v>
      </c>
      <c r="Z544" s="108">
        <v>0</v>
      </c>
      <c r="AA544" s="105">
        <v>0</v>
      </c>
      <c r="AB544" s="108">
        <v>0</v>
      </c>
      <c r="AC544" s="238">
        <f t="shared" si="267"/>
        <v>42.19</v>
      </c>
      <c r="AD544" s="238"/>
      <c r="AE544" s="238"/>
    </row>
    <row r="545" spans="2:31" x14ac:dyDescent="0.3">
      <c r="B545" s="245" t="s">
        <v>24</v>
      </c>
      <c r="C545" s="245"/>
      <c r="D545" s="245"/>
      <c r="E545" s="105">
        <v>0</v>
      </c>
      <c r="F545" s="108">
        <v>0</v>
      </c>
      <c r="G545" s="105">
        <v>0</v>
      </c>
      <c r="H545" s="108">
        <v>0</v>
      </c>
      <c r="I545" s="105">
        <v>0</v>
      </c>
      <c r="J545" s="108">
        <v>0</v>
      </c>
      <c r="K545" s="105">
        <v>0</v>
      </c>
      <c r="L545" s="108">
        <v>0</v>
      </c>
      <c r="M545" s="105">
        <v>0</v>
      </c>
      <c r="N545" s="108">
        <v>0</v>
      </c>
      <c r="O545" s="105">
        <v>0</v>
      </c>
      <c r="P545" s="108">
        <v>0</v>
      </c>
      <c r="Q545" s="105">
        <v>0</v>
      </c>
      <c r="R545" s="108">
        <v>9.3333333333333705E-3</v>
      </c>
      <c r="S545" s="105">
        <v>3.4646666666666652</v>
      </c>
      <c r="T545" s="108">
        <v>7.2939999999999987</v>
      </c>
      <c r="U545" s="105">
        <v>9.9753333333333352</v>
      </c>
      <c r="V545" s="108">
        <v>0</v>
      </c>
      <c r="W545" s="105">
        <v>0</v>
      </c>
      <c r="X545" s="108">
        <v>0</v>
      </c>
      <c r="Y545" s="105">
        <v>0</v>
      </c>
      <c r="Z545" s="108">
        <v>0</v>
      </c>
      <c r="AA545" s="105">
        <v>0</v>
      </c>
      <c r="AB545" s="108">
        <v>0</v>
      </c>
      <c r="AC545" s="238">
        <f t="shared" si="267"/>
        <v>20.743333333333332</v>
      </c>
      <c r="AD545" s="238"/>
      <c r="AE545" s="238"/>
    </row>
    <row r="546" spans="2:31" x14ac:dyDescent="0.3">
      <c r="B546" s="245" t="s">
        <v>25</v>
      </c>
      <c r="C546" s="245"/>
      <c r="D546" s="245"/>
      <c r="E546" s="105">
        <v>0</v>
      </c>
      <c r="F546" s="108">
        <v>0</v>
      </c>
      <c r="G546" s="105">
        <v>0</v>
      </c>
      <c r="H546" s="108">
        <v>0</v>
      </c>
      <c r="I546" s="105">
        <v>0</v>
      </c>
      <c r="J546" s="108">
        <v>0</v>
      </c>
      <c r="K546" s="105">
        <v>0</v>
      </c>
      <c r="L546" s="108">
        <v>0</v>
      </c>
      <c r="M546" s="105">
        <v>0</v>
      </c>
      <c r="N546" s="108">
        <v>0</v>
      </c>
      <c r="O546" s="105">
        <v>0</v>
      </c>
      <c r="P546" s="108">
        <v>0</v>
      </c>
      <c r="Q546" s="105">
        <v>0</v>
      </c>
      <c r="R546" s="108">
        <v>0</v>
      </c>
      <c r="S546" s="105">
        <v>0</v>
      </c>
      <c r="T546" s="108">
        <v>0</v>
      </c>
      <c r="U546" s="105">
        <v>0</v>
      </c>
      <c r="V546" s="108">
        <v>0</v>
      </c>
      <c r="W546" s="105">
        <v>0</v>
      </c>
      <c r="X546" s="108">
        <v>0</v>
      </c>
      <c r="Y546" s="105">
        <v>0</v>
      </c>
      <c r="Z546" s="108">
        <v>0</v>
      </c>
      <c r="AA546" s="105">
        <v>0</v>
      </c>
      <c r="AB546" s="108">
        <v>0</v>
      </c>
      <c r="AC546" s="238">
        <f t="shared" si="267"/>
        <v>0</v>
      </c>
      <c r="AD546" s="238"/>
      <c r="AE546" s="238"/>
    </row>
    <row r="547" spans="2:31" x14ac:dyDescent="0.3">
      <c r="B547" s="245" t="s">
        <v>26</v>
      </c>
      <c r="C547" s="245"/>
      <c r="D547" s="245"/>
      <c r="E547" s="105">
        <v>0</v>
      </c>
      <c r="F547" s="108">
        <v>0</v>
      </c>
      <c r="G547" s="105">
        <v>0</v>
      </c>
      <c r="H547" s="108">
        <v>0</v>
      </c>
      <c r="I547" s="105">
        <v>0</v>
      </c>
      <c r="J547" s="108">
        <v>0</v>
      </c>
      <c r="K547" s="105">
        <v>0</v>
      </c>
      <c r="L547" s="108">
        <v>0</v>
      </c>
      <c r="M547" s="105">
        <v>0</v>
      </c>
      <c r="N547" s="108">
        <v>0</v>
      </c>
      <c r="O547" s="105">
        <v>0</v>
      </c>
      <c r="P547" s="108">
        <v>0</v>
      </c>
      <c r="Q547" s="105">
        <v>0</v>
      </c>
      <c r="R547" s="108">
        <v>0</v>
      </c>
      <c r="S547" s="105">
        <v>0</v>
      </c>
      <c r="T547" s="108">
        <v>0</v>
      </c>
      <c r="U547" s="105">
        <v>0</v>
      </c>
      <c r="V547" s="108">
        <v>0</v>
      </c>
      <c r="W547" s="105">
        <v>0</v>
      </c>
      <c r="X547" s="108">
        <v>0</v>
      </c>
      <c r="Y547" s="105">
        <v>0</v>
      </c>
      <c r="Z547" s="108">
        <v>0</v>
      </c>
      <c r="AA547" s="105">
        <v>0</v>
      </c>
      <c r="AB547" s="108">
        <v>0</v>
      </c>
      <c r="AC547" s="238">
        <f t="shared" si="267"/>
        <v>0</v>
      </c>
      <c r="AD547" s="238"/>
      <c r="AE547" s="238"/>
    </row>
    <row r="548" spans="2:31" x14ac:dyDescent="0.3">
      <c r="B548" s="245" t="s">
        <v>27</v>
      </c>
      <c r="C548" s="245"/>
      <c r="D548" s="245"/>
      <c r="E548" s="105">
        <v>0</v>
      </c>
      <c r="F548" s="108">
        <v>0</v>
      </c>
      <c r="G548" s="105">
        <v>0</v>
      </c>
      <c r="H548" s="108">
        <v>0</v>
      </c>
      <c r="I548" s="105">
        <v>0</v>
      </c>
      <c r="J548" s="108">
        <v>0</v>
      </c>
      <c r="K548" s="105">
        <v>0</v>
      </c>
      <c r="L548" s="108">
        <v>0</v>
      </c>
      <c r="M548" s="105">
        <v>0</v>
      </c>
      <c r="N548" s="108">
        <v>0</v>
      </c>
      <c r="O548" s="105">
        <v>0</v>
      </c>
      <c r="P548" s="108">
        <v>0</v>
      </c>
      <c r="Q548" s="105">
        <v>0</v>
      </c>
      <c r="R548" s="108">
        <v>0</v>
      </c>
      <c r="S548" s="105">
        <v>0</v>
      </c>
      <c r="T548" s="108">
        <v>0</v>
      </c>
      <c r="U548" s="105">
        <v>0</v>
      </c>
      <c r="V548" s="108">
        <v>0</v>
      </c>
      <c r="W548" s="105">
        <v>0</v>
      </c>
      <c r="X548" s="108">
        <v>0</v>
      </c>
      <c r="Y548" s="105">
        <v>0</v>
      </c>
      <c r="Z548" s="108">
        <v>0</v>
      </c>
      <c r="AA548" s="105">
        <v>0</v>
      </c>
      <c r="AB548" s="108">
        <v>0</v>
      </c>
      <c r="AC548" s="238">
        <f t="shared" si="267"/>
        <v>0</v>
      </c>
      <c r="AD548" s="238"/>
      <c r="AE548" s="238"/>
    </row>
    <row r="549" spans="2:31" x14ac:dyDescent="0.3">
      <c r="B549" s="245" t="s">
        <v>28</v>
      </c>
      <c r="C549" s="245"/>
      <c r="D549" s="245"/>
      <c r="E549" s="105">
        <v>0</v>
      </c>
      <c r="F549" s="108">
        <v>0</v>
      </c>
      <c r="G549" s="105">
        <v>0</v>
      </c>
      <c r="H549" s="108">
        <v>0</v>
      </c>
      <c r="I549" s="105">
        <v>0</v>
      </c>
      <c r="J549" s="108">
        <v>0</v>
      </c>
      <c r="K549" s="105">
        <v>0</v>
      </c>
      <c r="L549" s="108">
        <v>0</v>
      </c>
      <c r="M549" s="105">
        <v>0</v>
      </c>
      <c r="N549" s="108">
        <v>0</v>
      </c>
      <c r="O549" s="105">
        <v>0</v>
      </c>
      <c r="P549" s="108">
        <v>0</v>
      </c>
      <c r="Q549" s="105">
        <v>0</v>
      </c>
      <c r="R549" s="108">
        <v>0</v>
      </c>
      <c r="S549" s="105">
        <v>0</v>
      </c>
      <c r="T549" s="108">
        <v>0</v>
      </c>
      <c r="U549" s="105">
        <v>0</v>
      </c>
      <c r="V549" s="108">
        <v>0</v>
      </c>
      <c r="W549" s="105">
        <v>0</v>
      </c>
      <c r="X549" s="108">
        <v>0</v>
      </c>
      <c r="Y549" s="105">
        <v>0</v>
      </c>
      <c r="Z549" s="108">
        <v>0</v>
      </c>
      <c r="AA549" s="105">
        <v>0</v>
      </c>
      <c r="AB549" s="108">
        <v>0</v>
      </c>
      <c r="AC549" s="238">
        <f t="shared" si="267"/>
        <v>0</v>
      </c>
      <c r="AD549" s="238"/>
      <c r="AE549" s="238"/>
    </row>
    <row r="550" spans="2:31" x14ac:dyDescent="0.3">
      <c r="B550" s="245" t="s">
        <v>92</v>
      </c>
      <c r="C550" s="245"/>
      <c r="D550" s="245"/>
      <c r="E550" s="105">
        <v>0</v>
      </c>
      <c r="F550" s="108">
        <v>0</v>
      </c>
      <c r="G550" s="105">
        <v>0</v>
      </c>
      <c r="H550" s="108">
        <v>0</v>
      </c>
      <c r="I550" s="105">
        <v>0</v>
      </c>
      <c r="J550" s="108">
        <v>0</v>
      </c>
      <c r="K550" s="105">
        <v>0</v>
      </c>
      <c r="L550" s="108">
        <v>0</v>
      </c>
      <c r="M550" s="105">
        <v>0</v>
      </c>
      <c r="N550" s="108">
        <v>0</v>
      </c>
      <c r="O550" s="105">
        <v>0</v>
      </c>
      <c r="P550" s="108">
        <v>0</v>
      </c>
      <c r="Q550" s="105">
        <v>0</v>
      </c>
      <c r="R550" s="108">
        <v>0</v>
      </c>
      <c r="S550" s="105">
        <v>0</v>
      </c>
      <c r="T550" s="108">
        <v>0</v>
      </c>
      <c r="U550" s="105">
        <v>0</v>
      </c>
      <c r="V550" s="108">
        <v>0</v>
      </c>
      <c r="W550" s="105">
        <v>0</v>
      </c>
      <c r="X550" s="108">
        <v>0</v>
      </c>
      <c r="Y550" s="105">
        <v>0</v>
      </c>
      <c r="Z550" s="108">
        <v>0</v>
      </c>
      <c r="AA550" s="105">
        <v>0</v>
      </c>
      <c r="AB550" s="108">
        <v>0</v>
      </c>
      <c r="AC550" s="238">
        <f t="shared" si="267"/>
        <v>0</v>
      </c>
      <c r="AD550" s="238"/>
      <c r="AE550" s="238"/>
    </row>
    <row r="551" spans="2:31" x14ac:dyDescent="0.3">
      <c r="B551" s="245" t="s">
        <v>29</v>
      </c>
      <c r="C551" s="245"/>
      <c r="D551" s="245"/>
      <c r="E551" s="105">
        <v>0</v>
      </c>
      <c r="F551" s="108">
        <v>0</v>
      </c>
      <c r="G551" s="105">
        <v>0</v>
      </c>
      <c r="H551" s="108">
        <v>0</v>
      </c>
      <c r="I551" s="105">
        <v>0</v>
      </c>
      <c r="J551" s="108">
        <v>0</v>
      </c>
      <c r="K551" s="105">
        <v>0</v>
      </c>
      <c r="L551" s="108">
        <v>0</v>
      </c>
      <c r="M551" s="105">
        <v>0</v>
      </c>
      <c r="N551" s="108">
        <v>0</v>
      </c>
      <c r="O551" s="105">
        <v>0</v>
      </c>
      <c r="P551" s="108">
        <v>0</v>
      </c>
      <c r="Q551" s="105">
        <v>0</v>
      </c>
      <c r="R551" s="108">
        <v>0</v>
      </c>
      <c r="S551" s="105">
        <v>0</v>
      </c>
      <c r="T551" s="108">
        <v>0</v>
      </c>
      <c r="U551" s="105">
        <v>0</v>
      </c>
      <c r="V551" s="108">
        <v>0</v>
      </c>
      <c r="W551" s="105">
        <v>0</v>
      </c>
      <c r="X551" s="108">
        <v>0</v>
      </c>
      <c r="Y551" s="105">
        <v>0</v>
      </c>
      <c r="Z551" s="108">
        <v>0</v>
      </c>
      <c r="AA551" s="105">
        <v>0</v>
      </c>
      <c r="AB551" s="108">
        <v>0</v>
      </c>
      <c r="AC551" s="238">
        <f t="shared" si="267"/>
        <v>0</v>
      </c>
      <c r="AD551" s="238"/>
      <c r="AE551" s="238"/>
    </row>
    <row r="552" spans="2:31" x14ac:dyDescent="0.3">
      <c r="B552" s="245" t="s">
        <v>30</v>
      </c>
      <c r="C552" s="245"/>
      <c r="D552" s="245"/>
      <c r="E552" s="105">
        <v>0</v>
      </c>
      <c r="F552" s="108">
        <v>0</v>
      </c>
      <c r="G552" s="105">
        <v>0</v>
      </c>
      <c r="H552" s="108">
        <v>0</v>
      </c>
      <c r="I552" s="105">
        <v>0</v>
      </c>
      <c r="J552" s="108">
        <v>0</v>
      </c>
      <c r="K552" s="105">
        <v>0</v>
      </c>
      <c r="L552" s="108">
        <v>0</v>
      </c>
      <c r="M552" s="105">
        <v>0</v>
      </c>
      <c r="N552" s="108">
        <v>0</v>
      </c>
      <c r="O552" s="105">
        <v>0</v>
      </c>
      <c r="P552" s="108">
        <v>0</v>
      </c>
      <c r="Q552" s="105">
        <v>0</v>
      </c>
      <c r="R552" s="108">
        <v>0</v>
      </c>
      <c r="S552" s="105">
        <v>0</v>
      </c>
      <c r="T552" s="108">
        <v>0</v>
      </c>
      <c r="U552" s="105">
        <v>0</v>
      </c>
      <c r="V552" s="108">
        <v>0</v>
      </c>
      <c r="W552" s="105">
        <v>0</v>
      </c>
      <c r="X552" s="108">
        <v>0</v>
      </c>
      <c r="Y552" s="105">
        <v>0</v>
      </c>
      <c r="Z552" s="108">
        <v>0</v>
      </c>
      <c r="AA552" s="105">
        <v>0</v>
      </c>
      <c r="AB552" s="108">
        <v>0</v>
      </c>
      <c r="AC552" s="238">
        <f t="shared" si="267"/>
        <v>0</v>
      </c>
      <c r="AD552" s="238"/>
      <c r="AE552" s="238"/>
    </row>
    <row r="553" spans="2:31" x14ac:dyDescent="0.3">
      <c r="B553" s="245" t="s">
        <v>31</v>
      </c>
      <c r="C553" s="245"/>
      <c r="D553" s="245"/>
      <c r="E553" s="105">
        <v>0</v>
      </c>
      <c r="F553" s="108">
        <v>0</v>
      </c>
      <c r="G553" s="105">
        <v>0</v>
      </c>
      <c r="H553" s="108">
        <v>0</v>
      </c>
      <c r="I553" s="105">
        <v>0</v>
      </c>
      <c r="J553" s="108">
        <v>0</v>
      </c>
      <c r="K553" s="105">
        <v>0</v>
      </c>
      <c r="L553" s="108">
        <v>0</v>
      </c>
      <c r="M553" s="105">
        <v>0</v>
      </c>
      <c r="N553" s="108">
        <v>0</v>
      </c>
      <c r="O553" s="105">
        <v>0</v>
      </c>
      <c r="P553" s="108">
        <v>0</v>
      </c>
      <c r="Q553" s="105">
        <v>0</v>
      </c>
      <c r="R553" s="108">
        <v>0</v>
      </c>
      <c r="S553" s="105">
        <v>0</v>
      </c>
      <c r="T553" s="108">
        <v>0</v>
      </c>
      <c r="U553" s="105">
        <v>0</v>
      </c>
      <c r="V553" s="108">
        <v>0</v>
      </c>
      <c r="W553" s="105">
        <v>0</v>
      </c>
      <c r="X553" s="108">
        <v>0</v>
      </c>
      <c r="Y553" s="105">
        <v>0</v>
      </c>
      <c r="Z553" s="108">
        <v>0</v>
      </c>
      <c r="AA553" s="105">
        <v>0</v>
      </c>
      <c r="AB553" s="108">
        <v>0</v>
      </c>
      <c r="AC553" s="238">
        <f t="shared" si="267"/>
        <v>0</v>
      </c>
      <c r="AD553" s="238"/>
      <c r="AE553" s="238"/>
    </row>
    <row r="554" spans="2:31" x14ac:dyDescent="0.3">
      <c r="B554" s="245" t="s">
        <v>32</v>
      </c>
      <c r="C554" s="245"/>
      <c r="D554" s="245"/>
      <c r="E554" s="105">
        <v>0</v>
      </c>
      <c r="F554" s="108">
        <v>0</v>
      </c>
      <c r="G554" s="105">
        <v>0</v>
      </c>
      <c r="H554" s="108">
        <v>0</v>
      </c>
      <c r="I554" s="105">
        <v>0</v>
      </c>
      <c r="J554" s="108">
        <v>0</v>
      </c>
      <c r="K554" s="105">
        <v>0</v>
      </c>
      <c r="L554" s="108">
        <v>0</v>
      </c>
      <c r="M554" s="105">
        <v>0</v>
      </c>
      <c r="N554" s="108">
        <v>0</v>
      </c>
      <c r="O554" s="105">
        <v>0</v>
      </c>
      <c r="P554" s="108">
        <v>0</v>
      </c>
      <c r="Q554" s="105">
        <v>0</v>
      </c>
      <c r="R554" s="108">
        <v>0</v>
      </c>
      <c r="S554" s="105">
        <v>0</v>
      </c>
      <c r="T554" s="108">
        <v>0</v>
      </c>
      <c r="U554" s="105">
        <v>0</v>
      </c>
      <c r="V554" s="108">
        <v>0</v>
      </c>
      <c r="W554" s="105">
        <v>0</v>
      </c>
      <c r="X554" s="108">
        <v>0</v>
      </c>
      <c r="Y554" s="105">
        <v>0</v>
      </c>
      <c r="Z554" s="108">
        <v>0</v>
      </c>
      <c r="AA554" s="105">
        <v>0</v>
      </c>
      <c r="AB554" s="108">
        <v>0</v>
      </c>
      <c r="AC554" s="238">
        <f t="shared" si="267"/>
        <v>0</v>
      </c>
      <c r="AD554" s="238"/>
      <c r="AE554" s="238"/>
    </row>
    <row r="555" spans="2:31" x14ac:dyDescent="0.3">
      <c r="B555" s="245" t="s">
        <v>33</v>
      </c>
      <c r="C555" s="245"/>
      <c r="D555" s="245"/>
      <c r="E555" s="105">
        <v>0</v>
      </c>
      <c r="F555" s="108">
        <v>0</v>
      </c>
      <c r="G555" s="105">
        <v>0</v>
      </c>
      <c r="H555" s="108">
        <v>0</v>
      </c>
      <c r="I555" s="105">
        <v>0</v>
      </c>
      <c r="J555" s="108">
        <v>0</v>
      </c>
      <c r="K555" s="105">
        <v>0</v>
      </c>
      <c r="L555" s="108">
        <v>0</v>
      </c>
      <c r="M555" s="105">
        <v>0</v>
      </c>
      <c r="N555" s="108">
        <v>0</v>
      </c>
      <c r="O555" s="105">
        <v>0</v>
      </c>
      <c r="P555" s="108">
        <v>0</v>
      </c>
      <c r="Q555" s="105">
        <v>0</v>
      </c>
      <c r="R555" s="108">
        <v>0</v>
      </c>
      <c r="S555" s="105">
        <v>0</v>
      </c>
      <c r="T555" s="108">
        <v>0</v>
      </c>
      <c r="U555" s="105">
        <v>0</v>
      </c>
      <c r="V555" s="108">
        <v>0</v>
      </c>
      <c r="W555" s="105">
        <v>0</v>
      </c>
      <c r="X555" s="108">
        <v>0</v>
      </c>
      <c r="Y555" s="105">
        <v>0</v>
      </c>
      <c r="Z555" s="108">
        <v>0</v>
      </c>
      <c r="AA555" s="105">
        <v>0</v>
      </c>
      <c r="AB555" s="108">
        <v>0</v>
      </c>
      <c r="AC555" s="238">
        <f t="shared" si="267"/>
        <v>0</v>
      </c>
      <c r="AD555" s="238"/>
      <c r="AE555" s="238"/>
    </row>
    <row r="556" spans="2:31" x14ac:dyDescent="0.3">
      <c r="B556" s="245" t="s">
        <v>34</v>
      </c>
      <c r="C556" s="245"/>
      <c r="D556" s="245"/>
      <c r="E556" s="105">
        <v>0</v>
      </c>
      <c r="F556" s="108">
        <v>0</v>
      </c>
      <c r="G556" s="105">
        <v>0</v>
      </c>
      <c r="H556" s="108">
        <v>0</v>
      </c>
      <c r="I556" s="105">
        <v>0</v>
      </c>
      <c r="J556" s="108">
        <v>0</v>
      </c>
      <c r="K556" s="105">
        <v>0</v>
      </c>
      <c r="L556" s="108">
        <v>0</v>
      </c>
      <c r="M556" s="105">
        <v>0</v>
      </c>
      <c r="N556" s="108">
        <v>0</v>
      </c>
      <c r="O556" s="105">
        <v>0</v>
      </c>
      <c r="P556" s="108">
        <v>0</v>
      </c>
      <c r="Q556" s="105">
        <v>0</v>
      </c>
      <c r="R556" s="108">
        <v>0</v>
      </c>
      <c r="S556" s="105">
        <v>0</v>
      </c>
      <c r="T556" s="108">
        <v>0</v>
      </c>
      <c r="U556" s="105">
        <v>0</v>
      </c>
      <c r="V556" s="108">
        <v>0</v>
      </c>
      <c r="W556" s="105">
        <v>0</v>
      </c>
      <c r="X556" s="108">
        <v>0</v>
      </c>
      <c r="Y556" s="105">
        <v>0</v>
      </c>
      <c r="Z556" s="108">
        <v>0</v>
      </c>
      <c r="AA556" s="105">
        <v>0</v>
      </c>
      <c r="AB556" s="108">
        <v>0</v>
      </c>
      <c r="AC556" s="238">
        <f t="shared" si="267"/>
        <v>0</v>
      </c>
      <c r="AD556" s="238"/>
      <c r="AE556" s="238"/>
    </row>
    <row r="557" spans="2:31" x14ac:dyDescent="0.3">
      <c r="B557" s="245" t="s">
        <v>35</v>
      </c>
      <c r="C557" s="245"/>
      <c r="D557" s="245"/>
      <c r="E557" s="105">
        <v>0</v>
      </c>
      <c r="F557" s="108">
        <v>0</v>
      </c>
      <c r="G557" s="105">
        <v>0</v>
      </c>
      <c r="H557" s="108">
        <v>0</v>
      </c>
      <c r="I557" s="105">
        <v>0</v>
      </c>
      <c r="J557" s="108">
        <v>0</v>
      </c>
      <c r="K557" s="105">
        <v>0</v>
      </c>
      <c r="L557" s="108">
        <v>0</v>
      </c>
      <c r="M557" s="105">
        <v>0</v>
      </c>
      <c r="N557" s="108">
        <v>0</v>
      </c>
      <c r="O557" s="105">
        <v>0</v>
      </c>
      <c r="P557" s="108">
        <v>0</v>
      </c>
      <c r="Q557" s="105">
        <v>0</v>
      </c>
      <c r="R557" s="108">
        <v>0</v>
      </c>
      <c r="S557" s="105">
        <v>0</v>
      </c>
      <c r="T557" s="108">
        <v>0</v>
      </c>
      <c r="U557" s="105">
        <v>0</v>
      </c>
      <c r="V557" s="108">
        <v>0</v>
      </c>
      <c r="W557" s="105">
        <v>0</v>
      </c>
      <c r="X557" s="108">
        <v>0</v>
      </c>
      <c r="Y557" s="105">
        <v>0</v>
      </c>
      <c r="Z557" s="108">
        <v>0</v>
      </c>
      <c r="AA557" s="105">
        <v>0</v>
      </c>
      <c r="AB557" s="108">
        <v>0</v>
      </c>
      <c r="AC557" s="238">
        <f t="shared" si="267"/>
        <v>0</v>
      </c>
      <c r="AD557" s="238"/>
      <c r="AE557" s="238"/>
    </row>
    <row r="558" spans="2:31" x14ac:dyDescent="0.3">
      <c r="B558" s="245" t="s">
        <v>36</v>
      </c>
      <c r="C558" s="245"/>
      <c r="D558" s="245"/>
      <c r="E558" s="105">
        <v>0</v>
      </c>
      <c r="F558" s="108">
        <v>0</v>
      </c>
      <c r="G558" s="105">
        <v>0</v>
      </c>
      <c r="H558" s="108">
        <v>0</v>
      </c>
      <c r="I558" s="105">
        <v>0</v>
      </c>
      <c r="J558" s="108">
        <v>0</v>
      </c>
      <c r="K558" s="105">
        <v>0</v>
      </c>
      <c r="L558" s="108">
        <v>0</v>
      </c>
      <c r="M558" s="105">
        <v>0</v>
      </c>
      <c r="N558" s="108">
        <v>0</v>
      </c>
      <c r="O558" s="105">
        <v>0</v>
      </c>
      <c r="P558" s="108">
        <v>0</v>
      </c>
      <c r="Q558" s="105">
        <v>0</v>
      </c>
      <c r="R558" s="108">
        <v>0</v>
      </c>
      <c r="S558" s="105">
        <v>0</v>
      </c>
      <c r="T558" s="108">
        <v>0</v>
      </c>
      <c r="U558" s="105">
        <v>0</v>
      </c>
      <c r="V558" s="108">
        <v>0</v>
      </c>
      <c r="W558" s="105">
        <v>0</v>
      </c>
      <c r="X558" s="108">
        <v>0</v>
      </c>
      <c r="Y558" s="105">
        <v>0</v>
      </c>
      <c r="Z558" s="108">
        <v>0</v>
      </c>
      <c r="AA558" s="105">
        <v>0</v>
      </c>
      <c r="AB558" s="108">
        <v>0</v>
      </c>
      <c r="AC558" s="238">
        <f t="shared" si="267"/>
        <v>0</v>
      </c>
      <c r="AD558" s="238"/>
      <c r="AE558" s="238"/>
    </row>
    <row r="559" spans="2:31" x14ac:dyDescent="0.3">
      <c r="B559" s="13" t="s">
        <v>89</v>
      </c>
      <c r="C559" s="13"/>
      <c r="D559" s="13"/>
      <c r="E559" s="105">
        <v>0</v>
      </c>
      <c r="F559" s="108">
        <v>0</v>
      </c>
      <c r="G559" s="105">
        <v>0</v>
      </c>
      <c r="H559" s="108">
        <v>0</v>
      </c>
      <c r="I559" s="105">
        <v>0</v>
      </c>
      <c r="J559" s="108">
        <v>0</v>
      </c>
      <c r="K559" s="105">
        <v>0</v>
      </c>
      <c r="L559" s="108">
        <v>0</v>
      </c>
      <c r="M559" s="105">
        <v>0</v>
      </c>
      <c r="N559" s="108">
        <v>0</v>
      </c>
      <c r="O559" s="105">
        <v>0</v>
      </c>
      <c r="P559" s="108">
        <v>0</v>
      </c>
      <c r="Q559" s="105">
        <v>0</v>
      </c>
      <c r="R559" s="108">
        <v>0</v>
      </c>
      <c r="S559" s="105">
        <v>0</v>
      </c>
      <c r="T559" s="108">
        <v>0</v>
      </c>
      <c r="U559" s="105">
        <v>0</v>
      </c>
      <c r="V559" s="108">
        <v>0</v>
      </c>
      <c r="W559" s="105">
        <v>0</v>
      </c>
      <c r="X559" s="108">
        <v>0</v>
      </c>
      <c r="Y559" s="105">
        <v>0</v>
      </c>
      <c r="Z559" s="108">
        <v>0</v>
      </c>
      <c r="AA559" s="105">
        <v>0</v>
      </c>
      <c r="AB559" s="108">
        <v>0</v>
      </c>
      <c r="AC559" s="238">
        <f t="shared" si="267"/>
        <v>0</v>
      </c>
      <c r="AD559" s="238"/>
      <c r="AE559" s="238"/>
    </row>
    <row r="560" spans="2:31" x14ac:dyDescent="0.3">
      <c r="B560" s="13" t="s">
        <v>90</v>
      </c>
      <c r="C560" s="13"/>
      <c r="D560" s="13"/>
      <c r="E560" s="105">
        <v>0</v>
      </c>
      <c r="F560" s="108">
        <v>0</v>
      </c>
      <c r="G560" s="105">
        <v>0</v>
      </c>
      <c r="H560" s="108">
        <v>0</v>
      </c>
      <c r="I560" s="105">
        <v>0</v>
      </c>
      <c r="J560" s="108">
        <v>0</v>
      </c>
      <c r="K560" s="105">
        <v>0</v>
      </c>
      <c r="L560" s="108">
        <v>0</v>
      </c>
      <c r="M560" s="105">
        <v>0</v>
      </c>
      <c r="N560" s="108">
        <v>0</v>
      </c>
      <c r="O560" s="105">
        <v>0</v>
      </c>
      <c r="P560" s="108">
        <v>0</v>
      </c>
      <c r="Q560" s="105">
        <v>0</v>
      </c>
      <c r="R560" s="108">
        <v>0</v>
      </c>
      <c r="S560" s="105">
        <v>0</v>
      </c>
      <c r="T560" s="108">
        <v>0</v>
      </c>
      <c r="U560" s="105">
        <v>0</v>
      </c>
      <c r="V560" s="108">
        <v>0</v>
      </c>
      <c r="W560" s="105">
        <v>0</v>
      </c>
      <c r="X560" s="108">
        <v>0</v>
      </c>
      <c r="Y560" s="105">
        <v>0</v>
      </c>
      <c r="Z560" s="108">
        <v>0</v>
      </c>
      <c r="AA560" s="105">
        <v>0</v>
      </c>
      <c r="AB560" s="108">
        <v>0</v>
      </c>
      <c r="AC560" s="238">
        <f t="shared" si="267"/>
        <v>0</v>
      </c>
      <c r="AD560" s="238"/>
      <c r="AE560" s="238"/>
    </row>
    <row r="561" spans="2:31" x14ac:dyDescent="0.3">
      <c r="B561" s="14" t="s">
        <v>2</v>
      </c>
      <c r="C561" s="14"/>
      <c r="D561" s="14"/>
      <c r="E561" s="15">
        <f>SUM(E524:E560)</f>
        <v>0</v>
      </c>
      <c r="F561" s="15">
        <f t="shared" ref="F561" si="268">SUM(F524:F560)</f>
        <v>0</v>
      </c>
      <c r="G561" s="15">
        <f t="shared" ref="G561" si="269">SUM(G524:G560)</f>
        <v>0</v>
      </c>
      <c r="H561" s="15">
        <f t="shared" ref="H561" si="270">SUM(H524:H560)</f>
        <v>0</v>
      </c>
      <c r="I561" s="15">
        <f t="shared" ref="I561" si="271">SUM(I524:I560)</f>
        <v>0</v>
      </c>
      <c r="J561" s="15">
        <f t="shared" ref="J561" si="272">SUM(J524:J560)</f>
        <v>0</v>
      </c>
      <c r="K561" s="15">
        <f t="shared" ref="K561" si="273">SUM(K524:K560)</f>
        <v>0</v>
      </c>
      <c r="L561" s="15">
        <f t="shared" ref="L561" si="274">SUM(L524:L560)</f>
        <v>0</v>
      </c>
      <c r="M561" s="15">
        <f t="shared" ref="M561" si="275">SUM(M524:M560)</f>
        <v>0</v>
      </c>
      <c r="N561" s="15">
        <f t="shared" ref="N561" si="276">SUM(N524:N560)</f>
        <v>0</v>
      </c>
      <c r="O561" s="15">
        <f t="shared" ref="O561" si="277">SUM(O524:O560)</f>
        <v>0</v>
      </c>
      <c r="P561" s="15">
        <f t="shared" ref="P561" si="278">SUM(P524:P560)</f>
        <v>0</v>
      </c>
      <c r="Q561" s="15">
        <f t="shared" ref="Q561" si="279">SUM(Q524:Q560)</f>
        <v>11.509833333333336</v>
      </c>
      <c r="R561" s="15">
        <f t="shared" ref="R561" si="280">SUM(R524:R560)</f>
        <v>167.233</v>
      </c>
      <c r="S561" s="15">
        <f t="shared" ref="S561" si="281">SUM(S524:S560)</f>
        <v>358.91616666666675</v>
      </c>
      <c r="T561" s="15">
        <f t="shared" ref="T561" si="282">SUM(T524:T560)</f>
        <v>454.67050000000006</v>
      </c>
      <c r="U561" s="15">
        <f t="shared" ref="U561" si="283">SUM(U524:U560)</f>
        <v>545.41333333333353</v>
      </c>
      <c r="V561" s="15">
        <f t="shared" ref="V561" si="284">SUM(V524:V560)</f>
        <v>487.08266666666674</v>
      </c>
      <c r="W561" s="15">
        <f t="shared" ref="W561" si="285">SUM(W524:W560)</f>
        <v>447.35400000000016</v>
      </c>
      <c r="X561" s="15">
        <f t="shared" ref="X561" si="286">SUM(X524:X560)</f>
        <v>8.8921666666666681</v>
      </c>
      <c r="Y561" s="15">
        <f t="shared" ref="Y561" si="287">SUM(Y524:Y560)</f>
        <v>0</v>
      </c>
      <c r="Z561" s="15">
        <f t="shared" ref="Z561" si="288">SUM(Z524:Z560)</f>
        <v>0</v>
      </c>
      <c r="AA561" s="15">
        <f t="shared" ref="AA561" si="289">SUM(AA524:AA560)</f>
        <v>0</v>
      </c>
      <c r="AB561" s="15">
        <f t="shared" ref="AB561" si="290">SUM(AB524:AB560)</f>
        <v>0</v>
      </c>
      <c r="AC561" s="249">
        <f>SUM(AC524:AE560)</f>
        <v>2481.0716666666672</v>
      </c>
      <c r="AD561" s="249"/>
      <c r="AE561" s="249"/>
    </row>
    <row r="564" spans="2:31" x14ac:dyDescent="0.3">
      <c r="B564" s="8">
        <f>'Resumen-Mensual'!$R$22</f>
        <v>44575</v>
      </c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4"/>
      <c r="AD564" s="4"/>
      <c r="AE564" s="4"/>
    </row>
    <row r="565" spans="2:31" x14ac:dyDescent="0.3">
      <c r="B565" s="8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4"/>
      <c r="AD565" s="4"/>
      <c r="AE565" s="4"/>
    </row>
    <row r="566" spans="2:31" x14ac:dyDescent="0.3">
      <c r="B566" s="9" t="s">
        <v>81</v>
      </c>
      <c r="C566" s="10"/>
      <c r="D566" s="10"/>
      <c r="E566" s="11">
        <v>1</v>
      </c>
      <c r="F566" s="11">
        <v>2</v>
      </c>
      <c r="G566" s="11">
        <v>3</v>
      </c>
      <c r="H566" s="11">
        <v>4</v>
      </c>
      <c r="I566" s="11">
        <v>5</v>
      </c>
      <c r="J566" s="11">
        <v>6</v>
      </c>
      <c r="K566" s="11">
        <v>7</v>
      </c>
      <c r="L566" s="11">
        <v>8</v>
      </c>
      <c r="M566" s="11">
        <v>9</v>
      </c>
      <c r="N566" s="11">
        <v>10</v>
      </c>
      <c r="O566" s="11">
        <v>11</v>
      </c>
      <c r="P566" s="11">
        <v>12</v>
      </c>
      <c r="Q566" s="11">
        <v>13</v>
      </c>
      <c r="R566" s="11">
        <v>14</v>
      </c>
      <c r="S566" s="11">
        <v>15</v>
      </c>
      <c r="T566" s="11">
        <v>16</v>
      </c>
      <c r="U566" s="11">
        <v>17</v>
      </c>
      <c r="V566" s="11">
        <v>18</v>
      </c>
      <c r="W566" s="11">
        <v>19</v>
      </c>
      <c r="X566" s="11">
        <v>20</v>
      </c>
      <c r="Y566" s="11">
        <v>21</v>
      </c>
      <c r="Z566" s="11">
        <v>22</v>
      </c>
      <c r="AA566" s="11">
        <v>23</v>
      </c>
      <c r="AB566" s="11">
        <v>24</v>
      </c>
      <c r="AC566" s="248" t="s">
        <v>2</v>
      </c>
      <c r="AD566" s="248"/>
      <c r="AE566" s="248"/>
    </row>
    <row r="567" spans="2:31" x14ac:dyDescent="0.3">
      <c r="B567" s="245" t="s">
        <v>4</v>
      </c>
      <c r="C567" s="245"/>
      <c r="D567" s="245"/>
      <c r="E567" s="113">
        <v>0</v>
      </c>
      <c r="F567" s="114">
        <v>0</v>
      </c>
      <c r="G567" s="113">
        <v>0</v>
      </c>
      <c r="H567" s="114">
        <v>0</v>
      </c>
      <c r="I567" s="113">
        <v>0</v>
      </c>
      <c r="J567" s="114">
        <v>0</v>
      </c>
      <c r="K567" s="113">
        <v>0</v>
      </c>
      <c r="L567" s="114">
        <v>0</v>
      </c>
      <c r="M567" s="113">
        <v>0</v>
      </c>
      <c r="N567" s="114">
        <v>0</v>
      </c>
      <c r="O567" s="113">
        <v>0</v>
      </c>
      <c r="P567" s="114">
        <v>0</v>
      </c>
      <c r="Q567" s="113">
        <v>0</v>
      </c>
      <c r="R567" s="114">
        <v>0</v>
      </c>
      <c r="S567" s="113">
        <v>0</v>
      </c>
      <c r="T567" s="114">
        <v>0</v>
      </c>
      <c r="U567" s="113">
        <v>0</v>
      </c>
      <c r="V567" s="114">
        <v>0</v>
      </c>
      <c r="W567" s="113">
        <v>0</v>
      </c>
      <c r="X567" s="114">
        <v>0</v>
      </c>
      <c r="Y567" s="113">
        <v>0</v>
      </c>
      <c r="Z567" s="114">
        <v>0</v>
      </c>
      <c r="AA567" s="113">
        <v>0</v>
      </c>
      <c r="AB567" s="114">
        <v>0</v>
      </c>
      <c r="AC567" s="238">
        <f>SUM(E567:AB567)</f>
        <v>0</v>
      </c>
      <c r="AD567" s="238"/>
      <c r="AE567" s="238"/>
    </row>
    <row r="568" spans="2:31" x14ac:dyDescent="0.3">
      <c r="B568" s="245" t="s">
        <v>5</v>
      </c>
      <c r="C568" s="245"/>
      <c r="D568" s="245"/>
      <c r="E568" s="112">
        <v>0</v>
      </c>
      <c r="F568" s="115">
        <v>0</v>
      </c>
      <c r="G568" s="112">
        <v>0</v>
      </c>
      <c r="H568" s="115">
        <v>0</v>
      </c>
      <c r="I568" s="112">
        <v>0</v>
      </c>
      <c r="J568" s="115">
        <v>0</v>
      </c>
      <c r="K568" s="112">
        <v>0</v>
      </c>
      <c r="L568" s="115">
        <v>0</v>
      </c>
      <c r="M568" s="112">
        <v>0</v>
      </c>
      <c r="N568" s="115">
        <v>0</v>
      </c>
      <c r="O568" s="112">
        <v>0</v>
      </c>
      <c r="P568" s="115">
        <v>0</v>
      </c>
      <c r="Q568" s="112">
        <v>0</v>
      </c>
      <c r="R568" s="115">
        <v>4.4561666666666664</v>
      </c>
      <c r="S568" s="112">
        <v>0</v>
      </c>
      <c r="T568" s="115">
        <v>0</v>
      </c>
      <c r="U568" s="112">
        <v>0</v>
      </c>
      <c r="V568" s="115">
        <v>0</v>
      </c>
      <c r="W568" s="112">
        <v>0</v>
      </c>
      <c r="X568" s="115">
        <v>0</v>
      </c>
      <c r="Y568" s="112">
        <v>0</v>
      </c>
      <c r="Z568" s="115">
        <v>0</v>
      </c>
      <c r="AA568" s="112">
        <v>0</v>
      </c>
      <c r="AB568" s="115">
        <v>0</v>
      </c>
      <c r="AC568" s="238">
        <f t="shared" ref="AC568:AC603" si="291">SUM(E568:AB568)</f>
        <v>4.4561666666666664</v>
      </c>
      <c r="AD568" s="238"/>
      <c r="AE568" s="238"/>
    </row>
    <row r="569" spans="2:31" x14ac:dyDescent="0.3">
      <c r="B569" s="245" t="s">
        <v>6</v>
      </c>
      <c r="C569" s="245"/>
      <c r="D569" s="245"/>
      <c r="E569" s="112">
        <v>0</v>
      </c>
      <c r="F569" s="115">
        <v>0</v>
      </c>
      <c r="G569" s="112">
        <v>0</v>
      </c>
      <c r="H569" s="115">
        <v>0</v>
      </c>
      <c r="I569" s="112">
        <v>0</v>
      </c>
      <c r="J569" s="115">
        <v>0</v>
      </c>
      <c r="K569" s="112">
        <v>0</v>
      </c>
      <c r="L569" s="115">
        <v>0</v>
      </c>
      <c r="M569" s="112">
        <v>0</v>
      </c>
      <c r="N569" s="115">
        <v>0</v>
      </c>
      <c r="O569" s="112">
        <v>0</v>
      </c>
      <c r="P569" s="115">
        <v>0</v>
      </c>
      <c r="Q569" s="112">
        <v>0</v>
      </c>
      <c r="R569" s="115">
        <v>0</v>
      </c>
      <c r="S569" s="112">
        <v>8.5893333333333359</v>
      </c>
      <c r="T569" s="115">
        <v>4.6018333333333352</v>
      </c>
      <c r="U569" s="112">
        <v>13.891166666666676</v>
      </c>
      <c r="V569" s="115">
        <v>1.7274999999999994</v>
      </c>
      <c r="W569" s="112">
        <v>0</v>
      </c>
      <c r="X569" s="115">
        <v>0</v>
      </c>
      <c r="Y569" s="112">
        <v>0</v>
      </c>
      <c r="Z569" s="115">
        <v>0</v>
      </c>
      <c r="AA569" s="112">
        <v>0</v>
      </c>
      <c r="AB569" s="115">
        <v>0</v>
      </c>
      <c r="AC569" s="238">
        <f t="shared" si="291"/>
        <v>28.809833333333344</v>
      </c>
      <c r="AD569" s="238"/>
      <c r="AE569" s="238"/>
    </row>
    <row r="570" spans="2:31" x14ac:dyDescent="0.3">
      <c r="B570" s="245" t="s">
        <v>91</v>
      </c>
      <c r="C570" s="245"/>
      <c r="D570" s="245"/>
      <c r="E570" s="112">
        <v>0</v>
      </c>
      <c r="F570" s="115">
        <v>0</v>
      </c>
      <c r="G570" s="112">
        <v>0</v>
      </c>
      <c r="H570" s="115">
        <v>0</v>
      </c>
      <c r="I570" s="112">
        <v>0</v>
      </c>
      <c r="J570" s="115">
        <v>0</v>
      </c>
      <c r="K570" s="112">
        <v>0</v>
      </c>
      <c r="L570" s="115">
        <v>0</v>
      </c>
      <c r="M570" s="112">
        <v>0</v>
      </c>
      <c r="N570" s="115">
        <v>0</v>
      </c>
      <c r="O570" s="112">
        <v>0</v>
      </c>
      <c r="P570" s="115">
        <v>0</v>
      </c>
      <c r="Q570" s="112">
        <v>0</v>
      </c>
      <c r="R570" s="115">
        <v>0</v>
      </c>
      <c r="S570" s="112">
        <v>0</v>
      </c>
      <c r="T570" s="115">
        <v>0</v>
      </c>
      <c r="U570" s="112">
        <v>0</v>
      </c>
      <c r="V570" s="115">
        <v>0</v>
      </c>
      <c r="W570" s="112">
        <v>0</v>
      </c>
      <c r="X570" s="115">
        <v>0</v>
      </c>
      <c r="Y570" s="112">
        <v>0</v>
      </c>
      <c r="Z570" s="115">
        <v>0</v>
      </c>
      <c r="AA570" s="112">
        <v>0</v>
      </c>
      <c r="AB570" s="115">
        <v>0</v>
      </c>
      <c r="AC570" s="238">
        <f t="shared" si="291"/>
        <v>0</v>
      </c>
      <c r="AD570" s="238"/>
      <c r="AE570" s="238"/>
    </row>
    <row r="571" spans="2:31" x14ac:dyDescent="0.3">
      <c r="B571" s="245" t="s">
        <v>7</v>
      </c>
      <c r="C571" s="245"/>
      <c r="D571" s="245"/>
      <c r="E571" s="112">
        <v>0</v>
      </c>
      <c r="F571" s="115">
        <v>0</v>
      </c>
      <c r="G571" s="112">
        <v>0</v>
      </c>
      <c r="H571" s="115">
        <v>0</v>
      </c>
      <c r="I571" s="112">
        <v>0</v>
      </c>
      <c r="J571" s="115">
        <v>0</v>
      </c>
      <c r="K571" s="112">
        <v>0</v>
      </c>
      <c r="L571" s="115">
        <v>0</v>
      </c>
      <c r="M571" s="112">
        <v>0</v>
      </c>
      <c r="N571" s="115">
        <v>0</v>
      </c>
      <c r="O571" s="112">
        <v>0</v>
      </c>
      <c r="P571" s="115">
        <v>0</v>
      </c>
      <c r="Q571" s="112">
        <v>0</v>
      </c>
      <c r="R571" s="115">
        <v>0</v>
      </c>
      <c r="S571" s="112">
        <v>12.13266666666666</v>
      </c>
      <c r="T571" s="115">
        <v>4.3801666666666659</v>
      </c>
      <c r="U571" s="112">
        <v>0</v>
      </c>
      <c r="V571" s="115">
        <v>0</v>
      </c>
      <c r="W571" s="112">
        <v>0</v>
      </c>
      <c r="X571" s="115">
        <v>0</v>
      </c>
      <c r="Y571" s="112">
        <v>0</v>
      </c>
      <c r="Z571" s="115">
        <v>0</v>
      </c>
      <c r="AA571" s="112">
        <v>0</v>
      </c>
      <c r="AB571" s="115">
        <v>0</v>
      </c>
      <c r="AC571" s="238">
        <f t="shared" si="291"/>
        <v>16.512833333333326</v>
      </c>
      <c r="AD571" s="238"/>
      <c r="AE571" s="238"/>
    </row>
    <row r="572" spans="2:31" x14ac:dyDescent="0.3">
      <c r="B572" s="245" t="s">
        <v>8</v>
      </c>
      <c r="C572" s="245"/>
      <c r="D572" s="245"/>
      <c r="E572" s="112">
        <v>0</v>
      </c>
      <c r="F572" s="115">
        <v>0</v>
      </c>
      <c r="G572" s="112">
        <v>0</v>
      </c>
      <c r="H572" s="115">
        <v>0</v>
      </c>
      <c r="I572" s="112">
        <v>0</v>
      </c>
      <c r="J572" s="115">
        <v>0</v>
      </c>
      <c r="K572" s="112">
        <v>0</v>
      </c>
      <c r="L572" s="115">
        <v>0</v>
      </c>
      <c r="M572" s="112">
        <v>0</v>
      </c>
      <c r="N572" s="115">
        <v>0</v>
      </c>
      <c r="O572" s="112">
        <v>0</v>
      </c>
      <c r="P572" s="115">
        <v>0</v>
      </c>
      <c r="Q572" s="112">
        <v>0</v>
      </c>
      <c r="R572" s="115">
        <v>0.4791666666666668</v>
      </c>
      <c r="S572" s="112">
        <v>0</v>
      </c>
      <c r="T572" s="115">
        <v>0</v>
      </c>
      <c r="U572" s="112">
        <v>0</v>
      </c>
      <c r="V572" s="115">
        <v>0</v>
      </c>
      <c r="W572" s="112">
        <v>0</v>
      </c>
      <c r="X572" s="115">
        <v>0</v>
      </c>
      <c r="Y572" s="112">
        <v>0</v>
      </c>
      <c r="Z572" s="115">
        <v>0</v>
      </c>
      <c r="AA572" s="112">
        <v>0</v>
      </c>
      <c r="AB572" s="115">
        <v>0</v>
      </c>
      <c r="AC572" s="238">
        <f t="shared" si="291"/>
        <v>0.4791666666666668</v>
      </c>
      <c r="AD572" s="238"/>
      <c r="AE572" s="238"/>
    </row>
    <row r="573" spans="2:31" x14ac:dyDescent="0.3">
      <c r="B573" s="245" t="s">
        <v>9</v>
      </c>
      <c r="C573" s="245"/>
      <c r="D573" s="245"/>
      <c r="E573" s="112">
        <v>0</v>
      </c>
      <c r="F573" s="115">
        <v>0</v>
      </c>
      <c r="G573" s="112">
        <v>0</v>
      </c>
      <c r="H573" s="115">
        <v>0</v>
      </c>
      <c r="I573" s="112">
        <v>0</v>
      </c>
      <c r="J573" s="115">
        <v>0</v>
      </c>
      <c r="K573" s="112">
        <v>0</v>
      </c>
      <c r="L573" s="115">
        <v>0</v>
      </c>
      <c r="M573" s="112">
        <v>0</v>
      </c>
      <c r="N573" s="115">
        <v>0</v>
      </c>
      <c r="O573" s="112">
        <v>0</v>
      </c>
      <c r="P573" s="115">
        <v>0</v>
      </c>
      <c r="Q573" s="112">
        <v>0</v>
      </c>
      <c r="R573" s="115">
        <v>0</v>
      </c>
      <c r="S573" s="112">
        <v>0</v>
      </c>
      <c r="T573" s="115">
        <v>0</v>
      </c>
      <c r="U573" s="112">
        <v>0</v>
      </c>
      <c r="V573" s="115">
        <v>0</v>
      </c>
      <c r="W573" s="112">
        <v>0</v>
      </c>
      <c r="X573" s="115">
        <v>0</v>
      </c>
      <c r="Y573" s="112">
        <v>0</v>
      </c>
      <c r="Z573" s="115">
        <v>0</v>
      </c>
      <c r="AA573" s="112">
        <v>0</v>
      </c>
      <c r="AB573" s="115">
        <v>0</v>
      </c>
      <c r="AC573" s="238">
        <f t="shared" si="291"/>
        <v>0</v>
      </c>
      <c r="AD573" s="238"/>
      <c r="AE573" s="238"/>
    </row>
    <row r="574" spans="2:31" x14ac:dyDescent="0.3">
      <c r="B574" s="245" t="s">
        <v>10</v>
      </c>
      <c r="C574" s="245"/>
      <c r="D574" s="245"/>
      <c r="E574" s="112">
        <v>0</v>
      </c>
      <c r="F574" s="115">
        <v>0</v>
      </c>
      <c r="G574" s="112">
        <v>0</v>
      </c>
      <c r="H574" s="115">
        <v>0</v>
      </c>
      <c r="I574" s="112">
        <v>0</v>
      </c>
      <c r="J574" s="115">
        <v>0</v>
      </c>
      <c r="K574" s="112">
        <v>0</v>
      </c>
      <c r="L574" s="115">
        <v>0</v>
      </c>
      <c r="M574" s="112">
        <v>0</v>
      </c>
      <c r="N574" s="115">
        <v>0</v>
      </c>
      <c r="O574" s="112">
        <v>0</v>
      </c>
      <c r="P574" s="115">
        <v>0</v>
      </c>
      <c r="Q574" s="112">
        <v>0</v>
      </c>
      <c r="R574" s="115">
        <v>0</v>
      </c>
      <c r="S574" s="112">
        <v>0</v>
      </c>
      <c r="T574" s="115">
        <v>0</v>
      </c>
      <c r="U574" s="112">
        <v>0</v>
      </c>
      <c r="V574" s="115">
        <v>0</v>
      </c>
      <c r="W574" s="112">
        <v>0</v>
      </c>
      <c r="X574" s="115">
        <v>0</v>
      </c>
      <c r="Y574" s="112">
        <v>0</v>
      </c>
      <c r="Z574" s="115">
        <v>0</v>
      </c>
      <c r="AA574" s="112">
        <v>0</v>
      </c>
      <c r="AB574" s="115">
        <v>0</v>
      </c>
      <c r="AC574" s="238">
        <f t="shared" si="291"/>
        <v>0</v>
      </c>
      <c r="AD574" s="238"/>
      <c r="AE574" s="238"/>
    </row>
    <row r="575" spans="2:31" x14ac:dyDescent="0.3">
      <c r="B575" s="245" t="s">
        <v>11</v>
      </c>
      <c r="C575" s="245"/>
      <c r="D575" s="245"/>
      <c r="E575" s="112">
        <v>0</v>
      </c>
      <c r="F575" s="115">
        <v>0</v>
      </c>
      <c r="G575" s="112">
        <v>0</v>
      </c>
      <c r="H575" s="115">
        <v>0</v>
      </c>
      <c r="I575" s="112">
        <v>0</v>
      </c>
      <c r="J575" s="115">
        <v>0</v>
      </c>
      <c r="K575" s="112">
        <v>0</v>
      </c>
      <c r="L575" s="115">
        <v>0</v>
      </c>
      <c r="M575" s="112">
        <v>0</v>
      </c>
      <c r="N575" s="115">
        <v>0</v>
      </c>
      <c r="O575" s="112">
        <v>0</v>
      </c>
      <c r="P575" s="115">
        <v>0</v>
      </c>
      <c r="Q575" s="112">
        <v>0</v>
      </c>
      <c r="R575" s="115">
        <v>0</v>
      </c>
      <c r="S575" s="112">
        <v>0</v>
      </c>
      <c r="T575" s="115">
        <v>0</v>
      </c>
      <c r="U575" s="112">
        <v>0</v>
      </c>
      <c r="V575" s="115">
        <v>0</v>
      </c>
      <c r="W575" s="112">
        <v>0</v>
      </c>
      <c r="X575" s="115">
        <v>0</v>
      </c>
      <c r="Y575" s="112">
        <v>0</v>
      </c>
      <c r="Z575" s="115">
        <v>0</v>
      </c>
      <c r="AA575" s="112">
        <v>0</v>
      </c>
      <c r="AB575" s="115">
        <v>0</v>
      </c>
      <c r="AC575" s="238">
        <f t="shared" si="291"/>
        <v>0</v>
      </c>
      <c r="AD575" s="238"/>
      <c r="AE575" s="238"/>
    </row>
    <row r="576" spans="2:31" x14ac:dyDescent="0.3">
      <c r="B576" s="245" t="s">
        <v>12</v>
      </c>
      <c r="C576" s="245"/>
      <c r="D576" s="245"/>
      <c r="E576" s="112">
        <v>0</v>
      </c>
      <c r="F576" s="115">
        <v>0</v>
      </c>
      <c r="G576" s="112">
        <v>0</v>
      </c>
      <c r="H576" s="115">
        <v>0</v>
      </c>
      <c r="I576" s="112">
        <v>0</v>
      </c>
      <c r="J576" s="115">
        <v>0</v>
      </c>
      <c r="K576" s="112">
        <v>0</v>
      </c>
      <c r="L576" s="115">
        <v>0</v>
      </c>
      <c r="M576" s="112">
        <v>0</v>
      </c>
      <c r="N576" s="115">
        <v>0</v>
      </c>
      <c r="O576" s="112">
        <v>0</v>
      </c>
      <c r="P576" s="115">
        <v>0</v>
      </c>
      <c r="Q576" s="112">
        <v>4.5003333333333329</v>
      </c>
      <c r="R576" s="115">
        <v>20.039333333333335</v>
      </c>
      <c r="S576" s="112">
        <v>0</v>
      </c>
      <c r="T576" s="115">
        <v>0</v>
      </c>
      <c r="U576" s="112">
        <v>0</v>
      </c>
      <c r="V576" s="115">
        <v>0</v>
      </c>
      <c r="W576" s="112">
        <v>0</v>
      </c>
      <c r="X576" s="115">
        <v>0</v>
      </c>
      <c r="Y576" s="112">
        <v>0</v>
      </c>
      <c r="Z576" s="115">
        <v>0</v>
      </c>
      <c r="AA576" s="112">
        <v>0</v>
      </c>
      <c r="AB576" s="115">
        <v>0</v>
      </c>
      <c r="AC576" s="238">
        <f t="shared" si="291"/>
        <v>24.539666666666669</v>
      </c>
      <c r="AD576" s="238"/>
      <c r="AE576" s="238"/>
    </row>
    <row r="577" spans="2:31" x14ac:dyDescent="0.3">
      <c r="B577" s="245" t="s">
        <v>13</v>
      </c>
      <c r="C577" s="245"/>
      <c r="D577" s="245"/>
      <c r="E577" s="112">
        <v>0</v>
      </c>
      <c r="F577" s="115">
        <v>0</v>
      </c>
      <c r="G577" s="112">
        <v>0</v>
      </c>
      <c r="H577" s="115">
        <v>0</v>
      </c>
      <c r="I577" s="112">
        <v>0</v>
      </c>
      <c r="J577" s="115">
        <v>0</v>
      </c>
      <c r="K577" s="112">
        <v>0</v>
      </c>
      <c r="L577" s="115">
        <v>0</v>
      </c>
      <c r="M577" s="112">
        <v>0</v>
      </c>
      <c r="N577" s="115">
        <v>0</v>
      </c>
      <c r="O577" s="112">
        <v>0</v>
      </c>
      <c r="P577" s="115">
        <v>0</v>
      </c>
      <c r="Q577" s="112">
        <v>0</v>
      </c>
      <c r="R577" s="115">
        <v>0</v>
      </c>
      <c r="S577" s="112">
        <v>0</v>
      </c>
      <c r="T577" s="115">
        <v>0</v>
      </c>
      <c r="U577" s="112">
        <v>0</v>
      </c>
      <c r="V577" s="115">
        <v>0</v>
      </c>
      <c r="W577" s="112">
        <v>0</v>
      </c>
      <c r="X577" s="115">
        <v>0</v>
      </c>
      <c r="Y577" s="112">
        <v>0</v>
      </c>
      <c r="Z577" s="115">
        <v>0</v>
      </c>
      <c r="AA577" s="112">
        <v>0</v>
      </c>
      <c r="AB577" s="115">
        <v>0</v>
      </c>
      <c r="AC577" s="238">
        <f t="shared" si="291"/>
        <v>0</v>
      </c>
      <c r="AD577" s="238"/>
      <c r="AE577" s="238"/>
    </row>
    <row r="578" spans="2:31" x14ac:dyDescent="0.3">
      <c r="B578" s="245" t="s">
        <v>14</v>
      </c>
      <c r="C578" s="245"/>
      <c r="D578" s="245"/>
      <c r="E578" s="112">
        <v>0</v>
      </c>
      <c r="F578" s="115">
        <v>0</v>
      </c>
      <c r="G578" s="112">
        <v>0</v>
      </c>
      <c r="H578" s="115">
        <v>0</v>
      </c>
      <c r="I578" s="112">
        <v>0</v>
      </c>
      <c r="J578" s="115">
        <v>0</v>
      </c>
      <c r="K578" s="112">
        <v>0</v>
      </c>
      <c r="L578" s="115">
        <v>0</v>
      </c>
      <c r="M578" s="112">
        <v>0</v>
      </c>
      <c r="N578" s="115">
        <v>0</v>
      </c>
      <c r="O578" s="112">
        <v>0</v>
      </c>
      <c r="P578" s="115">
        <v>0</v>
      </c>
      <c r="Q578" s="112">
        <v>0.53833333333333366</v>
      </c>
      <c r="R578" s="115">
        <v>1.9133333333333316</v>
      </c>
      <c r="S578" s="112">
        <v>0</v>
      </c>
      <c r="T578" s="115">
        <v>0</v>
      </c>
      <c r="U578" s="112">
        <v>0</v>
      </c>
      <c r="V578" s="115">
        <v>0</v>
      </c>
      <c r="W578" s="112">
        <v>0</v>
      </c>
      <c r="X578" s="115">
        <v>0</v>
      </c>
      <c r="Y578" s="112">
        <v>0</v>
      </c>
      <c r="Z578" s="115">
        <v>0</v>
      </c>
      <c r="AA578" s="112">
        <v>0</v>
      </c>
      <c r="AB578" s="115">
        <v>0</v>
      </c>
      <c r="AC578" s="238">
        <f t="shared" si="291"/>
        <v>2.4516666666666653</v>
      </c>
      <c r="AD578" s="238"/>
      <c r="AE578" s="238"/>
    </row>
    <row r="579" spans="2:31" x14ac:dyDescent="0.3">
      <c r="B579" s="245" t="s">
        <v>15</v>
      </c>
      <c r="C579" s="245"/>
      <c r="D579" s="245"/>
      <c r="E579" s="112">
        <v>0</v>
      </c>
      <c r="F579" s="115">
        <v>0</v>
      </c>
      <c r="G579" s="112">
        <v>0</v>
      </c>
      <c r="H579" s="115">
        <v>0</v>
      </c>
      <c r="I579" s="112">
        <v>0</v>
      </c>
      <c r="J579" s="115">
        <v>0</v>
      </c>
      <c r="K579" s="112">
        <v>0</v>
      </c>
      <c r="L579" s="115">
        <v>0</v>
      </c>
      <c r="M579" s="112">
        <v>0</v>
      </c>
      <c r="N579" s="115">
        <v>0</v>
      </c>
      <c r="O579" s="112">
        <v>0</v>
      </c>
      <c r="P579" s="115">
        <v>0</v>
      </c>
      <c r="Q579" s="112">
        <v>0</v>
      </c>
      <c r="R579" s="115">
        <v>0</v>
      </c>
      <c r="S579" s="112">
        <v>0</v>
      </c>
      <c r="T579" s="115">
        <v>0</v>
      </c>
      <c r="U579" s="112">
        <v>0</v>
      </c>
      <c r="V579" s="115">
        <v>0</v>
      </c>
      <c r="W579" s="112">
        <v>0</v>
      </c>
      <c r="X579" s="115">
        <v>0</v>
      </c>
      <c r="Y579" s="112">
        <v>0</v>
      </c>
      <c r="Z579" s="115">
        <v>0</v>
      </c>
      <c r="AA579" s="112">
        <v>0</v>
      </c>
      <c r="AB579" s="115">
        <v>0</v>
      </c>
      <c r="AC579" s="238">
        <f t="shared" si="291"/>
        <v>0</v>
      </c>
      <c r="AD579" s="238"/>
      <c r="AE579" s="238"/>
    </row>
    <row r="580" spans="2:31" x14ac:dyDescent="0.3">
      <c r="B580" s="245" t="s">
        <v>16</v>
      </c>
      <c r="C580" s="245"/>
      <c r="D580" s="245"/>
      <c r="E580" s="112">
        <v>0</v>
      </c>
      <c r="F580" s="115">
        <v>0</v>
      </c>
      <c r="G580" s="112">
        <v>0</v>
      </c>
      <c r="H580" s="115">
        <v>0</v>
      </c>
      <c r="I580" s="112">
        <v>0</v>
      </c>
      <c r="J580" s="115">
        <v>0</v>
      </c>
      <c r="K580" s="112">
        <v>0</v>
      </c>
      <c r="L580" s="115">
        <v>0</v>
      </c>
      <c r="M580" s="112">
        <v>0</v>
      </c>
      <c r="N580" s="115">
        <v>0</v>
      </c>
      <c r="O580" s="112">
        <v>0</v>
      </c>
      <c r="P580" s="115">
        <v>0</v>
      </c>
      <c r="Q580" s="112">
        <v>0</v>
      </c>
      <c r="R580" s="115">
        <v>0</v>
      </c>
      <c r="S580" s="112">
        <v>0</v>
      </c>
      <c r="T580" s="115">
        <v>0</v>
      </c>
      <c r="U580" s="112">
        <v>0</v>
      </c>
      <c r="V580" s="115">
        <v>0</v>
      </c>
      <c r="W580" s="112">
        <v>0</v>
      </c>
      <c r="X580" s="115">
        <v>0</v>
      </c>
      <c r="Y580" s="112">
        <v>0</v>
      </c>
      <c r="Z580" s="115">
        <v>0</v>
      </c>
      <c r="AA580" s="112">
        <v>0</v>
      </c>
      <c r="AB580" s="115">
        <v>0</v>
      </c>
      <c r="AC580" s="238">
        <f t="shared" si="291"/>
        <v>0</v>
      </c>
      <c r="AD580" s="238"/>
      <c r="AE580" s="238"/>
    </row>
    <row r="581" spans="2:31" x14ac:dyDescent="0.3">
      <c r="B581" s="245" t="s">
        <v>17</v>
      </c>
      <c r="C581" s="245"/>
      <c r="D581" s="245"/>
      <c r="E581" s="112">
        <v>0</v>
      </c>
      <c r="F581" s="115">
        <v>0</v>
      </c>
      <c r="G581" s="112">
        <v>0</v>
      </c>
      <c r="H581" s="115">
        <v>0</v>
      </c>
      <c r="I581" s="112">
        <v>0</v>
      </c>
      <c r="J581" s="115">
        <v>0</v>
      </c>
      <c r="K581" s="112">
        <v>0</v>
      </c>
      <c r="L581" s="115">
        <v>0</v>
      </c>
      <c r="M581" s="112">
        <v>0</v>
      </c>
      <c r="N581" s="115">
        <v>0</v>
      </c>
      <c r="O581" s="112">
        <v>0</v>
      </c>
      <c r="P581" s="115">
        <v>0</v>
      </c>
      <c r="Q581" s="112">
        <v>5.2666666666666494E-2</v>
      </c>
      <c r="R581" s="115">
        <v>10.591833333333334</v>
      </c>
      <c r="S581" s="112">
        <v>0</v>
      </c>
      <c r="T581" s="115">
        <v>0</v>
      </c>
      <c r="U581" s="112">
        <v>0</v>
      </c>
      <c r="V581" s="115">
        <v>0</v>
      </c>
      <c r="W581" s="112">
        <v>0</v>
      </c>
      <c r="X581" s="115">
        <v>0</v>
      </c>
      <c r="Y581" s="112">
        <v>0</v>
      </c>
      <c r="Z581" s="115">
        <v>0</v>
      </c>
      <c r="AA581" s="112">
        <v>0</v>
      </c>
      <c r="AB581" s="115">
        <v>0</v>
      </c>
      <c r="AC581" s="238">
        <f t="shared" si="291"/>
        <v>10.644500000000001</v>
      </c>
      <c r="AD581" s="238"/>
      <c r="AE581" s="238"/>
    </row>
    <row r="582" spans="2:31" x14ac:dyDescent="0.3">
      <c r="B582" s="245" t="s">
        <v>18</v>
      </c>
      <c r="C582" s="245"/>
      <c r="D582" s="245"/>
      <c r="E582" s="112">
        <v>0</v>
      </c>
      <c r="F582" s="115">
        <v>0</v>
      </c>
      <c r="G582" s="112">
        <v>0</v>
      </c>
      <c r="H582" s="115">
        <v>0</v>
      </c>
      <c r="I582" s="112">
        <v>0</v>
      </c>
      <c r="J582" s="115">
        <v>0</v>
      </c>
      <c r="K582" s="112">
        <v>0</v>
      </c>
      <c r="L582" s="115">
        <v>0</v>
      </c>
      <c r="M582" s="112">
        <v>0</v>
      </c>
      <c r="N582" s="115">
        <v>0</v>
      </c>
      <c r="O582" s="112">
        <v>0</v>
      </c>
      <c r="P582" s="115">
        <v>0</v>
      </c>
      <c r="Q582" s="112">
        <v>0</v>
      </c>
      <c r="R582" s="115">
        <v>0</v>
      </c>
      <c r="S582" s="112">
        <v>0</v>
      </c>
      <c r="T582" s="115">
        <v>0</v>
      </c>
      <c r="U582" s="112">
        <v>0</v>
      </c>
      <c r="V582" s="115">
        <v>0</v>
      </c>
      <c r="W582" s="112">
        <v>0</v>
      </c>
      <c r="X582" s="115">
        <v>0</v>
      </c>
      <c r="Y582" s="112">
        <v>0</v>
      </c>
      <c r="Z582" s="115">
        <v>0</v>
      </c>
      <c r="AA582" s="112">
        <v>0</v>
      </c>
      <c r="AB582" s="115">
        <v>0</v>
      </c>
      <c r="AC582" s="238">
        <f t="shared" si="291"/>
        <v>0</v>
      </c>
      <c r="AD582" s="238"/>
      <c r="AE582" s="238"/>
    </row>
    <row r="583" spans="2:31" x14ac:dyDescent="0.3">
      <c r="B583" s="245" t="s">
        <v>19</v>
      </c>
      <c r="C583" s="245"/>
      <c r="D583" s="245"/>
      <c r="E583" s="112">
        <v>0</v>
      </c>
      <c r="F583" s="115">
        <v>0</v>
      </c>
      <c r="G583" s="112">
        <v>0</v>
      </c>
      <c r="H583" s="115">
        <v>0</v>
      </c>
      <c r="I583" s="112">
        <v>0</v>
      </c>
      <c r="J583" s="115">
        <v>0</v>
      </c>
      <c r="K583" s="112">
        <v>0</v>
      </c>
      <c r="L583" s="115">
        <v>0</v>
      </c>
      <c r="M583" s="112">
        <v>0</v>
      </c>
      <c r="N583" s="115">
        <v>0</v>
      </c>
      <c r="O583" s="112">
        <v>0</v>
      </c>
      <c r="P583" s="115">
        <v>0</v>
      </c>
      <c r="Q583" s="112">
        <v>0</v>
      </c>
      <c r="R583" s="115">
        <v>0</v>
      </c>
      <c r="S583" s="112">
        <v>0</v>
      </c>
      <c r="T583" s="115">
        <v>0</v>
      </c>
      <c r="U583" s="112">
        <v>0</v>
      </c>
      <c r="V583" s="115">
        <v>0</v>
      </c>
      <c r="W583" s="112">
        <v>0</v>
      </c>
      <c r="X583" s="115">
        <v>0</v>
      </c>
      <c r="Y583" s="112">
        <v>0</v>
      </c>
      <c r="Z583" s="115">
        <v>0</v>
      </c>
      <c r="AA583" s="112">
        <v>0</v>
      </c>
      <c r="AB583" s="115">
        <v>0</v>
      </c>
      <c r="AC583" s="238">
        <f t="shared" si="291"/>
        <v>0</v>
      </c>
      <c r="AD583" s="238"/>
      <c r="AE583" s="238"/>
    </row>
    <row r="584" spans="2:31" x14ac:dyDescent="0.3">
      <c r="B584" s="245" t="s">
        <v>20</v>
      </c>
      <c r="C584" s="245"/>
      <c r="D584" s="245"/>
      <c r="E584" s="112">
        <v>0</v>
      </c>
      <c r="F584" s="115">
        <v>0</v>
      </c>
      <c r="G584" s="112">
        <v>0</v>
      </c>
      <c r="H584" s="115">
        <v>0</v>
      </c>
      <c r="I584" s="112">
        <v>0</v>
      </c>
      <c r="J584" s="115">
        <v>0</v>
      </c>
      <c r="K584" s="112">
        <v>0</v>
      </c>
      <c r="L584" s="115">
        <v>0</v>
      </c>
      <c r="M584" s="112">
        <v>0</v>
      </c>
      <c r="N584" s="115">
        <v>0</v>
      </c>
      <c r="O584" s="112">
        <v>0</v>
      </c>
      <c r="P584" s="115">
        <v>0</v>
      </c>
      <c r="Q584" s="112">
        <v>6.4346666666666712</v>
      </c>
      <c r="R584" s="115">
        <v>13.12266666666665</v>
      </c>
      <c r="S584" s="112">
        <v>0</v>
      </c>
      <c r="T584" s="115">
        <v>0</v>
      </c>
      <c r="U584" s="112">
        <v>0</v>
      </c>
      <c r="V584" s="115">
        <v>0</v>
      </c>
      <c r="W584" s="112">
        <v>0</v>
      </c>
      <c r="X584" s="115">
        <v>0</v>
      </c>
      <c r="Y584" s="112">
        <v>0</v>
      </c>
      <c r="Z584" s="115">
        <v>0</v>
      </c>
      <c r="AA584" s="112">
        <v>0</v>
      </c>
      <c r="AB584" s="115">
        <v>0</v>
      </c>
      <c r="AC584" s="238">
        <f t="shared" si="291"/>
        <v>19.557333333333322</v>
      </c>
      <c r="AD584" s="238"/>
      <c r="AE584" s="238"/>
    </row>
    <row r="585" spans="2:31" x14ac:dyDescent="0.3">
      <c r="B585" s="245" t="s">
        <v>21</v>
      </c>
      <c r="C585" s="245"/>
      <c r="D585" s="245"/>
      <c r="E585" s="112">
        <v>0</v>
      </c>
      <c r="F585" s="115">
        <v>0</v>
      </c>
      <c r="G585" s="112">
        <v>0</v>
      </c>
      <c r="H585" s="115">
        <v>0</v>
      </c>
      <c r="I585" s="112">
        <v>0</v>
      </c>
      <c r="J585" s="115">
        <v>0</v>
      </c>
      <c r="K585" s="112">
        <v>0</v>
      </c>
      <c r="L585" s="115">
        <v>0</v>
      </c>
      <c r="M585" s="112">
        <v>0</v>
      </c>
      <c r="N585" s="115">
        <v>0</v>
      </c>
      <c r="O585" s="112">
        <v>0</v>
      </c>
      <c r="P585" s="115">
        <v>0</v>
      </c>
      <c r="Q585" s="112">
        <v>0</v>
      </c>
      <c r="R585" s="115">
        <v>0</v>
      </c>
      <c r="S585" s="112">
        <v>0</v>
      </c>
      <c r="T585" s="115">
        <v>0</v>
      </c>
      <c r="U585" s="112">
        <v>0</v>
      </c>
      <c r="V585" s="115">
        <v>0</v>
      </c>
      <c r="W585" s="112">
        <v>0</v>
      </c>
      <c r="X585" s="115">
        <v>0</v>
      </c>
      <c r="Y585" s="112">
        <v>0</v>
      </c>
      <c r="Z585" s="115">
        <v>0</v>
      </c>
      <c r="AA585" s="112">
        <v>0</v>
      </c>
      <c r="AB585" s="115">
        <v>0</v>
      </c>
      <c r="AC585" s="238">
        <f t="shared" si="291"/>
        <v>0</v>
      </c>
      <c r="AD585" s="238"/>
      <c r="AE585" s="238"/>
    </row>
    <row r="586" spans="2:31" x14ac:dyDescent="0.3">
      <c r="B586" s="245" t="s">
        <v>22</v>
      </c>
      <c r="C586" s="245"/>
      <c r="D586" s="245"/>
      <c r="E586" s="112">
        <v>0</v>
      </c>
      <c r="F586" s="115">
        <v>0</v>
      </c>
      <c r="G586" s="112">
        <v>0</v>
      </c>
      <c r="H586" s="115">
        <v>0</v>
      </c>
      <c r="I586" s="112">
        <v>0</v>
      </c>
      <c r="J586" s="115">
        <v>0</v>
      </c>
      <c r="K586" s="112">
        <v>0</v>
      </c>
      <c r="L586" s="115">
        <v>0</v>
      </c>
      <c r="M586" s="112">
        <v>0</v>
      </c>
      <c r="N586" s="115">
        <v>0</v>
      </c>
      <c r="O586" s="112">
        <v>0</v>
      </c>
      <c r="P586" s="115">
        <v>0</v>
      </c>
      <c r="Q586" s="112">
        <v>0</v>
      </c>
      <c r="R586" s="115">
        <v>2.8666666666666677E-2</v>
      </c>
      <c r="S586" s="112">
        <v>0</v>
      </c>
      <c r="T586" s="115">
        <v>0</v>
      </c>
      <c r="U586" s="112">
        <v>0</v>
      </c>
      <c r="V586" s="115">
        <v>0</v>
      </c>
      <c r="W586" s="112">
        <v>0</v>
      </c>
      <c r="X586" s="115">
        <v>0</v>
      </c>
      <c r="Y586" s="112">
        <v>0</v>
      </c>
      <c r="Z586" s="115">
        <v>0</v>
      </c>
      <c r="AA586" s="112">
        <v>0</v>
      </c>
      <c r="AB586" s="115">
        <v>0</v>
      </c>
      <c r="AC586" s="238">
        <f t="shared" si="291"/>
        <v>2.8666666666666677E-2</v>
      </c>
      <c r="AD586" s="238"/>
      <c r="AE586" s="238"/>
    </row>
    <row r="587" spans="2:31" x14ac:dyDescent="0.3">
      <c r="B587" s="245" t="s">
        <v>23</v>
      </c>
      <c r="C587" s="245"/>
      <c r="D587" s="245"/>
      <c r="E587" s="112">
        <v>0</v>
      </c>
      <c r="F587" s="115">
        <v>0</v>
      </c>
      <c r="G587" s="112">
        <v>0</v>
      </c>
      <c r="H587" s="115">
        <v>0</v>
      </c>
      <c r="I587" s="112">
        <v>0</v>
      </c>
      <c r="J587" s="115">
        <v>0</v>
      </c>
      <c r="K587" s="112">
        <v>0</v>
      </c>
      <c r="L587" s="115">
        <v>0</v>
      </c>
      <c r="M587" s="112">
        <v>0</v>
      </c>
      <c r="N587" s="115">
        <v>0</v>
      </c>
      <c r="O587" s="112">
        <v>0</v>
      </c>
      <c r="P587" s="115">
        <v>0</v>
      </c>
      <c r="Q587" s="112">
        <v>0</v>
      </c>
      <c r="R587" s="115">
        <v>2.4621666666666671</v>
      </c>
      <c r="S587" s="112">
        <v>0</v>
      </c>
      <c r="T587" s="115">
        <v>0</v>
      </c>
      <c r="U587" s="112">
        <v>0</v>
      </c>
      <c r="V587" s="115">
        <v>0</v>
      </c>
      <c r="W587" s="112">
        <v>0</v>
      </c>
      <c r="X587" s="115">
        <v>0</v>
      </c>
      <c r="Y587" s="112">
        <v>0</v>
      </c>
      <c r="Z587" s="115">
        <v>0</v>
      </c>
      <c r="AA587" s="112">
        <v>0</v>
      </c>
      <c r="AB587" s="115">
        <v>0</v>
      </c>
      <c r="AC587" s="238">
        <f t="shared" si="291"/>
        <v>2.4621666666666671</v>
      </c>
      <c r="AD587" s="238"/>
      <c r="AE587" s="238"/>
    </row>
    <row r="588" spans="2:31" x14ac:dyDescent="0.3">
      <c r="B588" s="245" t="s">
        <v>24</v>
      </c>
      <c r="C588" s="245"/>
      <c r="D588" s="245"/>
      <c r="E588" s="112">
        <v>0</v>
      </c>
      <c r="F588" s="115">
        <v>0</v>
      </c>
      <c r="G588" s="112">
        <v>0</v>
      </c>
      <c r="H588" s="115">
        <v>0</v>
      </c>
      <c r="I588" s="112">
        <v>0</v>
      </c>
      <c r="J588" s="115">
        <v>0</v>
      </c>
      <c r="K588" s="112">
        <v>0</v>
      </c>
      <c r="L588" s="115">
        <v>0</v>
      </c>
      <c r="M588" s="112">
        <v>0</v>
      </c>
      <c r="N588" s="115">
        <v>0</v>
      </c>
      <c r="O588" s="112">
        <v>0</v>
      </c>
      <c r="P588" s="115">
        <v>0</v>
      </c>
      <c r="Q588" s="112">
        <v>0</v>
      </c>
      <c r="R588" s="115">
        <v>0</v>
      </c>
      <c r="S588" s="112">
        <v>0</v>
      </c>
      <c r="T588" s="115">
        <v>0</v>
      </c>
      <c r="U588" s="112">
        <v>0</v>
      </c>
      <c r="V588" s="115">
        <v>0</v>
      </c>
      <c r="W588" s="112">
        <v>0</v>
      </c>
      <c r="X588" s="115">
        <v>0</v>
      </c>
      <c r="Y588" s="112">
        <v>0</v>
      </c>
      <c r="Z588" s="115">
        <v>0</v>
      </c>
      <c r="AA588" s="112">
        <v>0</v>
      </c>
      <c r="AB588" s="115">
        <v>0</v>
      </c>
      <c r="AC588" s="238">
        <f t="shared" si="291"/>
        <v>0</v>
      </c>
      <c r="AD588" s="238"/>
      <c r="AE588" s="238"/>
    </row>
    <row r="589" spans="2:31" x14ac:dyDescent="0.3">
      <c r="B589" s="245" t="s">
        <v>25</v>
      </c>
      <c r="C589" s="245"/>
      <c r="D589" s="245"/>
      <c r="E589" s="112">
        <v>0</v>
      </c>
      <c r="F589" s="115">
        <v>0</v>
      </c>
      <c r="G589" s="112">
        <v>0</v>
      </c>
      <c r="H589" s="115">
        <v>0</v>
      </c>
      <c r="I589" s="112">
        <v>0</v>
      </c>
      <c r="J589" s="115">
        <v>0</v>
      </c>
      <c r="K589" s="112">
        <v>0</v>
      </c>
      <c r="L589" s="115">
        <v>0</v>
      </c>
      <c r="M589" s="112">
        <v>0</v>
      </c>
      <c r="N589" s="115">
        <v>0</v>
      </c>
      <c r="O589" s="112">
        <v>0</v>
      </c>
      <c r="P589" s="115">
        <v>0</v>
      </c>
      <c r="Q589" s="112">
        <v>0</v>
      </c>
      <c r="R589" s="115">
        <v>0</v>
      </c>
      <c r="S589" s="112">
        <v>0</v>
      </c>
      <c r="T589" s="115">
        <v>0</v>
      </c>
      <c r="U589" s="112">
        <v>0</v>
      </c>
      <c r="V589" s="115">
        <v>0</v>
      </c>
      <c r="W589" s="112">
        <v>0</v>
      </c>
      <c r="X589" s="115">
        <v>0</v>
      </c>
      <c r="Y589" s="112">
        <v>0</v>
      </c>
      <c r="Z589" s="115">
        <v>0</v>
      </c>
      <c r="AA589" s="112">
        <v>0</v>
      </c>
      <c r="AB589" s="115">
        <v>0</v>
      </c>
      <c r="AC589" s="238">
        <f t="shared" si="291"/>
        <v>0</v>
      </c>
      <c r="AD589" s="238"/>
      <c r="AE589" s="238"/>
    </row>
    <row r="590" spans="2:31" x14ac:dyDescent="0.3">
      <c r="B590" s="245" t="s">
        <v>26</v>
      </c>
      <c r="C590" s="245"/>
      <c r="D590" s="245"/>
      <c r="E590" s="112">
        <v>0</v>
      </c>
      <c r="F590" s="115">
        <v>0</v>
      </c>
      <c r="G590" s="112">
        <v>0</v>
      </c>
      <c r="H590" s="115">
        <v>0</v>
      </c>
      <c r="I590" s="112">
        <v>0</v>
      </c>
      <c r="J590" s="115">
        <v>0</v>
      </c>
      <c r="K590" s="112">
        <v>0</v>
      </c>
      <c r="L590" s="115">
        <v>0</v>
      </c>
      <c r="M590" s="112">
        <v>0</v>
      </c>
      <c r="N590" s="115">
        <v>0</v>
      </c>
      <c r="O590" s="112">
        <v>0</v>
      </c>
      <c r="P590" s="115">
        <v>0</v>
      </c>
      <c r="Q590" s="112">
        <v>0</v>
      </c>
      <c r="R590" s="115">
        <v>0</v>
      </c>
      <c r="S590" s="112">
        <v>0</v>
      </c>
      <c r="T590" s="115">
        <v>0</v>
      </c>
      <c r="U590" s="112">
        <v>0</v>
      </c>
      <c r="V590" s="115">
        <v>0</v>
      </c>
      <c r="W590" s="112">
        <v>0</v>
      </c>
      <c r="X590" s="115">
        <v>0</v>
      </c>
      <c r="Y590" s="112">
        <v>0</v>
      </c>
      <c r="Z590" s="115">
        <v>0</v>
      </c>
      <c r="AA590" s="112">
        <v>0</v>
      </c>
      <c r="AB590" s="115">
        <v>0</v>
      </c>
      <c r="AC590" s="238">
        <f t="shared" si="291"/>
        <v>0</v>
      </c>
      <c r="AD590" s="238"/>
      <c r="AE590" s="238"/>
    </row>
    <row r="591" spans="2:31" x14ac:dyDescent="0.3">
      <c r="B591" s="245" t="s">
        <v>27</v>
      </c>
      <c r="C591" s="245"/>
      <c r="D591" s="245"/>
      <c r="E591" s="112">
        <v>0</v>
      </c>
      <c r="F591" s="115">
        <v>0</v>
      </c>
      <c r="G591" s="112">
        <v>0</v>
      </c>
      <c r="H591" s="115">
        <v>0</v>
      </c>
      <c r="I591" s="112">
        <v>0</v>
      </c>
      <c r="J591" s="115">
        <v>0</v>
      </c>
      <c r="K591" s="112">
        <v>0</v>
      </c>
      <c r="L591" s="115">
        <v>0</v>
      </c>
      <c r="M591" s="112">
        <v>0</v>
      </c>
      <c r="N591" s="115">
        <v>0</v>
      </c>
      <c r="O591" s="112">
        <v>0</v>
      </c>
      <c r="P591" s="115">
        <v>0</v>
      </c>
      <c r="Q591" s="112">
        <v>0</v>
      </c>
      <c r="R591" s="115">
        <v>0</v>
      </c>
      <c r="S591" s="112">
        <v>0</v>
      </c>
      <c r="T591" s="115">
        <v>0</v>
      </c>
      <c r="U591" s="112">
        <v>0</v>
      </c>
      <c r="V591" s="115">
        <v>0</v>
      </c>
      <c r="W591" s="112">
        <v>0</v>
      </c>
      <c r="X591" s="115">
        <v>0</v>
      </c>
      <c r="Y591" s="112">
        <v>0</v>
      </c>
      <c r="Z591" s="115">
        <v>0</v>
      </c>
      <c r="AA591" s="112">
        <v>0</v>
      </c>
      <c r="AB591" s="115">
        <v>0</v>
      </c>
      <c r="AC591" s="238">
        <f t="shared" si="291"/>
        <v>0</v>
      </c>
      <c r="AD591" s="238"/>
      <c r="AE591" s="238"/>
    </row>
    <row r="592" spans="2:31" x14ac:dyDescent="0.3">
      <c r="B592" s="245" t="s">
        <v>28</v>
      </c>
      <c r="C592" s="245"/>
      <c r="D592" s="245"/>
      <c r="E592" s="112">
        <v>0</v>
      </c>
      <c r="F592" s="115">
        <v>0</v>
      </c>
      <c r="G592" s="112">
        <v>0</v>
      </c>
      <c r="H592" s="115">
        <v>0</v>
      </c>
      <c r="I592" s="112">
        <v>0</v>
      </c>
      <c r="J592" s="115">
        <v>0</v>
      </c>
      <c r="K592" s="112">
        <v>0</v>
      </c>
      <c r="L592" s="115">
        <v>0</v>
      </c>
      <c r="M592" s="112">
        <v>0</v>
      </c>
      <c r="N592" s="115">
        <v>0</v>
      </c>
      <c r="O592" s="112">
        <v>0</v>
      </c>
      <c r="P592" s="115">
        <v>0</v>
      </c>
      <c r="Q592" s="112">
        <v>0</v>
      </c>
      <c r="R592" s="115">
        <v>0</v>
      </c>
      <c r="S592" s="112">
        <v>0</v>
      </c>
      <c r="T592" s="115">
        <v>0</v>
      </c>
      <c r="U592" s="112">
        <v>0</v>
      </c>
      <c r="V592" s="115">
        <v>0</v>
      </c>
      <c r="W592" s="112">
        <v>0</v>
      </c>
      <c r="X592" s="115">
        <v>0</v>
      </c>
      <c r="Y592" s="112">
        <v>0</v>
      </c>
      <c r="Z592" s="115">
        <v>0</v>
      </c>
      <c r="AA592" s="112">
        <v>0</v>
      </c>
      <c r="AB592" s="115">
        <v>0</v>
      </c>
      <c r="AC592" s="238">
        <f t="shared" si="291"/>
        <v>0</v>
      </c>
      <c r="AD592" s="238"/>
      <c r="AE592" s="238"/>
    </row>
    <row r="593" spans="2:31" x14ac:dyDescent="0.3">
      <c r="B593" s="245" t="s">
        <v>92</v>
      </c>
      <c r="C593" s="245"/>
      <c r="D593" s="245"/>
      <c r="E593" s="112">
        <v>0</v>
      </c>
      <c r="F593" s="115">
        <v>0</v>
      </c>
      <c r="G593" s="112">
        <v>0</v>
      </c>
      <c r="H593" s="115">
        <v>0</v>
      </c>
      <c r="I593" s="112">
        <v>0</v>
      </c>
      <c r="J593" s="115">
        <v>0</v>
      </c>
      <c r="K593" s="112">
        <v>0</v>
      </c>
      <c r="L593" s="115">
        <v>0</v>
      </c>
      <c r="M593" s="112">
        <v>0</v>
      </c>
      <c r="N593" s="115">
        <v>0</v>
      </c>
      <c r="O593" s="112">
        <v>0</v>
      </c>
      <c r="P593" s="115">
        <v>0</v>
      </c>
      <c r="Q593" s="112">
        <v>0</v>
      </c>
      <c r="R593" s="115">
        <v>0</v>
      </c>
      <c r="S593" s="112">
        <v>0</v>
      </c>
      <c r="T593" s="115">
        <v>0</v>
      </c>
      <c r="U593" s="112">
        <v>0</v>
      </c>
      <c r="V593" s="115">
        <v>0</v>
      </c>
      <c r="W593" s="112">
        <v>0</v>
      </c>
      <c r="X593" s="115">
        <v>0</v>
      </c>
      <c r="Y593" s="112">
        <v>0</v>
      </c>
      <c r="Z593" s="115">
        <v>0</v>
      </c>
      <c r="AA593" s="112">
        <v>0</v>
      </c>
      <c r="AB593" s="115">
        <v>0</v>
      </c>
      <c r="AC593" s="238">
        <f t="shared" si="291"/>
        <v>0</v>
      </c>
      <c r="AD593" s="238"/>
      <c r="AE593" s="238"/>
    </row>
    <row r="594" spans="2:31" x14ac:dyDescent="0.3">
      <c r="B594" s="245" t="s">
        <v>29</v>
      </c>
      <c r="C594" s="245"/>
      <c r="D594" s="245"/>
      <c r="E594" s="112">
        <v>0</v>
      </c>
      <c r="F594" s="115">
        <v>0</v>
      </c>
      <c r="G594" s="112">
        <v>0</v>
      </c>
      <c r="H594" s="115">
        <v>0</v>
      </c>
      <c r="I594" s="112">
        <v>0</v>
      </c>
      <c r="J594" s="115">
        <v>0</v>
      </c>
      <c r="K594" s="112">
        <v>0</v>
      </c>
      <c r="L594" s="115">
        <v>0</v>
      </c>
      <c r="M594" s="112">
        <v>0</v>
      </c>
      <c r="N594" s="115">
        <v>0</v>
      </c>
      <c r="O594" s="112">
        <v>0</v>
      </c>
      <c r="P594" s="115">
        <v>0</v>
      </c>
      <c r="Q594" s="112">
        <v>0</v>
      </c>
      <c r="R594" s="115">
        <v>0</v>
      </c>
      <c r="S594" s="112">
        <v>0</v>
      </c>
      <c r="T594" s="115">
        <v>0</v>
      </c>
      <c r="U594" s="112">
        <v>0</v>
      </c>
      <c r="V594" s="115">
        <v>0</v>
      </c>
      <c r="W594" s="112">
        <v>0</v>
      </c>
      <c r="X594" s="115">
        <v>0</v>
      </c>
      <c r="Y594" s="112">
        <v>0</v>
      </c>
      <c r="Z594" s="115">
        <v>0</v>
      </c>
      <c r="AA594" s="112">
        <v>0</v>
      </c>
      <c r="AB594" s="115">
        <v>0</v>
      </c>
      <c r="AC594" s="238">
        <f t="shared" si="291"/>
        <v>0</v>
      </c>
      <c r="AD594" s="238"/>
      <c r="AE594" s="238"/>
    </row>
    <row r="595" spans="2:31" x14ac:dyDescent="0.3">
      <c r="B595" s="245" t="s">
        <v>30</v>
      </c>
      <c r="C595" s="245"/>
      <c r="D595" s="245"/>
      <c r="E595" s="112">
        <v>0</v>
      </c>
      <c r="F595" s="115">
        <v>0</v>
      </c>
      <c r="G595" s="112">
        <v>0</v>
      </c>
      <c r="H595" s="115">
        <v>0</v>
      </c>
      <c r="I595" s="112">
        <v>0</v>
      </c>
      <c r="J595" s="115">
        <v>0</v>
      </c>
      <c r="K595" s="112">
        <v>0</v>
      </c>
      <c r="L595" s="115">
        <v>0</v>
      </c>
      <c r="M595" s="112">
        <v>0</v>
      </c>
      <c r="N595" s="115">
        <v>0</v>
      </c>
      <c r="O595" s="112">
        <v>0</v>
      </c>
      <c r="P595" s="115">
        <v>0</v>
      </c>
      <c r="Q595" s="112">
        <v>0</v>
      </c>
      <c r="R595" s="115">
        <v>0</v>
      </c>
      <c r="S595" s="112">
        <v>0</v>
      </c>
      <c r="T595" s="115">
        <v>0</v>
      </c>
      <c r="U595" s="112">
        <v>0</v>
      </c>
      <c r="V595" s="115">
        <v>0</v>
      </c>
      <c r="W595" s="112">
        <v>0</v>
      </c>
      <c r="X595" s="115">
        <v>0</v>
      </c>
      <c r="Y595" s="112">
        <v>0</v>
      </c>
      <c r="Z595" s="115">
        <v>0</v>
      </c>
      <c r="AA595" s="112">
        <v>0</v>
      </c>
      <c r="AB595" s="115">
        <v>0</v>
      </c>
      <c r="AC595" s="238">
        <f t="shared" si="291"/>
        <v>0</v>
      </c>
      <c r="AD595" s="238"/>
      <c r="AE595" s="238"/>
    </row>
    <row r="596" spans="2:31" x14ac:dyDescent="0.3">
      <c r="B596" s="245" t="s">
        <v>31</v>
      </c>
      <c r="C596" s="245"/>
      <c r="D596" s="245"/>
      <c r="E596" s="112">
        <v>0</v>
      </c>
      <c r="F596" s="115">
        <v>0</v>
      </c>
      <c r="G596" s="112">
        <v>0</v>
      </c>
      <c r="H596" s="115">
        <v>0</v>
      </c>
      <c r="I596" s="112">
        <v>0</v>
      </c>
      <c r="J596" s="115">
        <v>0</v>
      </c>
      <c r="K596" s="112">
        <v>0</v>
      </c>
      <c r="L596" s="115">
        <v>0</v>
      </c>
      <c r="M596" s="112">
        <v>0</v>
      </c>
      <c r="N596" s="115">
        <v>0</v>
      </c>
      <c r="O596" s="112">
        <v>0</v>
      </c>
      <c r="P596" s="115">
        <v>0</v>
      </c>
      <c r="Q596" s="112">
        <v>0</v>
      </c>
      <c r="R596" s="115">
        <v>0</v>
      </c>
      <c r="S596" s="112">
        <v>0</v>
      </c>
      <c r="T596" s="115">
        <v>0</v>
      </c>
      <c r="U596" s="112">
        <v>0</v>
      </c>
      <c r="V596" s="115">
        <v>0</v>
      </c>
      <c r="W596" s="112">
        <v>0</v>
      </c>
      <c r="X596" s="115">
        <v>0</v>
      </c>
      <c r="Y596" s="112">
        <v>0</v>
      </c>
      <c r="Z596" s="115">
        <v>0</v>
      </c>
      <c r="AA596" s="112">
        <v>0</v>
      </c>
      <c r="AB596" s="115">
        <v>0</v>
      </c>
      <c r="AC596" s="238">
        <f t="shared" si="291"/>
        <v>0</v>
      </c>
      <c r="AD596" s="238"/>
      <c r="AE596" s="238"/>
    </row>
    <row r="597" spans="2:31" x14ac:dyDescent="0.3">
      <c r="B597" s="245" t="s">
        <v>32</v>
      </c>
      <c r="C597" s="245"/>
      <c r="D597" s="245"/>
      <c r="E597" s="112">
        <v>0</v>
      </c>
      <c r="F597" s="115">
        <v>0</v>
      </c>
      <c r="G597" s="112">
        <v>0</v>
      </c>
      <c r="H597" s="115">
        <v>0</v>
      </c>
      <c r="I597" s="112">
        <v>0</v>
      </c>
      <c r="J597" s="115">
        <v>0</v>
      </c>
      <c r="K597" s="112">
        <v>0</v>
      </c>
      <c r="L597" s="115">
        <v>0</v>
      </c>
      <c r="M597" s="112">
        <v>0</v>
      </c>
      <c r="N597" s="115">
        <v>0</v>
      </c>
      <c r="O597" s="112">
        <v>0</v>
      </c>
      <c r="P597" s="115">
        <v>0</v>
      </c>
      <c r="Q597" s="112">
        <v>0</v>
      </c>
      <c r="R597" s="115">
        <v>0</v>
      </c>
      <c r="S597" s="112">
        <v>0</v>
      </c>
      <c r="T597" s="115">
        <v>0</v>
      </c>
      <c r="U597" s="112">
        <v>0</v>
      </c>
      <c r="V597" s="115">
        <v>0</v>
      </c>
      <c r="W597" s="112">
        <v>0</v>
      </c>
      <c r="X597" s="115">
        <v>0</v>
      </c>
      <c r="Y597" s="112">
        <v>0</v>
      </c>
      <c r="Z597" s="115">
        <v>0</v>
      </c>
      <c r="AA597" s="112">
        <v>0</v>
      </c>
      <c r="AB597" s="115">
        <v>0</v>
      </c>
      <c r="AC597" s="238">
        <f t="shared" si="291"/>
        <v>0</v>
      </c>
      <c r="AD597" s="238"/>
      <c r="AE597" s="238"/>
    </row>
    <row r="598" spans="2:31" x14ac:dyDescent="0.3">
      <c r="B598" s="245" t="s">
        <v>33</v>
      </c>
      <c r="C598" s="245"/>
      <c r="D598" s="245"/>
      <c r="E598" s="112">
        <v>0</v>
      </c>
      <c r="F598" s="115">
        <v>0</v>
      </c>
      <c r="G598" s="112">
        <v>0</v>
      </c>
      <c r="H598" s="115">
        <v>0</v>
      </c>
      <c r="I598" s="112">
        <v>0</v>
      </c>
      <c r="J598" s="115">
        <v>0</v>
      </c>
      <c r="K598" s="112">
        <v>0</v>
      </c>
      <c r="L598" s="115">
        <v>0</v>
      </c>
      <c r="M598" s="112">
        <v>0</v>
      </c>
      <c r="N598" s="115">
        <v>0</v>
      </c>
      <c r="O598" s="112">
        <v>0</v>
      </c>
      <c r="P598" s="115">
        <v>0</v>
      </c>
      <c r="Q598" s="112">
        <v>0</v>
      </c>
      <c r="R598" s="115">
        <v>0</v>
      </c>
      <c r="S598" s="112">
        <v>0</v>
      </c>
      <c r="T598" s="115">
        <v>0</v>
      </c>
      <c r="U598" s="112">
        <v>0</v>
      </c>
      <c r="V598" s="115">
        <v>0</v>
      </c>
      <c r="W598" s="112">
        <v>0</v>
      </c>
      <c r="X598" s="115">
        <v>0</v>
      </c>
      <c r="Y598" s="112">
        <v>0</v>
      </c>
      <c r="Z598" s="115">
        <v>0</v>
      </c>
      <c r="AA598" s="112">
        <v>0</v>
      </c>
      <c r="AB598" s="115">
        <v>0</v>
      </c>
      <c r="AC598" s="238">
        <f t="shared" si="291"/>
        <v>0</v>
      </c>
      <c r="AD598" s="238"/>
      <c r="AE598" s="238"/>
    </row>
    <row r="599" spans="2:31" x14ac:dyDescent="0.3">
      <c r="B599" s="245" t="s">
        <v>34</v>
      </c>
      <c r="C599" s="245"/>
      <c r="D599" s="245"/>
      <c r="E599" s="112">
        <v>0</v>
      </c>
      <c r="F599" s="115">
        <v>0</v>
      </c>
      <c r="G599" s="112">
        <v>0</v>
      </c>
      <c r="H599" s="115">
        <v>0</v>
      </c>
      <c r="I599" s="112">
        <v>0</v>
      </c>
      <c r="J599" s="115">
        <v>0</v>
      </c>
      <c r="K599" s="112">
        <v>0</v>
      </c>
      <c r="L599" s="115">
        <v>0</v>
      </c>
      <c r="M599" s="112">
        <v>0</v>
      </c>
      <c r="N599" s="115">
        <v>0</v>
      </c>
      <c r="O599" s="112">
        <v>0</v>
      </c>
      <c r="P599" s="115">
        <v>0</v>
      </c>
      <c r="Q599" s="112">
        <v>0</v>
      </c>
      <c r="R599" s="115">
        <v>0</v>
      </c>
      <c r="S599" s="112">
        <v>0</v>
      </c>
      <c r="T599" s="115">
        <v>0</v>
      </c>
      <c r="U599" s="112">
        <v>0</v>
      </c>
      <c r="V599" s="115">
        <v>0</v>
      </c>
      <c r="W599" s="112">
        <v>0</v>
      </c>
      <c r="X599" s="115">
        <v>0</v>
      </c>
      <c r="Y599" s="112">
        <v>0</v>
      </c>
      <c r="Z599" s="115">
        <v>0</v>
      </c>
      <c r="AA599" s="112">
        <v>0</v>
      </c>
      <c r="AB599" s="115">
        <v>0</v>
      </c>
      <c r="AC599" s="238">
        <f t="shared" si="291"/>
        <v>0</v>
      </c>
      <c r="AD599" s="238"/>
      <c r="AE599" s="238"/>
    </row>
    <row r="600" spans="2:31" x14ac:dyDescent="0.3">
      <c r="B600" s="245" t="s">
        <v>35</v>
      </c>
      <c r="C600" s="245"/>
      <c r="D600" s="245"/>
      <c r="E600" s="112">
        <v>0</v>
      </c>
      <c r="F600" s="115">
        <v>0</v>
      </c>
      <c r="G600" s="112">
        <v>0</v>
      </c>
      <c r="H600" s="115">
        <v>0</v>
      </c>
      <c r="I600" s="112">
        <v>0</v>
      </c>
      <c r="J600" s="115">
        <v>0</v>
      </c>
      <c r="K600" s="112">
        <v>0</v>
      </c>
      <c r="L600" s="115">
        <v>0</v>
      </c>
      <c r="M600" s="112">
        <v>0</v>
      </c>
      <c r="N600" s="115">
        <v>0</v>
      </c>
      <c r="O600" s="112">
        <v>0</v>
      </c>
      <c r="P600" s="115">
        <v>0</v>
      </c>
      <c r="Q600" s="112">
        <v>0</v>
      </c>
      <c r="R600" s="115">
        <v>0</v>
      </c>
      <c r="S600" s="112">
        <v>0</v>
      </c>
      <c r="T600" s="115">
        <v>0</v>
      </c>
      <c r="U600" s="112">
        <v>0</v>
      </c>
      <c r="V600" s="115">
        <v>0</v>
      </c>
      <c r="W600" s="112">
        <v>0</v>
      </c>
      <c r="X600" s="115">
        <v>0</v>
      </c>
      <c r="Y600" s="112">
        <v>0</v>
      </c>
      <c r="Z600" s="115">
        <v>0</v>
      </c>
      <c r="AA600" s="112">
        <v>0</v>
      </c>
      <c r="AB600" s="115">
        <v>0</v>
      </c>
      <c r="AC600" s="238">
        <f t="shared" si="291"/>
        <v>0</v>
      </c>
      <c r="AD600" s="238"/>
      <c r="AE600" s="238"/>
    </row>
    <row r="601" spans="2:31" x14ac:dyDescent="0.3">
      <c r="B601" s="245" t="s">
        <v>36</v>
      </c>
      <c r="C601" s="245"/>
      <c r="D601" s="245"/>
      <c r="E601" s="112">
        <v>0</v>
      </c>
      <c r="F601" s="115">
        <v>0</v>
      </c>
      <c r="G601" s="112">
        <v>0</v>
      </c>
      <c r="H601" s="115">
        <v>0</v>
      </c>
      <c r="I601" s="112">
        <v>0</v>
      </c>
      <c r="J601" s="115">
        <v>0</v>
      </c>
      <c r="K601" s="112">
        <v>0</v>
      </c>
      <c r="L601" s="115">
        <v>0</v>
      </c>
      <c r="M601" s="112">
        <v>0</v>
      </c>
      <c r="N601" s="115">
        <v>0</v>
      </c>
      <c r="O601" s="112">
        <v>0</v>
      </c>
      <c r="P601" s="115">
        <v>0</v>
      </c>
      <c r="Q601" s="112">
        <v>0</v>
      </c>
      <c r="R601" s="115">
        <v>0</v>
      </c>
      <c r="S601" s="112">
        <v>0</v>
      </c>
      <c r="T601" s="115">
        <v>0</v>
      </c>
      <c r="U601" s="112">
        <v>0</v>
      </c>
      <c r="V601" s="115">
        <v>0</v>
      </c>
      <c r="W601" s="112">
        <v>0</v>
      </c>
      <c r="X601" s="115">
        <v>0</v>
      </c>
      <c r="Y601" s="112">
        <v>0</v>
      </c>
      <c r="Z601" s="115">
        <v>0</v>
      </c>
      <c r="AA601" s="112">
        <v>0</v>
      </c>
      <c r="AB601" s="115">
        <v>0</v>
      </c>
      <c r="AC601" s="238">
        <f t="shared" si="291"/>
        <v>0</v>
      </c>
      <c r="AD601" s="238"/>
      <c r="AE601" s="238"/>
    </row>
    <row r="602" spans="2:31" x14ac:dyDescent="0.3">
      <c r="B602" s="13" t="s">
        <v>89</v>
      </c>
      <c r="C602" s="13"/>
      <c r="D602" s="13"/>
      <c r="E602" s="112">
        <v>0</v>
      </c>
      <c r="F602" s="115">
        <v>0</v>
      </c>
      <c r="G602" s="112">
        <v>0</v>
      </c>
      <c r="H602" s="115">
        <v>0</v>
      </c>
      <c r="I602" s="112">
        <v>0</v>
      </c>
      <c r="J602" s="115">
        <v>0</v>
      </c>
      <c r="K602" s="112">
        <v>0</v>
      </c>
      <c r="L602" s="115">
        <v>0</v>
      </c>
      <c r="M602" s="112">
        <v>0</v>
      </c>
      <c r="N602" s="115">
        <v>0</v>
      </c>
      <c r="O602" s="112">
        <v>0</v>
      </c>
      <c r="P602" s="115">
        <v>0</v>
      </c>
      <c r="Q602" s="112">
        <v>0</v>
      </c>
      <c r="R602" s="115">
        <v>0</v>
      </c>
      <c r="S602" s="112">
        <v>0</v>
      </c>
      <c r="T602" s="115">
        <v>0</v>
      </c>
      <c r="U602" s="112">
        <v>0</v>
      </c>
      <c r="V602" s="115">
        <v>0</v>
      </c>
      <c r="W602" s="112">
        <v>0</v>
      </c>
      <c r="X602" s="115">
        <v>0</v>
      </c>
      <c r="Y602" s="112">
        <v>0</v>
      </c>
      <c r="Z602" s="115">
        <v>0</v>
      </c>
      <c r="AA602" s="112">
        <v>0</v>
      </c>
      <c r="AB602" s="115">
        <v>0</v>
      </c>
      <c r="AC602" s="238">
        <f t="shared" si="291"/>
        <v>0</v>
      </c>
      <c r="AD602" s="238"/>
      <c r="AE602" s="238"/>
    </row>
    <row r="603" spans="2:31" x14ac:dyDescent="0.3">
      <c r="B603" s="13" t="s">
        <v>90</v>
      </c>
      <c r="C603" s="13"/>
      <c r="D603" s="13"/>
      <c r="E603" s="112">
        <v>0</v>
      </c>
      <c r="F603" s="115">
        <v>0</v>
      </c>
      <c r="G603" s="112">
        <v>0</v>
      </c>
      <c r="H603" s="115">
        <v>0</v>
      </c>
      <c r="I603" s="112">
        <v>0</v>
      </c>
      <c r="J603" s="115">
        <v>0</v>
      </c>
      <c r="K603" s="112">
        <v>0</v>
      </c>
      <c r="L603" s="115">
        <v>0</v>
      </c>
      <c r="M603" s="112">
        <v>0</v>
      </c>
      <c r="N603" s="115">
        <v>0</v>
      </c>
      <c r="O603" s="112">
        <v>0</v>
      </c>
      <c r="P603" s="115">
        <v>0</v>
      </c>
      <c r="Q603" s="112">
        <v>0</v>
      </c>
      <c r="R603" s="115">
        <v>0</v>
      </c>
      <c r="S603" s="112">
        <v>0</v>
      </c>
      <c r="T603" s="115">
        <v>0</v>
      </c>
      <c r="U603" s="112">
        <v>0</v>
      </c>
      <c r="V603" s="115">
        <v>0</v>
      </c>
      <c r="W603" s="112">
        <v>0</v>
      </c>
      <c r="X603" s="115">
        <v>0</v>
      </c>
      <c r="Y603" s="112">
        <v>0</v>
      </c>
      <c r="Z603" s="115">
        <v>0</v>
      </c>
      <c r="AA603" s="112">
        <v>0</v>
      </c>
      <c r="AB603" s="115">
        <v>0</v>
      </c>
      <c r="AC603" s="238">
        <f t="shared" si="291"/>
        <v>0</v>
      </c>
      <c r="AD603" s="238"/>
      <c r="AE603" s="238"/>
    </row>
    <row r="604" spans="2:31" x14ac:dyDescent="0.3">
      <c r="B604" s="14" t="s">
        <v>2</v>
      </c>
      <c r="C604" s="14"/>
      <c r="D604" s="14"/>
      <c r="E604" s="15">
        <f>SUM(E567:E603)</f>
        <v>0</v>
      </c>
      <c r="F604" s="15">
        <f t="shared" ref="F604" si="292">SUM(F567:F603)</f>
        <v>0</v>
      </c>
      <c r="G604" s="15">
        <f t="shared" ref="G604" si="293">SUM(G567:G603)</f>
        <v>0</v>
      </c>
      <c r="H604" s="15">
        <f t="shared" ref="H604" si="294">SUM(H567:H603)</f>
        <v>0</v>
      </c>
      <c r="I604" s="15">
        <f t="shared" ref="I604" si="295">SUM(I567:I603)</f>
        <v>0</v>
      </c>
      <c r="J604" s="15">
        <f t="shared" ref="J604" si="296">SUM(J567:J603)</f>
        <v>0</v>
      </c>
      <c r="K604" s="15">
        <f t="shared" ref="K604" si="297">SUM(K567:K603)</f>
        <v>0</v>
      </c>
      <c r="L604" s="15">
        <f t="shared" ref="L604" si="298">SUM(L567:L603)</f>
        <v>0</v>
      </c>
      <c r="M604" s="15">
        <f t="shared" ref="M604" si="299">SUM(M567:M603)</f>
        <v>0</v>
      </c>
      <c r="N604" s="15">
        <f t="shared" ref="N604" si="300">SUM(N567:N603)</f>
        <v>0</v>
      </c>
      <c r="O604" s="15">
        <f t="shared" ref="O604" si="301">SUM(O567:O603)</f>
        <v>0</v>
      </c>
      <c r="P604" s="15">
        <f t="shared" ref="P604" si="302">SUM(P567:P603)</f>
        <v>0</v>
      </c>
      <c r="Q604" s="15">
        <f t="shared" ref="Q604" si="303">SUM(Q567:Q603)</f>
        <v>11.526000000000003</v>
      </c>
      <c r="R604" s="15">
        <f t="shared" ref="R604" si="304">SUM(R567:R603)</f>
        <v>53.093333333333312</v>
      </c>
      <c r="S604" s="15">
        <f t="shared" ref="S604" si="305">SUM(S567:S603)</f>
        <v>20.721999999999994</v>
      </c>
      <c r="T604" s="15">
        <f t="shared" ref="T604" si="306">SUM(T567:T603)</f>
        <v>8.9820000000000011</v>
      </c>
      <c r="U604" s="15">
        <f t="shared" ref="U604" si="307">SUM(U567:U603)</f>
        <v>13.891166666666676</v>
      </c>
      <c r="V604" s="15">
        <f t="shared" ref="V604" si="308">SUM(V567:V603)</f>
        <v>1.7274999999999994</v>
      </c>
      <c r="W604" s="15">
        <f t="shared" ref="W604" si="309">SUM(W567:W603)</f>
        <v>0</v>
      </c>
      <c r="X604" s="15">
        <f t="shared" ref="X604" si="310">SUM(X567:X603)</f>
        <v>0</v>
      </c>
      <c r="Y604" s="15">
        <f t="shared" ref="Y604" si="311">SUM(Y567:Y603)</f>
        <v>0</v>
      </c>
      <c r="Z604" s="15">
        <f t="shared" ref="Z604" si="312">SUM(Z567:Z603)</f>
        <v>0</v>
      </c>
      <c r="AA604" s="15">
        <f t="shared" ref="AA604" si="313">SUM(AA567:AA603)</f>
        <v>0</v>
      </c>
      <c r="AB604" s="15">
        <f t="shared" ref="AB604" si="314">SUM(AB567:AB603)</f>
        <v>0</v>
      </c>
      <c r="AC604" s="249">
        <f>SUM(AC567:AE603)</f>
        <v>109.94199999999998</v>
      </c>
      <c r="AD604" s="249"/>
      <c r="AE604" s="249"/>
    </row>
    <row r="607" spans="2:31" x14ac:dyDescent="0.3">
      <c r="B607" s="8">
        <f>'Resumen-Mensual'!$S$22</f>
        <v>44576</v>
      </c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4"/>
      <c r="AD607" s="4"/>
      <c r="AE607" s="4"/>
    </row>
    <row r="608" spans="2:31" x14ac:dyDescent="0.3">
      <c r="B608" s="8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4"/>
      <c r="AD608" s="4"/>
      <c r="AE608" s="4"/>
    </row>
    <row r="609" spans="2:31" x14ac:dyDescent="0.3">
      <c r="B609" s="9" t="s">
        <v>81</v>
      </c>
      <c r="C609" s="10"/>
      <c r="D609" s="10"/>
      <c r="E609" s="11">
        <v>1</v>
      </c>
      <c r="F609" s="11">
        <v>2</v>
      </c>
      <c r="G609" s="11">
        <v>3</v>
      </c>
      <c r="H609" s="11">
        <v>4</v>
      </c>
      <c r="I609" s="11">
        <v>5</v>
      </c>
      <c r="J609" s="11">
        <v>6</v>
      </c>
      <c r="K609" s="11">
        <v>7</v>
      </c>
      <c r="L609" s="11">
        <v>8</v>
      </c>
      <c r="M609" s="11">
        <v>9</v>
      </c>
      <c r="N609" s="11">
        <v>10</v>
      </c>
      <c r="O609" s="11">
        <v>11</v>
      </c>
      <c r="P609" s="11">
        <v>12</v>
      </c>
      <c r="Q609" s="11">
        <v>13</v>
      </c>
      <c r="R609" s="11">
        <v>14</v>
      </c>
      <c r="S609" s="11">
        <v>15</v>
      </c>
      <c r="T609" s="11">
        <v>16</v>
      </c>
      <c r="U609" s="11">
        <v>17</v>
      </c>
      <c r="V609" s="11">
        <v>18</v>
      </c>
      <c r="W609" s="11">
        <v>19</v>
      </c>
      <c r="X609" s="11">
        <v>20</v>
      </c>
      <c r="Y609" s="11">
        <v>21</v>
      </c>
      <c r="Z609" s="11">
        <v>22</v>
      </c>
      <c r="AA609" s="11">
        <v>23</v>
      </c>
      <c r="AB609" s="11">
        <v>24</v>
      </c>
      <c r="AC609" s="248" t="s">
        <v>2</v>
      </c>
      <c r="AD609" s="248"/>
      <c r="AE609" s="248"/>
    </row>
    <row r="610" spans="2:31" x14ac:dyDescent="0.3">
      <c r="B610" s="245" t="s">
        <v>4</v>
      </c>
      <c r="C610" s="245"/>
      <c r="D610" s="245"/>
      <c r="E610" s="120">
        <v>0</v>
      </c>
      <c r="F610" s="121">
        <v>0</v>
      </c>
      <c r="G610" s="120">
        <v>0</v>
      </c>
      <c r="H610" s="121">
        <v>0</v>
      </c>
      <c r="I610" s="120">
        <v>0</v>
      </c>
      <c r="J610" s="121">
        <v>0</v>
      </c>
      <c r="K610" s="120">
        <v>0</v>
      </c>
      <c r="L610" s="121">
        <v>0</v>
      </c>
      <c r="M610" s="120">
        <v>0</v>
      </c>
      <c r="N610" s="121">
        <v>0</v>
      </c>
      <c r="O610" s="120">
        <v>0</v>
      </c>
      <c r="P610" s="121">
        <v>0</v>
      </c>
      <c r="Q610" s="120">
        <v>0</v>
      </c>
      <c r="R610" s="121">
        <v>0</v>
      </c>
      <c r="S610" s="120">
        <v>0</v>
      </c>
      <c r="T610" s="121">
        <v>0</v>
      </c>
      <c r="U610" s="120">
        <v>0</v>
      </c>
      <c r="V610" s="121">
        <v>0</v>
      </c>
      <c r="W610" s="120">
        <v>0</v>
      </c>
      <c r="X610" s="121">
        <v>0</v>
      </c>
      <c r="Y610" s="120">
        <v>0</v>
      </c>
      <c r="Z610" s="121">
        <v>0</v>
      </c>
      <c r="AA610" s="120">
        <v>0</v>
      </c>
      <c r="AB610" s="121">
        <v>0</v>
      </c>
      <c r="AC610" s="238">
        <f>SUM(E610:AB610)</f>
        <v>0</v>
      </c>
      <c r="AD610" s="238"/>
      <c r="AE610" s="238"/>
    </row>
    <row r="611" spans="2:31" x14ac:dyDescent="0.3">
      <c r="B611" s="245" t="s">
        <v>5</v>
      </c>
      <c r="C611" s="245"/>
      <c r="D611" s="245"/>
      <c r="E611" s="119">
        <v>0</v>
      </c>
      <c r="F611" s="122">
        <v>0</v>
      </c>
      <c r="G611" s="119">
        <v>0</v>
      </c>
      <c r="H611" s="122">
        <v>0</v>
      </c>
      <c r="I611" s="119">
        <v>0</v>
      </c>
      <c r="J611" s="122">
        <v>0</v>
      </c>
      <c r="K611" s="119">
        <v>0</v>
      </c>
      <c r="L611" s="122">
        <v>0</v>
      </c>
      <c r="M611" s="119">
        <v>0</v>
      </c>
      <c r="N611" s="122">
        <v>0</v>
      </c>
      <c r="O611" s="119">
        <v>0</v>
      </c>
      <c r="P611" s="122">
        <v>0</v>
      </c>
      <c r="Q611" s="119">
        <v>0</v>
      </c>
      <c r="R611" s="122">
        <v>8.5248333333333353</v>
      </c>
      <c r="S611" s="119">
        <v>30.67966666666667</v>
      </c>
      <c r="T611" s="122">
        <v>35.655666666666669</v>
      </c>
      <c r="U611" s="119">
        <v>43.164666666666676</v>
      </c>
      <c r="V611" s="122">
        <v>48.63799999999997</v>
      </c>
      <c r="W611" s="119">
        <v>43.666333333333334</v>
      </c>
      <c r="X611" s="122">
        <v>0</v>
      </c>
      <c r="Y611" s="119">
        <v>0</v>
      </c>
      <c r="Z611" s="122">
        <v>0</v>
      </c>
      <c r="AA611" s="119">
        <v>0</v>
      </c>
      <c r="AB611" s="122">
        <v>0</v>
      </c>
      <c r="AC611" s="238">
        <f t="shared" ref="AC611:AC646" si="315">SUM(E611:AB611)</f>
        <v>210.32916666666665</v>
      </c>
      <c r="AD611" s="238"/>
      <c r="AE611" s="238"/>
    </row>
    <row r="612" spans="2:31" x14ac:dyDescent="0.3">
      <c r="B612" s="245" t="s">
        <v>6</v>
      </c>
      <c r="C612" s="245"/>
      <c r="D612" s="245"/>
      <c r="E612" s="119">
        <v>0</v>
      </c>
      <c r="F612" s="122">
        <v>0</v>
      </c>
      <c r="G612" s="119">
        <v>0</v>
      </c>
      <c r="H612" s="122">
        <v>0</v>
      </c>
      <c r="I612" s="119">
        <v>0</v>
      </c>
      <c r="J612" s="122">
        <v>0</v>
      </c>
      <c r="K612" s="119">
        <v>0</v>
      </c>
      <c r="L612" s="122">
        <v>0</v>
      </c>
      <c r="M612" s="119">
        <v>0</v>
      </c>
      <c r="N612" s="122">
        <v>0</v>
      </c>
      <c r="O612" s="119">
        <v>0</v>
      </c>
      <c r="P612" s="122">
        <v>0</v>
      </c>
      <c r="Q612" s="119">
        <v>0.12566666666666676</v>
      </c>
      <c r="R612" s="122">
        <v>0</v>
      </c>
      <c r="S612" s="119">
        <v>0</v>
      </c>
      <c r="T612" s="122">
        <v>13.703833333333337</v>
      </c>
      <c r="U612" s="119">
        <v>0</v>
      </c>
      <c r="V612" s="122">
        <v>28.142166666666682</v>
      </c>
      <c r="W612" s="119">
        <v>24.004333333333317</v>
      </c>
      <c r="X612" s="122">
        <v>4.5198333333333327</v>
      </c>
      <c r="Y612" s="119">
        <v>0</v>
      </c>
      <c r="Z612" s="122">
        <v>0</v>
      </c>
      <c r="AA612" s="119">
        <v>0</v>
      </c>
      <c r="AB612" s="122">
        <v>0</v>
      </c>
      <c r="AC612" s="238">
        <f t="shared" si="315"/>
        <v>70.495833333333337</v>
      </c>
      <c r="AD612" s="238"/>
      <c r="AE612" s="238"/>
    </row>
    <row r="613" spans="2:31" x14ac:dyDescent="0.3">
      <c r="B613" s="245" t="s">
        <v>91</v>
      </c>
      <c r="C613" s="245"/>
      <c r="D613" s="245"/>
      <c r="E613" s="119">
        <v>0</v>
      </c>
      <c r="F613" s="122">
        <v>0</v>
      </c>
      <c r="G613" s="119">
        <v>0</v>
      </c>
      <c r="H613" s="122">
        <v>0</v>
      </c>
      <c r="I613" s="119">
        <v>0</v>
      </c>
      <c r="J613" s="122">
        <v>0</v>
      </c>
      <c r="K613" s="119">
        <v>0</v>
      </c>
      <c r="L613" s="122">
        <v>0</v>
      </c>
      <c r="M613" s="119">
        <v>0</v>
      </c>
      <c r="N613" s="122">
        <v>0</v>
      </c>
      <c r="O613" s="119">
        <v>0</v>
      </c>
      <c r="P613" s="122">
        <v>0</v>
      </c>
      <c r="Q613" s="119">
        <v>0</v>
      </c>
      <c r="R613" s="122">
        <v>0</v>
      </c>
      <c r="S613" s="119">
        <v>0</v>
      </c>
      <c r="T613" s="122">
        <v>0</v>
      </c>
      <c r="U613" s="119">
        <v>0</v>
      </c>
      <c r="V613" s="122">
        <v>0</v>
      </c>
      <c r="W613" s="119">
        <v>0</v>
      </c>
      <c r="X613" s="122">
        <v>0</v>
      </c>
      <c r="Y613" s="119">
        <v>0</v>
      </c>
      <c r="Z613" s="122">
        <v>0</v>
      </c>
      <c r="AA613" s="119">
        <v>0</v>
      </c>
      <c r="AB613" s="122">
        <v>0</v>
      </c>
      <c r="AC613" s="238">
        <f t="shared" si="315"/>
        <v>0</v>
      </c>
      <c r="AD613" s="238"/>
      <c r="AE613" s="238"/>
    </row>
    <row r="614" spans="2:31" x14ac:dyDescent="0.3">
      <c r="B614" s="245" t="s">
        <v>7</v>
      </c>
      <c r="C614" s="245"/>
      <c r="D614" s="245"/>
      <c r="E614" s="119">
        <v>0</v>
      </c>
      <c r="F614" s="122">
        <v>0</v>
      </c>
      <c r="G614" s="119">
        <v>0</v>
      </c>
      <c r="H614" s="122">
        <v>0</v>
      </c>
      <c r="I614" s="119">
        <v>0</v>
      </c>
      <c r="J614" s="122">
        <v>0</v>
      </c>
      <c r="K614" s="119">
        <v>0</v>
      </c>
      <c r="L614" s="122">
        <v>0</v>
      </c>
      <c r="M614" s="119">
        <v>0</v>
      </c>
      <c r="N614" s="122">
        <v>0</v>
      </c>
      <c r="O614" s="119">
        <v>0</v>
      </c>
      <c r="P614" s="122">
        <v>0</v>
      </c>
      <c r="Q614" s="119">
        <v>4.3301666666666669</v>
      </c>
      <c r="R614" s="122">
        <v>0</v>
      </c>
      <c r="S614" s="119">
        <v>0</v>
      </c>
      <c r="T614" s="122">
        <v>0</v>
      </c>
      <c r="U614" s="119">
        <v>0</v>
      </c>
      <c r="V614" s="122">
        <v>0</v>
      </c>
      <c r="W614" s="119">
        <v>27.284499999999994</v>
      </c>
      <c r="X614" s="122">
        <v>25.601166666666668</v>
      </c>
      <c r="Y614" s="119">
        <v>0</v>
      </c>
      <c r="Z614" s="122">
        <v>0</v>
      </c>
      <c r="AA614" s="119">
        <v>0</v>
      </c>
      <c r="AB614" s="122">
        <v>0</v>
      </c>
      <c r="AC614" s="238">
        <f t="shared" si="315"/>
        <v>57.215833333333329</v>
      </c>
      <c r="AD614" s="238"/>
      <c r="AE614" s="238"/>
    </row>
    <row r="615" spans="2:31" x14ac:dyDescent="0.3">
      <c r="B615" s="245" t="s">
        <v>8</v>
      </c>
      <c r="C615" s="245"/>
      <c r="D615" s="245"/>
      <c r="E615" s="119">
        <v>0</v>
      </c>
      <c r="F615" s="122">
        <v>0</v>
      </c>
      <c r="G615" s="119">
        <v>0</v>
      </c>
      <c r="H615" s="122">
        <v>0</v>
      </c>
      <c r="I615" s="119">
        <v>0</v>
      </c>
      <c r="J615" s="122">
        <v>0</v>
      </c>
      <c r="K615" s="119">
        <v>0</v>
      </c>
      <c r="L615" s="122">
        <v>0</v>
      </c>
      <c r="M615" s="119">
        <v>0</v>
      </c>
      <c r="N615" s="122">
        <v>0</v>
      </c>
      <c r="O615" s="119">
        <v>0</v>
      </c>
      <c r="P615" s="122">
        <v>0</v>
      </c>
      <c r="Q615" s="119">
        <v>0</v>
      </c>
      <c r="R615" s="122">
        <v>0</v>
      </c>
      <c r="S615" s="119">
        <v>0.28233333333333344</v>
      </c>
      <c r="T615" s="122">
        <v>2.4813333333333323</v>
      </c>
      <c r="U615" s="119">
        <v>5.2273333333333287</v>
      </c>
      <c r="V615" s="122">
        <v>3.5818333333333339</v>
      </c>
      <c r="W615" s="119">
        <v>0</v>
      </c>
      <c r="X615" s="122">
        <v>0</v>
      </c>
      <c r="Y615" s="119">
        <v>0</v>
      </c>
      <c r="Z615" s="122">
        <v>0</v>
      </c>
      <c r="AA615" s="119">
        <v>0</v>
      </c>
      <c r="AB615" s="122">
        <v>0</v>
      </c>
      <c r="AC615" s="238">
        <f t="shared" si="315"/>
        <v>11.572833333333328</v>
      </c>
      <c r="AD615" s="238"/>
      <c r="AE615" s="238"/>
    </row>
    <row r="616" spans="2:31" x14ac:dyDescent="0.3">
      <c r="B616" s="245" t="s">
        <v>9</v>
      </c>
      <c r="C616" s="245"/>
      <c r="D616" s="245"/>
      <c r="E616" s="119">
        <v>0</v>
      </c>
      <c r="F616" s="122">
        <v>0</v>
      </c>
      <c r="G616" s="119">
        <v>0</v>
      </c>
      <c r="H616" s="122">
        <v>0</v>
      </c>
      <c r="I616" s="119">
        <v>0</v>
      </c>
      <c r="J616" s="122">
        <v>0</v>
      </c>
      <c r="K616" s="119">
        <v>0</v>
      </c>
      <c r="L616" s="122">
        <v>0</v>
      </c>
      <c r="M616" s="119">
        <v>0</v>
      </c>
      <c r="N616" s="122">
        <v>0</v>
      </c>
      <c r="O616" s="119">
        <v>0</v>
      </c>
      <c r="P616" s="122">
        <v>0</v>
      </c>
      <c r="Q616" s="119">
        <v>0</v>
      </c>
      <c r="R616" s="122">
        <v>0</v>
      </c>
      <c r="S616" s="119">
        <v>0</v>
      </c>
      <c r="T616" s="122">
        <v>0</v>
      </c>
      <c r="U616" s="119">
        <v>0</v>
      </c>
      <c r="V616" s="122">
        <v>0</v>
      </c>
      <c r="W616" s="119">
        <v>0</v>
      </c>
      <c r="X616" s="122">
        <v>0</v>
      </c>
      <c r="Y616" s="119">
        <v>0</v>
      </c>
      <c r="Z616" s="122">
        <v>0</v>
      </c>
      <c r="AA616" s="119">
        <v>0</v>
      </c>
      <c r="AB616" s="122">
        <v>0</v>
      </c>
      <c r="AC616" s="238">
        <f t="shared" si="315"/>
        <v>0</v>
      </c>
      <c r="AD616" s="238"/>
      <c r="AE616" s="238"/>
    </row>
    <row r="617" spans="2:31" x14ac:dyDescent="0.3">
      <c r="B617" s="245" t="s">
        <v>10</v>
      </c>
      <c r="C617" s="245"/>
      <c r="D617" s="245"/>
      <c r="E617" s="119">
        <v>0</v>
      </c>
      <c r="F617" s="122">
        <v>0</v>
      </c>
      <c r="G617" s="119">
        <v>0</v>
      </c>
      <c r="H617" s="122">
        <v>0</v>
      </c>
      <c r="I617" s="119">
        <v>0</v>
      </c>
      <c r="J617" s="122">
        <v>0</v>
      </c>
      <c r="K617" s="119">
        <v>0</v>
      </c>
      <c r="L617" s="122">
        <v>0</v>
      </c>
      <c r="M617" s="119">
        <v>0</v>
      </c>
      <c r="N617" s="122">
        <v>0</v>
      </c>
      <c r="O617" s="119">
        <v>0</v>
      </c>
      <c r="P617" s="122">
        <v>0</v>
      </c>
      <c r="Q617" s="119">
        <v>0</v>
      </c>
      <c r="R617" s="122">
        <v>0</v>
      </c>
      <c r="S617" s="119">
        <v>0</v>
      </c>
      <c r="T617" s="122">
        <v>0.26633333333333176</v>
      </c>
      <c r="U617" s="119">
        <v>11.967833333333338</v>
      </c>
      <c r="V617" s="122">
        <v>25.447500000000002</v>
      </c>
      <c r="W617" s="119">
        <v>27.45333333333333</v>
      </c>
      <c r="X617" s="122">
        <v>0</v>
      </c>
      <c r="Y617" s="119">
        <v>0</v>
      </c>
      <c r="Z617" s="122">
        <v>0</v>
      </c>
      <c r="AA617" s="119">
        <v>0</v>
      </c>
      <c r="AB617" s="122">
        <v>0</v>
      </c>
      <c r="AC617" s="238">
        <f t="shared" si="315"/>
        <v>65.135000000000005</v>
      </c>
      <c r="AD617" s="238"/>
      <c r="AE617" s="238"/>
    </row>
    <row r="618" spans="2:31" x14ac:dyDescent="0.3">
      <c r="B618" s="245" t="s">
        <v>11</v>
      </c>
      <c r="C618" s="245"/>
      <c r="D618" s="245"/>
      <c r="E618" s="119">
        <v>0</v>
      </c>
      <c r="F618" s="122">
        <v>0</v>
      </c>
      <c r="G618" s="119">
        <v>0</v>
      </c>
      <c r="H618" s="122">
        <v>0</v>
      </c>
      <c r="I618" s="119">
        <v>0</v>
      </c>
      <c r="J618" s="122">
        <v>0</v>
      </c>
      <c r="K618" s="119">
        <v>0</v>
      </c>
      <c r="L618" s="122">
        <v>0</v>
      </c>
      <c r="M618" s="119">
        <v>0</v>
      </c>
      <c r="N618" s="122">
        <v>0</v>
      </c>
      <c r="O618" s="119">
        <v>0</v>
      </c>
      <c r="P618" s="122">
        <v>0</v>
      </c>
      <c r="Q618" s="119">
        <v>0</v>
      </c>
      <c r="R618" s="122">
        <v>0</v>
      </c>
      <c r="S618" s="119">
        <v>5.1291666666666655</v>
      </c>
      <c r="T618" s="122">
        <v>16.793000000000006</v>
      </c>
      <c r="U618" s="119">
        <v>29.780166666666656</v>
      </c>
      <c r="V618" s="122">
        <v>45.593666666666728</v>
      </c>
      <c r="W618" s="119">
        <v>42.951166666666644</v>
      </c>
      <c r="X618" s="122">
        <v>0</v>
      </c>
      <c r="Y618" s="119">
        <v>0</v>
      </c>
      <c r="Z618" s="122">
        <v>0</v>
      </c>
      <c r="AA618" s="119">
        <v>0</v>
      </c>
      <c r="AB618" s="122">
        <v>0</v>
      </c>
      <c r="AC618" s="238">
        <f t="shared" si="315"/>
        <v>140.24716666666669</v>
      </c>
      <c r="AD618" s="238"/>
      <c r="AE618" s="238"/>
    </row>
    <row r="619" spans="2:31" x14ac:dyDescent="0.3">
      <c r="B619" s="245" t="s">
        <v>12</v>
      </c>
      <c r="C619" s="245"/>
      <c r="D619" s="245"/>
      <c r="E619" s="119">
        <v>0</v>
      </c>
      <c r="F619" s="122">
        <v>0</v>
      </c>
      <c r="G619" s="119">
        <v>0</v>
      </c>
      <c r="H619" s="122">
        <v>0</v>
      </c>
      <c r="I619" s="119">
        <v>0</v>
      </c>
      <c r="J619" s="122">
        <v>0</v>
      </c>
      <c r="K619" s="119">
        <v>0</v>
      </c>
      <c r="L619" s="122">
        <v>0</v>
      </c>
      <c r="M619" s="119">
        <v>0</v>
      </c>
      <c r="N619" s="122">
        <v>0</v>
      </c>
      <c r="O619" s="119">
        <v>0</v>
      </c>
      <c r="P619" s="122">
        <v>0</v>
      </c>
      <c r="Q619" s="119">
        <v>0</v>
      </c>
      <c r="R619" s="122">
        <v>3.5504999999999978</v>
      </c>
      <c r="S619" s="119">
        <v>13.850833333333334</v>
      </c>
      <c r="T619" s="122">
        <v>28.376666666666669</v>
      </c>
      <c r="U619" s="119">
        <v>47.365000000000016</v>
      </c>
      <c r="V619" s="122">
        <v>69.149333333333331</v>
      </c>
      <c r="W619" s="119">
        <v>71.03600000000003</v>
      </c>
      <c r="X619" s="122">
        <v>0</v>
      </c>
      <c r="Y619" s="119">
        <v>0</v>
      </c>
      <c r="Z619" s="122">
        <v>0</v>
      </c>
      <c r="AA619" s="119">
        <v>0</v>
      </c>
      <c r="AB619" s="122">
        <v>0</v>
      </c>
      <c r="AC619" s="238">
        <f t="shared" si="315"/>
        <v>233.3283333333334</v>
      </c>
      <c r="AD619" s="238"/>
      <c r="AE619" s="238"/>
    </row>
    <row r="620" spans="2:31" x14ac:dyDescent="0.3">
      <c r="B620" s="245" t="s">
        <v>13</v>
      </c>
      <c r="C620" s="245"/>
      <c r="D620" s="245"/>
      <c r="E620" s="119">
        <v>0</v>
      </c>
      <c r="F620" s="122">
        <v>0</v>
      </c>
      <c r="G620" s="119">
        <v>0</v>
      </c>
      <c r="H620" s="122">
        <v>0</v>
      </c>
      <c r="I620" s="119">
        <v>0</v>
      </c>
      <c r="J620" s="122">
        <v>0</v>
      </c>
      <c r="K620" s="119">
        <v>0</v>
      </c>
      <c r="L620" s="122">
        <v>0</v>
      </c>
      <c r="M620" s="119">
        <v>0</v>
      </c>
      <c r="N620" s="122">
        <v>0</v>
      </c>
      <c r="O620" s="119">
        <v>0</v>
      </c>
      <c r="P620" s="122">
        <v>0</v>
      </c>
      <c r="Q620" s="119">
        <v>0</v>
      </c>
      <c r="R620" s="122">
        <v>0</v>
      </c>
      <c r="S620" s="119">
        <v>0</v>
      </c>
      <c r="T620" s="122">
        <v>4.9828333333333354</v>
      </c>
      <c r="U620" s="119">
        <v>21.575999999999997</v>
      </c>
      <c r="V620" s="122">
        <v>41.215333333333348</v>
      </c>
      <c r="W620" s="119">
        <v>32.04766666666665</v>
      </c>
      <c r="X620" s="122">
        <v>0</v>
      </c>
      <c r="Y620" s="119">
        <v>0</v>
      </c>
      <c r="Z620" s="122">
        <v>0</v>
      </c>
      <c r="AA620" s="119">
        <v>0</v>
      </c>
      <c r="AB620" s="122">
        <v>0</v>
      </c>
      <c r="AC620" s="238">
        <f t="shared" si="315"/>
        <v>99.821833333333331</v>
      </c>
      <c r="AD620" s="238"/>
      <c r="AE620" s="238"/>
    </row>
    <row r="621" spans="2:31" x14ac:dyDescent="0.3">
      <c r="B621" s="245" t="s">
        <v>14</v>
      </c>
      <c r="C621" s="245"/>
      <c r="D621" s="245"/>
      <c r="E621" s="119">
        <v>0</v>
      </c>
      <c r="F621" s="122">
        <v>0</v>
      </c>
      <c r="G621" s="119">
        <v>0</v>
      </c>
      <c r="H621" s="122">
        <v>0</v>
      </c>
      <c r="I621" s="119">
        <v>0</v>
      </c>
      <c r="J621" s="122">
        <v>0</v>
      </c>
      <c r="K621" s="119">
        <v>0</v>
      </c>
      <c r="L621" s="122">
        <v>0</v>
      </c>
      <c r="M621" s="119">
        <v>0</v>
      </c>
      <c r="N621" s="122">
        <v>0</v>
      </c>
      <c r="O621" s="119">
        <v>0</v>
      </c>
      <c r="P621" s="122">
        <v>0</v>
      </c>
      <c r="Q621" s="119">
        <v>9.166666666666666E-2</v>
      </c>
      <c r="R621" s="122">
        <v>1.5499999999999983</v>
      </c>
      <c r="S621" s="119">
        <v>1.75</v>
      </c>
      <c r="T621" s="122">
        <v>1.75</v>
      </c>
      <c r="U621" s="119">
        <v>2.049999999999998</v>
      </c>
      <c r="V621" s="122">
        <v>1.75</v>
      </c>
      <c r="W621" s="119">
        <v>1.575</v>
      </c>
      <c r="X621" s="122">
        <v>0</v>
      </c>
      <c r="Y621" s="119">
        <v>0</v>
      </c>
      <c r="Z621" s="122">
        <v>0</v>
      </c>
      <c r="AA621" s="119">
        <v>0</v>
      </c>
      <c r="AB621" s="122">
        <v>0</v>
      </c>
      <c r="AC621" s="238">
        <f t="shared" si="315"/>
        <v>10.516666666666662</v>
      </c>
      <c r="AD621" s="238"/>
      <c r="AE621" s="238"/>
    </row>
    <row r="622" spans="2:31" x14ac:dyDescent="0.3">
      <c r="B622" s="245" t="s">
        <v>15</v>
      </c>
      <c r="C622" s="245"/>
      <c r="D622" s="245"/>
      <c r="E622" s="119">
        <v>0</v>
      </c>
      <c r="F622" s="122">
        <v>0</v>
      </c>
      <c r="G622" s="119">
        <v>0</v>
      </c>
      <c r="H622" s="122">
        <v>0</v>
      </c>
      <c r="I622" s="119">
        <v>0</v>
      </c>
      <c r="J622" s="122">
        <v>0</v>
      </c>
      <c r="K622" s="119">
        <v>0</v>
      </c>
      <c r="L622" s="122">
        <v>0</v>
      </c>
      <c r="M622" s="119">
        <v>0</v>
      </c>
      <c r="N622" s="122">
        <v>0</v>
      </c>
      <c r="O622" s="119">
        <v>0</v>
      </c>
      <c r="P622" s="122">
        <v>0</v>
      </c>
      <c r="Q622" s="119">
        <v>0</v>
      </c>
      <c r="R622" s="122">
        <v>10.342000000000001</v>
      </c>
      <c r="S622" s="119">
        <v>17.617333333333331</v>
      </c>
      <c r="T622" s="122">
        <v>21.925499999999992</v>
      </c>
      <c r="U622" s="119">
        <v>28.403000000000013</v>
      </c>
      <c r="V622" s="122">
        <v>33.444499999999991</v>
      </c>
      <c r="W622" s="119">
        <v>26.086833333333338</v>
      </c>
      <c r="X622" s="122">
        <v>0</v>
      </c>
      <c r="Y622" s="119">
        <v>0</v>
      </c>
      <c r="Z622" s="122">
        <v>0</v>
      </c>
      <c r="AA622" s="119">
        <v>0</v>
      </c>
      <c r="AB622" s="122">
        <v>0</v>
      </c>
      <c r="AC622" s="238">
        <f t="shared" si="315"/>
        <v>137.81916666666666</v>
      </c>
      <c r="AD622" s="238"/>
      <c r="AE622" s="238"/>
    </row>
    <row r="623" spans="2:31" x14ac:dyDescent="0.3">
      <c r="B623" s="245" t="s">
        <v>16</v>
      </c>
      <c r="C623" s="245"/>
      <c r="D623" s="245"/>
      <c r="E623" s="119">
        <v>0</v>
      </c>
      <c r="F623" s="122">
        <v>0</v>
      </c>
      <c r="G623" s="119">
        <v>0</v>
      </c>
      <c r="H623" s="122">
        <v>0</v>
      </c>
      <c r="I623" s="119">
        <v>0</v>
      </c>
      <c r="J623" s="122">
        <v>0</v>
      </c>
      <c r="K623" s="119">
        <v>0</v>
      </c>
      <c r="L623" s="122">
        <v>0</v>
      </c>
      <c r="M623" s="119">
        <v>0</v>
      </c>
      <c r="N623" s="122">
        <v>0</v>
      </c>
      <c r="O623" s="119">
        <v>0</v>
      </c>
      <c r="P623" s="122">
        <v>0</v>
      </c>
      <c r="Q623" s="119">
        <v>0</v>
      </c>
      <c r="R623" s="122">
        <v>0</v>
      </c>
      <c r="S623" s="119">
        <v>0</v>
      </c>
      <c r="T623" s="122">
        <v>0</v>
      </c>
      <c r="U623" s="119">
        <v>0</v>
      </c>
      <c r="V623" s="122">
        <v>1.8899999999999997</v>
      </c>
      <c r="W623" s="119">
        <v>2.8249999999999988</v>
      </c>
      <c r="X623" s="122">
        <v>0</v>
      </c>
      <c r="Y623" s="119">
        <v>0</v>
      </c>
      <c r="Z623" s="122">
        <v>0</v>
      </c>
      <c r="AA623" s="119">
        <v>0</v>
      </c>
      <c r="AB623" s="122">
        <v>0</v>
      </c>
      <c r="AC623" s="238">
        <f t="shared" si="315"/>
        <v>4.7149999999999981</v>
      </c>
      <c r="AD623" s="238"/>
      <c r="AE623" s="238"/>
    </row>
    <row r="624" spans="2:31" x14ac:dyDescent="0.3">
      <c r="B624" s="245" t="s">
        <v>17</v>
      </c>
      <c r="C624" s="245"/>
      <c r="D624" s="245"/>
      <c r="E624" s="119">
        <v>0</v>
      </c>
      <c r="F624" s="122">
        <v>0</v>
      </c>
      <c r="G624" s="119">
        <v>0</v>
      </c>
      <c r="H624" s="122">
        <v>0</v>
      </c>
      <c r="I624" s="119">
        <v>0</v>
      </c>
      <c r="J624" s="122">
        <v>0</v>
      </c>
      <c r="K624" s="119">
        <v>0</v>
      </c>
      <c r="L624" s="122">
        <v>0</v>
      </c>
      <c r="M624" s="119">
        <v>0</v>
      </c>
      <c r="N624" s="122">
        <v>0</v>
      </c>
      <c r="O624" s="119">
        <v>0</v>
      </c>
      <c r="P624" s="122">
        <v>0</v>
      </c>
      <c r="Q624" s="119">
        <v>0</v>
      </c>
      <c r="R624" s="122">
        <v>0</v>
      </c>
      <c r="S624" s="119">
        <v>0</v>
      </c>
      <c r="T624" s="122">
        <v>7.3319999999999981</v>
      </c>
      <c r="U624" s="119">
        <v>14.511166666666673</v>
      </c>
      <c r="V624" s="122">
        <v>19.246166666666664</v>
      </c>
      <c r="W624" s="119">
        <v>17.128499999999999</v>
      </c>
      <c r="X624" s="122">
        <v>0</v>
      </c>
      <c r="Y624" s="119">
        <v>0</v>
      </c>
      <c r="Z624" s="122">
        <v>0</v>
      </c>
      <c r="AA624" s="119">
        <v>0</v>
      </c>
      <c r="AB624" s="122">
        <v>0</v>
      </c>
      <c r="AC624" s="238">
        <f t="shared" si="315"/>
        <v>58.217833333333331</v>
      </c>
      <c r="AD624" s="238"/>
      <c r="AE624" s="238"/>
    </row>
    <row r="625" spans="2:31" x14ac:dyDescent="0.3">
      <c r="B625" s="245" t="s">
        <v>18</v>
      </c>
      <c r="C625" s="245"/>
      <c r="D625" s="245"/>
      <c r="E625" s="119">
        <v>0</v>
      </c>
      <c r="F625" s="122">
        <v>0</v>
      </c>
      <c r="G625" s="119">
        <v>0</v>
      </c>
      <c r="H625" s="122">
        <v>0</v>
      </c>
      <c r="I625" s="119">
        <v>0</v>
      </c>
      <c r="J625" s="122">
        <v>0</v>
      </c>
      <c r="K625" s="119">
        <v>0</v>
      </c>
      <c r="L625" s="122">
        <v>0</v>
      </c>
      <c r="M625" s="119">
        <v>0</v>
      </c>
      <c r="N625" s="122">
        <v>0</v>
      </c>
      <c r="O625" s="119">
        <v>0</v>
      </c>
      <c r="P625" s="122">
        <v>0</v>
      </c>
      <c r="Q625" s="119">
        <v>0</v>
      </c>
      <c r="R625" s="122">
        <v>0</v>
      </c>
      <c r="S625" s="119">
        <v>0</v>
      </c>
      <c r="T625" s="122">
        <v>0</v>
      </c>
      <c r="U625" s="119">
        <v>0</v>
      </c>
      <c r="V625" s="122">
        <v>0</v>
      </c>
      <c r="W625" s="119">
        <v>0</v>
      </c>
      <c r="X625" s="122">
        <v>0</v>
      </c>
      <c r="Y625" s="119">
        <v>0</v>
      </c>
      <c r="Z625" s="122">
        <v>0</v>
      </c>
      <c r="AA625" s="119">
        <v>0</v>
      </c>
      <c r="AB625" s="122">
        <v>0</v>
      </c>
      <c r="AC625" s="238">
        <f t="shared" si="315"/>
        <v>0</v>
      </c>
      <c r="AD625" s="238"/>
      <c r="AE625" s="238"/>
    </row>
    <row r="626" spans="2:31" x14ac:dyDescent="0.3">
      <c r="B626" s="245" t="s">
        <v>19</v>
      </c>
      <c r="C626" s="245"/>
      <c r="D626" s="245"/>
      <c r="E626" s="119">
        <v>0</v>
      </c>
      <c r="F626" s="122">
        <v>0</v>
      </c>
      <c r="G626" s="119">
        <v>0</v>
      </c>
      <c r="H626" s="122">
        <v>0</v>
      </c>
      <c r="I626" s="119">
        <v>0</v>
      </c>
      <c r="J626" s="122">
        <v>0</v>
      </c>
      <c r="K626" s="119">
        <v>0</v>
      </c>
      <c r="L626" s="122">
        <v>0</v>
      </c>
      <c r="M626" s="119">
        <v>0</v>
      </c>
      <c r="N626" s="122">
        <v>0</v>
      </c>
      <c r="O626" s="119">
        <v>0</v>
      </c>
      <c r="P626" s="122">
        <v>0</v>
      </c>
      <c r="Q626" s="119">
        <v>0</v>
      </c>
      <c r="R626" s="122">
        <v>0</v>
      </c>
      <c r="S626" s="119">
        <v>0</v>
      </c>
      <c r="T626" s="122">
        <v>0.26349999999999968</v>
      </c>
      <c r="U626" s="119">
        <v>6.4815000000000014</v>
      </c>
      <c r="V626" s="122">
        <v>12.160666666666673</v>
      </c>
      <c r="W626" s="119">
        <v>6.3358333333333325</v>
      </c>
      <c r="X626" s="122">
        <v>0</v>
      </c>
      <c r="Y626" s="119">
        <v>0</v>
      </c>
      <c r="Z626" s="122">
        <v>0</v>
      </c>
      <c r="AA626" s="119">
        <v>0</v>
      </c>
      <c r="AB626" s="122">
        <v>0</v>
      </c>
      <c r="AC626" s="238">
        <f t="shared" si="315"/>
        <v>25.241500000000009</v>
      </c>
      <c r="AD626" s="238"/>
      <c r="AE626" s="238"/>
    </row>
    <row r="627" spans="2:31" x14ac:dyDescent="0.3">
      <c r="B627" s="245" t="s">
        <v>20</v>
      </c>
      <c r="C627" s="245"/>
      <c r="D627" s="245"/>
      <c r="E627" s="119">
        <v>0</v>
      </c>
      <c r="F627" s="122">
        <v>0</v>
      </c>
      <c r="G627" s="119">
        <v>0</v>
      </c>
      <c r="H627" s="122">
        <v>0</v>
      </c>
      <c r="I627" s="119">
        <v>0</v>
      </c>
      <c r="J627" s="122">
        <v>0</v>
      </c>
      <c r="K627" s="119">
        <v>0</v>
      </c>
      <c r="L627" s="122">
        <v>0</v>
      </c>
      <c r="M627" s="119">
        <v>0</v>
      </c>
      <c r="N627" s="122">
        <v>0</v>
      </c>
      <c r="O627" s="119">
        <v>0</v>
      </c>
      <c r="P627" s="122">
        <v>0</v>
      </c>
      <c r="Q627" s="119">
        <v>0</v>
      </c>
      <c r="R627" s="122">
        <v>0</v>
      </c>
      <c r="S627" s="119">
        <v>0</v>
      </c>
      <c r="T627" s="122">
        <v>0</v>
      </c>
      <c r="U627" s="119">
        <v>0.96000000000000085</v>
      </c>
      <c r="V627" s="122">
        <v>2.8600000000000034</v>
      </c>
      <c r="W627" s="119">
        <v>4.3740000000000059</v>
      </c>
      <c r="X627" s="122">
        <v>0</v>
      </c>
      <c r="Y627" s="119">
        <v>0</v>
      </c>
      <c r="Z627" s="122">
        <v>0</v>
      </c>
      <c r="AA627" s="119">
        <v>0</v>
      </c>
      <c r="AB627" s="122">
        <v>0</v>
      </c>
      <c r="AC627" s="238">
        <f t="shared" si="315"/>
        <v>8.1940000000000097</v>
      </c>
      <c r="AD627" s="238"/>
      <c r="AE627" s="238"/>
    </row>
    <row r="628" spans="2:31" x14ac:dyDescent="0.3">
      <c r="B628" s="245" t="s">
        <v>21</v>
      </c>
      <c r="C628" s="245"/>
      <c r="D628" s="245"/>
      <c r="E628" s="119">
        <v>0</v>
      </c>
      <c r="F628" s="122">
        <v>0</v>
      </c>
      <c r="G628" s="119">
        <v>0</v>
      </c>
      <c r="H628" s="122">
        <v>0</v>
      </c>
      <c r="I628" s="119">
        <v>0</v>
      </c>
      <c r="J628" s="122">
        <v>0</v>
      </c>
      <c r="K628" s="119">
        <v>0</v>
      </c>
      <c r="L628" s="122">
        <v>0</v>
      </c>
      <c r="M628" s="119">
        <v>0</v>
      </c>
      <c r="N628" s="122">
        <v>0</v>
      </c>
      <c r="O628" s="119">
        <v>0</v>
      </c>
      <c r="P628" s="122">
        <v>0</v>
      </c>
      <c r="Q628" s="119">
        <v>0</v>
      </c>
      <c r="R628" s="122">
        <v>0</v>
      </c>
      <c r="S628" s="119">
        <v>0.79699999999999982</v>
      </c>
      <c r="T628" s="122">
        <v>2.9891666666666685</v>
      </c>
      <c r="U628" s="119">
        <v>5.6443333333333321</v>
      </c>
      <c r="V628" s="122">
        <v>7.3529999999999998</v>
      </c>
      <c r="W628" s="119">
        <v>4.8125000000000018</v>
      </c>
      <c r="X628" s="122">
        <v>0</v>
      </c>
      <c r="Y628" s="119">
        <v>0</v>
      </c>
      <c r="Z628" s="122">
        <v>0</v>
      </c>
      <c r="AA628" s="119">
        <v>0</v>
      </c>
      <c r="AB628" s="122">
        <v>0</v>
      </c>
      <c r="AC628" s="238">
        <f t="shared" si="315"/>
        <v>21.596000000000004</v>
      </c>
      <c r="AD628" s="238"/>
      <c r="AE628" s="238"/>
    </row>
    <row r="629" spans="2:31" x14ac:dyDescent="0.3">
      <c r="B629" s="245" t="s">
        <v>22</v>
      </c>
      <c r="C629" s="245"/>
      <c r="D629" s="245"/>
      <c r="E629" s="119">
        <v>0</v>
      </c>
      <c r="F629" s="122">
        <v>0</v>
      </c>
      <c r="G629" s="119">
        <v>0</v>
      </c>
      <c r="H629" s="122">
        <v>0</v>
      </c>
      <c r="I629" s="119">
        <v>0</v>
      </c>
      <c r="J629" s="122">
        <v>0</v>
      </c>
      <c r="K629" s="119">
        <v>0</v>
      </c>
      <c r="L629" s="122">
        <v>0</v>
      </c>
      <c r="M629" s="119">
        <v>0</v>
      </c>
      <c r="N629" s="122">
        <v>0</v>
      </c>
      <c r="O629" s="119">
        <v>0</v>
      </c>
      <c r="P629" s="122">
        <v>0</v>
      </c>
      <c r="Q629" s="119">
        <v>0</v>
      </c>
      <c r="R629" s="122">
        <v>0</v>
      </c>
      <c r="S629" s="119">
        <v>5.0000000000000413E-4</v>
      </c>
      <c r="T629" s="122">
        <v>0.46166666666666689</v>
      </c>
      <c r="U629" s="119">
        <v>1.5998333333333332</v>
      </c>
      <c r="V629" s="122">
        <v>0.99749999999999994</v>
      </c>
      <c r="W629" s="119">
        <v>1.5803333333333329</v>
      </c>
      <c r="X629" s="122">
        <v>0</v>
      </c>
      <c r="Y629" s="119">
        <v>0</v>
      </c>
      <c r="Z629" s="122">
        <v>0</v>
      </c>
      <c r="AA629" s="119">
        <v>0</v>
      </c>
      <c r="AB629" s="122">
        <v>0</v>
      </c>
      <c r="AC629" s="238">
        <f t="shared" si="315"/>
        <v>4.6398333333333337</v>
      </c>
      <c r="AD629" s="238"/>
      <c r="AE629" s="238"/>
    </row>
    <row r="630" spans="2:31" x14ac:dyDescent="0.3">
      <c r="B630" s="245" t="s">
        <v>23</v>
      </c>
      <c r="C630" s="245"/>
      <c r="D630" s="245"/>
      <c r="E630" s="119">
        <v>0</v>
      </c>
      <c r="F630" s="122">
        <v>0</v>
      </c>
      <c r="G630" s="119">
        <v>0</v>
      </c>
      <c r="H630" s="122">
        <v>0</v>
      </c>
      <c r="I630" s="119">
        <v>0</v>
      </c>
      <c r="J630" s="122">
        <v>0</v>
      </c>
      <c r="K630" s="119">
        <v>0</v>
      </c>
      <c r="L630" s="122">
        <v>0</v>
      </c>
      <c r="M630" s="119">
        <v>0</v>
      </c>
      <c r="N630" s="122">
        <v>0</v>
      </c>
      <c r="O630" s="119">
        <v>0</v>
      </c>
      <c r="P630" s="122">
        <v>0</v>
      </c>
      <c r="Q630" s="119">
        <v>0.31150000000000022</v>
      </c>
      <c r="R630" s="122">
        <v>2.6655000000000011</v>
      </c>
      <c r="S630" s="119">
        <v>4.1464999999999979</v>
      </c>
      <c r="T630" s="122">
        <v>6.1569999999999974</v>
      </c>
      <c r="U630" s="119">
        <v>8.5601666666666656</v>
      </c>
      <c r="V630" s="122">
        <v>10.30433333333333</v>
      </c>
      <c r="W630" s="119">
        <v>9.9844999999999988</v>
      </c>
      <c r="X630" s="122">
        <v>0</v>
      </c>
      <c r="Y630" s="119">
        <v>0</v>
      </c>
      <c r="Z630" s="122">
        <v>0</v>
      </c>
      <c r="AA630" s="119">
        <v>0</v>
      </c>
      <c r="AB630" s="122">
        <v>0</v>
      </c>
      <c r="AC630" s="238">
        <f t="shared" si="315"/>
        <v>42.129499999999993</v>
      </c>
      <c r="AD630" s="238"/>
      <c r="AE630" s="238"/>
    </row>
    <row r="631" spans="2:31" x14ac:dyDescent="0.3">
      <c r="B631" s="245" t="s">
        <v>24</v>
      </c>
      <c r="C631" s="245"/>
      <c r="D631" s="245"/>
      <c r="E631" s="119">
        <v>0</v>
      </c>
      <c r="F631" s="122">
        <v>0</v>
      </c>
      <c r="G631" s="119">
        <v>0</v>
      </c>
      <c r="H631" s="122">
        <v>0</v>
      </c>
      <c r="I631" s="119">
        <v>0</v>
      </c>
      <c r="J631" s="122">
        <v>0</v>
      </c>
      <c r="K631" s="119">
        <v>0</v>
      </c>
      <c r="L631" s="122">
        <v>0</v>
      </c>
      <c r="M631" s="119">
        <v>0</v>
      </c>
      <c r="N631" s="122">
        <v>0</v>
      </c>
      <c r="O631" s="119">
        <v>0</v>
      </c>
      <c r="P631" s="122">
        <v>0</v>
      </c>
      <c r="Q631" s="119">
        <v>0</v>
      </c>
      <c r="R631" s="122">
        <v>0</v>
      </c>
      <c r="S631" s="119">
        <v>0</v>
      </c>
      <c r="T631" s="122">
        <v>0</v>
      </c>
      <c r="U631" s="119">
        <v>0</v>
      </c>
      <c r="V631" s="122">
        <v>0</v>
      </c>
      <c r="W631" s="119">
        <v>0.24066666666666681</v>
      </c>
      <c r="X631" s="122">
        <v>0</v>
      </c>
      <c r="Y631" s="119">
        <v>0</v>
      </c>
      <c r="Z631" s="122">
        <v>0</v>
      </c>
      <c r="AA631" s="119">
        <v>0</v>
      </c>
      <c r="AB631" s="122">
        <v>0</v>
      </c>
      <c r="AC631" s="238">
        <f t="shared" si="315"/>
        <v>0.24066666666666681</v>
      </c>
      <c r="AD631" s="238"/>
      <c r="AE631" s="238"/>
    </row>
    <row r="632" spans="2:31" x14ac:dyDescent="0.3">
      <c r="B632" s="245" t="s">
        <v>25</v>
      </c>
      <c r="C632" s="245"/>
      <c r="D632" s="245"/>
      <c r="E632" s="119">
        <v>0</v>
      </c>
      <c r="F632" s="122">
        <v>0</v>
      </c>
      <c r="G632" s="119">
        <v>0</v>
      </c>
      <c r="H632" s="122">
        <v>0</v>
      </c>
      <c r="I632" s="119">
        <v>0</v>
      </c>
      <c r="J632" s="122">
        <v>0</v>
      </c>
      <c r="K632" s="119">
        <v>0</v>
      </c>
      <c r="L632" s="122">
        <v>0</v>
      </c>
      <c r="M632" s="119">
        <v>0</v>
      </c>
      <c r="N632" s="122">
        <v>0</v>
      </c>
      <c r="O632" s="119">
        <v>0</v>
      </c>
      <c r="P632" s="122">
        <v>0</v>
      </c>
      <c r="Q632" s="119">
        <v>8.7500000000000008E-2</v>
      </c>
      <c r="R632" s="122">
        <v>2.2581666666666664</v>
      </c>
      <c r="S632" s="119">
        <v>4.2065000000000019</v>
      </c>
      <c r="T632" s="122">
        <v>4.4134999999999991</v>
      </c>
      <c r="U632" s="119">
        <v>5.9073333333333364</v>
      </c>
      <c r="V632" s="122">
        <v>5.6853333333333333</v>
      </c>
      <c r="W632" s="119">
        <v>4.3395000000000001</v>
      </c>
      <c r="X632" s="122">
        <v>0</v>
      </c>
      <c r="Y632" s="119">
        <v>0</v>
      </c>
      <c r="Z632" s="122">
        <v>0</v>
      </c>
      <c r="AA632" s="119">
        <v>0</v>
      </c>
      <c r="AB632" s="122">
        <v>0</v>
      </c>
      <c r="AC632" s="238">
        <f t="shared" si="315"/>
        <v>26.897833333333338</v>
      </c>
      <c r="AD632" s="238"/>
      <c r="AE632" s="238"/>
    </row>
    <row r="633" spans="2:31" x14ac:dyDescent="0.3">
      <c r="B633" s="245" t="s">
        <v>26</v>
      </c>
      <c r="C633" s="245"/>
      <c r="D633" s="245"/>
      <c r="E633" s="119">
        <v>0</v>
      </c>
      <c r="F633" s="122">
        <v>0</v>
      </c>
      <c r="G633" s="119">
        <v>0</v>
      </c>
      <c r="H633" s="122">
        <v>0</v>
      </c>
      <c r="I633" s="119">
        <v>0</v>
      </c>
      <c r="J633" s="122">
        <v>0</v>
      </c>
      <c r="K633" s="119">
        <v>0</v>
      </c>
      <c r="L633" s="122">
        <v>0</v>
      </c>
      <c r="M633" s="119">
        <v>0</v>
      </c>
      <c r="N633" s="122">
        <v>0</v>
      </c>
      <c r="O633" s="119">
        <v>0</v>
      </c>
      <c r="P633" s="122">
        <v>0</v>
      </c>
      <c r="Q633" s="119">
        <v>0</v>
      </c>
      <c r="R633" s="122">
        <v>0</v>
      </c>
      <c r="S633" s="119">
        <v>0</v>
      </c>
      <c r="T633" s="122">
        <v>0</v>
      </c>
      <c r="U633" s="119">
        <v>0</v>
      </c>
      <c r="V633" s="122">
        <v>0</v>
      </c>
      <c r="W633" s="119">
        <v>0</v>
      </c>
      <c r="X633" s="122">
        <v>0</v>
      </c>
      <c r="Y633" s="119">
        <v>0</v>
      </c>
      <c r="Z633" s="122">
        <v>0</v>
      </c>
      <c r="AA633" s="119">
        <v>0</v>
      </c>
      <c r="AB633" s="122">
        <v>0</v>
      </c>
      <c r="AC633" s="238">
        <f t="shared" si="315"/>
        <v>0</v>
      </c>
      <c r="AD633" s="238"/>
      <c r="AE633" s="238"/>
    </row>
    <row r="634" spans="2:31" x14ac:dyDescent="0.3">
      <c r="B634" s="245" t="s">
        <v>27</v>
      </c>
      <c r="C634" s="245"/>
      <c r="D634" s="245"/>
      <c r="E634" s="119">
        <v>0</v>
      </c>
      <c r="F634" s="122">
        <v>0</v>
      </c>
      <c r="G634" s="119">
        <v>0</v>
      </c>
      <c r="H634" s="122">
        <v>0</v>
      </c>
      <c r="I634" s="119">
        <v>0</v>
      </c>
      <c r="J634" s="122">
        <v>0</v>
      </c>
      <c r="K634" s="119">
        <v>0</v>
      </c>
      <c r="L634" s="122">
        <v>0</v>
      </c>
      <c r="M634" s="119">
        <v>0</v>
      </c>
      <c r="N634" s="122">
        <v>0</v>
      </c>
      <c r="O634" s="119">
        <v>0</v>
      </c>
      <c r="P634" s="122">
        <v>0</v>
      </c>
      <c r="Q634" s="119">
        <v>0</v>
      </c>
      <c r="R634" s="122">
        <v>0</v>
      </c>
      <c r="S634" s="119">
        <v>1.3405000000000002</v>
      </c>
      <c r="T634" s="122">
        <v>6.1898333333333317</v>
      </c>
      <c r="U634" s="119">
        <v>20.676833333333342</v>
      </c>
      <c r="V634" s="122">
        <v>29.634499999999992</v>
      </c>
      <c r="W634" s="119">
        <v>20.723833333333328</v>
      </c>
      <c r="X634" s="122">
        <v>0</v>
      </c>
      <c r="Y634" s="119">
        <v>0</v>
      </c>
      <c r="Z634" s="122">
        <v>0</v>
      </c>
      <c r="AA634" s="119">
        <v>0</v>
      </c>
      <c r="AB634" s="122">
        <v>0</v>
      </c>
      <c r="AC634" s="238">
        <f t="shared" si="315"/>
        <v>78.5655</v>
      </c>
      <c r="AD634" s="238"/>
      <c r="AE634" s="238"/>
    </row>
    <row r="635" spans="2:31" x14ac:dyDescent="0.3">
      <c r="B635" s="245" t="s">
        <v>28</v>
      </c>
      <c r="C635" s="245"/>
      <c r="D635" s="245"/>
      <c r="E635" s="119">
        <v>0</v>
      </c>
      <c r="F635" s="122">
        <v>0</v>
      </c>
      <c r="G635" s="119">
        <v>0</v>
      </c>
      <c r="H635" s="122">
        <v>0</v>
      </c>
      <c r="I635" s="119">
        <v>0</v>
      </c>
      <c r="J635" s="122">
        <v>0</v>
      </c>
      <c r="K635" s="119">
        <v>0</v>
      </c>
      <c r="L635" s="122">
        <v>0</v>
      </c>
      <c r="M635" s="119">
        <v>0</v>
      </c>
      <c r="N635" s="122">
        <v>0</v>
      </c>
      <c r="O635" s="119">
        <v>0</v>
      </c>
      <c r="P635" s="122">
        <v>0</v>
      </c>
      <c r="Q635" s="119">
        <v>13.261833333333328</v>
      </c>
      <c r="R635" s="122">
        <v>28.314999999999994</v>
      </c>
      <c r="S635" s="119">
        <v>24.892999999999979</v>
      </c>
      <c r="T635" s="122">
        <v>29.71883333333334</v>
      </c>
      <c r="U635" s="119">
        <v>38.404166666666654</v>
      </c>
      <c r="V635" s="122">
        <v>48.341666666666661</v>
      </c>
      <c r="W635" s="119">
        <v>52.4955</v>
      </c>
      <c r="X635" s="122">
        <v>0</v>
      </c>
      <c r="Y635" s="119">
        <v>0</v>
      </c>
      <c r="Z635" s="122">
        <v>0</v>
      </c>
      <c r="AA635" s="119">
        <v>0</v>
      </c>
      <c r="AB635" s="122">
        <v>0</v>
      </c>
      <c r="AC635" s="238">
        <f t="shared" si="315"/>
        <v>235.42999999999995</v>
      </c>
      <c r="AD635" s="238"/>
      <c r="AE635" s="238"/>
    </row>
    <row r="636" spans="2:31" x14ac:dyDescent="0.3">
      <c r="B636" s="245" t="s">
        <v>92</v>
      </c>
      <c r="C636" s="245"/>
      <c r="D636" s="245"/>
      <c r="E636" s="119">
        <v>0</v>
      </c>
      <c r="F636" s="122">
        <v>0</v>
      </c>
      <c r="G636" s="119">
        <v>0</v>
      </c>
      <c r="H636" s="122">
        <v>0</v>
      </c>
      <c r="I636" s="119">
        <v>0</v>
      </c>
      <c r="J636" s="122">
        <v>0</v>
      </c>
      <c r="K636" s="119">
        <v>0</v>
      </c>
      <c r="L636" s="122">
        <v>0</v>
      </c>
      <c r="M636" s="119">
        <v>0</v>
      </c>
      <c r="N636" s="122">
        <v>0</v>
      </c>
      <c r="O636" s="119">
        <v>0</v>
      </c>
      <c r="P636" s="122">
        <v>0</v>
      </c>
      <c r="Q636" s="119">
        <v>0</v>
      </c>
      <c r="R636" s="122">
        <v>0</v>
      </c>
      <c r="S636" s="119">
        <v>0</v>
      </c>
      <c r="T636" s="122">
        <v>0</v>
      </c>
      <c r="U636" s="119">
        <v>0</v>
      </c>
      <c r="V636" s="122">
        <v>0</v>
      </c>
      <c r="W636" s="119">
        <v>0</v>
      </c>
      <c r="X636" s="122">
        <v>0</v>
      </c>
      <c r="Y636" s="119">
        <v>0</v>
      </c>
      <c r="Z636" s="122">
        <v>0</v>
      </c>
      <c r="AA636" s="119">
        <v>0</v>
      </c>
      <c r="AB636" s="122">
        <v>0</v>
      </c>
      <c r="AC636" s="238">
        <f t="shared" si="315"/>
        <v>0</v>
      </c>
      <c r="AD636" s="238"/>
      <c r="AE636" s="238"/>
    </row>
    <row r="637" spans="2:31" x14ac:dyDescent="0.3">
      <c r="B637" s="245" t="s">
        <v>29</v>
      </c>
      <c r="C637" s="245"/>
      <c r="D637" s="245"/>
      <c r="E637" s="119">
        <v>0</v>
      </c>
      <c r="F637" s="122">
        <v>0</v>
      </c>
      <c r="G637" s="119">
        <v>0</v>
      </c>
      <c r="H637" s="122">
        <v>0</v>
      </c>
      <c r="I637" s="119">
        <v>0</v>
      </c>
      <c r="J637" s="122">
        <v>0</v>
      </c>
      <c r="K637" s="119">
        <v>0</v>
      </c>
      <c r="L637" s="122">
        <v>0</v>
      </c>
      <c r="M637" s="119">
        <v>0</v>
      </c>
      <c r="N637" s="122">
        <v>0</v>
      </c>
      <c r="O637" s="119">
        <v>0</v>
      </c>
      <c r="P637" s="122">
        <v>0</v>
      </c>
      <c r="Q637" s="119">
        <v>2.2023333333333346</v>
      </c>
      <c r="R637" s="122">
        <v>1.5656666666666668</v>
      </c>
      <c r="S637" s="119">
        <v>1.5079999999999993</v>
      </c>
      <c r="T637" s="122">
        <v>10.850166666666661</v>
      </c>
      <c r="U637" s="119">
        <v>17.181166666666666</v>
      </c>
      <c r="V637" s="122">
        <v>13.149499999999994</v>
      </c>
      <c r="W637" s="119">
        <v>8.9324999999999992</v>
      </c>
      <c r="X637" s="122">
        <v>0</v>
      </c>
      <c r="Y637" s="119">
        <v>0</v>
      </c>
      <c r="Z637" s="122">
        <v>0</v>
      </c>
      <c r="AA637" s="119">
        <v>0</v>
      </c>
      <c r="AB637" s="122">
        <v>0</v>
      </c>
      <c r="AC637" s="238">
        <f t="shared" si="315"/>
        <v>55.389333333333326</v>
      </c>
      <c r="AD637" s="238"/>
      <c r="AE637" s="238"/>
    </row>
    <row r="638" spans="2:31" x14ac:dyDescent="0.3">
      <c r="B638" s="245" t="s">
        <v>30</v>
      </c>
      <c r="C638" s="245"/>
      <c r="D638" s="245"/>
      <c r="E638" s="119">
        <v>0</v>
      </c>
      <c r="F638" s="122">
        <v>0</v>
      </c>
      <c r="G638" s="119">
        <v>0</v>
      </c>
      <c r="H638" s="122">
        <v>0</v>
      </c>
      <c r="I638" s="119">
        <v>0</v>
      </c>
      <c r="J638" s="122">
        <v>0</v>
      </c>
      <c r="K638" s="119">
        <v>0</v>
      </c>
      <c r="L638" s="122">
        <v>0</v>
      </c>
      <c r="M638" s="119">
        <v>0</v>
      </c>
      <c r="N638" s="122">
        <v>0</v>
      </c>
      <c r="O638" s="119">
        <v>0</v>
      </c>
      <c r="P638" s="122">
        <v>0</v>
      </c>
      <c r="Q638" s="119">
        <v>0</v>
      </c>
      <c r="R638" s="122">
        <v>0</v>
      </c>
      <c r="S638" s="119">
        <v>0</v>
      </c>
      <c r="T638" s="122">
        <v>0</v>
      </c>
      <c r="U638" s="119">
        <v>0</v>
      </c>
      <c r="V638" s="122">
        <v>0</v>
      </c>
      <c r="W638" s="119">
        <v>0</v>
      </c>
      <c r="X638" s="122">
        <v>0</v>
      </c>
      <c r="Y638" s="119">
        <v>0</v>
      </c>
      <c r="Z638" s="122">
        <v>0</v>
      </c>
      <c r="AA638" s="119">
        <v>0</v>
      </c>
      <c r="AB638" s="122">
        <v>0</v>
      </c>
      <c r="AC638" s="238">
        <f t="shared" si="315"/>
        <v>0</v>
      </c>
      <c r="AD638" s="238"/>
      <c r="AE638" s="238"/>
    </row>
    <row r="639" spans="2:31" x14ac:dyDescent="0.3">
      <c r="B639" s="245" t="s">
        <v>31</v>
      </c>
      <c r="C639" s="245"/>
      <c r="D639" s="245"/>
      <c r="E639" s="119">
        <v>0</v>
      </c>
      <c r="F639" s="122">
        <v>0</v>
      </c>
      <c r="G639" s="119">
        <v>0</v>
      </c>
      <c r="H639" s="122">
        <v>0</v>
      </c>
      <c r="I639" s="119">
        <v>0</v>
      </c>
      <c r="J639" s="122">
        <v>0</v>
      </c>
      <c r="K639" s="119">
        <v>0</v>
      </c>
      <c r="L639" s="122">
        <v>0</v>
      </c>
      <c r="M639" s="119">
        <v>0</v>
      </c>
      <c r="N639" s="122">
        <v>0</v>
      </c>
      <c r="O639" s="119">
        <v>0</v>
      </c>
      <c r="P639" s="122">
        <v>0</v>
      </c>
      <c r="Q639" s="119">
        <v>4.5576666666666679</v>
      </c>
      <c r="R639" s="122">
        <v>10.429999999999996</v>
      </c>
      <c r="S639" s="119">
        <v>9.7300000000000075</v>
      </c>
      <c r="T639" s="122">
        <v>10.730000000000009</v>
      </c>
      <c r="U639" s="119">
        <v>13.230000000000011</v>
      </c>
      <c r="V639" s="122">
        <v>16.330000000000016</v>
      </c>
      <c r="W639" s="119">
        <v>17.216999999999999</v>
      </c>
      <c r="X639" s="122">
        <v>0</v>
      </c>
      <c r="Y639" s="119">
        <v>0</v>
      </c>
      <c r="Z639" s="122">
        <v>0</v>
      </c>
      <c r="AA639" s="119">
        <v>0</v>
      </c>
      <c r="AB639" s="122">
        <v>0</v>
      </c>
      <c r="AC639" s="238">
        <f t="shared" si="315"/>
        <v>82.224666666666707</v>
      </c>
      <c r="AD639" s="238"/>
      <c r="AE639" s="238"/>
    </row>
    <row r="640" spans="2:31" x14ac:dyDescent="0.3">
      <c r="B640" s="245" t="s">
        <v>32</v>
      </c>
      <c r="C640" s="245"/>
      <c r="D640" s="245"/>
      <c r="E640" s="119">
        <v>0</v>
      </c>
      <c r="F640" s="122">
        <v>0</v>
      </c>
      <c r="G640" s="119">
        <v>0</v>
      </c>
      <c r="H640" s="122">
        <v>0</v>
      </c>
      <c r="I640" s="119">
        <v>0</v>
      </c>
      <c r="J640" s="122">
        <v>0</v>
      </c>
      <c r="K640" s="119">
        <v>0</v>
      </c>
      <c r="L640" s="122">
        <v>0</v>
      </c>
      <c r="M640" s="119">
        <v>0</v>
      </c>
      <c r="N640" s="122">
        <v>0</v>
      </c>
      <c r="O640" s="119">
        <v>0</v>
      </c>
      <c r="P640" s="122">
        <v>0</v>
      </c>
      <c r="Q640" s="119">
        <v>0</v>
      </c>
      <c r="R640" s="122">
        <v>0</v>
      </c>
      <c r="S640" s="119">
        <v>0</v>
      </c>
      <c r="T640" s="122">
        <v>0.14699999999999994</v>
      </c>
      <c r="U640" s="119">
        <v>9.4836666666666662</v>
      </c>
      <c r="V640" s="122">
        <v>21.172499999999999</v>
      </c>
      <c r="W640" s="119">
        <v>9.7505000000000042</v>
      </c>
      <c r="X640" s="122">
        <v>0</v>
      </c>
      <c r="Y640" s="119">
        <v>0</v>
      </c>
      <c r="Z640" s="122">
        <v>0</v>
      </c>
      <c r="AA640" s="119">
        <v>0</v>
      </c>
      <c r="AB640" s="122">
        <v>0</v>
      </c>
      <c r="AC640" s="238">
        <f t="shared" si="315"/>
        <v>40.553666666666672</v>
      </c>
      <c r="AD640" s="238"/>
      <c r="AE640" s="238"/>
    </row>
    <row r="641" spans="2:31" x14ac:dyDescent="0.3">
      <c r="B641" s="245" t="s">
        <v>33</v>
      </c>
      <c r="C641" s="245"/>
      <c r="D641" s="245"/>
      <c r="E641" s="119">
        <v>0</v>
      </c>
      <c r="F641" s="122">
        <v>0</v>
      </c>
      <c r="G641" s="119">
        <v>0</v>
      </c>
      <c r="H641" s="122">
        <v>0</v>
      </c>
      <c r="I641" s="119">
        <v>0</v>
      </c>
      <c r="J641" s="122">
        <v>0</v>
      </c>
      <c r="K641" s="119">
        <v>0</v>
      </c>
      <c r="L641" s="122">
        <v>0</v>
      </c>
      <c r="M641" s="119">
        <v>0</v>
      </c>
      <c r="N641" s="122">
        <v>0</v>
      </c>
      <c r="O641" s="119">
        <v>0</v>
      </c>
      <c r="P641" s="122">
        <v>0</v>
      </c>
      <c r="Q641" s="119">
        <v>0</v>
      </c>
      <c r="R641" s="122">
        <v>0</v>
      </c>
      <c r="S641" s="119">
        <v>5.5000000000000014E-3</v>
      </c>
      <c r="T641" s="122">
        <v>2.633166666666666</v>
      </c>
      <c r="U641" s="119">
        <v>5.6619999999999999</v>
      </c>
      <c r="V641" s="122">
        <v>7.7853333333333357</v>
      </c>
      <c r="W641" s="119">
        <v>7.3578333333333354</v>
      </c>
      <c r="X641" s="122">
        <v>0</v>
      </c>
      <c r="Y641" s="119">
        <v>0</v>
      </c>
      <c r="Z641" s="122">
        <v>0</v>
      </c>
      <c r="AA641" s="119">
        <v>0</v>
      </c>
      <c r="AB641" s="122">
        <v>0</v>
      </c>
      <c r="AC641" s="238">
        <f t="shared" si="315"/>
        <v>23.443833333333338</v>
      </c>
      <c r="AD641" s="238"/>
      <c r="AE641" s="238"/>
    </row>
    <row r="642" spans="2:31" x14ac:dyDescent="0.3">
      <c r="B642" s="245" t="s">
        <v>34</v>
      </c>
      <c r="C642" s="245"/>
      <c r="D642" s="245"/>
      <c r="E642" s="119">
        <v>0</v>
      </c>
      <c r="F642" s="122">
        <v>0</v>
      </c>
      <c r="G642" s="119">
        <v>0</v>
      </c>
      <c r="H642" s="122">
        <v>0</v>
      </c>
      <c r="I642" s="119">
        <v>0</v>
      </c>
      <c r="J642" s="122">
        <v>0</v>
      </c>
      <c r="K642" s="119">
        <v>0</v>
      </c>
      <c r="L642" s="122">
        <v>0</v>
      </c>
      <c r="M642" s="119">
        <v>0</v>
      </c>
      <c r="N642" s="122">
        <v>0</v>
      </c>
      <c r="O642" s="119">
        <v>0</v>
      </c>
      <c r="P642" s="122">
        <v>0</v>
      </c>
      <c r="Q642" s="119">
        <v>0</v>
      </c>
      <c r="R642" s="122">
        <v>0</v>
      </c>
      <c r="S642" s="119">
        <v>0</v>
      </c>
      <c r="T642" s="122">
        <v>0.30366666666666675</v>
      </c>
      <c r="U642" s="119">
        <v>1.8071666666666679</v>
      </c>
      <c r="V642" s="122">
        <v>2.7431666666666659</v>
      </c>
      <c r="W642" s="119">
        <v>2.1181666666666659</v>
      </c>
      <c r="X642" s="122">
        <v>0</v>
      </c>
      <c r="Y642" s="119">
        <v>0</v>
      </c>
      <c r="Z642" s="122">
        <v>0</v>
      </c>
      <c r="AA642" s="119">
        <v>0</v>
      </c>
      <c r="AB642" s="122">
        <v>0</v>
      </c>
      <c r="AC642" s="238">
        <f t="shared" si="315"/>
        <v>6.9721666666666664</v>
      </c>
      <c r="AD642" s="238"/>
      <c r="AE642" s="238"/>
    </row>
    <row r="643" spans="2:31" x14ac:dyDescent="0.3">
      <c r="B643" s="245" t="s">
        <v>35</v>
      </c>
      <c r="C643" s="245"/>
      <c r="D643" s="245"/>
      <c r="E643" s="119">
        <v>0</v>
      </c>
      <c r="F643" s="122">
        <v>0</v>
      </c>
      <c r="G643" s="119">
        <v>0</v>
      </c>
      <c r="H643" s="122">
        <v>0</v>
      </c>
      <c r="I643" s="119">
        <v>0</v>
      </c>
      <c r="J643" s="122">
        <v>0</v>
      </c>
      <c r="K643" s="119">
        <v>0</v>
      </c>
      <c r="L643" s="122">
        <v>0</v>
      </c>
      <c r="M643" s="119">
        <v>0</v>
      </c>
      <c r="N643" s="122">
        <v>0</v>
      </c>
      <c r="O643" s="119">
        <v>0</v>
      </c>
      <c r="P643" s="122">
        <v>0</v>
      </c>
      <c r="Q643" s="119">
        <v>1.0371666666666666</v>
      </c>
      <c r="R643" s="122">
        <v>0.5269999999999998</v>
      </c>
      <c r="S643" s="119">
        <v>7.1615000000000002</v>
      </c>
      <c r="T643" s="122">
        <v>12.010833333333334</v>
      </c>
      <c r="U643" s="119">
        <v>7.5128333333333348</v>
      </c>
      <c r="V643" s="122">
        <v>2.7351666666666663</v>
      </c>
      <c r="W643" s="119">
        <v>7.93983333333333</v>
      </c>
      <c r="X643" s="122">
        <v>0</v>
      </c>
      <c r="Y643" s="119">
        <v>0</v>
      </c>
      <c r="Z643" s="122">
        <v>0</v>
      </c>
      <c r="AA643" s="119">
        <v>0</v>
      </c>
      <c r="AB643" s="122">
        <v>0</v>
      </c>
      <c r="AC643" s="238">
        <f t="shared" si="315"/>
        <v>38.92433333333333</v>
      </c>
      <c r="AD643" s="238"/>
      <c r="AE643" s="238"/>
    </row>
    <row r="644" spans="2:31" x14ac:dyDescent="0.3">
      <c r="B644" s="245" t="s">
        <v>36</v>
      </c>
      <c r="C644" s="245"/>
      <c r="D644" s="245"/>
      <c r="E644" s="119">
        <v>0</v>
      </c>
      <c r="F644" s="122">
        <v>0</v>
      </c>
      <c r="G644" s="119">
        <v>0</v>
      </c>
      <c r="H644" s="122">
        <v>0</v>
      </c>
      <c r="I644" s="119">
        <v>0</v>
      </c>
      <c r="J644" s="122">
        <v>0</v>
      </c>
      <c r="K644" s="119">
        <v>0</v>
      </c>
      <c r="L644" s="122">
        <v>0</v>
      </c>
      <c r="M644" s="119">
        <v>0</v>
      </c>
      <c r="N644" s="122">
        <v>0</v>
      </c>
      <c r="O644" s="119">
        <v>0</v>
      </c>
      <c r="P644" s="122">
        <v>0</v>
      </c>
      <c r="Q644" s="119">
        <v>7.4983333333333331</v>
      </c>
      <c r="R644" s="122">
        <v>16.575500000000005</v>
      </c>
      <c r="S644" s="119">
        <v>12.678166666666668</v>
      </c>
      <c r="T644" s="122">
        <v>18.508000000000003</v>
      </c>
      <c r="U644" s="119">
        <v>3.3616666666666664</v>
      </c>
      <c r="V644" s="122">
        <v>9.4033333333333395</v>
      </c>
      <c r="W644" s="119">
        <v>17.596000000000004</v>
      </c>
      <c r="X644" s="122">
        <v>0</v>
      </c>
      <c r="Y644" s="119">
        <v>0</v>
      </c>
      <c r="Z644" s="122">
        <v>0</v>
      </c>
      <c r="AA644" s="119">
        <v>0</v>
      </c>
      <c r="AB644" s="122">
        <v>0</v>
      </c>
      <c r="AC644" s="238">
        <f t="shared" si="315"/>
        <v>85.621000000000024</v>
      </c>
      <c r="AD644" s="238"/>
      <c r="AE644" s="238"/>
    </row>
    <row r="645" spans="2:31" x14ac:dyDescent="0.3">
      <c r="B645" s="13" t="s">
        <v>89</v>
      </c>
      <c r="C645" s="13"/>
      <c r="D645" s="13"/>
      <c r="E645" s="119">
        <v>0</v>
      </c>
      <c r="F645" s="122">
        <v>0</v>
      </c>
      <c r="G645" s="119">
        <v>0</v>
      </c>
      <c r="H645" s="122">
        <v>0</v>
      </c>
      <c r="I645" s="119">
        <v>0</v>
      </c>
      <c r="J645" s="122">
        <v>0</v>
      </c>
      <c r="K645" s="119">
        <v>0</v>
      </c>
      <c r="L645" s="122">
        <v>0</v>
      </c>
      <c r="M645" s="119">
        <v>0</v>
      </c>
      <c r="N645" s="122">
        <v>0</v>
      </c>
      <c r="O645" s="119">
        <v>0</v>
      </c>
      <c r="P645" s="122">
        <v>0</v>
      </c>
      <c r="Q645" s="119">
        <v>0</v>
      </c>
      <c r="R645" s="122">
        <v>0</v>
      </c>
      <c r="S645" s="119">
        <v>0</v>
      </c>
      <c r="T645" s="122">
        <v>0</v>
      </c>
      <c r="U645" s="119">
        <v>0</v>
      </c>
      <c r="V645" s="122">
        <v>0</v>
      </c>
      <c r="W645" s="119">
        <v>0</v>
      </c>
      <c r="X645" s="122">
        <v>0</v>
      </c>
      <c r="Y645" s="119">
        <v>0</v>
      </c>
      <c r="Z645" s="122">
        <v>0</v>
      </c>
      <c r="AA645" s="119">
        <v>0</v>
      </c>
      <c r="AB645" s="122">
        <v>0</v>
      </c>
      <c r="AC645" s="238">
        <f t="shared" si="315"/>
        <v>0</v>
      </c>
      <c r="AD645" s="238"/>
      <c r="AE645" s="238"/>
    </row>
    <row r="646" spans="2:31" x14ac:dyDescent="0.3">
      <c r="B646" s="13" t="s">
        <v>90</v>
      </c>
      <c r="C646" s="13"/>
      <c r="D646" s="13"/>
      <c r="E646" s="119">
        <v>0</v>
      </c>
      <c r="F646" s="122">
        <v>0</v>
      </c>
      <c r="G646" s="119">
        <v>0</v>
      </c>
      <c r="H646" s="122">
        <v>0</v>
      </c>
      <c r="I646" s="119">
        <v>0</v>
      </c>
      <c r="J646" s="122">
        <v>0</v>
      </c>
      <c r="K646" s="119">
        <v>0</v>
      </c>
      <c r="L646" s="122">
        <v>0</v>
      </c>
      <c r="M646" s="119">
        <v>0</v>
      </c>
      <c r="N646" s="122">
        <v>0</v>
      </c>
      <c r="O646" s="119">
        <v>0</v>
      </c>
      <c r="P646" s="122">
        <v>0</v>
      </c>
      <c r="Q646" s="119">
        <v>3.6399999999999992</v>
      </c>
      <c r="R646" s="122">
        <v>10.824833333333336</v>
      </c>
      <c r="S646" s="119">
        <v>4.7796666666666656</v>
      </c>
      <c r="T646" s="122">
        <v>2.3558333333333321</v>
      </c>
      <c r="U646" s="119">
        <v>5.1646666666666672</v>
      </c>
      <c r="V646" s="122">
        <v>11.538000000000006</v>
      </c>
      <c r="W646" s="119">
        <v>14.776333333333328</v>
      </c>
      <c r="X646" s="122">
        <v>0</v>
      </c>
      <c r="Y646" s="119">
        <v>0</v>
      </c>
      <c r="Z646" s="122">
        <v>0</v>
      </c>
      <c r="AA646" s="119">
        <v>0</v>
      </c>
      <c r="AB646" s="122">
        <v>0</v>
      </c>
      <c r="AC646" s="238">
        <f t="shared" si="315"/>
        <v>53.079333333333331</v>
      </c>
      <c r="AD646" s="238"/>
      <c r="AE646" s="238"/>
    </row>
    <row r="647" spans="2:31" x14ac:dyDescent="0.3">
      <c r="B647" s="14" t="s">
        <v>2</v>
      </c>
      <c r="C647" s="14"/>
      <c r="D647" s="14"/>
      <c r="E647" s="15">
        <f>SUM(E610:E646)</f>
        <v>0</v>
      </c>
      <c r="F647" s="15">
        <f t="shared" ref="F647" si="316">SUM(F610:F646)</f>
        <v>0</v>
      </c>
      <c r="G647" s="15">
        <f t="shared" ref="G647" si="317">SUM(G610:G646)</f>
        <v>0</v>
      </c>
      <c r="H647" s="15">
        <f t="shared" ref="H647" si="318">SUM(H610:H646)</f>
        <v>0</v>
      </c>
      <c r="I647" s="15">
        <f t="shared" ref="I647" si="319">SUM(I610:I646)</f>
        <v>0</v>
      </c>
      <c r="J647" s="15">
        <f t="shared" ref="J647" si="320">SUM(J610:J646)</f>
        <v>0</v>
      </c>
      <c r="K647" s="15">
        <f t="shared" ref="K647" si="321">SUM(K610:K646)</f>
        <v>0</v>
      </c>
      <c r="L647" s="15">
        <f t="shared" ref="L647" si="322">SUM(L610:L646)</f>
        <v>0</v>
      </c>
      <c r="M647" s="15">
        <f t="shared" ref="M647" si="323">SUM(M610:M646)</f>
        <v>0</v>
      </c>
      <c r="N647" s="15">
        <f t="shared" ref="N647" si="324">SUM(N610:N646)</f>
        <v>0</v>
      </c>
      <c r="O647" s="15">
        <f t="shared" ref="O647" si="325">SUM(O610:O646)</f>
        <v>0</v>
      </c>
      <c r="P647" s="15">
        <f t="shared" ref="P647" si="326">SUM(P610:P646)</f>
        <v>0</v>
      </c>
      <c r="Q647" s="15">
        <f t="shared" ref="Q647" si="327">SUM(Q610:Q646)</f>
        <v>37.143833333333333</v>
      </c>
      <c r="R647" s="15">
        <f t="shared" ref="R647" si="328">SUM(R610:R646)</f>
        <v>97.128999999999991</v>
      </c>
      <c r="S647" s="15">
        <f t="shared" ref="S647" si="329">SUM(S610:S646)</f>
        <v>140.55616666666666</v>
      </c>
      <c r="T647" s="15">
        <f t="shared" ref="T647" si="330">SUM(T610:T646)</f>
        <v>240.99933333333334</v>
      </c>
      <c r="U647" s="15">
        <f t="shared" ref="U647" si="331">SUM(U610:U646)</f>
        <v>355.68250000000012</v>
      </c>
      <c r="V647" s="15">
        <f t="shared" ref="V647" si="332">SUM(V610:V646)</f>
        <v>520.29250000000013</v>
      </c>
      <c r="W647" s="15">
        <f t="shared" ref="W647" si="333">SUM(W610:W646)</f>
        <v>506.63349999999991</v>
      </c>
      <c r="X647" s="15">
        <f t="shared" ref="X647" si="334">SUM(X610:X646)</f>
        <v>30.121000000000002</v>
      </c>
      <c r="Y647" s="15">
        <f t="shared" ref="Y647" si="335">SUM(Y610:Y646)</f>
        <v>0</v>
      </c>
      <c r="Z647" s="15">
        <f t="shared" ref="Z647" si="336">SUM(Z610:Z646)</f>
        <v>0</v>
      </c>
      <c r="AA647" s="15">
        <f t="shared" ref="AA647" si="337">SUM(AA610:AA646)</f>
        <v>0</v>
      </c>
      <c r="AB647" s="15">
        <f t="shared" ref="AB647" si="338">SUM(AB610:AB646)</f>
        <v>0</v>
      </c>
      <c r="AC647" s="249">
        <f>SUM(AC610:AE646)</f>
        <v>1928.5578333333333</v>
      </c>
      <c r="AD647" s="249"/>
      <c r="AE647" s="249"/>
    </row>
    <row r="650" spans="2:31" x14ac:dyDescent="0.3">
      <c r="B650" s="8">
        <f>'Resumen-Mensual'!$T$22</f>
        <v>44577</v>
      </c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4"/>
      <c r="AD650" s="4"/>
      <c r="AE650" s="4"/>
    </row>
    <row r="651" spans="2:31" x14ac:dyDescent="0.3">
      <c r="B651" s="8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4"/>
      <c r="AD651" s="4"/>
      <c r="AE651" s="4"/>
    </row>
    <row r="652" spans="2:31" x14ac:dyDescent="0.3">
      <c r="B652" s="9" t="s">
        <v>81</v>
      </c>
      <c r="C652" s="10"/>
      <c r="D652" s="10"/>
      <c r="E652" s="11">
        <v>1</v>
      </c>
      <c r="F652" s="11">
        <v>2</v>
      </c>
      <c r="G652" s="11">
        <v>3</v>
      </c>
      <c r="H652" s="11">
        <v>4</v>
      </c>
      <c r="I652" s="11">
        <v>5</v>
      </c>
      <c r="J652" s="11">
        <v>6</v>
      </c>
      <c r="K652" s="11">
        <v>7</v>
      </c>
      <c r="L652" s="11">
        <v>8</v>
      </c>
      <c r="M652" s="11">
        <v>9</v>
      </c>
      <c r="N652" s="11">
        <v>10</v>
      </c>
      <c r="O652" s="11">
        <v>11</v>
      </c>
      <c r="P652" s="11">
        <v>12</v>
      </c>
      <c r="Q652" s="11">
        <v>13</v>
      </c>
      <c r="R652" s="11">
        <v>14</v>
      </c>
      <c r="S652" s="11">
        <v>15</v>
      </c>
      <c r="T652" s="11">
        <v>16</v>
      </c>
      <c r="U652" s="11">
        <v>17</v>
      </c>
      <c r="V652" s="11">
        <v>18</v>
      </c>
      <c r="W652" s="11">
        <v>19</v>
      </c>
      <c r="X652" s="11">
        <v>20</v>
      </c>
      <c r="Y652" s="11">
        <v>21</v>
      </c>
      <c r="Z652" s="11">
        <v>22</v>
      </c>
      <c r="AA652" s="11">
        <v>23</v>
      </c>
      <c r="AB652" s="11">
        <v>24</v>
      </c>
      <c r="AC652" s="248" t="s">
        <v>2</v>
      </c>
      <c r="AD652" s="248"/>
      <c r="AE652" s="248"/>
    </row>
    <row r="653" spans="2:31" x14ac:dyDescent="0.3">
      <c r="B653" s="245" t="s">
        <v>4</v>
      </c>
      <c r="C653" s="245"/>
      <c r="D653" s="245"/>
      <c r="E653" s="127">
        <v>0</v>
      </c>
      <c r="F653" s="128">
        <v>0</v>
      </c>
      <c r="G653" s="127">
        <v>0</v>
      </c>
      <c r="H653" s="128">
        <v>0</v>
      </c>
      <c r="I653" s="127">
        <v>0</v>
      </c>
      <c r="J653" s="128">
        <v>0</v>
      </c>
      <c r="K653" s="127">
        <v>0</v>
      </c>
      <c r="L653" s="128">
        <v>0</v>
      </c>
      <c r="M653" s="127">
        <v>0</v>
      </c>
      <c r="N653" s="128">
        <v>0</v>
      </c>
      <c r="O653" s="127">
        <v>0</v>
      </c>
      <c r="P653" s="128">
        <v>0</v>
      </c>
      <c r="Q653" s="127">
        <v>0</v>
      </c>
      <c r="R653" s="128">
        <v>4.1635000000000009</v>
      </c>
      <c r="S653" s="127">
        <v>17.593333333333327</v>
      </c>
      <c r="T653" s="128">
        <v>27.89299999999999</v>
      </c>
      <c r="U653" s="127">
        <v>35.47583333333332</v>
      </c>
      <c r="V653" s="128">
        <v>9.1941666666666642</v>
      </c>
      <c r="W653" s="127">
        <v>4.0674999999999999</v>
      </c>
      <c r="X653" s="128">
        <v>0</v>
      </c>
      <c r="Y653" s="127">
        <v>0</v>
      </c>
      <c r="Z653" s="128">
        <v>0</v>
      </c>
      <c r="AA653" s="127">
        <v>0</v>
      </c>
      <c r="AB653" s="128">
        <v>0</v>
      </c>
      <c r="AC653" s="238">
        <f>SUM(E653:AB653)</f>
        <v>98.387333333333288</v>
      </c>
      <c r="AD653" s="238"/>
      <c r="AE653" s="238"/>
    </row>
    <row r="654" spans="2:31" x14ac:dyDescent="0.3">
      <c r="B654" s="245" t="s">
        <v>5</v>
      </c>
      <c r="C654" s="245"/>
      <c r="D654" s="245"/>
      <c r="E654" s="126">
        <v>0</v>
      </c>
      <c r="F654" s="129">
        <v>0</v>
      </c>
      <c r="G654" s="126">
        <v>0</v>
      </c>
      <c r="H654" s="129">
        <v>0</v>
      </c>
      <c r="I654" s="126">
        <v>0</v>
      </c>
      <c r="J654" s="129">
        <v>0</v>
      </c>
      <c r="K654" s="126">
        <v>0</v>
      </c>
      <c r="L654" s="129">
        <v>0</v>
      </c>
      <c r="M654" s="126">
        <v>0</v>
      </c>
      <c r="N654" s="129">
        <v>0</v>
      </c>
      <c r="O654" s="126">
        <v>0</v>
      </c>
      <c r="P654" s="129">
        <v>0</v>
      </c>
      <c r="Q654" s="126">
        <v>0</v>
      </c>
      <c r="R654" s="129">
        <v>4.2425000000000015</v>
      </c>
      <c r="S654" s="126">
        <v>25.496666666666663</v>
      </c>
      <c r="T654" s="129">
        <v>35.764166666666682</v>
      </c>
      <c r="U654" s="126">
        <v>43.664833333333355</v>
      </c>
      <c r="V654" s="129">
        <v>48.30633333333332</v>
      </c>
      <c r="W654" s="126">
        <v>35.158666666666676</v>
      </c>
      <c r="X654" s="129">
        <v>0</v>
      </c>
      <c r="Y654" s="126">
        <v>0</v>
      </c>
      <c r="Z654" s="129">
        <v>0</v>
      </c>
      <c r="AA654" s="126">
        <v>0</v>
      </c>
      <c r="AB654" s="129">
        <v>0</v>
      </c>
      <c r="AC654" s="238">
        <f t="shared" ref="AC654:AC689" si="339">SUM(E654:AB654)</f>
        <v>192.63316666666671</v>
      </c>
      <c r="AD654" s="238"/>
      <c r="AE654" s="238"/>
    </row>
    <row r="655" spans="2:31" x14ac:dyDescent="0.3">
      <c r="B655" s="245" t="s">
        <v>6</v>
      </c>
      <c r="C655" s="245"/>
      <c r="D655" s="245"/>
      <c r="E655" s="126">
        <v>0</v>
      </c>
      <c r="F655" s="129">
        <v>0</v>
      </c>
      <c r="G655" s="126">
        <v>0</v>
      </c>
      <c r="H655" s="129">
        <v>0</v>
      </c>
      <c r="I655" s="126">
        <v>0</v>
      </c>
      <c r="J655" s="129">
        <v>0</v>
      </c>
      <c r="K655" s="126">
        <v>0</v>
      </c>
      <c r="L655" s="129">
        <v>0</v>
      </c>
      <c r="M655" s="126">
        <v>0</v>
      </c>
      <c r="N655" s="129">
        <v>0</v>
      </c>
      <c r="O655" s="126">
        <v>0</v>
      </c>
      <c r="P655" s="129">
        <v>0</v>
      </c>
      <c r="Q655" s="126">
        <v>0</v>
      </c>
      <c r="R655" s="129">
        <v>0</v>
      </c>
      <c r="S655" s="126">
        <v>4.8395000000000001</v>
      </c>
      <c r="T655" s="129">
        <v>0</v>
      </c>
      <c r="U655" s="126">
        <v>0</v>
      </c>
      <c r="V655" s="129">
        <v>0</v>
      </c>
      <c r="W655" s="126">
        <v>21.165500000000002</v>
      </c>
      <c r="X655" s="129">
        <v>20.283333333333335</v>
      </c>
      <c r="Y655" s="126">
        <v>0</v>
      </c>
      <c r="Z655" s="129">
        <v>0</v>
      </c>
      <c r="AA655" s="126">
        <v>0</v>
      </c>
      <c r="AB655" s="129">
        <v>0</v>
      </c>
      <c r="AC655" s="238">
        <f t="shared" si="339"/>
        <v>46.288333333333341</v>
      </c>
      <c r="AD655" s="238"/>
      <c r="AE655" s="238"/>
    </row>
    <row r="656" spans="2:31" x14ac:dyDescent="0.3">
      <c r="B656" s="245" t="s">
        <v>91</v>
      </c>
      <c r="C656" s="245"/>
      <c r="D656" s="245"/>
      <c r="E656" s="126">
        <v>0</v>
      </c>
      <c r="F656" s="129">
        <v>0</v>
      </c>
      <c r="G656" s="126">
        <v>0</v>
      </c>
      <c r="H656" s="129">
        <v>0</v>
      </c>
      <c r="I656" s="126">
        <v>0</v>
      </c>
      <c r="J656" s="129">
        <v>0</v>
      </c>
      <c r="K656" s="126">
        <v>0</v>
      </c>
      <c r="L656" s="129">
        <v>0</v>
      </c>
      <c r="M656" s="126">
        <v>0</v>
      </c>
      <c r="N656" s="129">
        <v>0</v>
      </c>
      <c r="O656" s="126">
        <v>0</v>
      </c>
      <c r="P656" s="129">
        <v>0</v>
      </c>
      <c r="Q656" s="126">
        <v>0</v>
      </c>
      <c r="R656" s="129">
        <v>0</v>
      </c>
      <c r="S656" s="126">
        <v>0</v>
      </c>
      <c r="T656" s="129">
        <v>0</v>
      </c>
      <c r="U656" s="126">
        <v>0</v>
      </c>
      <c r="V656" s="129">
        <v>0</v>
      </c>
      <c r="W656" s="126">
        <v>0</v>
      </c>
      <c r="X656" s="129">
        <v>0</v>
      </c>
      <c r="Y656" s="126">
        <v>0</v>
      </c>
      <c r="Z656" s="129">
        <v>0</v>
      </c>
      <c r="AA656" s="126">
        <v>0</v>
      </c>
      <c r="AB656" s="129">
        <v>0</v>
      </c>
      <c r="AC656" s="238">
        <f t="shared" si="339"/>
        <v>0</v>
      </c>
      <c r="AD656" s="238"/>
      <c r="AE656" s="238"/>
    </row>
    <row r="657" spans="2:31" x14ac:dyDescent="0.3">
      <c r="B657" s="245" t="s">
        <v>7</v>
      </c>
      <c r="C657" s="245"/>
      <c r="D657" s="245"/>
      <c r="E657" s="126">
        <v>0</v>
      </c>
      <c r="F657" s="129">
        <v>0</v>
      </c>
      <c r="G657" s="126">
        <v>0</v>
      </c>
      <c r="H657" s="129">
        <v>0</v>
      </c>
      <c r="I657" s="126">
        <v>0</v>
      </c>
      <c r="J657" s="129">
        <v>0</v>
      </c>
      <c r="K657" s="126">
        <v>0</v>
      </c>
      <c r="L657" s="129">
        <v>0</v>
      </c>
      <c r="M657" s="126">
        <v>0</v>
      </c>
      <c r="N657" s="129">
        <v>0</v>
      </c>
      <c r="O657" s="126">
        <v>0</v>
      </c>
      <c r="P657" s="129">
        <v>0.21383333333333326</v>
      </c>
      <c r="Q657" s="126">
        <v>4.7783333333333342</v>
      </c>
      <c r="R657" s="129">
        <v>23.993333333333336</v>
      </c>
      <c r="S657" s="126">
        <v>12.048666666666664</v>
      </c>
      <c r="T657" s="129">
        <v>0</v>
      </c>
      <c r="U657" s="126">
        <v>0</v>
      </c>
      <c r="V657" s="129">
        <v>13.876000000000007</v>
      </c>
      <c r="W657" s="126">
        <v>24.289333333333321</v>
      </c>
      <c r="X657" s="129">
        <v>2.3260000000000018</v>
      </c>
      <c r="Y657" s="126">
        <v>0</v>
      </c>
      <c r="Z657" s="129">
        <v>0</v>
      </c>
      <c r="AA657" s="126">
        <v>0</v>
      </c>
      <c r="AB657" s="129">
        <v>0</v>
      </c>
      <c r="AC657" s="238">
        <f t="shared" si="339"/>
        <v>81.525499999999994</v>
      </c>
      <c r="AD657" s="238"/>
      <c r="AE657" s="238"/>
    </row>
    <row r="658" spans="2:31" x14ac:dyDescent="0.3">
      <c r="B658" s="245" t="s">
        <v>8</v>
      </c>
      <c r="C658" s="245"/>
      <c r="D658" s="245"/>
      <c r="E658" s="126">
        <v>0</v>
      </c>
      <c r="F658" s="129">
        <v>0</v>
      </c>
      <c r="G658" s="126">
        <v>0</v>
      </c>
      <c r="H658" s="129">
        <v>0</v>
      </c>
      <c r="I658" s="126">
        <v>0</v>
      </c>
      <c r="J658" s="129">
        <v>0</v>
      </c>
      <c r="K658" s="126">
        <v>0</v>
      </c>
      <c r="L658" s="129">
        <v>0</v>
      </c>
      <c r="M658" s="126">
        <v>0</v>
      </c>
      <c r="N658" s="129">
        <v>0</v>
      </c>
      <c r="O658" s="126">
        <v>0</v>
      </c>
      <c r="P658" s="129">
        <v>0</v>
      </c>
      <c r="Q658" s="126">
        <v>0</v>
      </c>
      <c r="R658" s="129">
        <v>0</v>
      </c>
      <c r="S658" s="126">
        <v>0</v>
      </c>
      <c r="T658" s="129">
        <v>0</v>
      </c>
      <c r="U658" s="126">
        <v>0</v>
      </c>
      <c r="V658" s="129">
        <v>0</v>
      </c>
      <c r="W658" s="126">
        <v>0</v>
      </c>
      <c r="X658" s="129">
        <v>0</v>
      </c>
      <c r="Y658" s="126">
        <v>0</v>
      </c>
      <c r="Z658" s="129">
        <v>0</v>
      </c>
      <c r="AA658" s="126">
        <v>0</v>
      </c>
      <c r="AB658" s="129">
        <v>0</v>
      </c>
      <c r="AC658" s="238">
        <f t="shared" si="339"/>
        <v>0</v>
      </c>
      <c r="AD658" s="238"/>
      <c r="AE658" s="238"/>
    </row>
    <row r="659" spans="2:31" x14ac:dyDescent="0.3">
      <c r="B659" s="245" t="s">
        <v>9</v>
      </c>
      <c r="C659" s="245"/>
      <c r="D659" s="245"/>
      <c r="E659" s="126">
        <v>0</v>
      </c>
      <c r="F659" s="129">
        <v>0</v>
      </c>
      <c r="G659" s="126">
        <v>0</v>
      </c>
      <c r="H659" s="129">
        <v>0</v>
      </c>
      <c r="I659" s="126">
        <v>0</v>
      </c>
      <c r="J659" s="129">
        <v>0</v>
      </c>
      <c r="K659" s="126">
        <v>0</v>
      </c>
      <c r="L659" s="129">
        <v>0</v>
      </c>
      <c r="M659" s="126">
        <v>0</v>
      </c>
      <c r="N659" s="129">
        <v>0</v>
      </c>
      <c r="O659" s="126">
        <v>0</v>
      </c>
      <c r="P659" s="129">
        <v>0</v>
      </c>
      <c r="Q659" s="126">
        <v>0</v>
      </c>
      <c r="R659" s="129">
        <v>13.615166666666664</v>
      </c>
      <c r="S659" s="126">
        <v>30.424166666666675</v>
      </c>
      <c r="T659" s="129">
        <v>29.798166666666663</v>
      </c>
      <c r="U659" s="126">
        <v>34.331666666666692</v>
      </c>
      <c r="V659" s="129">
        <v>44.530333333333331</v>
      </c>
      <c r="W659" s="126">
        <v>42.542166666666681</v>
      </c>
      <c r="X659" s="129">
        <v>0</v>
      </c>
      <c r="Y659" s="126">
        <v>0</v>
      </c>
      <c r="Z659" s="129">
        <v>0</v>
      </c>
      <c r="AA659" s="126">
        <v>0</v>
      </c>
      <c r="AB659" s="129">
        <v>0</v>
      </c>
      <c r="AC659" s="238">
        <f t="shared" si="339"/>
        <v>195.2416666666667</v>
      </c>
      <c r="AD659" s="238"/>
      <c r="AE659" s="238"/>
    </row>
    <row r="660" spans="2:31" x14ac:dyDescent="0.3">
      <c r="B660" s="245" t="s">
        <v>10</v>
      </c>
      <c r="C660" s="245"/>
      <c r="D660" s="245"/>
      <c r="E660" s="126">
        <v>0</v>
      </c>
      <c r="F660" s="129">
        <v>0</v>
      </c>
      <c r="G660" s="126">
        <v>0</v>
      </c>
      <c r="H660" s="129">
        <v>0</v>
      </c>
      <c r="I660" s="126">
        <v>0</v>
      </c>
      <c r="J660" s="129">
        <v>0</v>
      </c>
      <c r="K660" s="126">
        <v>0</v>
      </c>
      <c r="L660" s="129">
        <v>0</v>
      </c>
      <c r="M660" s="126">
        <v>0</v>
      </c>
      <c r="N660" s="129">
        <v>0</v>
      </c>
      <c r="O660" s="126">
        <v>0</v>
      </c>
      <c r="P660" s="129">
        <v>0</v>
      </c>
      <c r="Q660" s="126">
        <v>0</v>
      </c>
      <c r="R660" s="129">
        <v>0</v>
      </c>
      <c r="S660" s="126">
        <v>12.573333333333336</v>
      </c>
      <c r="T660" s="129">
        <v>33.053166666666669</v>
      </c>
      <c r="U660" s="126">
        <v>53.508333333333319</v>
      </c>
      <c r="V660" s="129">
        <v>53.675500000000028</v>
      </c>
      <c r="W660" s="126">
        <v>43.402833333333326</v>
      </c>
      <c r="X660" s="129">
        <v>0</v>
      </c>
      <c r="Y660" s="126">
        <v>0</v>
      </c>
      <c r="Z660" s="129">
        <v>0</v>
      </c>
      <c r="AA660" s="126">
        <v>0</v>
      </c>
      <c r="AB660" s="129">
        <v>0</v>
      </c>
      <c r="AC660" s="238">
        <f t="shared" si="339"/>
        <v>196.21316666666667</v>
      </c>
      <c r="AD660" s="238"/>
      <c r="AE660" s="238"/>
    </row>
    <row r="661" spans="2:31" x14ac:dyDescent="0.3">
      <c r="B661" s="245" t="s">
        <v>11</v>
      </c>
      <c r="C661" s="245"/>
      <c r="D661" s="245"/>
      <c r="E661" s="126">
        <v>0</v>
      </c>
      <c r="F661" s="129">
        <v>0</v>
      </c>
      <c r="G661" s="126">
        <v>0</v>
      </c>
      <c r="H661" s="129">
        <v>0</v>
      </c>
      <c r="I661" s="126">
        <v>0</v>
      </c>
      <c r="J661" s="129">
        <v>0</v>
      </c>
      <c r="K661" s="126">
        <v>0</v>
      </c>
      <c r="L661" s="129">
        <v>0</v>
      </c>
      <c r="M661" s="126">
        <v>0</v>
      </c>
      <c r="N661" s="129">
        <v>0</v>
      </c>
      <c r="O661" s="126">
        <v>0</v>
      </c>
      <c r="P661" s="129">
        <v>0</v>
      </c>
      <c r="Q661" s="126">
        <v>0</v>
      </c>
      <c r="R661" s="129">
        <v>2.7601666666666662</v>
      </c>
      <c r="S661" s="126">
        <v>30.729333333333329</v>
      </c>
      <c r="T661" s="129">
        <v>53.13066666666667</v>
      </c>
      <c r="U661" s="126">
        <v>75.664833333333348</v>
      </c>
      <c r="V661" s="129">
        <v>71.341833333333341</v>
      </c>
      <c r="W661" s="126">
        <v>52.980999999999995</v>
      </c>
      <c r="X661" s="129">
        <v>0</v>
      </c>
      <c r="Y661" s="126">
        <v>0</v>
      </c>
      <c r="Z661" s="129">
        <v>0</v>
      </c>
      <c r="AA661" s="126">
        <v>0</v>
      </c>
      <c r="AB661" s="129">
        <v>0</v>
      </c>
      <c r="AC661" s="238">
        <f t="shared" si="339"/>
        <v>286.60783333333336</v>
      </c>
      <c r="AD661" s="238"/>
      <c r="AE661" s="238"/>
    </row>
    <row r="662" spans="2:31" x14ac:dyDescent="0.3">
      <c r="B662" s="245" t="s">
        <v>12</v>
      </c>
      <c r="C662" s="245"/>
      <c r="D662" s="245"/>
      <c r="E662" s="126">
        <v>0</v>
      </c>
      <c r="F662" s="129">
        <v>0</v>
      </c>
      <c r="G662" s="126">
        <v>0</v>
      </c>
      <c r="H662" s="129">
        <v>0</v>
      </c>
      <c r="I662" s="126">
        <v>0</v>
      </c>
      <c r="J662" s="129">
        <v>0</v>
      </c>
      <c r="K662" s="126">
        <v>0</v>
      </c>
      <c r="L662" s="129">
        <v>0</v>
      </c>
      <c r="M662" s="126">
        <v>0</v>
      </c>
      <c r="N662" s="129">
        <v>0</v>
      </c>
      <c r="O662" s="126">
        <v>0</v>
      </c>
      <c r="P662" s="129">
        <v>0</v>
      </c>
      <c r="Q662" s="126">
        <v>0</v>
      </c>
      <c r="R662" s="129">
        <v>3.2106666666666657</v>
      </c>
      <c r="S662" s="126">
        <v>34.498000000000005</v>
      </c>
      <c r="T662" s="129">
        <v>66.261166666666654</v>
      </c>
      <c r="U662" s="126">
        <v>93.222833333333341</v>
      </c>
      <c r="V662" s="129">
        <v>86.003166666666658</v>
      </c>
      <c r="W662" s="126">
        <v>65.846000000000004</v>
      </c>
      <c r="X662" s="129">
        <v>0</v>
      </c>
      <c r="Y662" s="126">
        <v>0</v>
      </c>
      <c r="Z662" s="129">
        <v>0</v>
      </c>
      <c r="AA662" s="126">
        <v>0</v>
      </c>
      <c r="AB662" s="129">
        <v>0</v>
      </c>
      <c r="AC662" s="238">
        <f t="shared" si="339"/>
        <v>349.04183333333333</v>
      </c>
      <c r="AD662" s="238"/>
      <c r="AE662" s="238"/>
    </row>
    <row r="663" spans="2:31" x14ac:dyDescent="0.3">
      <c r="B663" s="245" t="s">
        <v>13</v>
      </c>
      <c r="C663" s="245"/>
      <c r="D663" s="245"/>
      <c r="E663" s="126">
        <v>0</v>
      </c>
      <c r="F663" s="129">
        <v>0</v>
      </c>
      <c r="G663" s="126">
        <v>0</v>
      </c>
      <c r="H663" s="129">
        <v>0</v>
      </c>
      <c r="I663" s="126">
        <v>0</v>
      </c>
      <c r="J663" s="129">
        <v>0</v>
      </c>
      <c r="K663" s="126">
        <v>0</v>
      </c>
      <c r="L663" s="129">
        <v>0</v>
      </c>
      <c r="M663" s="126">
        <v>0</v>
      </c>
      <c r="N663" s="129">
        <v>0</v>
      </c>
      <c r="O663" s="126">
        <v>0</v>
      </c>
      <c r="P663" s="129">
        <v>0</v>
      </c>
      <c r="Q663" s="126">
        <v>0</v>
      </c>
      <c r="R663" s="129">
        <v>7.778500000000002</v>
      </c>
      <c r="S663" s="126">
        <v>42.883166666666675</v>
      </c>
      <c r="T663" s="129">
        <v>68.922499999999943</v>
      </c>
      <c r="U663" s="126">
        <v>93.093166666666676</v>
      </c>
      <c r="V663" s="129">
        <v>119.36383333333323</v>
      </c>
      <c r="W663" s="126">
        <v>98.991000000000057</v>
      </c>
      <c r="X663" s="129">
        <v>0</v>
      </c>
      <c r="Y663" s="126">
        <v>0</v>
      </c>
      <c r="Z663" s="129">
        <v>0</v>
      </c>
      <c r="AA663" s="126">
        <v>0</v>
      </c>
      <c r="AB663" s="129">
        <v>0</v>
      </c>
      <c r="AC663" s="238">
        <f t="shared" si="339"/>
        <v>431.03216666666657</v>
      </c>
      <c r="AD663" s="238"/>
      <c r="AE663" s="238"/>
    </row>
    <row r="664" spans="2:31" x14ac:dyDescent="0.3">
      <c r="B664" s="245" t="s">
        <v>14</v>
      </c>
      <c r="C664" s="245"/>
      <c r="D664" s="245"/>
      <c r="E664" s="126">
        <v>0</v>
      </c>
      <c r="F664" s="129">
        <v>0</v>
      </c>
      <c r="G664" s="126">
        <v>0</v>
      </c>
      <c r="H664" s="129">
        <v>0</v>
      </c>
      <c r="I664" s="126">
        <v>0</v>
      </c>
      <c r="J664" s="129">
        <v>0</v>
      </c>
      <c r="K664" s="126">
        <v>0</v>
      </c>
      <c r="L664" s="129">
        <v>0</v>
      </c>
      <c r="M664" s="126">
        <v>0</v>
      </c>
      <c r="N664" s="129">
        <v>0</v>
      </c>
      <c r="O664" s="126">
        <v>0</v>
      </c>
      <c r="P664" s="129">
        <v>0</v>
      </c>
      <c r="Q664" s="126">
        <v>0</v>
      </c>
      <c r="R664" s="129">
        <v>0.9250000000000006</v>
      </c>
      <c r="S664" s="126">
        <v>1.75</v>
      </c>
      <c r="T664" s="129">
        <v>2.049999999999998</v>
      </c>
      <c r="U664" s="126">
        <v>2.049999999999998</v>
      </c>
      <c r="V664" s="129">
        <v>1.6500000000000015</v>
      </c>
      <c r="W664" s="126">
        <v>0.95833333333333337</v>
      </c>
      <c r="X664" s="129">
        <v>0</v>
      </c>
      <c r="Y664" s="126">
        <v>0</v>
      </c>
      <c r="Z664" s="129">
        <v>0</v>
      </c>
      <c r="AA664" s="126">
        <v>0</v>
      </c>
      <c r="AB664" s="129">
        <v>0</v>
      </c>
      <c r="AC664" s="238">
        <f t="shared" si="339"/>
        <v>9.3833333333333329</v>
      </c>
      <c r="AD664" s="238"/>
      <c r="AE664" s="238"/>
    </row>
    <row r="665" spans="2:31" x14ac:dyDescent="0.3">
      <c r="B665" s="245" t="s">
        <v>15</v>
      </c>
      <c r="C665" s="245"/>
      <c r="D665" s="245"/>
      <c r="E665" s="126">
        <v>0</v>
      </c>
      <c r="F665" s="129">
        <v>0</v>
      </c>
      <c r="G665" s="126">
        <v>0</v>
      </c>
      <c r="H665" s="129">
        <v>0</v>
      </c>
      <c r="I665" s="126">
        <v>0</v>
      </c>
      <c r="J665" s="129">
        <v>0</v>
      </c>
      <c r="K665" s="126">
        <v>0</v>
      </c>
      <c r="L665" s="129">
        <v>0</v>
      </c>
      <c r="M665" s="126">
        <v>0</v>
      </c>
      <c r="N665" s="129">
        <v>0</v>
      </c>
      <c r="O665" s="126">
        <v>0</v>
      </c>
      <c r="P665" s="129">
        <v>0</v>
      </c>
      <c r="Q665" s="126">
        <v>0</v>
      </c>
      <c r="R665" s="129">
        <v>19.211166666666664</v>
      </c>
      <c r="S665" s="126">
        <v>45.234999999999999</v>
      </c>
      <c r="T665" s="129">
        <v>43.573999999999977</v>
      </c>
      <c r="U665" s="126">
        <v>37.251833333333344</v>
      </c>
      <c r="V665" s="129">
        <v>45.037500000000001</v>
      </c>
      <c r="W665" s="126">
        <v>41.647833333333324</v>
      </c>
      <c r="X665" s="129">
        <v>0</v>
      </c>
      <c r="Y665" s="126">
        <v>0</v>
      </c>
      <c r="Z665" s="129">
        <v>0</v>
      </c>
      <c r="AA665" s="126">
        <v>0</v>
      </c>
      <c r="AB665" s="129">
        <v>0</v>
      </c>
      <c r="AC665" s="238">
        <f t="shared" si="339"/>
        <v>231.95733333333331</v>
      </c>
      <c r="AD665" s="238"/>
      <c r="AE665" s="238"/>
    </row>
    <row r="666" spans="2:31" x14ac:dyDescent="0.3">
      <c r="B666" s="245" t="s">
        <v>16</v>
      </c>
      <c r="C666" s="245"/>
      <c r="D666" s="245"/>
      <c r="E666" s="126">
        <v>0</v>
      </c>
      <c r="F666" s="129">
        <v>0</v>
      </c>
      <c r="G666" s="126">
        <v>0</v>
      </c>
      <c r="H666" s="129">
        <v>0</v>
      </c>
      <c r="I666" s="126">
        <v>0</v>
      </c>
      <c r="J666" s="129">
        <v>0</v>
      </c>
      <c r="K666" s="126">
        <v>0</v>
      </c>
      <c r="L666" s="129">
        <v>0</v>
      </c>
      <c r="M666" s="126">
        <v>0</v>
      </c>
      <c r="N666" s="129">
        <v>0</v>
      </c>
      <c r="O666" s="126">
        <v>0</v>
      </c>
      <c r="P666" s="129">
        <v>0</v>
      </c>
      <c r="Q666" s="126">
        <v>0</v>
      </c>
      <c r="R666" s="129">
        <v>11.681000000000001</v>
      </c>
      <c r="S666" s="126">
        <v>25.401000000000007</v>
      </c>
      <c r="T666" s="129">
        <v>17.849333333333334</v>
      </c>
      <c r="U666" s="126">
        <v>11.290999999999999</v>
      </c>
      <c r="V666" s="129">
        <v>2.7538333333333322</v>
      </c>
      <c r="W666" s="126">
        <v>0</v>
      </c>
      <c r="X666" s="129">
        <v>0</v>
      </c>
      <c r="Y666" s="126">
        <v>0</v>
      </c>
      <c r="Z666" s="129">
        <v>0</v>
      </c>
      <c r="AA666" s="126">
        <v>0</v>
      </c>
      <c r="AB666" s="129">
        <v>0</v>
      </c>
      <c r="AC666" s="238">
        <f t="shared" si="339"/>
        <v>68.976166666666671</v>
      </c>
      <c r="AD666" s="238"/>
      <c r="AE666" s="238"/>
    </row>
    <row r="667" spans="2:31" x14ac:dyDescent="0.3">
      <c r="B667" s="245" t="s">
        <v>17</v>
      </c>
      <c r="C667" s="245"/>
      <c r="D667" s="245"/>
      <c r="E667" s="126">
        <v>0</v>
      </c>
      <c r="F667" s="129">
        <v>0</v>
      </c>
      <c r="G667" s="126">
        <v>0</v>
      </c>
      <c r="H667" s="129">
        <v>0</v>
      </c>
      <c r="I667" s="126">
        <v>0</v>
      </c>
      <c r="J667" s="129">
        <v>0</v>
      </c>
      <c r="K667" s="126">
        <v>0</v>
      </c>
      <c r="L667" s="129">
        <v>0</v>
      </c>
      <c r="M667" s="126">
        <v>0</v>
      </c>
      <c r="N667" s="129">
        <v>0</v>
      </c>
      <c r="O667" s="126">
        <v>0</v>
      </c>
      <c r="P667" s="129">
        <v>0</v>
      </c>
      <c r="Q667" s="126">
        <v>0</v>
      </c>
      <c r="R667" s="129">
        <v>7.466666666666665</v>
      </c>
      <c r="S667" s="126">
        <v>23.490833333333342</v>
      </c>
      <c r="T667" s="129">
        <v>29.350833333333334</v>
      </c>
      <c r="U667" s="126">
        <v>31.130333333333333</v>
      </c>
      <c r="V667" s="129">
        <v>34.118666666666648</v>
      </c>
      <c r="W667" s="126">
        <v>26.946000000000005</v>
      </c>
      <c r="X667" s="129">
        <v>0</v>
      </c>
      <c r="Y667" s="126">
        <v>0</v>
      </c>
      <c r="Z667" s="129">
        <v>0</v>
      </c>
      <c r="AA667" s="126">
        <v>0</v>
      </c>
      <c r="AB667" s="129">
        <v>0</v>
      </c>
      <c r="AC667" s="238">
        <f t="shared" si="339"/>
        <v>152.50333333333333</v>
      </c>
      <c r="AD667" s="238"/>
      <c r="AE667" s="238"/>
    </row>
    <row r="668" spans="2:31" x14ac:dyDescent="0.3">
      <c r="B668" s="245" t="s">
        <v>18</v>
      </c>
      <c r="C668" s="245"/>
      <c r="D668" s="245"/>
      <c r="E668" s="126">
        <v>0</v>
      </c>
      <c r="F668" s="129">
        <v>0</v>
      </c>
      <c r="G668" s="126">
        <v>0</v>
      </c>
      <c r="H668" s="129">
        <v>0</v>
      </c>
      <c r="I668" s="126">
        <v>0</v>
      </c>
      <c r="J668" s="129">
        <v>0</v>
      </c>
      <c r="K668" s="126">
        <v>0</v>
      </c>
      <c r="L668" s="129">
        <v>0</v>
      </c>
      <c r="M668" s="126">
        <v>0</v>
      </c>
      <c r="N668" s="129">
        <v>0</v>
      </c>
      <c r="O668" s="126">
        <v>0</v>
      </c>
      <c r="P668" s="129">
        <v>0</v>
      </c>
      <c r="Q668" s="126">
        <v>0</v>
      </c>
      <c r="R668" s="129">
        <v>14.763666666666666</v>
      </c>
      <c r="S668" s="126">
        <v>41.01733333333334</v>
      </c>
      <c r="T668" s="129">
        <v>37.648333333333333</v>
      </c>
      <c r="U668" s="126">
        <v>40.281333333333322</v>
      </c>
      <c r="V668" s="129">
        <v>43.358666666666679</v>
      </c>
      <c r="W668" s="126">
        <v>36.893000000000015</v>
      </c>
      <c r="X668" s="129">
        <v>0</v>
      </c>
      <c r="Y668" s="126">
        <v>0</v>
      </c>
      <c r="Z668" s="129">
        <v>0</v>
      </c>
      <c r="AA668" s="126">
        <v>0</v>
      </c>
      <c r="AB668" s="129">
        <v>0</v>
      </c>
      <c r="AC668" s="238">
        <f t="shared" si="339"/>
        <v>213.96233333333339</v>
      </c>
      <c r="AD668" s="238"/>
      <c r="AE668" s="238"/>
    </row>
    <row r="669" spans="2:31" x14ac:dyDescent="0.3">
      <c r="B669" s="245" t="s">
        <v>19</v>
      </c>
      <c r="C669" s="245"/>
      <c r="D669" s="245"/>
      <c r="E669" s="126">
        <v>0</v>
      </c>
      <c r="F669" s="129">
        <v>0</v>
      </c>
      <c r="G669" s="126">
        <v>0</v>
      </c>
      <c r="H669" s="129">
        <v>0</v>
      </c>
      <c r="I669" s="126">
        <v>0</v>
      </c>
      <c r="J669" s="129">
        <v>0</v>
      </c>
      <c r="K669" s="126">
        <v>0</v>
      </c>
      <c r="L669" s="129">
        <v>0</v>
      </c>
      <c r="M669" s="126">
        <v>0</v>
      </c>
      <c r="N669" s="129">
        <v>0</v>
      </c>
      <c r="O669" s="126">
        <v>0</v>
      </c>
      <c r="P669" s="129">
        <v>0</v>
      </c>
      <c r="Q669" s="126">
        <v>0</v>
      </c>
      <c r="R669" s="129">
        <v>17.266333333333325</v>
      </c>
      <c r="S669" s="126">
        <v>40.05633333333332</v>
      </c>
      <c r="T669" s="129">
        <v>47.597166666666666</v>
      </c>
      <c r="U669" s="126">
        <v>53.326666666666647</v>
      </c>
      <c r="V669" s="129">
        <v>38.543166666666664</v>
      </c>
      <c r="W669" s="126">
        <v>24.874333333333329</v>
      </c>
      <c r="X669" s="129">
        <v>0</v>
      </c>
      <c r="Y669" s="126">
        <v>0</v>
      </c>
      <c r="Z669" s="129">
        <v>0</v>
      </c>
      <c r="AA669" s="126">
        <v>0</v>
      </c>
      <c r="AB669" s="129">
        <v>0</v>
      </c>
      <c r="AC669" s="238">
        <f t="shared" si="339"/>
        <v>221.66399999999996</v>
      </c>
      <c r="AD669" s="238"/>
      <c r="AE669" s="238"/>
    </row>
    <row r="670" spans="2:31" x14ac:dyDescent="0.3">
      <c r="B670" s="245" t="s">
        <v>20</v>
      </c>
      <c r="C670" s="245"/>
      <c r="D670" s="245"/>
      <c r="E670" s="126">
        <v>0</v>
      </c>
      <c r="F670" s="129">
        <v>0</v>
      </c>
      <c r="G670" s="126">
        <v>0</v>
      </c>
      <c r="H670" s="129">
        <v>0</v>
      </c>
      <c r="I670" s="126">
        <v>0</v>
      </c>
      <c r="J670" s="129">
        <v>0</v>
      </c>
      <c r="K670" s="126">
        <v>0</v>
      </c>
      <c r="L670" s="129">
        <v>0</v>
      </c>
      <c r="M670" s="126">
        <v>0</v>
      </c>
      <c r="N670" s="129">
        <v>0</v>
      </c>
      <c r="O670" s="126">
        <v>0</v>
      </c>
      <c r="P670" s="129">
        <v>0</v>
      </c>
      <c r="Q670" s="126">
        <v>0</v>
      </c>
      <c r="R670" s="129">
        <v>4.6530000000000005</v>
      </c>
      <c r="S670" s="126">
        <v>10.411166666666668</v>
      </c>
      <c r="T670" s="129">
        <v>10.387166666666666</v>
      </c>
      <c r="U670" s="126">
        <v>12.762000000000002</v>
      </c>
      <c r="V670" s="129">
        <v>0.71100000000000052</v>
      </c>
      <c r="W670" s="126">
        <v>18.761500000000005</v>
      </c>
      <c r="X670" s="129">
        <v>0</v>
      </c>
      <c r="Y670" s="126">
        <v>0</v>
      </c>
      <c r="Z670" s="129">
        <v>0</v>
      </c>
      <c r="AA670" s="126">
        <v>0</v>
      </c>
      <c r="AB670" s="129">
        <v>0</v>
      </c>
      <c r="AC670" s="238">
        <f t="shared" si="339"/>
        <v>57.685833333333342</v>
      </c>
      <c r="AD670" s="238"/>
      <c r="AE670" s="238"/>
    </row>
    <row r="671" spans="2:31" x14ac:dyDescent="0.3">
      <c r="B671" s="245" t="s">
        <v>21</v>
      </c>
      <c r="C671" s="245"/>
      <c r="D671" s="245"/>
      <c r="E671" s="126">
        <v>0</v>
      </c>
      <c r="F671" s="129">
        <v>0</v>
      </c>
      <c r="G671" s="126">
        <v>0</v>
      </c>
      <c r="H671" s="129">
        <v>0</v>
      </c>
      <c r="I671" s="126">
        <v>0</v>
      </c>
      <c r="J671" s="129">
        <v>0</v>
      </c>
      <c r="K671" s="126">
        <v>0</v>
      </c>
      <c r="L671" s="129">
        <v>0</v>
      </c>
      <c r="M671" s="126">
        <v>0</v>
      </c>
      <c r="N671" s="129">
        <v>0</v>
      </c>
      <c r="O671" s="126">
        <v>0</v>
      </c>
      <c r="P671" s="129">
        <v>0</v>
      </c>
      <c r="Q671" s="126">
        <v>0</v>
      </c>
      <c r="R671" s="129">
        <v>6.8296666666666663</v>
      </c>
      <c r="S671" s="126">
        <v>18.487499999999997</v>
      </c>
      <c r="T671" s="129">
        <v>14.26866666666667</v>
      </c>
      <c r="U671" s="126">
        <v>12.714333333333336</v>
      </c>
      <c r="V671" s="129">
        <v>12.682333333333332</v>
      </c>
      <c r="W671" s="126">
        <v>4.5639999999999983</v>
      </c>
      <c r="X671" s="129">
        <v>0</v>
      </c>
      <c r="Y671" s="126">
        <v>0</v>
      </c>
      <c r="Z671" s="129">
        <v>0</v>
      </c>
      <c r="AA671" s="126">
        <v>0</v>
      </c>
      <c r="AB671" s="129">
        <v>0</v>
      </c>
      <c r="AC671" s="238">
        <f t="shared" si="339"/>
        <v>69.546499999999995</v>
      </c>
      <c r="AD671" s="238"/>
      <c r="AE671" s="238"/>
    </row>
    <row r="672" spans="2:31" x14ac:dyDescent="0.3">
      <c r="B672" s="245" t="s">
        <v>22</v>
      </c>
      <c r="C672" s="245"/>
      <c r="D672" s="245"/>
      <c r="E672" s="126">
        <v>0</v>
      </c>
      <c r="F672" s="129">
        <v>0</v>
      </c>
      <c r="G672" s="126">
        <v>0</v>
      </c>
      <c r="H672" s="129">
        <v>0</v>
      </c>
      <c r="I672" s="126">
        <v>0</v>
      </c>
      <c r="J672" s="129">
        <v>0</v>
      </c>
      <c r="K672" s="126">
        <v>0</v>
      </c>
      <c r="L672" s="129">
        <v>0</v>
      </c>
      <c r="M672" s="126">
        <v>0</v>
      </c>
      <c r="N672" s="129">
        <v>0</v>
      </c>
      <c r="O672" s="126">
        <v>0</v>
      </c>
      <c r="P672" s="129">
        <v>0</v>
      </c>
      <c r="Q672" s="126">
        <v>0</v>
      </c>
      <c r="R672" s="129">
        <v>2.2620000000000005</v>
      </c>
      <c r="S672" s="126">
        <v>5.2228333333333348</v>
      </c>
      <c r="T672" s="129">
        <v>4.174833333333333</v>
      </c>
      <c r="U672" s="126">
        <v>3.8224999999999998</v>
      </c>
      <c r="V672" s="129">
        <v>3.0541666666666667</v>
      </c>
      <c r="W672" s="126">
        <v>1.9063333333333334</v>
      </c>
      <c r="X672" s="129">
        <v>0</v>
      </c>
      <c r="Y672" s="126">
        <v>0</v>
      </c>
      <c r="Z672" s="129">
        <v>0</v>
      </c>
      <c r="AA672" s="126">
        <v>0</v>
      </c>
      <c r="AB672" s="129">
        <v>0</v>
      </c>
      <c r="AC672" s="238">
        <f t="shared" si="339"/>
        <v>20.442666666666668</v>
      </c>
      <c r="AD672" s="238"/>
      <c r="AE672" s="238"/>
    </row>
    <row r="673" spans="2:31" x14ac:dyDescent="0.3">
      <c r="B673" s="245" t="s">
        <v>23</v>
      </c>
      <c r="C673" s="245"/>
      <c r="D673" s="245"/>
      <c r="E673" s="126">
        <v>0</v>
      </c>
      <c r="F673" s="129">
        <v>0</v>
      </c>
      <c r="G673" s="126">
        <v>0</v>
      </c>
      <c r="H673" s="129">
        <v>0</v>
      </c>
      <c r="I673" s="126">
        <v>0</v>
      </c>
      <c r="J673" s="129">
        <v>0</v>
      </c>
      <c r="K673" s="126">
        <v>0</v>
      </c>
      <c r="L673" s="129">
        <v>0</v>
      </c>
      <c r="M673" s="126">
        <v>0</v>
      </c>
      <c r="N673" s="129">
        <v>0</v>
      </c>
      <c r="O673" s="126">
        <v>0</v>
      </c>
      <c r="P673" s="129">
        <v>0</v>
      </c>
      <c r="Q673" s="126">
        <v>0</v>
      </c>
      <c r="R673" s="129">
        <v>7.5396666666666663</v>
      </c>
      <c r="S673" s="126">
        <v>15.501333333333339</v>
      </c>
      <c r="T673" s="129">
        <v>13.129333333333332</v>
      </c>
      <c r="U673" s="126">
        <v>11.493166666666664</v>
      </c>
      <c r="V673" s="129">
        <v>14.016499999999997</v>
      </c>
      <c r="W673" s="126">
        <v>15.604166666666666</v>
      </c>
      <c r="X673" s="129">
        <v>0</v>
      </c>
      <c r="Y673" s="126">
        <v>0</v>
      </c>
      <c r="Z673" s="129">
        <v>0</v>
      </c>
      <c r="AA673" s="126">
        <v>0</v>
      </c>
      <c r="AB673" s="129">
        <v>0</v>
      </c>
      <c r="AC673" s="238">
        <f t="shared" si="339"/>
        <v>77.284166666666664</v>
      </c>
      <c r="AD673" s="238"/>
      <c r="AE673" s="238"/>
    </row>
    <row r="674" spans="2:31" x14ac:dyDescent="0.3">
      <c r="B674" s="245" t="s">
        <v>24</v>
      </c>
      <c r="C674" s="245"/>
      <c r="D674" s="245"/>
      <c r="E674" s="126">
        <v>0</v>
      </c>
      <c r="F674" s="129">
        <v>0</v>
      </c>
      <c r="G674" s="126">
        <v>0</v>
      </c>
      <c r="H674" s="129">
        <v>0</v>
      </c>
      <c r="I674" s="126">
        <v>0</v>
      </c>
      <c r="J674" s="129">
        <v>0</v>
      </c>
      <c r="K674" s="126">
        <v>0</v>
      </c>
      <c r="L674" s="129">
        <v>0</v>
      </c>
      <c r="M674" s="126">
        <v>0</v>
      </c>
      <c r="N674" s="129">
        <v>0</v>
      </c>
      <c r="O674" s="126">
        <v>0</v>
      </c>
      <c r="P674" s="129">
        <v>0</v>
      </c>
      <c r="Q674" s="126">
        <v>0</v>
      </c>
      <c r="R674" s="129">
        <v>8.8891666666666644</v>
      </c>
      <c r="S674" s="126">
        <v>21.077166666666663</v>
      </c>
      <c r="T674" s="129">
        <v>22.633666666666677</v>
      </c>
      <c r="U674" s="126">
        <v>23.733666666666657</v>
      </c>
      <c r="V674" s="129">
        <v>26.485500000000005</v>
      </c>
      <c r="W674" s="126">
        <v>21.651999999999997</v>
      </c>
      <c r="X674" s="129">
        <v>0</v>
      </c>
      <c r="Y674" s="126">
        <v>0</v>
      </c>
      <c r="Z674" s="129">
        <v>0</v>
      </c>
      <c r="AA674" s="126">
        <v>0</v>
      </c>
      <c r="AB674" s="129">
        <v>0</v>
      </c>
      <c r="AC674" s="238">
        <f t="shared" si="339"/>
        <v>124.47116666666666</v>
      </c>
      <c r="AD674" s="238"/>
      <c r="AE674" s="238"/>
    </row>
    <row r="675" spans="2:31" x14ac:dyDescent="0.3">
      <c r="B675" s="245" t="s">
        <v>25</v>
      </c>
      <c r="C675" s="245"/>
      <c r="D675" s="245"/>
      <c r="E675" s="126">
        <v>0</v>
      </c>
      <c r="F675" s="129">
        <v>0</v>
      </c>
      <c r="G675" s="126">
        <v>0</v>
      </c>
      <c r="H675" s="129">
        <v>0</v>
      </c>
      <c r="I675" s="126">
        <v>0</v>
      </c>
      <c r="J675" s="129">
        <v>0</v>
      </c>
      <c r="K675" s="126">
        <v>0</v>
      </c>
      <c r="L675" s="129">
        <v>0</v>
      </c>
      <c r="M675" s="126">
        <v>0</v>
      </c>
      <c r="N675" s="129">
        <v>0</v>
      </c>
      <c r="O675" s="126">
        <v>0</v>
      </c>
      <c r="P675" s="129">
        <v>0</v>
      </c>
      <c r="Q675" s="126">
        <v>0</v>
      </c>
      <c r="R675" s="129">
        <v>0.45316666666666661</v>
      </c>
      <c r="S675" s="126">
        <v>6.7166666666666652E-2</v>
      </c>
      <c r="T675" s="129">
        <v>2.2999999999999955E-2</v>
      </c>
      <c r="U675" s="126">
        <v>0</v>
      </c>
      <c r="V675" s="129">
        <v>0.17016666666666672</v>
      </c>
      <c r="W675" s="126">
        <v>3.3888333333333325</v>
      </c>
      <c r="X675" s="129">
        <v>0</v>
      </c>
      <c r="Y675" s="126">
        <v>0</v>
      </c>
      <c r="Z675" s="129">
        <v>0</v>
      </c>
      <c r="AA675" s="126">
        <v>0</v>
      </c>
      <c r="AB675" s="129">
        <v>0</v>
      </c>
      <c r="AC675" s="238">
        <f t="shared" si="339"/>
        <v>4.1023333333333323</v>
      </c>
      <c r="AD675" s="238"/>
      <c r="AE675" s="238"/>
    </row>
    <row r="676" spans="2:31" x14ac:dyDescent="0.3">
      <c r="B676" s="245" t="s">
        <v>26</v>
      </c>
      <c r="C676" s="245"/>
      <c r="D676" s="245"/>
      <c r="E676" s="126">
        <v>0</v>
      </c>
      <c r="F676" s="129">
        <v>0</v>
      </c>
      <c r="G676" s="126">
        <v>0</v>
      </c>
      <c r="H676" s="129">
        <v>0</v>
      </c>
      <c r="I676" s="126">
        <v>0</v>
      </c>
      <c r="J676" s="129">
        <v>0</v>
      </c>
      <c r="K676" s="126">
        <v>0</v>
      </c>
      <c r="L676" s="129">
        <v>0</v>
      </c>
      <c r="M676" s="126">
        <v>0</v>
      </c>
      <c r="N676" s="129">
        <v>0</v>
      </c>
      <c r="O676" s="126">
        <v>0</v>
      </c>
      <c r="P676" s="129">
        <v>0</v>
      </c>
      <c r="Q676" s="126">
        <v>0</v>
      </c>
      <c r="R676" s="129">
        <v>0</v>
      </c>
      <c r="S676" s="126">
        <v>0</v>
      </c>
      <c r="T676" s="129">
        <v>0</v>
      </c>
      <c r="U676" s="126">
        <v>0</v>
      </c>
      <c r="V676" s="129">
        <v>0</v>
      </c>
      <c r="W676" s="126">
        <v>0</v>
      </c>
      <c r="X676" s="129">
        <v>0</v>
      </c>
      <c r="Y676" s="126">
        <v>0</v>
      </c>
      <c r="Z676" s="129">
        <v>0</v>
      </c>
      <c r="AA676" s="126">
        <v>0</v>
      </c>
      <c r="AB676" s="129">
        <v>0</v>
      </c>
      <c r="AC676" s="238">
        <f t="shared" si="339"/>
        <v>0</v>
      </c>
      <c r="AD676" s="238"/>
      <c r="AE676" s="238"/>
    </row>
    <row r="677" spans="2:31" x14ac:dyDescent="0.3">
      <c r="B677" s="245" t="s">
        <v>27</v>
      </c>
      <c r="C677" s="245"/>
      <c r="D677" s="245"/>
      <c r="E677" s="126">
        <v>0</v>
      </c>
      <c r="F677" s="129">
        <v>0</v>
      </c>
      <c r="G677" s="126">
        <v>0</v>
      </c>
      <c r="H677" s="129">
        <v>0</v>
      </c>
      <c r="I677" s="126">
        <v>0</v>
      </c>
      <c r="J677" s="129">
        <v>0</v>
      </c>
      <c r="K677" s="126">
        <v>0</v>
      </c>
      <c r="L677" s="129">
        <v>0</v>
      </c>
      <c r="M677" s="126">
        <v>0</v>
      </c>
      <c r="N677" s="129">
        <v>0</v>
      </c>
      <c r="O677" s="126">
        <v>0</v>
      </c>
      <c r="P677" s="129">
        <v>0</v>
      </c>
      <c r="Q677" s="126">
        <v>0</v>
      </c>
      <c r="R677" s="129">
        <v>1.0226666666666668</v>
      </c>
      <c r="S677" s="126">
        <v>5.2308333333333339</v>
      </c>
      <c r="T677" s="129">
        <v>15.192</v>
      </c>
      <c r="U677" s="126">
        <v>8.6995000000000005</v>
      </c>
      <c r="V677" s="129">
        <v>0</v>
      </c>
      <c r="W677" s="126">
        <v>0</v>
      </c>
      <c r="X677" s="129">
        <v>0</v>
      </c>
      <c r="Y677" s="126">
        <v>0</v>
      </c>
      <c r="Z677" s="129">
        <v>0</v>
      </c>
      <c r="AA677" s="126">
        <v>0</v>
      </c>
      <c r="AB677" s="129">
        <v>0</v>
      </c>
      <c r="AC677" s="238">
        <f t="shared" si="339"/>
        <v>30.145000000000003</v>
      </c>
      <c r="AD677" s="238"/>
      <c r="AE677" s="238"/>
    </row>
    <row r="678" spans="2:31" x14ac:dyDescent="0.3">
      <c r="B678" s="245" t="s">
        <v>28</v>
      </c>
      <c r="C678" s="245"/>
      <c r="D678" s="245"/>
      <c r="E678" s="126">
        <v>0</v>
      </c>
      <c r="F678" s="129">
        <v>0</v>
      </c>
      <c r="G678" s="126">
        <v>0</v>
      </c>
      <c r="H678" s="129">
        <v>0</v>
      </c>
      <c r="I678" s="126">
        <v>0</v>
      </c>
      <c r="J678" s="129">
        <v>0</v>
      </c>
      <c r="K678" s="126">
        <v>0</v>
      </c>
      <c r="L678" s="129">
        <v>0</v>
      </c>
      <c r="M678" s="126">
        <v>0</v>
      </c>
      <c r="N678" s="129">
        <v>0</v>
      </c>
      <c r="O678" s="126">
        <v>0</v>
      </c>
      <c r="P678" s="129">
        <v>0</v>
      </c>
      <c r="Q678" s="126">
        <v>0</v>
      </c>
      <c r="R678" s="129">
        <v>6.2593333333333314</v>
      </c>
      <c r="S678" s="126">
        <v>28.156999999999961</v>
      </c>
      <c r="T678" s="129">
        <v>44.059166666666684</v>
      </c>
      <c r="U678" s="126">
        <v>46.757166666666663</v>
      </c>
      <c r="V678" s="129">
        <v>42.570499999999988</v>
      </c>
      <c r="W678" s="126">
        <v>32.586166666666664</v>
      </c>
      <c r="X678" s="129">
        <v>0</v>
      </c>
      <c r="Y678" s="126">
        <v>0</v>
      </c>
      <c r="Z678" s="129">
        <v>0</v>
      </c>
      <c r="AA678" s="126">
        <v>0</v>
      </c>
      <c r="AB678" s="129">
        <v>0</v>
      </c>
      <c r="AC678" s="238">
        <f t="shared" si="339"/>
        <v>200.3893333333333</v>
      </c>
      <c r="AD678" s="238"/>
      <c r="AE678" s="238"/>
    </row>
    <row r="679" spans="2:31" x14ac:dyDescent="0.3">
      <c r="B679" s="245" t="s">
        <v>92</v>
      </c>
      <c r="C679" s="245"/>
      <c r="D679" s="245"/>
      <c r="E679" s="126">
        <v>0</v>
      </c>
      <c r="F679" s="129">
        <v>0</v>
      </c>
      <c r="G679" s="126">
        <v>0</v>
      </c>
      <c r="H679" s="129">
        <v>0</v>
      </c>
      <c r="I679" s="126">
        <v>0</v>
      </c>
      <c r="J679" s="129">
        <v>0</v>
      </c>
      <c r="K679" s="126">
        <v>0</v>
      </c>
      <c r="L679" s="129">
        <v>0</v>
      </c>
      <c r="M679" s="126">
        <v>0</v>
      </c>
      <c r="N679" s="129">
        <v>0</v>
      </c>
      <c r="O679" s="126">
        <v>0</v>
      </c>
      <c r="P679" s="129">
        <v>0</v>
      </c>
      <c r="Q679" s="126">
        <v>0</v>
      </c>
      <c r="R679" s="129">
        <v>0</v>
      </c>
      <c r="S679" s="126">
        <v>0</v>
      </c>
      <c r="T679" s="129">
        <v>0</v>
      </c>
      <c r="U679" s="126">
        <v>0</v>
      </c>
      <c r="V679" s="129">
        <v>0</v>
      </c>
      <c r="W679" s="126">
        <v>0</v>
      </c>
      <c r="X679" s="129">
        <v>0</v>
      </c>
      <c r="Y679" s="126">
        <v>0</v>
      </c>
      <c r="Z679" s="129">
        <v>0</v>
      </c>
      <c r="AA679" s="126">
        <v>0</v>
      </c>
      <c r="AB679" s="129">
        <v>0</v>
      </c>
      <c r="AC679" s="238">
        <f t="shared" si="339"/>
        <v>0</v>
      </c>
      <c r="AD679" s="238"/>
      <c r="AE679" s="238"/>
    </row>
    <row r="680" spans="2:31" x14ac:dyDescent="0.3">
      <c r="B680" s="245" t="s">
        <v>29</v>
      </c>
      <c r="C680" s="245"/>
      <c r="D680" s="245"/>
      <c r="E680" s="126">
        <v>0</v>
      </c>
      <c r="F680" s="129">
        <v>0</v>
      </c>
      <c r="G680" s="126">
        <v>0</v>
      </c>
      <c r="H680" s="129">
        <v>0</v>
      </c>
      <c r="I680" s="126">
        <v>0</v>
      </c>
      <c r="J680" s="129">
        <v>0</v>
      </c>
      <c r="K680" s="126">
        <v>0</v>
      </c>
      <c r="L680" s="129">
        <v>0</v>
      </c>
      <c r="M680" s="126">
        <v>0</v>
      </c>
      <c r="N680" s="129">
        <v>0</v>
      </c>
      <c r="O680" s="126">
        <v>0</v>
      </c>
      <c r="P680" s="129">
        <v>0</v>
      </c>
      <c r="Q680" s="126">
        <v>0</v>
      </c>
      <c r="R680" s="129">
        <v>3.9730000000000003</v>
      </c>
      <c r="S680" s="126">
        <v>12.366500000000002</v>
      </c>
      <c r="T680" s="129">
        <v>4.5298333333333325</v>
      </c>
      <c r="U680" s="126">
        <v>1.2879999999999996</v>
      </c>
      <c r="V680" s="129">
        <v>1.3643333333333338</v>
      </c>
      <c r="W680" s="126">
        <v>3.7133333333333343</v>
      </c>
      <c r="X680" s="129">
        <v>0</v>
      </c>
      <c r="Y680" s="126">
        <v>0</v>
      </c>
      <c r="Z680" s="129">
        <v>0</v>
      </c>
      <c r="AA680" s="126">
        <v>0</v>
      </c>
      <c r="AB680" s="129">
        <v>0</v>
      </c>
      <c r="AC680" s="238">
        <f t="shared" si="339"/>
        <v>27.235000000000003</v>
      </c>
      <c r="AD680" s="238"/>
      <c r="AE680" s="238"/>
    </row>
    <row r="681" spans="2:31" x14ac:dyDescent="0.3">
      <c r="B681" s="245" t="s">
        <v>30</v>
      </c>
      <c r="C681" s="245"/>
      <c r="D681" s="245"/>
      <c r="E681" s="126">
        <v>0</v>
      </c>
      <c r="F681" s="129">
        <v>0</v>
      </c>
      <c r="G681" s="126">
        <v>0</v>
      </c>
      <c r="H681" s="129">
        <v>0</v>
      </c>
      <c r="I681" s="126">
        <v>0</v>
      </c>
      <c r="J681" s="129">
        <v>0</v>
      </c>
      <c r="K681" s="126">
        <v>0</v>
      </c>
      <c r="L681" s="129">
        <v>0</v>
      </c>
      <c r="M681" s="126">
        <v>0</v>
      </c>
      <c r="N681" s="129">
        <v>0</v>
      </c>
      <c r="O681" s="126">
        <v>0</v>
      </c>
      <c r="P681" s="129">
        <v>0</v>
      </c>
      <c r="Q681" s="126">
        <v>0</v>
      </c>
      <c r="R681" s="129">
        <v>0</v>
      </c>
      <c r="S681" s="126">
        <v>0</v>
      </c>
      <c r="T681" s="129">
        <v>0</v>
      </c>
      <c r="U681" s="126">
        <v>0</v>
      </c>
      <c r="V681" s="129">
        <v>0</v>
      </c>
      <c r="W681" s="126">
        <v>0</v>
      </c>
      <c r="X681" s="129">
        <v>0</v>
      </c>
      <c r="Y681" s="126">
        <v>0</v>
      </c>
      <c r="Z681" s="129">
        <v>0</v>
      </c>
      <c r="AA681" s="126">
        <v>0</v>
      </c>
      <c r="AB681" s="129">
        <v>0</v>
      </c>
      <c r="AC681" s="238">
        <f t="shared" si="339"/>
        <v>0</v>
      </c>
      <c r="AD681" s="238"/>
      <c r="AE681" s="238"/>
    </row>
    <row r="682" spans="2:31" x14ac:dyDescent="0.3">
      <c r="B682" s="245" t="s">
        <v>31</v>
      </c>
      <c r="C682" s="245"/>
      <c r="D682" s="245"/>
      <c r="E682" s="126">
        <v>0</v>
      </c>
      <c r="F682" s="129">
        <v>0</v>
      </c>
      <c r="G682" s="126">
        <v>0</v>
      </c>
      <c r="H682" s="129">
        <v>0</v>
      </c>
      <c r="I682" s="126">
        <v>0</v>
      </c>
      <c r="J682" s="129">
        <v>0</v>
      </c>
      <c r="K682" s="126">
        <v>0</v>
      </c>
      <c r="L682" s="129">
        <v>0</v>
      </c>
      <c r="M682" s="126">
        <v>0</v>
      </c>
      <c r="N682" s="129">
        <v>0</v>
      </c>
      <c r="O682" s="126">
        <v>0</v>
      </c>
      <c r="P682" s="129">
        <v>0</v>
      </c>
      <c r="Q682" s="126">
        <v>0</v>
      </c>
      <c r="R682" s="129">
        <v>1.4650000000000005</v>
      </c>
      <c r="S682" s="126">
        <v>6.1299999999999963</v>
      </c>
      <c r="T682" s="129">
        <v>11.129999999999997</v>
      </c>
      <c r="U682" s="126">
        <v>12.830000000000011</v>
      </c>
      <c r="V682" s="129">
        <v>12.330000000000009</v>
      </c>
      <c r="W682" s="126">
        <v>9.3763333333333403</v>
      </c>
      <c r="X682" s="129">
        <v>0</v>
      </c>
      <c r="Y682" s="126">
        <v>0</v>
      </c>
      <c r="Z682" s="129">
        <v>0</v>
      </c>
      <c r="AA682" s="126">
        <v>0</v>
      </c>
      <c r="AB682" s="129">
        <v>0</v>
      </c>
      <c r="AC682" s="238">
        <f t="shared" si="339"/>
        <v>53.261333333333361</v>
      </c>
      <c r="AD682" s="238"/>
      <c r="AE682" s="238"/>
    </row>
    <row r="683" spans="2:31" x14ac:dyDescent="0.3">
      <c r="B683" s="245" t="s">
        <v>32</v>
      </c>
      <c r="C683" s="245"/>
      <c r="D683" s="245"/>
      <c r="E683" s="126">
        <v>0</v>
      </c>
      <c r="F683" s="129">
        <v>0</v>
      </c>
      <c r="G683" s="126">
        <v>0</v>
      </c>
      <c r="H683" s="129">
        <v>0</v>
      </c>
      <c r="I683" s="126">
        <v>0</v>
      </c>
      <c r="J683" s="129">
        <v>0</v>
      </c>
      <c r="K683" s="126">
        <v>0</v>
      </c>
      <c r="L683" s="129">
        <v>0</v>
      </c>
      <c r="M683" s="126">
        <v>0</v>
      </c>
      <c r="N683" s="129">
        <v>0</v>
      </c>
      <c r="O683" s="126">
        <v>0</v>
      </c>
      <c r="P683" s="129">
        <v>0</v>
      </c>
      <c r="Q683" s="126">
        <v>0</v>
      </c>
      <c r="R683" s="129">
        <v>5.4991666666666665</v>
      </c>
      <c r="S683" s="126">
        <v>21.380499999999998</v>
      </c>
      <c r="T683" s="129">
        <v>34.961333333333343</v>
      </c>
      <c r="U683" s="126">
        <v>38.457666666666682</v>
      </c>
      <c r="V683" s="129">
        <v>35.412833333333317</v>
      </c>
      <c r="W683" s="126">
        <v>25.90433333333333</v>
      </c>
      <c r="X683" s="129">
        <v>0</v>
      </c>
      <c r="Y683" s="126">
        <v>0</v>
      </c>
      <c r="Z683" s="129">
        <v>0</v>
      </c>
      <c r="AA683" s="126">
        <v>0</v>
      </c>
      <c r="AB683" s="129">
        <v>0</v>
      </c>
      <c r="AC683" s="238">
        <f t="shared" si="339"/>
        <v>161.61583333333334</v>
      </c>
      <c r="AD683" s="238"/>
      <c r="AE683" s="238"/>
    </row>
    <row r="684" spans="2:31" x14ac:dyDescent="0.3">
      <c r="B684" s="245" t="s">
        <v>33</v>
      </c>
      <c r="C684" s="245"/>
      <c r="D684" s="245"/>
      <c r="E684" s="126">
        <v>0</v>
      </c>
      <c r="F684" s="129">
        <v>0</v>
      </c>
      <c r="G684" s="126">
        <v>0</v>
      </c>
      <c r="H684" s="129">
        <v>0</v>
      </c>
      <c r="I684" s="126">
        <v>0</v>
      </c>
      <c r="J684" s="129">
        <v>0</v>
      </c>
      <c r="K684" s="126">
        <v>0</v>
      </c>
      <c r="L684" s="129">
        <v>0</v>
      </c>
      <c r="M684" s="126">
        <v>0</v>
      </c>
      <c r="N684" s="129">
        <v>0</v>
      </c>
      <c r="O684" s="126">
        <v>0</v>
      </c>
      <c r="P684" s="129">
        <v>0</v>
      </c>
      <c r="Q684" s="126">
        <v>0</v>
      </c>
      <c r="R684" s="129">
        <v>1.5249999999999999</v>
      </c>
      <c r="S684" s="126">
        <v>5.5758333333333336</v>
      </c>
      <c r="T684" s="129">
        <v>6.0253333333333323</v>
      </c>
      <c r="U684" s="126">
        <v>6.6293333333333315</v>
      </c>
      <c r="V684" s="129">
        <v>2.1795</v>
      </c>
      <c r="W684" s="126">
        <v>0</v>
      </c>
      <c r="X684" s="129">
        <v>0</v>
      </c>
      <c r="Y684" s="126">
        <v>0</v>
      </c>
      <c r="Z684" s="129">
        <v>0</v>
      </c>
      <c r="AA684" s="126">
        <v>0</v>
      </c>
      <c r="AB684" s="129">
        <v>0</v>
      </c>
      <c r="AC684" s="238">
        <f t="shared" si="339"/>
        <v>21.934999999999999</v>
      </c>
      <c r="AD684" s="238"/>
      <c r="AE684" s="238"/>
    </row>
    <row r="685" spans="2:31" x14ac:dyDescent="0.3">
      <c r="B685" s="245" t="s">
        <v>34</v>
      </c>
      <c r="C685" s="245"/>
      <c r="D685" s="245"/>
      <c r="E685" s="126">
        <v>0</v>
      </c>
      <c r="F685" s="129">
        <v>0</v>
      </c>
      <c r="G685" s="126">
        <v>0</v>
      </c>
      <c r="H685" s="129">
        <v>0</v>
      </c>
      <c r="I685" s="126">
        <v>0</v>
      </c>
      <c r="J685" s="129">
        <v>0</v>
      </c>
      <c r="K685" s="126">
        <v>0</v>
      </c>
      <c r="L685" s="129">
        <v>0</v>
      </c>
      <c r="M685" s="126">
        <v>0</v>
      </c>
      <c r="N685" s="129">
        <v>0</v>
      </c>
      <c r="O685" s="126">
        <v>0</v>
      </c>
      <c r="P685" s="129">
        <v>0</v>
      </c>
      <c r="Q685" s="126">
        <v>0</v>
      </c>
      <c r="R685" s="129">
        <v>0.47216666666666673</v>
      </c>
      <c r="S685" s="126">
        <v>1.1860000000000004</v>
      </c>
      <c r="T685" s="129">
        <v>1.5696666666666663</v>
      </c>
      <c r="U685" s="126">
        <v>0.64200000000000002</v>
      </c>
      <c r="V685" s="129">
        <v>5.8333333333333275E-3</v>
      </c>
      <c r="W685" s="126">
        <v>0</v>
      </c>
      <c r="X685" s="129">
        <v>0</v>
      </c>
      <c r="Y685" s="126">
        <v>0</v>
      </c>
      <c r="Z685" s="129">
        <v>0</v>
      </c>
      <c r="AA685" s="126">
        <v>0</v>
      </c>
      <c r="AB685" s="129">
        <v>0</v>
      </c>
      <c r="AC685" s="238">
        <f t="shared" si="339"/>
        <v>3.875666666666667</v>
      </c>
      <c r="AD685" s="238"/>
      <c r="AE685" s="238"/>
    </row>
    <row r="686" spans="2:31" x14ac:dyDescent="0.3">
      <c r="B686" s="245" t="s">
        <v>35</v>
      </c>
      <c r="C686" s="245"/>
      <c r="D686" s="245"/>
      <c r="E686" s="126">
        <v>0</v>
      </c>
      <c r="F686" s="129">
        <v>0</v>
      </c>
      <c r="G686" s="126">
        <v>0</v>
      </c>
      <c r="H686" s="129">
        <v>0</v>
      </c>
      <c r="I686" s="126">
        <v>0</v>
      </c>
      <c r="J686" s="129">
        <v>0</v>
      </c>
      <c r="K686" s="126">
        <v>0</v>
      </c>
      <c r="L686" s="129">
        <v>0</v>
      </c>
      <c r="M686" s="126">
        <v>0</v>
      </c>
      <c r="N686" s="129">
        <v>0</v>
      </c>
      <c r="O686" s="126">
        <v>0</v>
      </c>
      <c r="P686" s="129">
        <v>0</v>
      </c>
      <c r="Q686" s="126">
        <v>0</v>
      </c>
      <c r="R686" s="129">
        <v>0</v>
      </c>
      <c r="S686" s="126">
        <v>3.583333333333337E-2</v>
      </c>
      <c r="T686" s="129">
        <v>0</v>
      </c>
      <c r="U686" s="126">
        <v>1.3501666666666663</v>
      </c>
      <c r="V686" s="129">
        <v>8.9384999999999994</v>
      </c>
      <c r="W686" s="126">
        <v>1.2008333333333334</v>
      </c>
      <c r="X686" s="129">
        <v>0</v>
      </c>
      <c r="Y686" s="126">
        <v>0</v>
      </c>
      <c r="Z686" s="129">
        <v>0</v>
      </c>
      <c r="AA686" s="126">
        <v>0</v>
      </c>
      <c r="AB686" s="129">
        <v>0</v>
      </c>
      <c r="AC686" s="238">
        <f t="shared" si="339"/>
        <v>11.525333333333332</v>
      </c>
      <c r="AD686" s="238"/>
      <c r="AE686" s="238"/>
    </row>
    <row r="687" spans="2:31" x14ac:dyDescent="0.3">
      <c r="B687" s="245" t="s">
        <v>36</v>
      </c>
      <c r="C687" s="245"/>
      <c r="D687" s="245"/>
      <c r="E687" s="126">
        <v>0</v>
      </c>
      <c r="F687" s="129">
        <v>0</v>
      </c>
      <c r="G687" s="126">
        <v>0</v>
      </c>
      <c r="H687" s="129">
        <v>0</v>
      </c>
      <c r="I687" s="126">
        <v>0</v>
      </c>
      <c r="J687" s="129">
        <v>0</v>
      </c>
      <c r="K687" s="126">
        <v>0</v>
      </c>
      <c r="L687" s="129">
        <v>0</v>
      </c>
      <c r="M687" s="126">
        <v>0</v>
      </c>
      <c r="N687" s="129">
        <v>0</v>
      </c>
      <c r="O687" s="126">
        <v>0</v>
      </c>
      <c r="P687" s="129">
        <v>0</v>
      </c>
      <c r="Q687" s="126">
        <v>0</v>
      </c>
      <c r="R687" s="129">
        <v>0</v>
      </c>
      <c r="S687" s="126">
        <v>0</v>
      </c>
      <c r="T687" s="129">
        <v>0</v>
      </c>
      <c r="U687" s="126">
        <v>0</v>
      </c>
      <c r="V687" s="129">
        <v>0</v>
      </c>
      <c r="W687" s="126">
        <v>0</v>
      </c>
      <c r="X687" s="129">
        <v>0</v>
      </c>
      <c r="Y687" s="126">
        <v>0</v>
      </c>
      <c r="Z687" s="129">
        <v>0</v>
      </c>
      <c r="AA687" s="126">
        <v>0</v>
      </c>
      <c r="AB687" s="129">
        <v>0</v>
      </c>
      <c r="AC687" s="238">
        <f t="shared" si="339"/>
        <v>0</v>
      </c>
      <c r="AD687" s="238"/>
      <c r="AE687" s="238"/>
    </row>
    <row r="688" spans="2:31" x14ac:dyDescent="0.3">
      <c r="B688" s="13" t="s">
        <v>89</v>
      </c>
      <c r="C688" s="13"/>
      <c r="D688" s="13"/>
      <c r="E688" s="126">
        <v>0</v>
      </c>
      <c r="F688" s="129">
        <v>0</v>
      </c>
      <c r="G688" s="126">
        <v>0</v>
      </c>
      <c r="H688" s="129">
        <v>0</v>
      </c>
      <c r="I688" s="126">
        <v>0</v>
      </c>
      <c r="J688" s="129">
        <v>0</v>
      </c>
      <c r="K688" s="126">
        <v>0</v>
      </c>
      <c r="L688" s="129">
        <v>0</v>
      </c>
      <c r="M688" s="126">
        <v>0</v>
      </c>
      <c r="N688" s="129">
        <v>0</v>
      </c>
      <c r="O688" s="126">
        <v>0</v>
      </c>
      <c r="P688" s="129">
        <v>0</v>
      </c>
      <c r="Q688" s="126">
        <v>0</v>
      </c>
      <c r="R688" s="129">
        <v>0</v>
      </c>
      <c r="S688" s="126">
        <v>0</v>
      </c>
      <c r="T688" s="129">
        <v>0</v>
      </c>
      <c r="U688" s="126">
        <v>0</v>
      </c>
      <c r="V688" s="129">
        <v>0</v>
      </c>
      <c r="W688" s="126">
        <v>0</v>
      </c>
      <c r="X688" s="129">
        <v>0</v>
      </c>
      <c r="Y688" s="126">
        <v>0</v>
      </c>
      <c r="Z688" s="129">
        <v>0</v>
      </c>
      <c r="AA688" s="126">
        <v>0</v>
      </c>
      <c r="AB688" s="129">
        <v>0</v>
      </c>
      <c r="AC688" s="238">
        <f t="shared" si="339"/>
        <v>0</v>
      </c>
      <c r="AD688" s="238"/>
      <c r="AE688" s="238"/>
    </row>
    <row r="689" spans="2:31" x14ac:dyDescent="0.3">
      <c r="B689" s="13" t="s">
        <v>90</v>
      </c>
      <c r="C689" s="13"/>
      <c r="D689" s="13"/>
      <c r="E689" s="126">
        <v>0</v>
      </c>
      <c r="F689" s="129">
        <v>0</v>
      </c>
      <c r="G689" s="126">
        <v>0</v>
      </c>
      <c r="H689" s="129">
        <v>0</v>
      </c>
      <c r="I689" s="126">
        <v>0</v>
      </c>
      <c r="J689" s="129">
        <v>0</v>
      </c>
      <c r="K689" s="126">
        <v>0</v>
      </c>
      <c r="L689" s="129">
        <v>0</v>
      </c>
      <c r="M689" s="126">
        <v>0</v>
      </c>
      <c r="N689" s="129">
        <v>0</v>
      </c>
      <c r="O689" s="126">
        <v>0</v>
      </c>
      <c r="P689" s="129">
        <v>0</v>
      </c>
      <c r="Q689" s="126">
        <v>0</v>
      </c>
      <c r="R689" s="129">
        <v>0</v>
      </c>
      <c r="S689" s="126">
        <v>0</v>
      </c>
      <c r="T689" s="129">
        <v>0</v>
      </c>
      <c r="U689" s="126">
        <v>0</v>
      </c>
      <c r="V689" s="129">
        <v>0</v>
      </c>
      <c r="W689" s="126">
        <v>0</v>
      </c>
      <c r="X689" s="129">
        <v>0</v>
      </c>
      <c r="Y689" s="126">
        <v>0</v>
      </c>
      <c r="Z689" s="129">
        <v>0</v>
      </c>
      <c r="AA689" s="126">
        <v>0</v>
      </c>
      <c r="AB689" s="129">
        <v>0</v>
      </c>
      <c r="AC689" s="238">
        <f t="shared" si="339"/>
        <v>0</v>
      </c>
      <c r="AD689" s="238"/>
      <c r="AE689" s="238"/>
    </row>
    <row r="690" spans="2:31" x14ac:dyDescent="0.3">
      <c r="B690" s="14" t="s">
        <v>2</v>
      </c>
      <c r="C690" s="14"/>
      <c r="D690" s="14"/>
      <c r="E690" s="15">
        <f>SUM(E653:E689)</f>
        <v>0</v>
      </c>
      <c r="F690" s="15">
        <f t="shared" ref="F690" si="340">SUM(F653:F689)</f>
        <v>0</v>
      </c>
      <c r="G690" s="15">
        <f t="shared" ref="G690" si="341">SUM(G653:G689)</f>
        <v>0</v>
      </c>
      <c r="H690" s="15">
        <f t="shared" ref="H690" si="342">SUM(H653:H689)</f>
        <v>0</v>
      </c>
      <c r="I690" s="15">
        <f t="shared" ref="I690" si="343">SUM(I653:I689)</f>
        <v>0</v>
      </c>
      <c r="J690" s="15">
        <f t="shared" ref="J690" si="344">SUM(J653:J689)</f>
        <v>0</v>
      </c>
      <c r="K690" s="15">
        <f t="shared" ref="K690" si="345">SUM(K653:K689)</f>
        <v>0</v>
      </c>
      <c r="L690" s="15">
        <f t="shared" ref="L690" si="346">SUM(L653:L689)</f>
        <v>0</v>
      </c>
      <c r="M690" s="15">
        <f t="shared" ref="M690" si="347">SUM(M653:M689)</f>
        <v>0</v>
      </c>
      <c r="N690" s="15">
        <f t="shared" ref="N690" si="348">SUM(N653:N689)</f>
        <v>0</v>
      </c>
      <c r="O690" s="15">
        <f t="shared" ref="O690" si="349">SUM(O653:O689)</f>
        <v>0</v>
      </c>
      <c r="P690" s="15">
        <f t="shared" ref="P690" si="350">SUM(P653:P689)</f>
        <v>0.21383333333333326</v>
      </c>
      <c r="Q690" s="15">
        <f t="shared" ref="Q690" si="351">SUM(Q653:Q689)</f>
        <v>4.7783333333333342</v>
      </c>
      <c r="R690" s="15">
        <f t="shared" ref="R690" si="352">SUM(R653:R689)</f>
        <v>181.9206666666667</v>
      </c>
      <c r="S690" s="15">
        <f t="shared" ref="S690" si="353">SUM(S653:S689)</f>
        <v>538.86633333333327</v>
      </c>
      <c r="T690" s="15">
        <f t="shared" ref="T690" si="354">SUM(T653:T689)</f>
        <v>674.9765000000001</v>
      </c>
      <c r="U690" s="15">
        <f t="shared" ref="U690" si="355">SUM(U653:U689)</f>
        <v>785.47216666666668</v>
      </c>
      <c r="V690" s="15">
        <f t="shared" ref="V690" si="356">SUM(V653:V689)</f>
        <v>771.67416666666645</v>
      </c>
      <c r="W690" s="15">
        <f t="shared" ref="W690" si="357">SUM(W653:W689)</f>
        <v>658.42133333333334</v>
      </c>
      <c r="X690" s="15">
        <f t="shared" ref="X690" si="358">SUM(X653:X689)</f>
        <v>22.609333333333336</v>
      </c>
      <c r="Y690" s="15">
        <f t="shared" ref="Y690" si="359">SUM(Y653:Y689)</f>
        <v>0</v>
      </c>
      <c r="Z690" s="15">
        <f t="shared" ref="Z690" si="360">SUM(Z653:Z689)</f>
        <v>0</v>
      </c>
      <c r="AA690" s="15">
        <f t="shared" ref="AA690" si="361">SUM(AA653:AA689)</f>
        <v>0</v>
      </c>
      <c r="AB690" s="15">
        <f t="shared" ref="AB690" si="362">SUM(AB653:AB689)</f>
        <v>0</v>
      </c>
      <c r="AC690" s="249">
        <f>SUM(AC653:AE689)</f>
        <v>3638.9326666666675</v>
      </c>
      <c r="AD690" s="249"/>
      <c r="AE690" s="249"/>
    </row>
    <row r="693" spans="2:31" x14ac:dyDescent="0.3">
      <c r="B693" s="8">
        <f>'Resumen-Mensual'!$U$22</f>
        <v>44578</v>
      </c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4"/>
      <c r="AD693" s="4"/>
      <c r="AE693" s="4"/>
    </row>
    <row r="694" spans="2:31" x14ac:dyDescent="0.3">
      <c r="B694" s="8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4"/>
      <c r="AD694" s="4"/>
      <c r="AE694" s="4"/>
    </row>
    <row r="695" spans="2:31" x14ac:dyDescent="0.3">
      <c r="B695" s="9" t="s">
        <v>81</v>
      </c>
      <c r="C695" s="10"/>
      <c r="D695" s="10"/>
      <c r="E695" s="11">
        <v>1</v>
      </c>
      <c r="F695" s="11">
        <v>2</v>
      </c>
      <c r="G695" s="11">
        <v>3</v>
      </c>
      <c r="H695" s="11">
        <v>4</v>
      </c>
      <c r="I695" s="11">
        <v>5</v>
      </c>
      <c r="J695" s="11">
        <v>6</v>
      </c>
      <c r="K695" s="11">
        <v>7</v>
      </c>
      <c r="L695" s="11">
        <v>8</v>
      </c>
      <c r="M695" s="11">
        <v>9</v>
      </c>
      <c r="N695" s="11">
        <v>10</v>
      </c>
      <c r="O695" s="11">
        <v>11</v>
      </c>
      <c r="P695" s="11">
        <v>12</v>
      </c>
      <c r="Q695" s="11">
        <v>13</v>
      </c>
      <c r="R695" s="11">
        <v>14</v>
      </c>
      <c r="S695" s="11">
        <v>15</v>
      </c>
      <c r="T695" s="11">
        <v>16</v>
      </c>
      <c r="U695" s="11">
        <v>17</v>
      </c>
      <c r="V695" s="11">
        <v>18</v>
      </c>
      <c r="W695" s="11">
        <v>19</v>
      </c>
      <c r="X695" s="11">
        <v>20</v>
      </c>
      <c r="Y695" s="11">
        <v>21</v>
      </c>
      <c r="Z695" s="11">
        <v>22</v>
      </c>
      <c r="AA695" s="11">
        <v>23</v>
      </c>
      <c r="AB695" s="11">
        <v>24</v>
      </c>
      <c r="AC695" s="248" t="s">
        <v>2</v>
      </c>
      <c r="AD695" s="248"/>
      <c r="AE695" s="248"/>
    </row>
    <row r="696" spans="2:31" x14ac:dyDescent="0.3">
      <c r="B696" s="245" t="s">
        <v>4</v>
      </c>
      <c r="C696" s="245"/>
      <c r="D696" s="245"/>
      <c r="E696" s="134">
        <v>0</v>
      </c>
      <c r="F696" s="135">
        <v>0</v>
      </c>
      <c r="G696" s="134">
        <v>0</v>
      </c>
      <c r="H696" s="135">
        <v>0</v>
      </c>
      <c r="I696" s="134">
        <v>0</v>
      </c>
      <c r="J696" s="135">
        <v>0</v>
      </c>
      <c r="K696" s="134">
        <v>0</v>
      </c>
      <c r="L696" s="135">
        <v>0</v>
      </c>
      <c r="M696" s="134">
        <v>0</v>
      </c>
      <c r="N696" s="135">
        <v>0</v>
      </c>
      <c r="O696" s="134">
        <v>0</v>
      </c>
      <c r="P696" s="135">
        <v>0</v>
      </c>
      <c r="Q696" s="134">
        <v>0.19466666666666674</v>
      </c>
      <c r="R696" s="135">
        <v>0.3405000000000003</v>
      </c>
      <c r="S696" s="134">
        <v>0</v>
      </c>
      <c r="T696" s="135">
        <v>5.1823333333333323</v>
      </c>
      <c r="U696" s="134">
        <v>1.396333333333333</v>
      </c>
      <c r="V696" s="135">
        <v>0.12016666666666669</v>
      </c>
      <c r="W696" s="134">
        <v>0</v>
      </c>
      <c r="X696" s="135">
        <v>0</v>
      </c>
      <c r="Y696" s="134">
        <v>0</v>
      </c>
      <c r="Z696" s="135">
        <v>0</v>
      </c>
      <c r="AA696" s="134">
        <v>0</v>
      </c>
      <c r="AB696" s="135">
        <v>0</v>
      </c>
      <c r="AC696" s="238">
        <f>SUM(E696:AB696)</f>
        <v>7.2339999999999991</v>
      </c>
      <c r="AD696" s="238"/>
      <c r="AE696" s="238"/>
    </row>
    <row r="697" spans="2:31" x14ac:dyDescent="0.3">
      <c r="B697" s="245" t="s">
        <v>5</v>
      </c>
      <c r="C697" s="245"/>
      <c r="D697" s="245"/>
      <c r="E697" s="133">
        <v>0</v>
      </c>
      <c r="F697" s="136">
        <v>0</v>
      </c>
      <c r="G697" s="133">
        <v>0</v>
      </c>
      <c r="H697" s="136">
        <v>0</v>
      </c>
      <c r="I697" s="133">
        <v>0</v>
      </c>
      <c r="J697" s="136">
        <v>0</v>
      </c>
      <c r="K697" s="133">
        <v>0</v>
      </c>
      <c r="L697" s="136">
        <v>0</v>
      </c>
      <c r="M697" s="133">
        <v>0</v>
      </c>
      <c r="N697" s="136">
        <v>0</v>
      </c>
      <c r="O697" s="133">
        <v>0</v>
      </c>
      <c r="P697" s="136">
        <v>0</v>
      </c>
      <c r="Q697" s="133">
        <v>4.9333333333333345</v>
      </c>
      <c r="R697" s="136">
        <v>11.325999999999999</v>
      </c>
      <c r="S697" s="133">
        <v>39.89</v>
      </c>
      <c r="T697" s="136">
        <v>50.248333333333328</v>
      </c>
      <c r="U697" s="133">
        <v>60.65616666666665</v>
      </c>
      <c r="V697" s="136">
        <v>69.84999999999998</v>
      </c>
      <c r="W697" s="133">
        <v>50.304833333333335</v>
      </c>
      <c r="X697" s="136">
        <v>0.6818333333333334</v>
      </c>
      <c r="Y697" s="133">
        <v>0</v>
      </c>
      <c r="Z697" s="136">
        <v>0</v>
      </c>
      <c r="AA697" s="133">
        <v>0</v>
      </c>
      <c r="AB697" s="136">
        <v>0</v>
      </c>
      <c r="AC697" s="238">
        <f t="shared" ref="AC697:AC732" si="363">SUM(E697:AB697)</f>
        <v>287.89049999999997</v>
      </c>
      <c r="AD697" s="238"/>
      <c r="AE697" s="238"/>
    </row>
    <row r="698" spans="2:31" x14ac:dyDescent="0.3">
      <c r="B698" s="245" t="s">
        <v>6</v>
      </c>
      <c r="C698" s="245"/>
      <c r="D698" s="245"/>
      <c r="E698" s="133">
        <v>0</v>
      </c>
      <c r="F698" s="136">
        <v>0</v>
      </c>
      <c r="G698" s="133">
        <v>0</v>
      </c>
      <c r="H698" s="136">
        <v>0</v>
      </c>
      <c r="I698" s="133">
        <v>0</v>
      </c>
      <c r="J698" s="136">
        <v>0</v>
      </c>
      <c r="K698" s="133">
        <v>0</v>
      </c>
      <c r="L698" s="136">
        <v>0</v>
      </c>
      <c r="M698" s="133">
        <v>0</v>
      </c>
      <c r="N698" s="136">
        <v>0</v>
      </c>
      <c r="O698" s="133">
        <v>0</v>
      </c>
      <c r="P698" s="136">
        <v>0</v>
      </c>
      <c r="Q698" s="133">
        <v>0</v>
      </c>
      <c r="R698" s="136">
        <v>11.288499999999994</v>
      </c>
      <c r="S698" s="133">
        <v>28.520333333333319</v>
      </c>
      <c r="T698" s="136">
        <v>33.205999999999996</v>
      </c>
      <c r="U698" s="133">
        <v>4.4973333333333327</v>
      </c>
      <c r="V698" s="136">
        <v>0</v>
      </c>
      <c r="W698" s="133">
        <v>21.1</v>
      </c>
      <c r="X698" s="136">
        <v>13.533166666666666</v>
      </c>
      <c r="Y698" s="133">
        <v>1.2158333333333373</v>
      </c>
      <c r="Z698" s="136">
        <v>0</v>
      </c>
      <c r="AA698" s="133">
        <v>0</v>
      </c>
      <c r="AB698" s="136">
        <v>0</v>
      </c>
      <c r="AC698" s="238">
        <f t="shared" si="363"/>
        <v>113.36116666666663</v>
      </c>
      <c r="AD698" s="238"/>
      <c r="AE698" s="238"/>
    </row>
    <row r="699" spans="2:31" x14ac:dyDescent="0.3">
      <c r="B699" s="245" t="s">
        <v>91</v>
      </c>
      <c r="C699" s="245"/>
      <c r="D699" s="245"/>
      <c r="E699" s="133">
        <v>0</v>
      </c>
      <c r="F699" s="136">
        <v>0</v>
      </c>
      <c r="G699" s="133">
        <v>0</v>
      </c>
      <c r="H699" s="136">
        <v>0</v>
      </c>
      <c r="I699" s="133">
        <v>0</v>
      </c>
      <c r="J699" s="136">
        <v>0</v>
      </c>
      <c r="K699" s="133">
        <v>0</v>
      </c>
      <c r="L699" s="136">
        <v>0</v>
      </c>
      <c r="M699" s="133">
        <v>0</v>
      </c>
      <c r="N699" s="136">
        <v>0</v>
      </c>
      <c r="O699" s="133">
        <v>0</v>
      </c>
      <c r="P699" s="136">
        <v>0</v>
      </c>
      <c r="Q699" s="133">
        <v>0</v>
      </c>
      <c r="R699" s="136">
        <v>0</v>
      </c>
      <c r="S699" s="133">
        <v>0</v>
      </c>
      <c r="T699" s="136">
        <v>0</v>
      </c>
      <c r="U699" s="133">
        <v>0</v>
      </c>
      <c r="V699" s="136">
        <v>0</v>
      </c>
      <c r="W699" s="133">
        <v>0</v>
      </c>
      <c r="X699" s="136">
        <v>0</v>
      </c>
      <c r="Y699" s="133">
        <v>0</v>
      </c>
      <c r="Z699" s="136">
        <v>0</v>
      </c>
      <c r="AA699" s="133">
        <v>0</v>
      </c>
      <c r="AB699" s="136">
        <v>0</v>
      </c>
      <c r="AC699" s="238">
        <f t="shared" si="363"/>
        <v>0</v>
      </c>
      <c r="AD699" s="238"/>
      <c r="AE699" s="238"/>
    </row>
    <row r="700" spans="2:31" x14ac:dyDescent="0.3">
      <c r="B700" s="245" t="s">
        <v>7</v>
      </c>
      <c r="C700" s="245"/>
      <c r="D700" s="245"/>
      <c r="E700" s="133">
        <v>0</v>
      </c>
      <c r="F700" s="136">
        <v>0</v>
      </c>
      <c r="G700" s="133">
        <v>0</v>
      </c>
      <c r="H700" s="136">
        <v>0</v>
      </c>
      <c r="I700" s="133">
        <v>0</v>
      </c>
      <c r="J700" s="136">
        <v>0</v>
      </c>
      <c r="K700" s="133">
        <v>0</v>
      </c>
      <c r="L700" s="136">
        <v>0</v>
      </c>
      <c r="M700" s="133">
        <v>0</v>
      </c>
      <c r="N700" s="136">
        <v>0</v>
      </c>
      <c r="O700" s="133">
        <v>0</v>
      </c>
      <c r="P700" s="136">
        <v>0</v>
      </c>
      <c r="Q700" s="133">
        <v>0.39183333333333292</v>
      </c>
      <c r="R700" s="136">
        <v>0</v>
      </c>
      <c r="S700" s="133">
        <v>45.31933333333334</v>
      </c>
      <c r="T700" s="136">
        <v>44.949333333333321</v>
      </c>
      <c r="U700" s="133">
        <v>16.569666666666663</v>
      </c>
      <c r="V700" s="136">
        <v>1.3333333333333049E-3</v>
      </c>
      <c r="W700" s="133">
        <v>4.6666666666664485E-3</v>
      </c>
      <c r="X700" s="136">
        <v>14.913333333333343</v>
      </c>
      <c r="Y700" s="133">
        <v>8.8636666666666617</v>
      </c>
      <c r="Z700" s="136">
        <v>0</v>
      </c>
      <c r="AA700" s="133">
        <v>0</v>
      </c>
      <c r="AB700" s="136">
        <v>0</v>
      </c>
      <c r="AC700" s="238">
        <f t="shared" si="363"/>
        <v>131.01316666666665</v>
      </c>
      <c r="AD700" s="238"/>
      <c r="AE700" s="238"/>
    </row>
    <row r="701" spans="2:31" x14ac:dyDescent="0.3">
      <c r="B701" s="245" t="s">
        <v>8</v>
      </c>
      <c r="C701" s="245"/>
      <c r="D701" s="245"/>
      <c r="E701" s="133">
        <v>0</v>
      </c>
      <c r="F701" s="136">
        <v>0</v>
      </c>
      <c r="G701" s="133">
        <v>0</v>
      </c>
      <c r="H701" s="136">
        <v>0</v>
      </c>
      <c r="I701" s="133">
        <v>0</v>
      </c>
      <c r="J701" s="136">
        <v>0</v>
      </c>
      <c r="K701" s="133">
        <v>0</v>
      </c>
      <c r="L701" s="136">
        <v>0</v>
      </c>
      <c r="M701" s="133">
        <v>0</v>
      </c>
      <c r="N701" s="136">
        <v>0</v>
      </c>
      <c r="O701" s="133">
        <v>0</v>
      </c>
      <c r="P701" s="136">
        <v>0</v>
      </c>
      <c r="Q701" s="133">
        <v>0.30216666666666669</v>
      </c>
      <c r="R701" s="136">
        <v>2.4593333333333343</v>
      </c>
      <c r="S701" s="133">
        <v>17.669500000000006</v>
      </c>
      <c r="T701" s="136">
        <v>25.157833333333315</v>
      </c>
      <c r="U701" s="133">
        <v>11.398833333333329</v>
      </c>
      <c r="V701" s="136">
        <v>7.4999999999999884E-3</v>
      </c>
      <c r="W701" s="133">
        <v>1.3595000000000008</v>
      </c>
      <c r="X701" s="136">
        <v>0</v>
      </c>
      <c r="Y701" s="133">
        <v>0</v>
      </c>
      <c r="Z701" s="136">
        <v>0</v>
      </c>
      <c r="AA701" s="133">
        <v>0</v>
      </c>
      <c r="AB701" s="136">
        <v>0</v>
      </c>
      <c r="AC701" s="238">
        <f t="shared" si="363"/>
        <v>58.35466666666666</v>
      </c>
      <c r="AD701" s="238"/>
      <c r="AE701" s="238"/>
    </row>
    <row r="702" spans="2:31" x14ac:dyDescent="0.3">
      <c r="B702" s="245" t="s">
        <v>9</v>
      </c>
      <c r="C702" s="245"/>
      <c r="D702" s="245"/>
      <c r="E702" s="133">
        <v>0</v>
      </c>
      <c r="F702" s="136">
        <v>0</v>
      </c>
      <c r="G702" s="133">
        <v>0</v>
      </c>
      <c r="H702" s="136">
        <v>0</v>
      </c>
      <c r="I702" s="133">
        <v>0</v>
      </c>
      <c r="J702" s="136">
        <v>0</v>
      </c>
      <c r="K702" s="133">
        <v>0</v>
      </c>
      <c r="L702" s="136">
        <v>0</v>
      </c>
      <c r="M702" s="133">
        <v>0</v>
      </c>
      <c r="N702" s="136">
        <v>0</v>
      </c>
      <c r="O702" s="133">
        <v>0</v>
      </c>
      <c r="P702" s="136">
        <v>0</v>
      </c>
      <c r="Q702" s="133">
        <v>0</v>
      </c>
      <c r="R702" s="136">
        <v>0</v>
      </c>
      <c r="S702" s="133">
        <v>11.004499999999998</v>
      </c>
      <c r="T702" s="136">
        <v>21.875166666666658</v>
      </c>
      <c r="U702" s="133">
        <v>33.992999999999988</v>
      </c>
      <c r="V702" s="136">
        <v>50.02033333333334</v>
      </c>
      <c r="W702" s="133">
        <v>63.529833333333336</v>
      </c>
      <c r="X702" s="136">
        <v>1.2138333333333331</v>
      </c>
      <c r="Y702" s="133">
        <v>0</v>
      </c>
      <c r="Z702" s="136">
        <v>0</v>
      </c>
      <c r="AA702" s="133">
        <v>0</v>
      </c>
      <c r="AB702" s="136">
        <v>0</v>
      </c>
      <c r="AC702" s="238">
        <f t="shared" si="363"/>
        <v>181.63666666666666</v>
      </c>
      <c r="AD702" s="238"/>
      <c r="AE702" s="238"/>
    </row>
    <row r="703" spans="2:31" x14ac:dyDescent="0.3">
      <c r="B703" s="245" t="s">
        <v>10</v>
      </c>
      <c r="C703" s="245"/>
      <c r="D703" s="245"/>
      <c r="E703" s="133">
        <v>0</v>
      </c>
      <c r="F703" s="136">
        <v>0</v>
      </c>
      <c r="G703" s="133">
        <v>0</v>
      </c>
      <c r="H703" s="136">
        <v>0</v>
      </c>
      <c r="I703" s="133">
        <v>0</v>
      </c>
      <c r="J703" s="136">
        <v>0</v>
      </c>
      <c r="K703" s="133">
        <v>0</v>
      </c>
      <c r="L703" s="136">
        <v>0</v>
      </c>
      <c r="M703" s="133">
        <v>0</v>
      </c>
      <c r="N703" s="136">
        <v>0</v>
      </c>
      <c r="O703" s="133">
        <v>0</v>
      </c>
      <c r="P703" s="136">
        <v>0</v>
      </c>
      <c r="Q703" s="133">
        <v>0</v>
      </c>
      <c r="R703" s="136">
        <v>0</v>
      </c>
      <c r="S703" s="133">
        <v>6.0595000000000043</v>
      </c>
      <c r="T703" s="136">
        <v>17.06183333333334</v>
      </c>
      <c r="U703" s="133">
        <v>31.284500000000001</v>
      </c>
      <c r="V703" s="136">
        <v>6.9938333333333329</v>
      </c>
      <c r="W703" s="133">
        <v>37.648333333333341</v>
      </c>
      <c r="X703" s="136">
        <v>0.62416666666666676</v>
      </c>
      <c r="Y703" s="133">
        <v>0</v>
      </c>
      <c r="Z703" s="136">
        <v>0</v>
      </c>
      <c r="AA703" s="133">
        <v>0</v>
      </c>
      <c r="AB703" s="136">
        <v>0</v>
      </c>
      <c r="AC703" s="238">
        <f t="shared" si="363"/>
        <v>99.672166666666698</v>
      </c>
      <c r="AD703" s="238"/>
      <c r="AE703" s="238"/>
    </row>
    <row r="704" spans="2:31" x14ac:dyDescent="0.3">
      <c r="B704" s="245" t="s">
        <v>11</v>
      </c>
      <c r="C704" s="245"/>
      <c r="D704" s="245"/>
      <c r="E704" s="133">
        <v>0</v>
      </c>
      <c r="F704" s="136">
        <v>0</v>
      </c>
      <c r="G704" s="133">
        <v>0</v>
      </c>
      <c r="H704" s="136">
        <v>0</v>
      </c>
      <c r="I704" s="133">
        <v>0</v>
      </c>
      <c r="J704" s="136">
        <v>0</v>
      </c>
      <c r="K704" s="133">
        <v>0</v>
      </c>
      <c r="L704" s="136">
        <v>0</v>
      </c>
      <c r="M704" s="133">
        <v>0</v>
      </c>
      <c r="N704" s="136">
        <v>0</v>
      </c>
      <c r="O704" s="133">
        <v>0</v>
      </c>
      <c r="P704" s="136">
        <v>0</v>
      </c>
      <c r="Q704" s="133">
        <v>10.740166666666671</v>
      </c>
      <c r="R704" s="136">
        <v>11.3535</v>
      </c>
      <c r="S704" s="133">
        <v>50.321833333333316</v>
      </c>
      <c r="T704" s="136">
        <v>75.357833333333332</v>
      </c>
      <c r="U704" s="133">
        <v>98.551833333333363</v>
      </c>
      <c r="V704" s="136">
        <v>113.41333333333336</v>
      </c>
      <c r="W704" s="133">
        <v>122.35316666666668</v>
      </c>
      <c r="X704" s="136">
        <v>2.1556666666666668</v>
      </c>
      <c r="Y704" s="133">
        <v>0</v>
      </c>
      <c r="Z704" s="136">
        <v>0</v>
      </c>
      <c r="AA704" s="133">
        <v>0</v>
      </c>
      <c r="AB704" s="136">
        <v>0</v>
      </c>
      <c r="AC704" s="238">
        <f t="shared" si="363"/>
        <v>484.24733333333336</v>
      </c>
      <c r="AD704" s="238"/>
      <c r="AE704" s="238"/>
    </row>
    <row r="705" spans="2:31" x14ac:dyDescent="0.3">
      <c r="B705" s="245" t="s">
        <v>12</v>
      </c>
      <c r="C705" s="245"/>
      <c r="D705" s="245"/>
      <c r="E705" s="133">
        <v>0</v>
      </c>
      <c r="F705" s="136">
        <v>0</v>
      </c>
      <c r="G705" s="133">
        <v>0</v>
      </c>
      <c r="H705" s="136">
        <v>0</v>
      </c>
      <c r="I705" s="133">
        <v>0</v>
      </c>
      <c r="J705" s="136">
        <v>0</v>
      </c>
      <c r="K705" s="133">
        <v>0</v>
      </c>
      <c r="L705" s="136">
        <v>0</v>
      </c>
      <c r="M705" s="133">
        <v>0</v>
      </c>
      <c r="N705" s="136">
        <v>0</v>
      </c>
      <c r="O705" s="133">
        <v>0</v>
      </c>
      <c r="P705" s="136">
        <v>0</v>
      </c>
      <c r="Q705" s="133">
        <v>14.009833333333329</v>
      </c>
      <c r="R705" s="136">
        <v>2.0109999999999997</v>
      </c>
      <c r="S705" s="133">
        <v>24.825666666666674</v>
      </c>
      <c r="T705" s="136">
        <v>38.337833333333336</v>
      </c>
      <c r="U705" s="133">
        <v>54.370666666666679</v>
      </c>
      <c r="V705" s="136">
        <v>66.255166666666668</v>
      </c>
      <c r="W705" s="133">
        <v>70.3035</v>
      </c>
      <c r="X705" s="136">
        <v>1.1983333333333335</v>
      </c>
      <c r="Y705" s="133">
        <v>0</v>
      </c>
      <c r="Z705" s="136">
        <v>0</v>
      </c>
      <c r="AA705" s="133">
        <v>0</v>
      </c>
      <c r="AB705" s="136">
        <v>0</v>
      </c>
      <c r="AC705" s="238">
        <f t="shared" si="363"/>
        <v>271.31200000000001</v>
      </c>
      <c r="AD705" s="238"/>
      <c r="AE705" s="238"/>
    </row>
    <row r="706" spans="2:31" x14ac:dyDescent="0.3">
      <c r="B706" s="245" t="s">
        <v>13</v>
      </c>
      <c r="C706" s="245"/>
      <c r="D706" s="245"/>
      <c r="E706" s="133">
        <v>0</v>
      </c>
      <c r="F706" s="136">
        <v>0</v>
      </c>
      <c r="G706" s="133">
        <v>0</v>
      </c>
      <c r="H706" s="136">
        <v>0</v>
      </c>
      <c r="I706" s="133">
        <v>0</v>
      </c>
      <c r="J706" s="136">
        <v>0</v>
      </c>
      <c r="K706" s="133">
        <v>0</v>
      </c>
      <c r="L706" s="136">
        <v>0</v>
      </c>
      <c r="M706" s="133">
        <v>0</v>
      </c>
      <c r="N706" s="136">
        <v>0</v>
      </c>
      <c r="O706" s="133">
        <v>0</v>
      </c>
      <c r="P706" s="136">
        <v>0</v>
      </c>
      <c r="Q706" s="133">
        <v>2.1576666666666653</v>
      </c>
      <c r="R706" s="136">
        <v>0</v>
      </c>
      <c r="S706" s="133">
        <v>14.140833333333324</v>
      </c>
      <c r="T706" s="136">
        <v>18.562666666666662</v>
      </c>
      <c r="U706" s="133">
        <v>30.842666666666673</v>
      </c>
      <c r="V706" s="136">
        <v>47.892333333333362</v>
      </c>
      <c r="W706" s="133">
        <v>55.182666666666684</v>
      </c>
      <c r="X706" s="136">
        <v>1.0990000000000002</v>
      </c>
      <c r="Y706" s="133">
        <v>0</v>
      </c>
      <c r="Z706" s="136">
        <v>0</v>
      </c>
      <c r="AA706" s="133">
        <v>0</v>
      </c>
      <c r="AB706" s="136">
        <v>0</v>
      </c>
      <c r="AC706" s="238">
        <f t="shared" si="363"/>
        <v>169.87783333333334</v>
      </c>
      <c r="AD706" s="238"/>
      <c r="AE706" s="238"/>
    </row>
    <row r="707" spans="2:31" x14ac:dyDescent="0.3">
      <c r="B707" s="245" t="s">
        <v>14</v>
      </c>
      <c r="C707" s="245"/>
      <c r="D707" s="245"/>
      <c r="E707" s="133">
        <v>0</v>
      </c>
      <c r="F707" s="136">
        <v>0</v>
      </c>
      <c r="G707" s="133">
        <v>0</v>
      </c>
      <c r="H707" s="136">
        <v>0</v>
      </c>
      <c r="I707" s="133">
        <v>0</v>
      </c>
      <c r="J707" s="136">
        <v>0</v>
      </c>
      <c r="K707" s="133">
        <v>0</v>
      </c>
      <c r="L707" s="136">
        <v>0</v>
      </c>
      <c r="M707" s="133">
        <v>0</v>
      </c>
      <c r="N707" s="136">
        <v>0</v>
      </c>
      <c r="O707" s="133">
        <v>0</v>
      </c>
      <c r="P707" s="136">
        <v>0</v>
      </c>
      <c r="Q707" s="133">
        <v>0.3125</v>
      </c>
      <c r="R707" s="136">
        <v>1.2641666666666658</v>
      </c>
      <c r="S707" s="133">
        <v>1.8499999999999983</v>
      </c>
      <c r="T707" s="136">
        <v>1.950000000000002</v>
      </c>
      <c r="U707" s="133">
        <v>1.75</v>
      </c>
      <c r="V707" s="136">
        <v>1.4500000000000017</v>
      </c>
      <c r="W707" s="133">
        <v>1.4500000000000017</v>
      </c>
      <c r="X707" s="136">
        <v>3.4166666666666665E-2</v>
      </c>
      <c r="Y707" s="133">
        <v>0</v>
      </c>
      <c r="Z707" s="136">
        <v>0</v>
      </c>
      <c r="AA707" s="133">
        <v>0</v>
      </c>
      <c r="AB707" s="136">
        <v>0</v>
      </c>
      <c r="AC707" s="238">
        <f t="shared" si="363"/>
        <v>10.060833333333335</v>
      </c>
      <c r="AD707" s="238"/>
      <c r="AE707" s="238"/>
    </row>
    <row r="708" spans="2:31" x14ac:dyDescent="0.3">
      <c r="B708" s="245" t="s">
        <v>15</v>
      </c>
      <c r="C708" s="245"/>
      <c r="D708" s="245"/>
      <c r="E708" s="133">
        <v>0</v>
      </c>
      <c r="F708" s="136">
        <v>0</v>
      </c>
      <c r="G708" s="133">
        <v>0</v>
      </c>
      <c r="H708" s="136">
        <v>0</v>
      </c>
      <c r="I708" s="133">
        <v>0</v>
      </c>
      <c r="J708" s="136">
        <v>0</v>
      </c>
      <c r="K708" s="133">
        <v>0</v>
      </c>
      <c r="L708" s="136">
        <v>0</v>
      </c>
      <c r="M708" s="133">
        <v>0</v>
      </c>
      <c r="N708" s="136">
        <v>0</v>
      </c>
      <c r="O708" s="133">
        <v>0</v>
      </c>
      <c r="P708" s="136">
        <v>0</v>
      </c>
      <c r="Q708" s="133">
        <v>0</v>
      </c>
      <c r="R708" s="136">
        <v>5.7943333333333289</v>
      </c>
      <c r="S708" s="133">
        <v>0</v>
      </c>
      <c r="T708" s="136">
        <v>0</v>
      </c>
      <c r="U708" s="133">
        <v>16.361500000000003</v>
      </c>
      <c r="V708" s="136">
        <v>17.647333333333339</v>
      </c>
      <c r="W708" s="133">
        <v>17.613500000000005</v>
      </c>
      <c r="X708" s="136">
        <v>0.29949999999999999</v>
      </c>
      <c r="Y708" s="133">
        <v>0</v>
      </c>
      <c r="Z708" s="136">
        <v>0</v>
      </c>
      <c r="AA708" s="133">
        <v>0</v>
      </c>
      <c r="AB708" s="136">
        <v>0</v>
      </c>
      <c r="AC708" s="238">
        <f t="shared" si="363"/>
        <v>57.716166666666673</v>
      </c>
      <c r="AD708" s="238"/>
      <c r="AE708" s="238"/>
    </row>
    <row r="709" spans="2:31" x14ac:dyDescent="0.3">
      <c r="B709" s="245" t="s">
        <v>16</v>
      </c>
      <c r="C709" s="245"/>
      <c r="D709" s="245"/>
      <c r="E709" s="133">
        <v>0</v>
      </c>
      <c r="F709" s="136">
        <v>0</v>
      </c>
      <c r="G709" s="133">
        <v>0</v>
      </c>
      <c r="H709" s="136">
        <v>0</v>
      </c>
      <c r="I709" s="133">
        <v>0</v>
      </c>
      <c r="J709" s="136">
        <v>0</v>
      </c>
      <c r="K709" s="133">
        <v>0</v>
      </c>
      <c r="L709" s="136">
        <v>0</v>
      </c>
      <c r="M709" s="133">
        <v>0</v>
      </c>
      <c r="N709" s="136">
        <v>0</v>
      </c>
      <c r="O709" s="133">
        <v>0</v>
      </c>
      <c r="P709" s="136">
        <v>0</v>
      </c>
      <c r="Q709" s="133">
        <v>0</v>
      </c>
      <c r="R709" s="136">
        <v>0</v>
      </c>
      <c r="S709" s="133">
        <v>0</v>
      </c>
      <c r="T709" s="136">
        <v>0</v>
      </c>
      <c r="U709" s="133">
        <v>0</v>
      </c>
      <c r="V709" s="136">
        <v>0</v>
      </c>
      <c r="W709" s="133">
        <v>0</v>
      </c>
      <c r="X709" s="136">
        <v>0</v>
      </c>
      <c r="Y709" s="133">
        <v>0</v>
      </c>
      <c r="Z709" s="136">
        <v>0</v>
      </c>
      <c r="AA709" s="133">
        <v>0</v>
      </c>
      <c r="AB709" s="136">
        <v>0</v>
      </c>
      <c r="AC709" s="238">
        <f t="shared" si="363"/>
        <v>0</v>
      </c>
      <c r="AD709" s="238"/>
      <c r="AE709" s="238"/>
    </row>
    <row r="710" spans="2:31" x14ac:dyDescent="0.3">
      <c r="B710" s="245" t="s">
        <v>17</v>
      </c>
      <c r="C710" s="245"/>
      <c r="D710" s="245"/>
      <c r="E710" s="133">
        <v>0</v>
      </c>
      <c r="F710" s="136">
        <v>0</v>
      </c>
      <c r="G710" s="133">
        <v>0</v>
      </c>
      <c r="H710" s="136">
        <v>0</v>
      </c>
      <c r="I710" s="133">
        <v>0</v>
      </c>
      <c r="J710" s="136">
        <v>0</v>
      </c>
      <c r="K710" s="133">
        <v>0</v>
      </c>
      <c r="L710" s="136">
        <v>0</v>
      </c>
      <c r="M710" s="133">
        <v>0</v>
      </c>
      <c r="N710" s="136">
        <v>0</v>
      </c>
      <c r="O710" s="133">
        <v>0</v>
      </c>
      <c r="P710" s="136">
        <v>0</v>
      </c>
      <c r="Q710" s="133">
        <v>8.4073333333333355</v>
      </c>
      <c r="R710" s="136">
        <v>5.498833333333331</v>
      </c>
      <c r="S710" s="133">
        <v>0</v>
      </c>
      <c r="T710" s="136">
        <v>0</v>
      </c>
      <c r="U710" s="133">
        <v>0</v>
      </c>
      <c r="V710" s="136">
        <v>0</v>
      </c>
      <c r="W710" s="133">
        <v>0</v>
      </c>
      <c r="X710" s="136">
        <v>0.54016666666666657</v>
      </c>
      <c r="Y710" s="133">
        <v>0</v>
      </c>
      <c r="Z710" s="136">
        <v>0</v>
      </c>
      <c r="AA710" s="133">
        <v>0</v>
      </c>
      <c r="AB710" s="136">
        <v>0</v>
      </c>
      <c r="AC710" s="238">
        <f t="shared" si="363"/>
        <v>14.446333333333333</v>
      </c>
      <c r="AD710" s="238"/>
      <c r="AE710" s="238"/>
    </row>
    <row r="711" spans="2:31" x14ac:dyDescent="0.3">
      <c r="B711" s="245" t="s">
        <v>18</v>
      </c>
      <c r="C711" s="245"/>
      <c r="D711" s="245"/>
      <c r="E711" s="133">
        <v>0</v>
      </c>
      <c r="F711" s="136">
        <v>0</v>
      </c>
      <c r="G711" s="133">
        <v>0</v>
      </c>
      <c r="H711" s="136">
        <v>0</v>
      </c>
      <c r="I711" s="133">
        <v>0</v>
      </c>
      <c r="J711" s="136">
        <v>0</v>
      </c>
      <c r="K711" s="133">
        <v>0</v>
      </c>
      <c r="L711" s="136">
        <v>0</v>
      </c>
      <c r="M711" s="133">
        <v>0</v>
      </c>
      <c r="N711" s="136">
        <v>0</v>
      </c>
      <c r="O711" s="133">
        <v>0</v>
      </c>
      <c r="P711" s="136">
        <v>0</v>
      </c>
      <c r="Q711" s="133">
        <v>1.5703333333333347</v>
      </c>
      <c r="R711" s="136">
        <v>1.5653333333333352</v>
      </c>
      <c r="S711" s="133">
        <v>2.599000000000002</v>
      </c>
      <c r="T711" s="136">
        <v>2.5270000000000028</v>
      </c>
      <c r="U711" s="133">
        <v>0.8008333333333354</v>
      </c>
      <c r="V711" s="136">
        <v>1.2433333333333361</v>
      </c>
      <c r="W711" s="133">
        <v>1.17766666666667</v>
      </c>
      <c r="X711" s="136">
        <v>0</v>
      </c>
      <c r="Y711" s="133">
        <v>0</v>
      </c>
      <c r="Z711" s="136">
        <v>0</v>
      </c>
      <c r="AA711" s="133">
        <v>0</v>
      </c>
      <c r="AB711" s="136">
        <v>0</v>
      </c>
      <c r="AC711" s="238">
        <f t="shared" si="363"/>
        <v>11.483500000000015</v>
      </c>
      <c r="AD711" s="238"/>
      <c r="AE711" s="238"/>
    </row>
    <row r="712" spans="2:31" x14ac:dyDescent="0.3">
      <c r="B712" s="245" t="s">
        <v>19</v>
      </c>
      <c r="C712" s="245"/>
      <c r="D712" s="245"/>
      <c r="E712" s="133">
        <v>0</v>
      </c>
      <c r="F712" s="136">
        <v>0</v>
      </c>
      <c r="G712" s="133">
        <v>0</v>
      </c>
      <c r="H712" s="136">
        <v>0</v>
      </c>
      <c r="I712" s="133">
        <v>0</v>
      </c>
      <c r="J712" s="136">
        <v>0</v>
      </c>
      <c r="K712" s="133">
        <v>0</v>
      </c>
      <c r="L712" s="136">
        <v>0</v>
      </c>
      <c r="M712" s="133">
        <v>0</v>
      </c>
      <c r="N712" s="136">
        <v>0</v>
      </c>
      <c r="O712" s="133">
        <v>0</v>
      </c>
      <c r="P712" s="136">
        <v>0</v>
      </c>
      <c r="Q712" s="133">
        <v>0</v>
      </c>
      <c r="R712" s="136">
        <v>3.3608333333333316</v>
      </c>
      <c r="S712" s="133">
        <v>0</v>
      </c>
      <c r="T712" s="136">
        <v>0</v>
      </c>
      <c r="U712" s="133">
        <v>0</v>
      </c>
      <c r="V712" s="136">
        <v>0</v>
      </c>
      <c r="W712" s="133">
        <v>48.820000000000036</v>
      </c>
      <c r="X712" s="136">
        <v>1.1320000000000001</v>
      </c>
      <c r="Y712" s="133">
        <v>0</v>
      </c>
      <c r="Z712" s="136">
        <v>0</v>
      </c>
      <c r="AA712" s="133">
        <v>0</v>
      </c>
      <c r="AB712" s="136">
        <v>0</v>
      </c>
      <c r="AC712" s="238">
        <f t="shared" si="363"/>
        <v>53.312833333333366</v>
      </c>
      <c r="AD712" s="238"/>
      <c r="AE712" s="238"/>
    </row>
    <row r="713" spans="2:31" x14ac:dyDescent="0.3">
      <c r="B713" s="245" t="s">
        <v>20</v>
      </c>
      <c r="C713" s="245"/>
      <c r="D713" s="245"/>
      <c r="E713" s="133">
        <v>0</v>
      </c>
      <c r="F713" s="136">
        <v>0</v>
      </c>
      <c r="G713" s="133">
        <v>0</v>
      </c>
      <c r="H713" s="136">
        <v>0</v>
      </c>
      <c r="I713" s="133">
        <v>0</v>
      </c>
      <c r="J713" s="136">
        <v>0</v>
      </c>
      <c r="K713" s="133">
        <v>0</v>
      </c>
      <c r="L713" s="136">
        <v>0</v>
      </c>
      <c r="M713" s="133">
        <v>0</v>
      </c>
      <c r="N713" s="136">
        <v>0</v>
      </c>
      <c r="O713" s="133">
        <v>0</v>
      </c>
      <c r="P713" s="136">
        <v>0</v>
      </c>
      <c r="Q713" s="133">
        <v>7.6253333333333364</v>
      </c>
      <c r="R713" s="136">
        <v>0</v>
      </c>
      <c r="S713" s="133">
        <v>0</v>
      </c>
      <c r="T713" s="136">
        <v>0</v>
      </c>
      <c r="U713" s="133">
        <v>5.199999999999994</v>
      </c>
      <c r="V713" s="136">
        <v>16.200000000000017</v>
      </c>
      <c r="W713" s="133">
        <v>35.900000000000041</v>
      </c>
      <c r="X713" s="136">
        <v>0.53666666666666663</v>
      </c>
      <c r="Y713" s="133">
        <v>0</v>
      </c>
      <c r="Z713" s="136">
        <v>0</v>
      </c>
      <c r="AA713" s="133">
        <v>0</v>
      </c>
      <c r="AB713" s="136">
        <v>0</v>
      </c>
      <c r="AC713" s="238">
        <f t="shared" si="363"/>
        <v>65.462000000000046</v>
      </c>
      <c r="AD713" s="238"/>
      <c r="AE713" s="238"/>
    </row>
    <row r="714" spans="2:31" x14ac:dyDescent="0.3">
      <c r="B714" s="245" t="s">
        <v>21</v>
      </c>
      <c r="C714" s="245"/>
      <c r="D714" s="245"/>
      <c r="E714" s="133">
        <v>0</v>
      </c>
      <c r="F714" s="136">
        <v>0</v>
      </c>
      <c r="G714" s="133">
        <v>0</v>
      </c>
      <c r="H714" s="136">
        <v>0</v>
      </c>
      <c r="I714" s="133">
        <v>0</v>
      </c>
      <c r="J714" s="136">
        <v>0</v>
      </c>
      <c r="K714" s="133">
        <v>0</v>
      </c>
      <c r="L714" s="136">
        <v>0</v>
      </c>
      <c r="M714" s="133">
        <v>0</v>
      </c>
      <c r="N714" s="136">
        <v>0</v>
      </c>
      <c r="O714" s="133">
        <v>0</v>
      </c>
      <c r="P714" s="136">
        <v>0</v>
      </c>
      <c r="Q714" s="133">
        <v>3.0410000000000008</v>
      </c>
      <c r="R714" s="136">
        <v>1.0544999999999993</v>
      </c>
      <c r="S714" s="133">
        <v>0.25000000000000022</v>
      </c>
      <c r="T714" s="136">
        <v>1.6564999999999999</v>
      </c>
      <c r="U714" s="133">
        <v>3.6266666666666678</v>
      </c>
      <c r="V714" s="136">
        <v>3.2663333333333302</v>
      </c>
      <c r="W714" s="133">
        <v>3.7021666666666682</v>
      </c>
      <c r="X714" s="136">
        <v>6.25E-2</v>
      </c>
      <c r="Y714" s="133">
        <v>0</v>
      </c>
      <c r="Z714" s="136">
        <v>0</v>
      </c>
      <c r="AA714" s="133">
        <v>0</v>
      </c>
      <c r="AB714" s="136">
        <v>0</v>
      </c>
      <c r="AC714" s="238">
        <f t="shared" si="363"/>
        <v>16.659666666666666</v>
      </c>
      <c r="AD714" s="238"/>
      <c r="AE714" s="238"/>
    </row>
    <row r="715" spans="2:31" x14ac:dyDescent="0.3">
      <c r="B715" s="245" t="s">
        <v>22</v>
      </c>
      <c r="C715" s="245"/>
      <c r="D715" s="245"/>
      <c r="E715" s="133">
        <v>0</v>
      </c>
      <c r="F715" s="136">
        <v>0</v>
      </c>
      <c r="G715" s="133">
        <v>0</v>
      </c>
      <c r="H715" s="136">
        <v>0</v>
      </c>
      <c r="I715" s="133">
        <v>0</v>
      </c>
      <c r="J715" s="136">
        <v>0</v>
      </c>
      <c r="K715" s="133">
        <v>0</v>
      </c>
      <c r="L715" s="136">
        <v>0</v>
      </c>
      <c r="M715" s="133">
        <v>0</v>
      </c>
      <c r="N715" s="136">
        <v>0</v>
      </c>
      <c r="O715" s="133">
        <v>0</v>
      </c>
      <c r="P715" s="136">
        <v>0</v>
      </c>
      <c r="Q715" s="133">
        <v>2.9</v>
      </c>
      <c r="R715" s="136">
        <v>5.4636666666666711</v>
      </c>
      <c r="S715" s="133">
        <v>10.259999999999993</v>
      </c>
      <c r="T715" s="136">
        <v>11.36000000000001</v>
      </c>
      <c r="U715" s="133">
        <v>11.460000000000003</v>
      </c>
      <c r="V715" s="136">
        <v>11.36000000000001</v>
      </c>
      <c r="W715" s="133">
        <v>11.36000000000001</v>
      </c>
      <c r="X715" s="136">
        <v>0.18766666666666662</v>
      </c>
      <c r="Y715" s="133">
        <v>0</v>
      </c>
      <c r="Z715" s="136">
        <v>0</v>
      </c>
      <c r="AA715" s="133">
        <v>0</v>
      </c>
      <c r="AB715" s="136">
        <v>0</v>
      </c>
      <c r="AC715" s="238">
        <f t="shared" si="363"/>
        <v>64.351333333333372</v>
      </c>
      <c r="AD715" s="238"/>
      <c r="AE715" s="238"/>
    </row>
    <row r="716" spans="2:31" x14ac:dyDescent="0.3">
      <c r="B716" s="245" t="s">
        <v>23</v>
      </c>
      <c r="C716" s="245"/>
      <c r="D716" s="245"/>
      <c r="E716" s="133">
        <v>0</v>
      </c>
      <c r="F716" s="136">
        <v>0</v>
      </c>
      <c r="G716" s="133">
        <v>0</v>
      </c>
      <c r="H716" s="136">
        <v>0</v>
      </c>
      <c r="I716" s="133">
        <v>0</v>
      </c>
      <c r="J716" s="136">
        <v>0</v>
      </c>
      <c r="K716" s="133">
        <v>0</v>
      </c>
      <c r="L716" s="136">
        <v>0</v>
      </c>
      <c r="M716" s="133">
        <v>0</v>
      </c>
      <c r="N716" s="136">
        <v>0</v>
      </c>
      <c r="O716" s="133">
        <v>0</v>
      </c>
      <c r="P716" s="136">
        <v>0</v>
      </c>
      <c r="Q716" s="133">
        <v>0</v>
      </c>
      <c r="R716" s="136">
        <v>0.80566666666666731</v>
      </c>
      <c r="S716" s="133">
        <v>4.4549999999999983</v>
      </c>
      <c r="T716" s="136">
        <v>4.6025000000000009</v>
      </c>
      <c r="U716" s="133">
        <v>5.8128333333333329</v>
      </c>
      <c r="V716" s="136">
        <v>6.6300000000000008</v>
      </c>
      <c r="W716" s="133">
        <v>6.5841666666666647</v>
      </c>
      <c r="X716" s="136">
        <v>0.10766666666666667</v>
      </c>
      <c r="Y716" s="133">
        <v>0</v>
      </c>
      <c r="Z716" s="136">
        <v>0</v>
      </c>
      <c r="AA716" s="133">
        <v>0</v>
      </c>
      <c r="AB716" s="136">
        <v>0</v>
      </c>
      <c r="AC716" s="238">
        <f t="shared" si="363"/>
        <v>28.997833333333329</v>
      </c>
      <c r="AD716" s="238"/>
      <c r="AE716" s="238"/>
    </row>
    <row r="717" spans="2:31" x14ac:dyDescent="0.3">
      <c r="B717" s="245" t="s">
        <v>24</v>
      </c>
      <c r="C717" s="245"/>
      <c r="D717" s="245"/>
      <c r="E717" s="133">
        <v>0</v>
      </c>
      <c r="F717" s="136">
        <v>0</v>
      </c>
      <c r="G717" s="133">
        <v>0</v>
      </c>
      <c r="H717" s="136">
        <v>0</v>
      </c>
      <c r="I717" s="133">
        <v>0</v>
      </c>
      <c r="J717" s="136">
        <v>0</v>
      </c>
      <c r="K717" s="133">
        <v>0</v>
      </c>
      <c r="L717" s="136">
        <v>0</v>
      </c>
      <c r="M717" s="133">
        <v>0</v>
      </c>
      <c r="N717" s="136">
        <v>0</v>
      </c>
      <c r="O717" s="133">
        <v>0</v>
      </c>
      <c r="P717" s="136">
        <v>0</v>
      </c>
      <c r="Q717" s="133">
        <v>1.0221666666666669</v>
      </c>
      <c r="R717" s="136">
        <v>1.9421666666666662</v>
      </c>
      <c r="S717" s="133">
        <v>4.5073333333333307</v>
      </c>
      <c r="T717" s="136">
        <v>4.2921666666666658</v>
      </c>
      <c r="U717" s="133">
        <v>3.5648333333333313</v>
      </c>
      <c r="V717" s="136">
        <v>3.8558333333333374</v>
      </c>
      <c r="W717" s="133">
        <v>2.9853333333333336</v>
      </c>
      <c r="X717" s="136">
        <v>4.4333333333333273E-2</v>
      </c>
      <c r="Y717" s="133">
        <v>0</v>
      </c>
      <c r="Z717" s="136">
        <v>0</v>
      </c>
      <c r="AA717" s="133">
        <v>0</v>
      </c>
      <c r="AB717" s="136">
        <v>0</v>
      </c>
      <c r="AC717" s="238">
        <f t="shared" si="363"/>
        <v>22.214166666666667</v>
      </c>
      <c r="AD717" s="238"/>
      <c r="AE717" s="238"/>
    </row>
    <row r="718" spans="2:31" x14ac:dyDescent="0.3">
      <c r="B718" s="245" t="s">
        <v>25</v>
      </c>
      <c r="C718" s="245"/>
      <c r="D718" s="245"/>
      <c r="E718" s="133">
        <v>0</v>
      </c>
      <c r="F718" s="136">
        <v>0</v>
      </c>
      <c r="G718" s="133">
        <v>0</v>
      </c>
      <c r="H718" s="136">
        <v>0</v>
      </c>
      <c r="I718" s="133">
        <v>0</v>
      </c>
      <c r="J718" s="136">
        <v>0</v>
      </c>
      <c r="K718" s="133">
        <v>0</v>
      </c>
      <c r="L718" s="136">
        <v>0</v>
      </c>
      <c r="M718" s="133">
        <v>0</v>
      </c>
      <c r="N718" s="136">
        <v>0</v>
      </c>
      <c r="O718" s="133">
        <v>0</v>
      </c>
      <c r="P718" s="136">
        <v>0</v>
      </c>
      <c r="Q718" s="133">
        <v>1.2723333333333335</v>
      </c>
      <c r="R718" s="136">
        <v>0</v>
      </c>
      <c r="S718" s="133">
        <v>0</v>
      </c>
      <c r="T718" s="136">
        <v>0</v>
      </c>
      <c r="U718" s="133">
        <v>0</v>
      </c>
      <c r="V718" s="136">
        <v>0</v>
      </c>
      <c r="W718" s="133">
        <v>0</v>
      </c>
      <c r="X718" s="136">
        <v>0</v>
      </c>
      <c r="Y718" s="133">
        <v>0</v>
      </c>
      <c r="Z718" s="136">
        <v>0</v>
      </c>
      <c r="AA718" s="133">
        <v>0</v>
      </c>
      <c r="AB718" s="136">
        <v>0</v>
      </c>
      <c r="AC718" s="238">
        <f t="shared" si="363"/>
        <v>1.2723333333333335</v>
      </c>
      <c r="AD718" s="238"/>
      <c r="AE718" s="238"/>
    </row>
    <row r="719" spans="2:31" x14ac:dyDescent="0.3">
      <c r="B719" s="245" t="s">
        <v>26</v>
      </c>
      <c r="C719" s="245"/>
      <c r="D719" s="245"/>
      <c r="E719" s="133">
        <v>0</v>
      </c>
      <c r="F719" s="136">
        <v>0</v>
      </c>
      <c r="G719" s="133">
        <v>0</v>
      </c>
      <c r="H719" s="136">
        <v>0</v>
      </c>
      <c r="I719" s="133">
        <v>0</v>
      </c>
      <c r="J719" s="136">
        <v>0</v>
      </c>
      <c r="K719" s="133">
        <v>0</v>
      </c>
      <c r="L719" s="136">
        <v>0</v>
      </c>
      <c r="M719" s="133">
        <v>0</v>
      </c>
      <c r="N719" s="136">
        <v>0</v>
      </c>
      <c r="O719" s="133">
        <v>0</v>
      </c>
      <c r="P719" s="136">
        <v>0</v>
      </c>
      <c r="Q719" s="133">
        <v>0</v>
      </c>
      <c r="R719" s="136">
        <v>0</v>
      </c>
      <c r="S719" s="133">
        <v>0</v>
      </c>
      <c r="T719" s="136">
        <v>0</v>
      </c>
      <c r="U719" s="133">
        <v>0</v>
      </c>
      <c r="V719" s="136">
        <v>0</v>
      </c>
      <c r="W719" s="133">
        <v>0</v>
      </c>
      <c r="X719" s="136">
        <v>0</v>
      </c>
      <c r="Y719" s="133">
        <v>0</v>
      </c>
      <c r="Z719" s="136">
        <v>0</v>
      </c>
      <c r="AA719" s="133">
        <v>0</v>
      </c>
      <c r="AB719" s="136">
        <v>0</v>
      </c>
      <c r="AC719" s="238">
        <f t="shared" si="363"/>
        <v>0</v>
      </c>
      <c r="AD719" s="238"/>
      <c r="AE719" s="238"/>
    </row>
    <row r="720" spans="2:31" x14ac:dyDescent="0.3">
      <c r="B720" s="245" t="s">
        <v>27</v>
      </c>
      <c r="C720" s="245"/>
      <c r="D720" s="245"/>
      <c r="E720" s="133">
        <v>0</v>
      </c>
      <c r="F720" s="136">
        <v>0</v>
      </c>
      <c r="G720" s="133">
        <v>0</v>
      </c>
      <c r="H720" s="136">
        <v>0</v>
      </c>
      <c r="I720" s="133">
        <v>0</v>
      </c>
      <c r="J720" s="136">
        <v>0</v>
      </c>
      <c r="K720" s="133">
        <v>0</v>
      </c>
      <c r="L720" s="136">
        <v>0</v>
      </c>
      <c r="M720" s="133">
        <v>0</v>
      </c>
      <c r="N720" s="136">
        <v>0</v>
      </c>
      <c r="O720" s="133">
        <v>0</v>
      </c>
      <c r="P720" s="136">
        <v>0</v>
      </c>
      <c r="Q720" s="133">
        <v>0.19983333333333339</v>
      </c>
      <c r="R720" s="136">
        <v>0</v>
      </c>
      <c r="S720" s="133">
        <v>0</v>
      </c>
      <c r="T720" s="136">
        <v>0</v>
      </c>
      <c r="U720" s="133">
        <v>4.5366666666666653</v>
      </c>
      <c r="V720" s="136">
        <v>12.304499999999999</v>
      </c>
      <c r="W720" s="133">
        <v>0.13716666666666633</v>
      </c>
      <c r="X720" s="136">
        <v>3.1333333333333373E-2</v>
      </c>
      <c r="Y720" s="133">
        <v>0</v>
      </c>
      <c r="Z720" s="136">
        <v>0</v>
      </c>
      <c r="AA720" s="133">
        <v>0</v>
      </c>
      <c r="AB720" s="136">
        <v>0</v>
      </c>
      <c r="AC720" s="238">
        <f t="shared" si="363"/>
        <v>17.209499999999995</v>
      </c>
      <c r="AD720" s="238"/>
      <c r="AE720" s="238"/>
    </row>
    <row r="721" spans="2:31" x14ac:dyDescent="0.3">
      <c r="B721" s="245" t="s">
        <v>28</v>
      </c>
      <c r="C721" s="245"/>
      <c r="D721" s="245"/>
      <c r="E721" s="133">
        <v>0</v>
      </c>
      <c r="F721" s="136">
        <v>0</v>
      </c>
      <c r="G721" s="133">
        <v>0</v>
      </c>
      <c r="H721" s="136">
        <v>0</v>
      </c>
      <c r="I721" s="133">
        <v>0</v>
      </c>
      <c r="J721" s="136">
        <v>0</v>
      </c>
      <c r="K721" s="133">
        <v>0</v>
      </c>
      <c r="L721" s="136">
        <v>0</v>
      </c>
      <c r="M721" s="133">
        <v>0</v>
      </c>
      <c r="N721" s="136">
        <v>0</v>
      </c>
      <c r="O721" s="133">
        <v>0</v>
      </c>
      <c r="P721" s="136">
        <v>0</v>
      </c>
      <c r="Q721" s="133">
        <v>8.6106666666666651</v>
      </c>
      <c r="R721" s="136">
        <v>0</v>
      </c>
      <c r="S721" s="133">
        <v>0</v>
      </c>
      <c r="T721" s="136">
        <v>0</v>
      </c>
      <c r="U721" s="133">
        <v>21.787166666666643</v>
      </c>
      <c r="V721" s="136">
        <v>32.400166666666699</v>
      </c>
      <c r="W721" s="133">
        <v>40.667166666666667</v>
      </c>
      <c r="X721" s="136">
        <v>0.84666666666666657</v>
      </c>
      <c r="Y721" s="133">
        <v>0</v>
      </c>
      <c r="Z721" s="136">
        <v>0</v>
      </c>
      <c r="AA721" s="133">
        <v>0</v>
      </c>
      <c r="AB721" s="136">
        <v>0</v>
      </c>
      <c r="AC721" s="238">
        <f t="shared" si="363"/>
        <v>104.31183333333334</v>
      </c>
      <c r="AD721" s="238"/>
      <c r="AE721" s="238"/>
    </row>
    <row r="722" spans="2:31" x14ac:dyDescent="0.3">
      <c r="B722" s="245" t="s">
        <v>92</v>
      </c>
      <c r="C722" s="245"/>
      <c r="D722" s="245"/>
      <c r="E722" s="133">
        <v>0</v>
      </c>
      <c r="F722" s="136">
        <v>0</v>
      </c>
      <c r="G722" s="133">
        <v>0</v>
      </c>
      <c r="H722" s="136">
        <v>0</v>
      </c>
      <c r="I722" s="133">
        <v>0</v>
      </c>
      <c r="J722" s="136">
        <v>0</v>
      </c>
      <c r="K722" s="133">
        <v>0</v>
      </c>
      <c r="L722" s="136">
        <v>0</v>
      </c>
      <c r="M722" s="133">
        <v>0</v>
      </c>
      <c r="N722" s="136">
        <v>0</v>
      </c>
      <c r="O722" s="133">
        <v>0</v>
      </c>
      <c r="P722" s="136">
        <v>0</v>
      </c>
      <c r="Q722" s="133">
        <v>0</v>
      </c>
      <c r="R722" s="136">
        <v>0</v>
      </c>
      <c r="S722" s="133">
        <v>0</v>
      </c>
      <c r="T722" s="136">
        <v>0</v>
      </c>
      <c r="U722" s="133">
        <v>0</v>
      </c>
      <c r="V722" s="136">
        <v>0</v>
      </c>
      <c r="W722" s="133">
        <v>0</v>
      </c>
      <c r="X722" s="136">
        <v>0</v>
      </c>
      <c r="Y722" s="133">
        <v>0</v>
      </c>
      <c r="Z722" s="136">
        <v>0</v>
      </c>
      <c r="AA722" s="133">
        <v>0</v>
      </c>
      <c r="AB722" s="136">
        <v>0</v>
      </c>
      <c r="AC722" s="238">
        <f t="shared" si="363"/>
        <v>0</v>
      </c>
      <c r="AD722" s="238"/>
      <c r="AE722" s="238"/>
    </row>
    <row r="723" spans="2:31" x14ac:dyDescent="0.3">
      <c r="B723" s="245" t="s">
        <v>29</v>
      </c>
      <c r="C723" s="245"/>
      <c r="D723" s="245"/>
      <c r="E723" s="133">
        <v>0</v>
      </c>
      <c r="F723" s="136">
        <v>0</v>
      </c>
      <c r="G723" s="133">
        <v>0</v>
      </c>
      <c r="H723" s="136">
        <v>0</v>
      </c>
      <c r="I723" s="133">
        <v>0</v>
      </c>
      <c r="J723" s="136">
        <v>0</v>
      </c>
      <c r="K723" s="133">
        <v>0</v>
      </c>
      <c r="L723" s="136">
        <v>0</v>
      </c>
      <c r="M723" s="133">
        <v>0</v>
      </c>
      <c r="N723" s="136">
        <v>0</v>
      </c>
      <c r="O723" s="133">
        <v>0</v>
      </c>
      <c r="P723" s="136">
        <v>0</v>
      </c>
      <c r="Q723" s="133">
        <v>1.6956666666666664</v>
      </c>
      <c r="R723" s="136">
        <v>0</v>
      </c>
      <c r="S723" s="133">
        <v>0</v>
      </c>
      <c r="T723" s="136">
        <v>0</v>
      </c>
      <c r="U723" s="133">
        <v>14.296666666666669</v>
      </c>
      <c r="V723" s="136">
        <v>24.928333333333338</v>
      </c>
      <c r="W723" s="133">
        <v>1.1881666666666666</v>
      </c>
      <c r="X723" s="136">
        <v>0</v>
      </c>
      <c r="Y723" s="133">
        <v>0</v>
      </c>
      <c r="Z723" s="136">
        <v>0</v>
      </c>
      <c r="AA723" s="133">
        <v>0</v>
      </c>
      <c r="AB723" s="136">
        <v>0</v>
      </c>
      <c r="AC723" s="238">
        <f t="shared" si="363"/>
        <v>42.108833333333344</v>
      </c>
      <c r="AD723" s="238"/>
      <c r="AE723" s="238"/>
    </row>
    <row r="724" spans="2:31" x14ac:dyDescent="0.3">
      <c r="B724" s="245" t="s">
        <v>30</v>
      </c>
      <c r="C724" s="245"/>
      <c r="D724" s="245"/>
      <c r="E724" s="133">
        <v>0</v>
      </c>
      <c r="F724" s="136">
        <v>0</v>
      </c>
      <c r="G724" s="133">
        <v>0</v>
      </c>
      <c r="H724" s="136">
        <v>0</v>
      </c>
      <c r="I724" s="133">
        <v>0</v>
      </c>
      <c r="J724" s="136">
        <v>0</v>
      </c>
      <c r="K724" s="133">
        <v>0</v>
      </c>
      <c r="L724" s="136">
        <v>0</v>
      </c>
      <c r="M724" s="133">
        <v>0</v>
      </c>
      <c r="N724" s="136">
        <v>0</v>
      </c>
      <c r="O724" s="133">
        <v>0</v>
      </c>
      <c r="P724" s="136">
        <v>0</v>
      </c>
      <c r="Q724" s="133">
        <v>2.8541666666666652</v>
      </c>
      <c r="R724" s="136">
        <v>0</v>
      </c>
      <c r="S724" s="133">
        <v>0</v>
      </c>
      <c r="T724" s="136">
        <v>0</v>
      </c>
      <c r="U724" s="133">
        <v>10.910833333333333</v>
      </c>
      <c r="V724" s="136">
        <v>17.631166666666662</v>
      </c>
      <c r="W724" s="133">
        <v>21.410500000000013</v>
      </c>
      <c r="X724" s="136">
        <v>0.41166666666666674</v>
      </c>
      <c r="Y724" s="133">
        <v>0</v>
      </c>
      <c r="Z724" s="136">
        <v>0</v>
      </c>
      <c r="AA724" s="133">
        <v>0</v>
      </c>
      <c r="AB724" s="136">
        <v>0</v>
      </c>
      <c r="AC724" s="238">
        <f t="shared" si="363"/>
        <v>53.218333333333341</v>
      </c>
      <c r="AD724" s="238"/>
      <c r="AE724" s="238"/>
    </row>
    <row r="725" spans="2:31" x14ac:dyDescent="0.3">
      <c r="B725" s="245" t="s">
        <v>31</v>
      </c>
      <c r="C725" s="245"/>
      <c r="D725" s="245"/>
      <c r="E725" s="133">
        <v>0</v>
      </c>
      <c r="F725" s="136">
        <v>0</v>
      </c>
      <c r="G725" s="133">
        <v>0</v>
      </c>
      <c r="H725" s="136">
        <v>0</v>
      </c>
      <c r="I725" s="133">
        <v>0</v>
      </c>
      <c r="J725" s="136">
        <v>0</v>
      </c>
      <c r="K725" s="133">
        <v>0</v>
      </c>
      <c r="L725" s="136">
        <v>0</v>
      </c>
      <c r="M725" s="133">
        <v>0</v>
      </c>
      <c r="N725" s="136">
        <v>0</v>
      </c>
      <c r="O725" s="133">
        <v>0</v>
      </c>
      <c r="P725" s="136">
        <v>0</v>
      </c>
      <c r="Q725" s="133">
        <v>2.4708333333333345</v>
      </c>
      <c r="R725" s="136">
        <v>0</v>
      </c>
      <c r="S725" s="133">
        <v>0</v>
      </c>
      <c r="T725" s="136">
        <v>0</v>
      </c>
      <c r="U725" s="133">
        <v>6.922500000000003</v>
      </c>
      <c r="V725" s="136">
        <v>10.529999999999983</v>
      </c>
      <c r="W725" s="133">
        <v>12.529999999999982</v>
      </c>
      <c r="X725" s="136">
        <v>0.26216666666666666</v>
      </c>
      <c r="Y725" s="133">
        <v>0</v>
      </c>
      <c r="Z725" s="136">
        <v>0</v>
      </c>
      <c r="AA725" s="133">
        <v>0</v>
      </c>
      <c r="AB725" s="136">
        <v>0</v>
      </c>
      <c r="AC725" s="238">
        <f t="shared" si="363"/>
        <v>32.71549999999997</v>
      </c>
      <c r="AD725" s="238"/>
      <c r="AE725" s="238"/>
    </row>
    <row r="726" spans="2:31" x14ac:dyDescent="0.3">
      <c r="B726" s="245" t="s">
        <v>32</v>
      </c>
      <c r="C726" s="245"/>
      <c r="D726" s="245"/>
      <c r="E726" s="133">
        <v>0</v>
      </c>
      <c r="F726" s="136">
        <v>0</v>
      </c>
      <c r="G726" s="133">
        <v>0</v>
      </c>
      <c r="H726" s="136">
        <v>0</v>
      </c>
      <c r="I726" s="133">
        <v>0</v>
      </c>
      <c r="J726" s="136">
        <v>0</v>
      </c>
      <c r="K726" s="133">
        <v>0</v>
      </c>
      <c r="L726" s="136">
        <v>0</v>
      </c>
      <c r="M726" s="133">
        <v>0</v>
      </c>
      <c r="N726" s="136">
        <v>0</v>
      </c>
      <c r="O726" s="133">
        <v>0</v>
      </c>
      <c r="P726" s="136">
        <v>0</v>
      </c>
      <c r="Q726" s="133">
        <v>3.1444999999999999</v>
      </c>
      <c r="R726" s="136">
        <v>0</v>
      </c>
      <c r="S726" s="133">
        <v>0</v>
      </c>
      <c r="T726" s="136">
        <v>0</v>
      </c>
      <c r="U726" s="133">
        <v>12.743833333333335</v>
      </c>
      <c r="V726" s="136">
        <v>23.328666666666667</v>
      </c>
      <c r="W726" s="133">
        <v>20.967166666666664</v>
      </c>
      <c r="X726" s="136">
        <v>0.7456666666666667</v>
      </c>
      <c r="Y726" s="133">
        <v>0</v>
      </c>
      <c r="Z726" s="136">
        <v>0</v>
      </c>
      <c r="AA726" s="133">
        <v>0</v>
      </c>
      <c r="AB726" s="136">
        <v>0</v>
      </c>
      <c r="AC726" s="238">
        <f t="shared" si="363"/>
        <v>60.929833333333328</v>
      </c>
      <c r="AD726" s="238"/>
      <c r="AE726" s="238"/>
    </row>
    <row r="727" spans="2:31" x14ac:dyDescent="0.3">
      <c r="B727" s="245" t="s">
        <v>33</v>
      </c>
      <c r="C727" s="245"/>
      <c r="D727" s="245"/>
      <c r="E727" s="133">
        <v>0</v>
      </c>
      <c r="F727" s="136">
        <v>0</v>
      </c>
      <c r="G727" s="133">
        <v>0</v>
      </c>
      <c r="H727" s="136">
        <v>0</v>
      </c>
      <c r="I727" s="133">
        <v>0</v>
      </c>
      <c r="J727" s="136">
        <v>0</v>
      </c>
      <c r="K727" s="133">
        <v>0</v>
      </c>
      <c r="L727" s="136">
        <v>0</v>
      </c>
      <c r="M727" s="133">
        <v>0</v>
      </c>
      <c r="N727" s="136">
        <v>0</v>
      </c>
      <c r="O727" s="133">
        <v>0</v>
      </c>
      <c r="P727" s="136">
        <v>0</v>
      </c>
      <c r="Q727" s="133">
        <v>0.85450000000000004</v>
      </c>
      <c r="R727" s="136">
        <v>0</v>
      </c>
      <c r="S727" s="133">
        <v>0</v>
      </c>
      <c r="T727" s="136">
        <v>0</v>
      </c>
      <c r="U727" s="133">
        <v>3.367999999999999</v>
      </c>
      <c r="V727" s="136">
        <v>4.7188333333333343</v>
      </c>
      <c r="W727" s="133">
        <v>3.3296666666666677</v>
      </c>
      <c r="X727" s="136">
        <v>0</v>
      </c>
      <c r="Y727" s="133">
        <v>0</v>
      </c>
      <c r="Z727" s="136">
        <v>0</v>
      </c>
      <c r="AA727" s="133">
        <v>0</v>
      </c>
      <c r="AB727" s="136">
        <v>0</v>
      </c>
      <c r="AC727" s="238">
        <f t="shared" si="363"/>
        <v>12.271000000000001</v>
      </c>
      <c r="AD727" s="238"/>
      <c r="AE727" s="238"/>
    </row>
    <row r="728" spans="2:31" x14ac:dyDescent="0.3">
      <c r="B728" s="245" t="s">
        <v>34</v>
      </c>
      <c r="C728" s="245"/>
      <c r="D728" s="245"/>
      <c r="E728" s="133">
        <v>0</v>
      </c>
      <c r="F728" s="136">
        <v>0</v>
      </c>
      <c r="G728" s="133">
        <v>0</v>
      </c>
      <c r="H728" s="136">
        <v>0</v>
      </c>
      <c r="I728" s="133">
        <v>0</v>
      </c>
      <c r="J728" s="136">
        <v>0</v>
      </c>
      <c r="K728" s="133">
        <v>0</v>
      </c>
      <c r="L728" s="136">
        <v>0</v>
      </c>
      <c r="M728" s="133">
        <v>0</v>
      </c>
      <c r="N728" s="136">
        <v>0</v>
      </c>
      <c r="O728" s="133">
        <v>0</v>
      </c>
      <c r="P728" s="136">
        <v>0</v>
      </c>
      <c r="Q728" s="133">
        <v>0.53983333333333328</v>
      </c>
      <c r="R728" s="136">
        <v>0</v>
      </c>
      <c r="S728" s="133">
        <v>0</v>
      </c>
      <c r="T728" s="136">
        <v>0</v>
      </c>
      <c r="U728" s="133">
        <v>0.82283333333333331</v>
      </c>
      <c r="V728" s="136">
        <v>2.5580000000000003</v>
      </c>
      <c r="W728" s="133">
        <v>0.69366666666666676</v>
      </c>
      <c r="X728" s="136">
        <v>5.6000000000000008E-2</v>
      </c>
      <c r="Y728" s="133">
        <v>0</v>
      </c>
      <c r="Z728" s="136">
        <v>0</v>
      </c>
      <c r="AA728" s="133">
        <v>0</v>
      </c>
      <c r="AB728" s="136">
        <v>0</v>
      </c>
      <c r="AC728" s="238">
        <f t="shared" si="363"/>
        <v>4.6703333333333337</v>
      </c>
      <c r="AD728" s="238"/>
      <c r="AE728" s="238"/>
    </row>
    <row r="729" spans="2:31" x14ac:dyDescent="0.3">
      <c r="B729" s="245" t="s">
        <v>35</v>
      </c>
      <c r="C729" s="245"/>
      <c r="D729" s="245"/>
      <c r="E729" s="133">
        <v>0</v>
      </c>
      <c r="F729" s="136">
        <v>0</v>
      </c>
      <c r="G729" s="133">
        <v>0</v>
      </c>
      <c r="H729" s="136">
        <v>0</v>
      </c>
      <c r="I729" s="133">
        <v>0</v>
      </c>
      <c r="J729" s="136">
        <v>0</v>
      </c>
      <c r="K729" s="133">
        <v>0</v>
      </c>
      <c r="L729" s="136">
        <v>0</v>
      </c>
      <c r="M729" s="133">
        <v>0</v>
      </c>
      <c r="N729" s="136">
        <v>0</v>
      </c>
      <c r="O729" s="133">
        <v>0</v>
      </c>
      <c r="P729" s="136">
        <v>0</v>
      </c>
      <c r="Q729" s="133">
        <v>0</v>
      </c>
      <c r="R729" s="136">
        <v>0</v>
      </c>
      <c r="S729" s="133">
        <v>0</v>
      </c>
      <c r="T729" s="136">
        <v>0</v>
      </c>
      <c r="U729" s="133">
        <v>0</v>
      </c>
      <c r="V729" s="136">
        <v>0</v>
      </c>
      <c r="W729" s="133">
        <v>0</v>
      </c>
      <c r="X729" s="136">
        <v>0</v>
      </c>
      <c r="Y729" s="133">
        <v>0</v>
      </c>
      <c r="Z729" s="136">
        <v>0</v>
      </c>
      <c r="AA729" s="133">
        <v>0</v>
      </c>
      <c r="AB729" s="136">
        <v>0</v>
      </c>
      <c r="AC729" s="238">
        <f t="shared" si="363"/>
        <v>0</v>
      </c>
      <c r="AD729" s="238"/>
      <c r="AE729" s="238"/>
    </row>
    <row r="730" spans="2:31" x14ac:dyDescent="0.3">
      <c r="B730" s="245" t="s">
        <v>36</v>
      </c>
      <c r="C730" s="245"/>
      <c r="D730" s="245"/>
      <c r="E730" s="133">
        <v>0</v>
      </c>
      <c r="F730" s="136">
        <v>0</v>
      </c>
      <c r="G730" s="133">
        <v>0</v>
      </c>
      <c r="H730" s="136">
        <v>0</v>
      </c>
      <c r="I730" s="133">
        <v>0</v>
      </c>
      <c r="J730" s="136">
        <v>0</v>
      </c>
      <c r="K730" s="133">
        <v>0</v>
      </c>
      <c r="L730" s="136">
        <v>0</v>
      </c>
      <c r="M730" s="133">
        <v>0</v>
      </c>
      <c r="N730" s="136">
        <v>0</v>
      </c>
      <c r="O730" s="133">
        <v>0</v>
      </c>
      <c r="P730" s="136">
        <v>0</v>
      </c>
      <c r="Q730" s="133">
        <v>0</v>
      </c>
      <c r="R730" s="136">
        <v>0</v>
      </c>
      <c r="S730" s="133">
        <v>0</v>
      </c>
      <c r="T730" s="136">
        <v>0</v>
      </c>
      <c r="U730" s="133">
        <v>0</v>
      </c>
      <c r="V730" s="136">
        <v>0</v>
      </c>
      <c r="W730" s="133">
        <v>0</v>
      </c>
      <c r="X730" s="136">
        <v>0</v>
      </c>
      <c r="Y730" s="133">
        <v>0</v>
      </c>
      <c r="Z730" s="136">
        <v>0</v>
      </c>
      <c r="AA730" s="133">
        <v>0</v>
      </c>
      <c r="AB730" s="136">
        <v>0</v>
      </c>
      <c r="AC730" s="238">
        <f t="shared" si="363"/>
        <v>0</v>
      </c>
      <c r="AD730" s="238"/>
      <c r="AE730" s="238"/>
    </row>
    <row r="731" spans="2:31" x14ac:dyDescent="0.3">
      <c r="B731" s="13" t="s">
        <v>89</v>
      </c>
      <c r="C731" s="13"/>
      <c r="D731" s="13"/>
      <c r="E731" s="133">
        <v>0</v>
      </c>
      <c r="F731" s="136">
        <v>0</v>
      </c>
      <c r="G731" s="133">
        <v>0</v>
      </c>
      <c r="H731" s="136">
        <v>0</v>
      </c>
      <c r="I731" s="133">
        <v>0</v>
      </c>
      <c r="J731" s="136">
        <v>0</v>
      </c>
      <c r="K731" s="133">
        <v>0</v>
      </c>
      <c r="L731" s="136">
        <v>0</v>
      </c>
      <c r="M731" s="133">
        <v>0</v>
      </c>
      <c r="N731" s="136">
        <v>0</v>
      </c>
      <c r="O731" s="133">
        <v>0</v>
      </c>
      <c r="P731" s="136">
        <v>0</v>
      </c>
      <c r="Q731" s="133">
        <v>0</v>
      </c>
      <c r="R731" s="136">
        <v>0</v>
      </c>
      <c r="S731" s="133">
        <v>0</v>
      </c>
      <c r="T731" s="136">
        <v>0</v>
      </c>
      <c r="U731" s="133">
        <v>0</v>
      </c>
      <c r="V731" s="136">
        <v>0</v>
      </c>
      <c r="W731" s="133">
        <v>0</v>
      </c>
      <c r="X731" s="136">
        <v>0</v>
      </c>
      <c r="Y731" s="133">
        <v>0</v>
      </c>
      <c r="Z731" s="136">
        <v>0</v>
      </c>
      <c r="AA731" s="133">
        <v>0</v>
      </c>
      <c r="AB731" s="136">
        <v>0</v>
      </c>
      <c r="AC731" s="238">
        <f t="shared" si="363"/>
        <v>0</v>
      </c>
      <c r="AD731" s="238"/>
      <c r="AE731" s="238"/>
    </row>
    <row r="732" spans="2:31" x14ac:dyDescent="0.3">
      <c r="B732" s="13" t="s">
        <v>90</v>
      </c>
      <c r="C732" s="13"/>
      <c r="D732" s="13"/>
      <c r="E732" s="133">
        <v>0</v>
      </c>
      <c r="F732" s="136">
        <v>0</v>
      </c>
      <c r="G732" s="133">
        <v>0</v>
      </c>
      <c r="H732" s="136">
        <v>0</v>
      </c>
      <c r="I732" s="133">
        <v>0</v>
      </c>
      <c r="J732" s="136">
        <v>0</v>
      </c>
      <c r="K732" s="133">
        <v>0</v>
      </c>
      <c r="L732" s="136">
        <v>0</v>
      </c>
      <c r="M732" s="133">
        <v>0</v>
      </c>
      <c r="N732" s="136">
        <v>0</v>
      </c>
      <c r="O732" s="133">
        <v>0</v>
      </c>
      <c r="P732" s="136">
        <v>0</v>
      </c>
      <c r="Q732" s="133">
        <v>0</v>
      </c>
      <c r="R732" s="136">
        <v>0</v>
      </c>
      <c r="S732" s="133">
        <v>0</v>
      </c>
      <c r="T732" s="136">
        <v>0</v>
      </c>
      <c r="U732" s="133">
        <v>0</v>
      </c>
      <c r="V732" s="136">
        <v>4.1499999999999977</v>
      </c>
      <c r="W732" s="133">
        <v>0.60199999999999987</v>
      </c>
      <c r="X732" s="136">
        <v>4.349999999999999E-2</v>
      </c>
      <c r="Y732" s="133">
        <v>0</v>
      </c>
      <c r="Z732" s="136">
        <v>0</v>
      </c>
      <c r="AA732" s="133">
        <v>0</v>
      </c>
      <c r="AB732" s="136">
        <v>0</v>
      </c>
      <c r="AC732" s="238">
        <f t="shared" si="363"/>
        <v>4.795499999999997</v>
      </c>
      <c r="AD732" s="238"/>
      <c r="AE732" s="238"/>
    </row>
    <row r="733" spans="2:31" x14ac:dyDescent="0.3">
      <c r="B733" s="14" t="s">
        <v>2</v>
      </c>
      <c r="C733" s="14"/>
      <c r="D733" s="14"/>
      <c r="E733" s="15">
        <f>SUM(E696:E732)</f>
        <v>0</v>
      </c>
      <c r="F733" s="15">
        <f t="shared" ref="F733" si="364">SUM(F696:F732)</f>
        <v>0</v>
      </c>
      <c r="G733" s="15">
        <f t="shared" ref="G733" si="365">SUM(G696:G732)</f>
        <v>0</v>
      </c>
      <c r="H733" s="15">
        <f t="shared" ref="H733" si="366">SUM(H696:H732)</f>
        <v>0</v>
      </c>
      <c r="I733" s="15">
        <f t="shared" ref="I733" si="367">SUM(I696:I732)</f>
        <v>0</v>
      </c>
      <c r="J733" s="15">
        <f t="shared" ref="J733" si="368">SUM(J696:J732)</f>
        <v>0</v>
      </c>
      <c r="K733" s="15">
        <f t="shared" ref="K733" si="369">SUM(K696:K732)</f>
        <v>0</v>
      </c>
      <c r="L733" s="15">
        <f t="shared" ref="L733" si="370">SUM(L696:L732)</f>
        <v>0</v>
      </c>
      <c r="M733" s="15">
        <f t="shared" ref="M733" si="371">SUM(M696:M732)</f>
        <v>0</v>
      </c>
      <c r="N733" s="15">
        <f t="shared" ref="N733" si="372">SUM(N696:N732)</f>
        <v>0</v>
      </c>
      <c r="O733" s="15">
        <f t="shared" ref="O733" si="373">SUM(O696:O732)</f>
        <v>0</v>
      </c>
      <c r="P733" s="15">
        <f t="shared" ref="P733" si="374">SUM(P696:P732)</f>
        <v>0</v>
      </c>
      <c r="Q733" s="15">
        <f t="shared" ref="Q733" si="375">SUM(Q696:Q732)</f>
        <v>79.250666666666675</v>
      </c>
      <c r="R733" s="15">
        <f t="shared" ref="R733" si="376">SUM(R696:R732)</f>
        <v>65.528333333333322</v>
      </c>
      <c r="S733" s="15">
        <f t="shared" ref="S733" si="377">SUM(S696:S732)</f>
        <v>261.6728333333333</v>
      </c>
      <c r="T733" s="15">
        <f t="shared" ref="T733" si="378">SUM(T696:T732)</f>
        <v>356.32733333333329</v>
      </c>
      <c r="U733" s="15">
        <f t="shared" ref="U733" si="379">SUM(U696:U732)</f>
        <v>467.52616666666671</v>
      </c>
      <c r="V733" s="15">
        <f t="shared" ref="V733" si="380">SUM(V696:V732)</f>
        <v>548.75649999999996</v>
      </c>
      <c r="W733" s="15">
        <f t="shared" ref="W733" si="381">SUM(W696:W732)</f>
        <v>652.90483333333327</v>
      </c>
      <c r="X733" s="15">
        <f t="shared" ref="X733" si="382">SUM(X696:X732)</f>
        <v>40.761000000000003</v>
      </c>
      <c r="Y733" s="15">
        <f t="shared" ref="Y733" si="383">SUM(Y696:Y732)</f>
        <v>10.079499999999999</v>
      </c>
      <c r="Z733" s="15">
        <f t="shared" ref="Z733" si="384">SUM(Z696:Z732)</f>
        <v>0</v>
      </c>
      <c r="AA733" s="15">
        <f t="shared" ref="AA733" si="385">SUM(AA696:AA732)</f>
        <v>0</v>
      </c>
      <c r="AB733" s="15">
        <f t="shared" ref="AB733" si="386">SUM(AB696:AB732)</f>
        <v>0</v>
      </c>
      <c r="AC733" s="249">
        <f>SUM(AC696:AE732)</f>
        <v>2482.8071666666665</v>
      </c>
      <c r="AD733" s="249"/>
      <c r="AE733" s="249"/>
    </row>
    <row r="736" spans="2:31" x14ac:dyDescent="0.3">
      <c r="B736" s="8">
        <f>'Resumen-Mensual'!$V$22</f>
        <v>44579</v>
      </c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4"/>
      <c r="AD736" s="4"/>
      <c r="AE736" s="4"/>
    </row>
    <row r="737" spans="2:31" x14ac:dyDescent="0.3">
      <c r="B737" s="8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4"/>
      <c r="AD737" s="4"/>
      <c r="AE737" s="4"/>
    </row>
    <row r="738" spans="2:31" x14ac:dyDescent="0.3">
      <c r="B738" s="9" t="s">
        <v>81</v>
      </c>
      <c r="C738" s="10"/>
      <c r="D738" s="10"/>
      <c r="E738" s="11">
        <v>1</v>
      </c>
      <c r="F738" s="11">
        <v>2</v>
      </c>
      <c r="G738" s="11">
        <v>3</v>
      </c>
      <c r="H738" s="11">
        <v>4</v>
      </c>
      <c r="I738" s="11">
        <v>5</v>
      </c>
      <c r="J738" s="11">
        <v>6</v>
      </c>
      <c r="K738" s="11">
        <v>7</v>
      </c>
      <c r="L738" s="11">
        <v>8</v>
      </c>
      <c r="M738" s="11">
        <v>9</v>
      </c>
      <c r="N738" s="11">
        <v>10</v>
      </c>
      <c r="O738" s="11">
        <v>11</v>
      </c>
      <c r="P738" s="11">
        <v>12</v>
      </c>
      <c r="Q738" s="11">
        <v>13</v>
      </c>
      <c r="R738" s="11">
        <v>14</v>
      </c>
      <c r="S738" s="11">
        <v>15</v>
      </c>
      <c r="T738" s="11">
        <v>16</v>
      </c>
      <c r="U738" s="11">
        <v>17</v>
      </c>
      <c r="V738" s="11">
        <v>18</v>
      </c>
      <c r="W738" s="11">
        <v>19</v>
      </c>
      <c r="X738" s="11">
        <v>20</v>
      </c>
      <c r="Y738" s="11">
        <v>21</v>
      </c>
      <c r="Z738" s="11">
        <v>22</v>
      </c>
      <c r="AA738" s="11">
        <v>23</v>
      </c>
      <c r="AB738" s="11">
        <v>24</v>
      </c>
      <c r="AC738" s="248" t="s">
        <v>2</v>
      </c>
      <c r="AD738" s="248"/>
      <c r="AE738" s="248"/>
    </row>
    <row r="739" spans="2:31" x14ac:dyDescent="0.3">
      <c r="B739" s="245" t="s">
        <v>4</v>
      </c>
      <c r="C739" s="245"/>
      <c r="D739" s="245"/>
      <c r="E739" s="141">
        <v>0</v>
      </c>
      <c r="F739" s="142">
        <v>0</v>
      </c>
      <c r="G739" s="141">
        <v>0</v>
      </c>
      <c r="H739" s="142">
        <v>0</v>
      </c>
      <c r="I739" s="141">
        <v>0</v>
      </c>
      <c r="J739" s="142">
        <v>0</v>
      </c>
      <c r="K739" s="141">
        <v>0</v>
      </c>
      <c r="L739" s="142">
        <v>0</v>
      </c>
      <c r="M739" s="141">
        <v>0</v>
      </c>
      <c r="N739" s="142">
        <v>0</v>
      </c>
      <c r="O739" s="141">
        <v>0</v>
      </c>
      <c r="P739" s="142">
        <v>0</v>
      </c>
      <c r="Q739" s="141">
        <v>0</v>
      </c>
      <c r="R739" s="142">
        <v>0</v>
      </c>
      <c r="S739" s="141">
        <v>0</v>
      </c>
      <c r="T739" s="142">
        <v>3.7365000000000008</v>
      </c>
      <c r="U739" s="141">
        <v>4.9916666666666698</v>
      </c>
      <c r="V739" s="142">
        <v>1.5833333333333333</v>
      </c>
      <c r="W739" s="141">
        <v>0</v>
      </c>
      <c r="X739" s="142">
        <v>0</v>
      </c>
      <c r="Y739" s="141">
        <v>0</v>
      </c>
      <c r="Z739" s="142">
        <v>0</v>
      </c>
      <c r="AA739" s="141">
        <v>0</v>
      </c>
      <c r="AB739" s="142">
        <v>0</v>
      </c>
      <c r="AC739" s="238">
        <f>SUM(E739:AB739)</f>
        <v>10.311500000000004</v>
      </c>
      <c r="AD739" s="238"/>
      <c r="AE739" s="238"/>
    </row>
    <row r="740" spans="2:31" x14ac:dyDescent="0.3">
      <c r="B740" s="245" t="s">
        <v>5</v>
      </c>
      <c r="C740" s="245"/>
      <c r="D740" s="245"/>
      <c r="E740" s="140">
        <v>0</v>
      </c>
      <c r="F740" s="143">
        <v>0</v>
      </c>
      <c r="G740" s="140">
        <v>0</v>
      </c>
      <c r="H740" s="143">
        <v>0</v>
      </c>
      <c r="I740" s="140">
        <v>0</v>
      </c>
      <c r="J740" s="143">
        <v>0</v>
      </c>
      <c r="K740" s="140">
        <v>0</v>
      </c>
      <c r="L740" s="143">
        <v>0</v>
      </c>
      <c r="M740" s="140">
        <v>0</v>
      </c>
      <c r="N740" s="143">
        <v>0</v>
      </c>
      <c r="O740" s="140">
        <v>0</v>
      </c>
      <c r="P740" s="143">
        <v>0</v>
      </c>
      <c r="Q740" s="140">
        <v>0</v>
      </c>
      <c r="R740" s="143">
        <v>0</v>
      </c>
      <c r="S740" s="140">
        <v>0</v>
      </c>
      <c r="T740" s="143">
        <v>26.919499999999985</v>
      </c>
      <c r="U740" s="140">
        <v>47.842666666666688</v>
      </c>
      <c r="V740" s="143">
        <v>53.333333333333336</v>
      </c>
      <c r="W740" s="140">
        <v>48.693666666666651</v>
      </c>
      <c r="X740" s="143">
        <v>0.70833333333333326</v>
      </c>
      <c r="Y740" s="140">
        <v>0</v>
      </c>
      <c r="Z740" s="143">
        <v>0</v>
      </c>
      <c r="AA740" s="140">
        <v>0</v>
      </c>
      <c r="AB740" s="143">
        <v>0</v>
      </c>
      <c r="AC740" s="238">
        <f t="shared" ref="AC740:AC775" si="387">SUM(E740:AB740)</f>
        <v>177.4975</v>
      </c>
      <c r="AD740" s="238"/>
      <c r="AE740" s="238"/>
    </row>
    <row r="741" spans="2:31" x14ac:dyDescent="0.3">
      <c r="B741" s="245" t="s">
        <v>6</v>
      </c>
      <c r="C741" s="245"/>
      <c r="D741" s="245"/>
      <c r="E741" s="140">
        <v>0</v>
      </c>
      <c r="F741" s="143">
        <v>0</v>
      </c>
      <c r="G741" s="140">
        <v>0</v>
      </c>
      <c r="H741" s="143">
        <v>0</v>
      </c>
      <c r="I741" s="140">
        <v>0</v>
      </c>
      <c r="J741" s="143">
        <v>0</v>
      </c>
      <c r="K741" s="140">
        <v>0</v>
      </c>
      <c r="L741" s="143">
        <v>0</v>
      </c>
      <c r="M741" s="140">
        <v>0</v>
      </c>
      <c r="N741" s="143">
        <v>0</v>
      </c>
      <c r="O741" s="140">
        <v>0</v>
      </c>
      <c r="P741" s="143">
        <v>0</v>
      </c>
      <c r="Q741" s="140">
        <v>0</v>
      </c>
      <c r="R741" s="143">
        <v>0</v>
      </c>
      <c r="S741" s="140">
        <v>0.57149999999999979</v>
      </c>
      <c r="T741" s="143">
        <v>0</v>
      </c>
      <c r="U741" s="140">
        <v>13.251833333333334</v>
      </c>
      <c r="V741" s="143">
        <v>7.285666666666665</v>
      </c>
      <c r="W741" s="140">
        <v>17.706833333333336</v>
      </c>
      <c r="X741" s="143">
        <v>11.937833333333328</v>
      </c>
      <c r="Y741" s="140">
        <v>0</v>
      </c>
      <c r="Z741" s="143">
        <v>0</v>
      </c>
      <c r="AA741" s="140">
        <v>0</v>
      </c>
      <c r="AB741" s="143">
        <v>0</v>
      </c>
      <c r="AC741" s="238">
        <f t="shared" si="387"/>
        <v>50.75366666666666</v>
      </c>
      <c r="AD741" s="238"/>
      <c r="AE741" s="238"/>
    </row>
    <row r="742" spans="2:31" x14ac:dyDescent="0.3">
      <c r="B742" s="245" t="s">
        <v>91</v>
      </c>
      <c r="C742" s="245"/>
      <c r="D742" s="245"/>
      <c r="E742" s="140">
        <v>0</v>
      </c>
      <c r="F742" s="143">
        <v>0</v>
      </c>
      <c r="G742" s="140">
        <v>0</v>
      </c>
      <c r="H742" s="143">
        <v>0</v>
      </c>
      <c r="I742" s="140">
        <v>0</v>
      </c>
      <c r="J742" s="143">
        <v>0</v>
      </c>
      <c r="K742" s="140">
        <v>0</v>
      </c>
      <c r="L742" s="143">
        <v>0</v>
      </c>
      <c r="M742" s="140">
        <v>0</v>
      </c>
      <c r="N742" s="143">
        <v>0</v>
      </c>
      <c r="O742" s="140">
        <v>0</v>
      </c>
      <c r="P742" s="143">
        <v>0</v>
      </c>
      <c r="Q742" s="140">
        <v>0</v>
      </c>
      <c r="R742" s="143">
        <v>0</v>
      </c>
      <c r="S742" s="140">
        <v>0</v>
      </c>
      <c r="T742" s="143">
        <v>0</v>
      </c>
      <c r="U742" s="140">
        <v>0</v>
      </c>
      <c r="V742" s="143">
        <v>0</v>
      </c>
      <c r="W742" s="140">
        <v>0</v>
      </c>
      <c r="X742" s="143">
        <v>0</v>
      </c>
      <c r="Y742" s="140">
        <v>0</v>
      </c>
      <c r="Z742" s="143">
        <v>0</v>
      </c>
      <c r="AA742" s="140">
        <v>0</v>
      </c>
      <c r="AB742" s="143">
        <v>0</v>
      </c>
      <c r="AC742" s="238">
        <f t="shared" si="387"/>
        <v>0</v>
      </c>
      <c r="AD742" s="238"/>
      <c r="AE742" s="238"/>
    </row>
    <row r="743" spans="2:31" x14ac:dyDescent="0.3">
      <c r="B743" s="245" t="s">
        <v>7</v>
      </c>
      <c r="C743" s="245"/>
      <c r="D743" s="245"/>
      <c r="E743" s="140">
        <v>0</v>
      </c>
      <c r="F743" s="143">
        <v>0</v>
      </c>
      <c r="G743" s="140">
        <v>0</v>
      </c>
      <c r="H743" s="143">
        <v>0</v>
      </c>
      <c r="I743" s="140">
        <v>0</v>
      </c>
      <c r="J743" s="143">
        <v>0</v>
      </c>
      <c r="K743" s="140">
        <v>0</v>
      </c>
      <c r="L743" s="143">
        <v>0</v>
      </c>
      <c r="M743" s="140">
        <v>0</v>
      </c>
      <c r="N743" s="143">
        <v>0</v>
      </c>
      <c r="O743" s="140">
        <v>0</v>
      </c>
      <c r="P743" s="143">
        <v>0</v>
      </c>
      <c r="Q743" s="140">
        <v>0</v>
      </c>
      <c r="R743" s="143">
        <v>0</v>
      </c>
      <c r="S743" s="140">
        <v>0</v>
      </c>
      <c r="T743" s="143">
        <v>0</v>
      </c>
      <c r="U743" s="140">
        <v>0</v>
      </c>
      <c r="V743" s="143">
        <v>0</v>
      </c>
      <c r="W743" s="140">
        <v>3.7436666666666638</v>
      </c>
      <c r="X743" s="143">
        <v>5.8201666666666636</v>
      </c>
      <c r="Y743" s="140">
        <v>0</v>
      </c>
      <c r="Z743" s="143">
        <v>0</v>
      </c>
      <c r="AA743" s="140">
        <v>0</v>
      </c>
      <c r="AB743" s="143">
        <v>0</v>
      </c>
      <c r="AC743" s="238">
        <f t="shared" si="387"/>
        <v>9.5638333333333279</v>
      </c>
      <c r="AD743" s="238"/>
      <c r="AE743" s="238"/>
    </row>
    <row r="744" spans="2:31" x14ac:dyDescent="0.3">
      <c r="B744" s="245" t="s">
        <v>8</v>
      </c>
      <c r="C744" s="245"/>
      <c r="D744" s="245"/>
      <c r="E744" s="140">
        <v>0</v>
      </c>
      <c r="F744" s="143">
        <v>0</v>
      </c>
      <c r="G744" s="140">
        <v>0</v>
      </c>
      <c r="H744" s="143">
        <v>0</v>
      </c>
      <c r="I744" s="140">
        <v>0</v>
      </c>
      <c r="J744" s="143">
        <v>0</v>
      </c>
      <c r="K744" s="140">
        <v>0</v>
      </c>
      <c r="L744" s="143">
        <v>0</v>
      </c>
      <c r="M744" s="140">
        <v>0</v>
      </c>
      <c r="N744" s="143">
        <v>0</v>
      </c>
      <c r="O744" s="140">
        <v>0</v>
      </c>
      <c r="P744" s="143">
        <v>0</v>
      </c>
      <c r="Q744" s="140">
        <v>0</v>
      </c>
      <c r="R744" s="143">
        <v>0</v>
      </c>
      <c r="S744" s="140">
        <v>0</v>
      </c>
      <c r="T744" s="143">
        <v>0</v>
      </c>
      <c r="U744" s="140">
        <v>0.73099999999999965</v>
      </c>
      <c r="V744" s="143">
        <v>13.178833333333333</v>
      </c>
      <c r="W744" s="140">
        <v>16.886500000000002</v>
      </c>
      <c r="X744" s="143">
        <v>0.19333333333333336</v>
      </c>
      <c r="Y744" s="140">
        <v>0</v>
      </c>
      <c r="Z744" s="143">
        <v>0</v>
      </c>
      <c r="AA744" s="140">
        <v>0</v>
      </c>
      <c r="AB744" s="143">
        <v>0</v>
      </c>
      <c r="AC744" s="238">
        <f t="shared" si="387"/>
        <v>30.989666666666672</v>
      </c>
      <c r="AD744" s="238"/>
      <c r="AE744" s="238"/>
    </row>
    <row r="745" spans="2:31" x14ac:dyDescent="0.3">
      <c r="B745" s="245" t="s">
        <v>9</v>
      </c>
      <c r="C745" s="245"/>
      <c r="D745" s="245"/>
      <c r="E745" s="140">
        <v>0</v>
      </c>
      <c r="F745" s="143">
        <v>0</v>
      </c>
      <c r="G745" s="140">
        <v>0</v>
      </c>
      <c r="H745" s="143">
        <v>0</v>
      </c>
      <c r="I745" s="140">
        <v>0</v>
      </c>
      <c r="J745" s="143">
        <v>0</v>
      </c>
      <c r="K745" s="140">
        <v>0</v>
      </c>
      <c r="L745" s="143">
        <v>0</v>
      </c>
      <c r="M745" s="140">
        <v>0</v>
      </c>
      <c r="N745" s="143">
        <v>0</v>
      </c>
      <c r="O745" s="140">
        <v>0</v>
      </c>
      <c r="P745" s="143">
        <v>0</v>
      </c>
      <c r="Q745" s="140">
        <v>0</v>
      </c>
      <c r="R745" s="143">
        <v>0</v>
      </c>
      <c r="S745" s="140">
        <v>0</v>
      </c>
      <c r="T745" s="143">
        <v>0</v>
      </c>
      <c r="U745" s="140">
        <v>3.6831666666666707</v>
      </c>
      <c r="V745" s="143">
        <v>3.5786666666666678</v>
      </c>
      <c r="W745" s="140">
        <v>0</v>
      </c>
      <c r="X745" s="143">
        <v>0</v>
      </c>
      <c r="Y745" s="140">
        <v>0</v>
      </c>
      <c r="Z745" s="143">
        <v>0</v>
      </c>
      <c r="AA745" s="140">
        <v>0</v>
      </c>
      <c r="AB745" s="143">
        <v>0</v>
      </c>
      <c r="AC745" s="238">
        <f t="shared" si="387"/>
        <v>7.2618333333333389</v>
      </c>
      <c r="AD745" s="238"/>
      <c r="AE745" s="238"/>
    </row>
    <row r="746" spans="2:31" x14ac:dyDescent="0.3">
      <c r="B746" s="245" t="s">
        <v>10</v>
      </c>
      <c r="C746" s="245"/>
      <c r="D746" s="245"/>
      <c r="E746" s="140">
        <v>0</v>
      </c>
      <c r="F746" s="143">
        <v>0</v>
      </c>
      <c r="G746" s="140">
        <v>0</v>
      </c>
      <c r="H746" s="143">
        <v>0</v>
      </c>
      <c r="I746" s="140">
        <v>0</v>
      </c>
      <c r="J746" s="143">
        <v>0</v>
      </c>
      <c r="K746" s="140">
        <v>0</v>
      </c>
      <c r="L746" s="143">
        <v>0</v>
      </c>
      <c r="M746" s="140">
        <v>0</v>
      </c>
      <c r="N746" s="143">
        <v>0</v>
      </c>
      <c r="O746" s="140">
        <v>0</v>
      </c>
      <c r="P746" s="143">
        <v>0</v>
      </c>
      <c r="Q746" s="140">
        <v>0</v>
      </c>
      <c r="R746" s="143">
        <v>0</v>
      </c>
      <c r="S746" s="140">
        <v>0</v>
      </c>
      <c r="T746" s="143">
        <v>0</v>
      </c>
      <c r="U746" s="140">
        <v>0</v>
      </c>
      <c r="V746" s="143">
        <v>0</v>
      </c>
      <c r="W746" s="140">
        <v>0</v>
      </c>
      <c r="X746" s="143">
        <v>0</v>
      </c>
      <c r="Y746" s="140">
        <v>0</v>
      </c>
      <c r="Z746" s="143">
        <v>0</v>
      </c>
      <c r="AA746" s="140">
        <v>0</v>
      </c>
      <c r="AB746" s="143">
        <v>0</v>
      </c>
      <c r="AC746" s="238">
        <f t="shared" si="387"/>
        <v>0</v>
      </c>
      <c r="AD746" s="238"/>
      <c r="AE746" s="238"/>
    </row>
    <row r="747" spans="2:31" x14ac:dyDescent="0.3">
      <c r="B747" s="245" t="s">
        <v>11</v>
      </c>
      <c r="C747" s="245"/>
      <c r="D747" s="245"/>
      <c r="E747" s="140">
        <v>0</v>
      </c>
      <c r="F747" s="143">
        <v>0</v>
      </c>
      <c r="G747" s="140">
        <v>0</v>
      </c>
      <c r="H747" s="143">
        <v>0</v>
      </c>
      <c r="I747" s="140">
        <v>0</v>
      </c>
      <c r="J747" s="143">
        <v>0</v>
      </c>
      <c r="K747" s="140">
        <v>0</v>
      </c>
      <c r="L747" s="143">
        <v>0</v>
      </c>
      <c r="M747" s="140">
        <v>0</v>
      </c>
      <c r="N747" s="143">
        <v>0</v>
      </c>
      <c r="O747" s="140">
        <v>0</v>
      </c>
      <c r="P747" s="143">
        <v>0</v>
      </c>
      <c r="Q747" s="140">
        <v>0</v>
      </c>
      <c r="R747" s="143">
        <v>0</v>
      </c>
      <c r="S747" s="140">
        <v>0</v>
      </c>
      <c r="T747" s="143">
        <v>0</v>
      </c>
      <c r="U747" s="140">
        <v>0</v>
      </c>
      <c r="V747" s="143">
        <v>0</v>
      </c>
      <c r="W747" s="140">
        <v>0</v>
      </c>
      <c r="X747" s="143">
        <v>0</v>
      </c>
      <c r="Y747" s="140">
        <v>0</v>
      </c>
      <c r="Z747" s="143">
        <v>0</v>
      </c>
      <c r="AA747" s="140">
        <v>0</v>
      </c>
      <c r="AB747" s="143">
        <v>0</v>
      </c>
      <c r="AC747" s="238">
        <f t="shared" si="387"/>
        <v>0</v>
      </c>
      <c r="AD747" s="238"/>
      <c r="AE747" s="238"/>
    </row>
    <row r="748" spans="2:31" x14ac:dyDescent="0.3">
      <c r="B748" s="245" t="s">
        <v>12</v>
      </c>
      <c r="C748" s="245"/>
      <c r="D748" s="245"/>
      <c r="E748" s="140">
        <v>0</v>
      </c>
      <c r="F748" s="143">
        <v>0</v>
      </c>
      <c r="G748" s="140">
        <v>0</v>
      </c>
      <c r="H748" s="143">
        <v>0</v>
      </c>
      <c r="I748" s="140">
        <v>0</v>
      </c>
      <c r="J748" s="143">
        <v>0</v>
      </c>
      <c r="K748" s="140">
        <v>0</v>
      </c>
      <c r="L748" s="143">
        <v>0</v>
      </c>
      <c r="M748" s="140">
        <v>0</v>
      </c>
      <c r="N748" s="143">
        <v>0</v>
      </c>
      <c r="O748" s="140">
        <v>0</v>
      </c>
      <c r="P748" s="143">
        <v>0</v>
      </c>
      <c r="Q748" s="140">
        <v>0</v>
      </c>
      <c r="R748" s="143">
        <v>0</v>
      </c>
      <c r="S748" s="140">
        <v>0</v>
      </c>
      <c r="T748" s="143">
        <v>0</v>
      </c>
      <c r="U748" s="140">
        <v>8.266333333333332</v>
      </c>
      <c r="V748" s="143">
        <v>0</v>
      </c>
      <c r="W748" s="140">
        <v>0</v>
      </c>
      <c r="X748" s="143">
        <v>0</v>
      </c>
      <c r="Y748" s="140">
        <v>0</v>
      </c>
      <c r="Z748" s="143">
        <v>0</v>
      </c>
      <c r="AA748" s="140">
        <v>0</v>
      </c>
      <c r="AB748" s="143">
        <v>0</v>
      </c>
      <c r="AC748" s="238">
        <f t="shared" si="387"/>
        <v>8.266333333333332</v>
      </c>
      <c r="AD748" s="238"/>
      <c r="AE748" s="238"/>
    </row>
    <row r="749" spans="2:31" x14ac:dyDescent="0.3">
      <c r="B749" s="245" t="s">
        <v>13</v>
      </c>
      <c r="C749" s="245"/>
      <c r="D749" s="245"/>
      <c r="E749" s="140">
        <v>0</v>
      </c>
      <c r="F749" s="143">
        <v>0</v>
      </c>
      <c r="G749" s="140">
        <v>0</v>
      </c>
      <c r="H749" s="143">
        <v>0</v>
      </c>
      <c r="I749" s="140">
        <v>0</v>
      </c>
      <c r="J749" s="143">
        <v>0</v>
      </c>
      <c r="K749" s="140">
        <v>0</v>
      </c>
      <c r="L749" s="143">
        <v>0</v>
      </c>
      <c r="M749" s="140">
        <v>0</v>
      </c>
      <c r="N749" s="143">
        <v>0</v>
      </c>
      <c r="O749" s="140">
        <v>0</v>
      </c>
      <c r="P749" s="143">
        <v>0</v>
      </c>
      <c r="Q749" s="140">
        <v>0</v>
      </c>
      <c r="R749" s="143">
        <v>0</v>
      </c>
      <c r="S749" s="140">
        <v>0</v>
      </c>
      <c r="T749" s="143">
        <v>0</v>
      </c>
      <c r="U749" s="140">
        <v>0</v>
      </c>
      <c r="V749" s="143">
        <v>0</v>
      </c>
      <c r="W749" s="140">
        <v>0</v>
      </c>
      <c r="X749" s="143">
        <v>0</v>
      </c>
      <c r="Y749" s="140">
        <v>0</v>
      </c>
      <c r="Z749" s="143">
        <v>0</v>
      </c>
      <c r="AA749" s="140">
        <v>0</v>
      </c>
      <c r="AB749" s="143">
        <v>0</v>
      </c>
      <c r="AC749" s="238">
        <f t="shared" si="387"/>
        <v>0</v>
      </c>
      <c r="AD749" s="238"/>
      <c r="AE749" s="238"/>
    </row>
    <row r="750" spans="2:31" x14ac:dyDescent="0.3">
      <c r="B750" s="245" t="s">
        <v>14</v>
      </c>
      <c r="C750" s="245"/>
      <c r="D750" s="245"/>
      <c r="E750" s="140">
        <v>0</v>
      </c>
      <c r="F750" s="143">
        <v>0</v>
      </c>
      <c r="G750" s="140">
        <v>0</v>
      </c>
      <c r="H750" s="143">
        <v>0</v>
      </c>
      <c r="I750" s="140">
        <v>0</v>
      </c>
      <c r="J750" s="143">
        <v>0</v>
      </c>
      <c r="K750" s="140">
        <v>0</v>
      </c>
      <c r="L750" s="143">
        <v>0</v>
      </c>
      <c r="M750" s="140">
        <v>0</v>
      </c>
      <c r="N750" s="143">
        <v>0</v>
      </c>
      <c r="O750" s="140">
        <v>0</v>
      </c>
      <c r="P750" s="143">
        <v>0</v>
      </c>
      <c r="Q750" s="140">
        <v>0</v>
      </c>
      <c r="R750" s="143">
        <v>0</v>
      </c>
      <c r="S750" s="140">
        <v>0</v>
      </c>
      <c r="T750" s="143">
        <v>1.6125000000000009</v>
      </c>
      <c r="U750" s="140">
        <v>1.8499999999999983</v>
      </c>
      <c r="V750" s="143">
        <v>1.4500000000000017</v>
      </c>
      <c r="W750" s="140">
        <v>1.4500000000000017</v>
      </c>
      <c r="X750" s="143">
        <v>3.0833333333333341E-2</v>
      </c>
      <c r="Y750" s="140">
        <v>0</v>
      </c>
      <c r="Z750" s="143">
        <v>0</v>
      </c>
      <c r="AA750" s="140">
        <v>0</v>
      </c>
      <c r="AB750" s="143">
        <v>0</v>
      </c>
      <c r="AC750" s="238">
        <f t="shared" si="387"/>
        <v>6.3933333333333371</v>
      </c>
      <c r="AD750" s="238"/>
      <c r="AE750" s="238"/>
    </row>
    <row r="751" spans="2:31" x14ac:dyDescent="0.3">
      <c r="B751" s="245" t="s">
        <v>15</v>
      </c>
      <c r="C751" s="245"/>
      <c r="D751" s="245"/>
      <c r="E751" s="140">
        <v>0</v>
      </c>
      <c r="F751" s="143">
        <v>0</v>
      </c>
      <c r="G751" s="140">
        <v>0</v>
      </c>
      <c r="H751" s="143">
        <v>0</v>
      </c>
      <c r="I751" s="140">
        <v>0</v>
      </c>
      <c r="J751" s="143">
        <v>0</v>
      </c>
      <c r="K751" s="140">
        <v>0</v>
      </c>
      <c r="L751" s="143">
        <v>0</v>
      </c>
      <c r="M751" s="140">
        <v>0</v>
      </c>
      <c r="N751" s="143">
        <v>0</v>
      </c>
      <c r="O751" s="140">
        <v>0</v>
      </c>
      <c r="P751" s="143">
        <v>0</v>
      </c>
      <c r="Q751" s="140">
        <v>0</v>
      </c>
      <c r="R751" s="143">
        <v>0</v>
      </c>
      <c r="S751" s="140">
        <v>0</v>
      </c>
      <c r="T751" s="143">
        <v>0</v>
      </c>
      <c r="U751" s="140">
        <v>0</v>
      </c>
      <c r="V751" s="143">
        <v>0</v>
      </c>
      <c r="W751" s="140">
        <v>0</v>
      </c>
      <c r="X751" s="143">
        <v>0</v>
      </c>
      <c r="Y751" s="140">
        <v>0</v>
      </c>
      <c r="Z751" s="143">
        <v>0</v>
      </c>
      <c r="AA751" s="140">
        <v>0</v>
      </c>
      <c r="AB751" s="143">
        <v>0</v>
      </c>
      <c r="AC751" s="238">
        <f t="shared" si="387"/>
        <v>0</v>
      </c>
      <c r="AD751" s="238"/>
      <c r="AE751" s="238"/>
    </row>
    <row r="752" spans="2:31" x14ac:dyDescent="0.3">
      <c r="B752" s="245" t="s">
        <v>16</v>
      </c>
      <c r="C752" s="245"/>
      <c r="D752" s="245"/>
      <c r="E752" s="140">
        <v>0</v>
      </c>
      <c r="F752" s="143">
        <v>0</v>
      </c>
      <c r="G752" s="140">
        <v>0</v>
      </c>
      <c r="H752" s="143">
        <v>0</v>
      </c>
      <c r="I752" s="140">
        <v>0</v>
      </c>
      <c r="J752" s="143">
        <v>0</v>
      </c>
      <c r="K752" s="140">
        <v>0</v>
      </c>
      <c r="L752" s="143">
        <v>0</v>
      </c>
      <c r="M752" s="140">
        <v>0</v>
      </c>
      <c r="N752" s="143">
        <v>0</v>
      </c>
      <c r="O752" s="140">
        <v>0</v>
      </c>
      <c r="P752" s="143">
        <v>0</v>
      </c>
      <c r="Q752" s="140">
        <v>0</v>
      </c>
      <c r="R752" s="143">
        <v>0</v>
      </c>
      <c r="S752" s="140">
        <v>0</v>
      </c>
      <c r="T752" s="143">
        <v>0</v>
      </c>
      <c r="U752" s="140">
        <v>0</v>
      </c>
      <c r="V752" s="143">
        <v>0</v>
      </c>
      <c r="W752" s="140">
        <v>0</v>
      </c>
      <c r="X752" s="143">
        <v>0</v>
      </c>
      <c r="Y752" s="140">
        <v>0</v>
      </c>
      <c r="Z752" s="143">
        <v>0</v>
      </c>
      <c r="AA752" s="140">
        <v>0</v>
      </c>
      <c r="AB752" s="143">
        <v>0</v>
      </c>
      <c r="AC752" s="238">
        <f t="shared" si="387"/>
        <v>0</v>
      </c>
      <c r="AD752" s="238"/>
      <c r="AE752" s="238"/>
    </row>
    <row r="753" spans="2:31" x14ac:dyDescent="0.3">
      <c r="B753" s="245" t="s">
        <v>17</v>
      </c>
      <c r="C753" s="245"/>
      <c r="D753" s="245"/>
      <c r="E753" s="140">
        <v>0</v>
      </c>
      <c r="F753" s="143">
        <v>0</v>
      </c>
      <c r="G753" s="140">
        <v>0</v>
      </c>
      <c r="H753" s="143">
        <v>0</v>
      </c>
      <c r="I753" s="140">
        <v>0</v>
      </c>
      <c r="J753" s="143">
        <v>0</v>
      </c>
      <c r="K753" s="140">
        <v>0</v>
      </c>
      <c r="L753" s="143">
        <v>0</v>
      </c>
      <c r="M753" s="140">
        <v>0</v>
      </c>
      <c r="N753" s="143">
        <v>0</v>
      </c>
      <c r="O753" s="140">
        <v>0</v>
      </c>
      <c r="P753" s="143">
        <v>0</v>
      </c>
      <c r="Q753" s="140">
        <v>0</v>
      </c>
      <c r="R753" s="143">
        <v>0</v>
      </c>
      <c r="S753" s="140">
        <v>0</v>
      </c>
      <c r="T753" s="143">
        <v>15.288999999999996</v>
      </c>
      <c r="U753" s="140">
        <v>23.085166666666673</v>
      </c>
      <c r="V753" s="143">
        <v>22.707499999999996</v>
      </c>
      <c r="W753" s="140">
        <v>24.132333333333339</v>
      </c>
      <c r="X753" s="143">
        <v>0.33000000000000007</v>
      </c>
      <c r="Y753" s="140">
        <v>0</v>
      </c>
      <c r="Z753" s="143">
        <v>0</v>
      </c>
      <c r="AA753" s="140">
        <v>0</v>
      </c>
      <c r="AB753" s="143">
        <v>0</v>
      </c>
      <c r="AC753" s="238">
        <f t="shared" si="387"/>
        <v>85.543999999999997</v>
      </c>
      <c r="AD753" s="238"/>
      <c r="AE753" s="238"/>
    </row>
    <row r="754" spans="2:31" x14ac:dyDescent="0.3">
      <c r="B754" s="245" t="s">
        <v>18</v>
      </c>
      <c r="C754" s="245"/>
      <c r="D754" s="245"/>
      <c r="E754" s="140">
        <v>0</v>
      </c>
      <c r="F754" s="143">
        <v>0</v>
      </c>
      <c r="G754" s="140">
        <v>0</v>
      </c>
      <c r="H754" s="143">
        <v>0</v>
      </c>
      <c r="I754" s="140">
        <v>0</v>
      </c>
      <c r="J754" s="143">
        <v>0</v>
      </c>
      <c r="K754" s="140">
        <v>0</v>
      </c>
      <c r="L754" s="143">
        <v>0</v>
      </c>
      <c r="M754" s="140">
        <v>0</v>
      </c>
      <c r="N754" s="143">
        <v>0</v>
      </c>
      <c r="O754" s="140">
        <v>0</v>
      </c>
      <c r="P754" s="143">
        <v>0</v>
      </c>
      <c r="Q754" s="140">
        <v>0</v>
      </c>
      <c r="R754" s="143">
        <v>0</v>
      </c>
      <c r="S754" s="140">
        <v>0</v>
      </c>
      <c r="T754" s="143">
        <v>0</v>
      </c>
      <c r="U754" s="140">
        <v>0</v>
      </c>
      <c r="V754" s="143">
        <v>0</v>
      </c>
      <c r="W754" s="140">
        <v>0</v>
      </c>
      <c r="X754" s="143">
        <v>0</v>
      </c>
      <c r="Y754" s="140">
        <v>0</v>
      </c>
      <c r="Z754" s="143">
        <v>0</v>
      </c>
      <c r="AA754" s="140">
        <v>0</v>
      </c>
      <c r="AB754" s="143">
        <v>0</v>
      </c>
      <c r="AC754" s="238">
        <f t="shared" si="387"/>
        <v>0</v>
      </c>
      <c r="AD754" s="238"/>
      <c r="AE754" s="238"/>
    </row>
    <row r="755" spans="2:31" x14ac:dyDescent="0.3">
      <c r="B755" s="245" t="s">
        <v>19</v>
      </c>
      <c r="C755" s="245"/>
      <c r="D755" s="245"/>
      <c r="E755" s="140">
        <v>0</v>
      </c>
      <c r="F755" s="143">
        <v>0</v>
      </c>
      <c r="G755" s="140">
        <v>0</v>
      </c>
      <c r="H755" s="143">
        <v>0</v>
      </c>
      <c r="I755" s="140">
        <v>0</v>
      </c>
      <c r="J755" s="143">
        <v>0</v>
      </c>
      <c r="K755" s="140">
        <v>0</v>
      </c>
      <c r="L755" s="143">
        <v>0</v>
      </c>
      <c r="M755" s="140">
        <v>0</v>
      </c>
      <c r="N755" s="143">
        <v>0</v>
      </c>
      <c r="O755" s="140">
        <v>0</v>
      </c>
      <c r="P755" s="143">
        <v>0</v>
      </c>
      <c r="Q755" s="140">
        <v>0</v>
      </c>
      <c r="R755" s="143">
        <v>0</v>
      </c>
      <c r="S755" s="140">
        <v>0</v>
      </c>
      <c r="T755" s="143">
        <v>4.133333333333411E-2</v>
      </c>
      <c r="U755" s="140">
        <v>3.2403333333333291</v>
      </c>
      <c r="V755" s="143">
        <v>5.4291666666666494</v>
      </c>
      <c r="W755" s="140">
        <v>7.620000000000001</v>
      </c>
      <c r="X755" s="143">
        <v>0.14699999999999988</v>
      </c>
      <c r="Y755" s="140">
        <v>0</v>
      </c>
      <c r="Z755" s="143">
        <v>0</v>
      </c>
      <c r="AA755" s="140">
        <v>0</v>
      </c>
      <c r="AB755" s="143">
        <v>0</v>
      </c>
      <c r="AC755" s="238">
        <f t="shared" si="387"/>
        <v>16.477833333333312</v>
      </c>
      <c r="AD755" s="238"/>
      <c r="AE755" s="238"/>
    </row>
    <row r="756" spans="2:31" x14ac:dyDescent="0.3">
      <c r="B756" s="245" t="s">
        <v>20</v>
      </c>
      <c r="C756" s="245"/>
      <c r="D756" s="245"/>
      <c r="E756" s="140">
        <v>0</v>
      </c>
      <c r="F756" s="143">
        <v>0</v>
      </c>
      <c r="G756" s="140">
        <v>0</v>
      </c>
      <c r="H756" s="143">
        <v>0</v>
      </c>
      <c r="I756" s="140">
        <v>0</v>
      </c>
      <c r="J756" s="143">
        <v>0</v>
      </c>
      <c r="K756" s="140">
        <v>0</v>
      </c>
      <c r="L756" s="143">
        <v>0</v>
      </c>
      <c r="M756" s="140">
        <v>0</v>
      </c>
      <c r="N756" s="143">
        <v>0</v>
      </c>
      <c r="O756" s="140">
        <v>0</v>
      </c>
      <c r="P756" s="143">
        <v>0</v>
      </c>
      <c r="Q756" s="140">
        <v>0</v>
      </c>
      <c r="R756" s="143">
        <v>0</v>
      </c>
      <c r="S756" s="140">
        <v>0</v>
      </c>
      <c r="T756" s="143">
        <v>19.589999999999989</v>
      </c>
      <c r="U756" s="140">
        <v>30.019999999999985</v>
      </c>
      <c r="V756" s="143">
        <v>31.420000000000023</v>
      </c>
      <c r="W756" s="140">
        <v>31.819999999999983</v>
      </c>
      <c r="X756" s="143">
        <v>0.49533333333333335</v>
      </c>
      <c r="Y756" s="140">
        <v>0</v>
      </c>
      <c r="Z756" s="143">
        <v>0</v>
      </c>
      <c r="AA756" s="140">
        <v>0</v>
      </c>
      <c r="AB756" s="143">
        <v>0</v>
      </c>
      <c r="AC756" s="238">
        <f t="shared" si="387"/>
        <v>113.34533333333331</v>
      </c>
      <c r="AD756" s="238"/>
      <c r="AE756" s="238"/>
    </row>
    <row r="757" spans="2:31" x14ac:dyDescent="0.3">
      <c r="B757" s="245" t="s">
        <v>21</v>
      </c>
      <c r="C757" s="245"/>
      <c r="D757" s="245"/>
      <c r="E757" s="140">
        <v>0</v>
      </c>
      <c r="F757" s="143">
        <v>0</v>
      </c>
      <c r="G757" s="140">
        <v>0</v>
      </c>
      <c r="H757" s="143">
        <v>0</v>
      </c>
      <c r="I757" s="140">
        <v>0</v>
      </c>
      <c r="J757" s="143">
        <v>0</v>
      </c>
      <c r="K757" s="140">
        <v>0</v>
      </c>
      <c r="L757" s="143">
        <v>0</v>
      </c>
      <c r="M757" s="140">
        <v>0</v>
      </c>
      <c r="N757" s="143">
        <v>0</v>
      </c>
      <c r="O757" s="140">
        <v>0</v>
      </c>
      <c r="P757" s="143">
        <v>0</v>
      </c>
      <c r="Q757" s="140">
        <v>0</v>
      </c>
      <c r="R757" s="143">
        <v>0</v>
      </c>
      <c r="S757" s="140">
        <v>0</v>
      </c>
      <c r="T757" s="143">
        <v>0</v>
      </c>
      <c r="U757" s="140">
        <v>0</v>
      </c>
      <c r="V757" s="143">
        <v>0.76949999999999941</v>
      </c>
      <c r="W757" s="140">
        <v>1.483499999999998</v>
      </c>
      <c r="X757" s="143">
        <v>0</v>
      </c>
      <c r="Y757" s="140">
        <v>0</v>
      </c>
      <c r="Z757" s="143">
        <v>0</v>
      </c>
      <c r="AA757" s="140">
        <v>0</v>
      </c>
      <c r="AB757" s="143">
        <v>0</v>
      </c>
      <c r="AC757" s="238">
        <f t="shared" si="387"/>
        <v>2.2529999999999974</v>
      </c>
      <c r="AD757" s="238"/>
      <c r="AE757" s="238"/>
    </row>
    <row r="758" spans="2:31" x14ac:dyDescent="0.3">
      <c r="B758" s="245" t="s">
        <v>22</v>
      </c>
      <c r="C758" s="245"/>
      <c r="D758" s="245"/>
      <c r="E758" s="140">
        <v>0</v>
      </c>
      <c r="F758" s="143">
        <v>0</v>
      </c>
      <c r="G758" s="140">
        <v>0</v>
      </c>
      <c r="H758" s="143">
        <v>0</v>
      </c>
      <c r="I758" s="140">
        <v>0</v>
      </c>
      <c r="J758" s="143">
        <v>0</v>
      </c>
      <c r="K758" s="140">
        <v>0</v>
      </c>
      <c r="L758" s="143">
        <v>0</v>
      </c>
      <c r="M758" s="140">
        <v>0</v>
      </c>
      <c r="N758" s="143">
        <v>0</v>
      </c>
      <c r="O758" s="140">
        <v>0</v>
      </c>
      <c r="P758" s="143">
        <v>0</v>
      </c>
      <c r="Q758" s="140">
        <v>0</v>
      </c>
      <c r="R758" s="143">
        <v>0</v>
      </c>
      <c r="S758" s="140">
        <v>0</v>
      </c>
      <c r="T758" s="143">
        <v>1.9949999999999981</v>
      </c>
      <c r="U758" s="140">
        <v>4.1599999999999975</v>
      </c>
      <c r="V758" s="143">
        <v>5.1600000000000019</v>
      </c>
      <c r="W758" s="140">
        <v>5.3600000000000083</v>
      </c>
      <c r="X758" s="143">
        <v>8.1000000000000003E-2</v>
      </c>
      <c r="Y758" s="140">
        <v>0</v>
      </c>
      <c r="Z758" s="143">
        <v>0</v>
      </c>
      <c r="AA758" s="140">
        <v>0</v>
      </c>
      <c r="AB758" s="143">
        <v>0</v>
      </c>
      <c r="AC758" s="238">
        <f t="shared" si="387"/>
        <v>16.756000000000004</v>
      </c>
      <c r="AD758" s="238"/>
      <c r="AE758" s="238"/>
    </row>
    <row r="759" spans="2:31" x14ac:dyDescent="0.3">
      <c r="B759" s="245" t="s">
        <v>23</v>
      </c>
      <c r="C759" s="245"/>
      <c r="D759" s="245"/>
      <c r="E759" s="140">
        <v>0</v>
      </c>
      <c r="F759" s="143">
        <v>0</v>
      </c>
      <c r="G759" s="140">
        <v>0</v>
      </c>
      <c r="H759" s="143">
        <v>0</v>
      </c>
      <c r="I759" s="140">
        <v>0</v>
      </c>
      <c r="J759" s="143">
        <v>0</v>
      </c>
      <c r="K759" s="140">
        <v>0</v>
      </c>
      <c r="L759" s="143">
        <v>0</v>
      </c>
      <c r="M759" s="140">
        <v>0</v>
      </c>
      <c r="N759" s="143">
        <v>0</v>
      </c>
      <c r="O759" s="140">
        <v>0</v>
      </c>
      <c r="P759" s="143">
        <v>0</v>
      </c>
      <c r="Q759" s="140">
        <v>0</v>
      </c>
      <c r="R759" s="143">
        <v>0</v>
      </c>
      <c r="S759" s="140">
        <v>0</v>
      </c>
      <c r="T759" s="143">
        <v>3.8936666666666686</v>
      </c>
      <c r="U759" s="140">
        <v>11.338333333333336</v>
      </c>
      <c r="V759" s="143">
        <v>0.66849999999999998</v>
      </c>
      <c r="W759" s="140">
        <v>0</v>
      </c>
      <c r="X759" s="143">
        <v>0</v>
      </c>
      <c r="Y759" s="140">
        <v>0</v>
      </c>
      <c r="Z759" s="143">
        <v>0</v>
      </c>
      <c r="AA759" s="140">
        <v>0</v>
      </c>
      <c r="AB759" s="143">
        <v>0</v>
      </c>
      <c r="AC759" s="238">
        <f t="shared" si="387"/>
        <v>15.900500000000005</v>
      </c>
      <c r="AD759" s="238"/>
      <c r="AE759" s="238"/>
    </row>
    <row r="760" spans="2:31" x14ac:dyDescent="0.3">
      <c r="B760" s="245" t="s">
        <v>24</v>
      </c>
      <c r="C760" s="245"/>
      <c r="D760" s="245"/>
      <c r="E760" s="140">
        <v>0</v>
      </c>
      <c r="F760" s="143">
        <v>0</v>
      </c>
      <c r="G760" s="140">
        <v>0</v>
      </c>
      <c r="H760" s="143">
        <v>0</v>
      </c>
      <c r="I760" s="140">
        <v>0</v>
      </c>
      <c r="J760" s="143">
        <v>0</v>
      </c>
      <c r="K760" s="140">
        <v>0</v>
      </c>
      <c r="L760" s="143">
        <v>0</v>
      </c>
      <c r="M760" s="140">
        <v>0</v>
      </c>
      <c r="N760" s="143">
        <v>0</v>
      </c>
      <c r="O760" s="140">
        <v>0</v>
      </c>
      <c r="P760" s="143">
        <v>0</v>
      </c>
      <c r="Q760" s="140">
        <v>0</v>
      </c>
      <c r="R760" s="143">
        <v>0</v>
      </c>
      <c r="S760" s="140">
        <v>0</v>
      </c>
      <c r="T760" s="143">
        <v>0</v>
      </c>
      <c r="U760" s="140">
        <v>0.13400000000000004</v>
      </c>
      <c r="V760" s="143">
        <v>0.70649999999999957</v>
      </c>
      <c r="W760" s="140">
        <v>2.8501666666666674</v>
      </c>
      <c r="X760" s="143">
        <v>0</v>
      </c>
      <c r="Y760" s="140">
        <v>0</v>
      </c>
      <c r="Z760" s="143">
        <v>0</v>
      </c>
      <c r="AA760" s="140">
        <v>0</v>
      </c>
      <c r="AB760" s="143">
        <v>0</v>
      </c>
      <c r="AC760" s="238">
        <f t="shared" si="387"/>
        <v>3.690666666666667</v>
      </c>
      <c r="AD760" s="238"/>
      <c r="AE760" s="238"/>
    </row>
    <row r="761" spans="2:31" x14ac:dyDescent="0.3">
      <c r="B761" s="245" t="s">
        <v>25</v>
      </c>
      <c r="C761" s="245"/>
      <c r="D761" s="245"/>
      <c r="E761" s="140">
        <v>0</v>
      </c>
      <c r="F761" s="143">
        <v>0</v>
      </c>
      <c r="G761" s="140">
        <v>0</v>
      </c>
      <c r="H761" s="143">
        <v>0</v>
      </c>
      <c r="I761" s="140">
        <v>0</v>
      </c>
      <c r="J761" s="143">
        <v>0</v>
      </c>
      <c r="K761" s="140">
        <v>0</v>
      </c>
      <c r="L761" s="143">
        <v>0</v>
      </c>
      <c r="M761" s="140">
        <v>0</v>
      </c>
      <c r="N761" s="143">
        <v>0</v>
      </c>
      <c r="O761" s="140">
        <v>0</v>
      </c>
      <c r="P761" s="143">
        <v>0</v>
      </c>
      <c r="Q761" s="140">
        <v>0</v>
      </c>
      <c r="R761" s="143">
        <v>0</v>
      </c>
      <c r="S761" s="140">
        <v>0</v>
      </c>
      <c r="T761" s="143">
        <v>0</v>
      </c>
      <c r="U761" s="140">
        <v>0</v>
      </c>
      <c r="V761" s="143">
        <v>0</v>
      </c>
      <c r="W761" s="140">
        <v>0</v>
      </c>
      <c r="X761" s="143">
        <v>0</v>
      </c>
      <c r="Y761" s="140">
        <v>0</v>
      </c>
      <c r="Z761" s="143">
        <v>0</v>
      </c>
      <c r="AA761" s="140">
        <v>0</v>
      </c>
      <c r="AB761" s="143">
        <v>0</v>
      </c>
      <c r="AC761" s="238">
        <f t="shared" si="387"/>
        <v>0</v>
      </c>
      <c r="AD761" s="238"/>
      <c r="AE761" s="238"/>
    </row>
    <row r="762" spans="2:31" x14ac:dyDescent="0.3">
      <c r="B762" s="245" t="s">
        <v>26</v>
      </c>
      <c r="C762" s="245"/>
      <c r="D762" s="245"/>
      <c r="E762" s="140">
        <v>0</v>
      </c>
      <c r="F762" s="143">
        <v>0</v>
      </c>
      <c r="G762" s="140">
        <v>0</v>
      </c>
      <c r="H762" s="143">
        <v>0</v>
      </c>
      <c r="I762" s="140">
        <v>0</v>
      </c>
      <c r="J762" s="143">
        <v>0</v>
      </c>
      <c r="K762" s="140">
        <v>0</v>
      </c>
      <c r="L762" s="143">
        <v>0</v>
      </c>
      <c r="M762" s="140">
        <v>0</v>
      </c>
      <c r="N762" s="143">
        <v>0</v>
      </c>
      <c r="O762" s="140">
        <v>0</v>
      </c>
      <c r="P762" s="143">
        <v>0</v>
      </c>
      <c r="Q762" s="140">
        <v>0</v>
      </c>
      <c r="R762" s="143">
        <v>0</v>
      </c>
      <c r="S762" s="140">
        <v>0</v>
      </c>
      <c r="T762" s="143">
        <v>0</v>
      </c>
      <c r="U762" s="140">
        <v>0</v>
      </c>
      <c r="V762" s="143">
        <v>0</v>
      </c>
      <c r="W762" s="140">
        <v>0</v>
      </c>
      <c r="X762" s="143">
        <v>0</v>
      </c>
      <c r="Y762" s="140">
        <v>0</v>
      </c>
      <c r="Z762" s="143">
        <v>0</v>
      </c>
      <c r="AA762" s="140">
        <v>0</v>
      </c>
      <c r="AB762" s="143">
        <v>0</v>
      </c>
      <c r="AC762" s="238">
        <f t="shared" si="387"/>
        <v>0</v>
      </c>
      <c r="AD762" s="238"/>
      <c r="AE762" s="238"/>
    </row>
    <row r="763" spans="2:31" x14ac:dyDescent="0.3">
      <c r="B763" s="245" t="s">
        <v>27</v>
      </c>
      <c r="C763" s="245"/>
      <c r="D763" s="245"/>
      <c r="E763" s="140">
        <v>0</v>
      </c>
      <c r="F763" s="143">
        <v>0</v>
      </c>
      <c r="G763" s="140">
        <v>0</v>
      </c>
      <c r="H763" s="143">
        <v>0</v>
      </c>
      <c r="I763" s="140">
        <v>0</v>
      </c>
      <c r="J763" s="143">
        <v>0</v>
      </c>
      <c r="K763" s="140">
        <v>0</v>
      </c>
      <c r="L763" s="143">
        <v>0</v>
      </c>
      <c r="M763" s="140">
        <v>0</v>
      </c>
      <c r="N763" s="143">
        <v>0</v>
      </c>
      <c r="O763" s="140">
        <v>0</v>
      </c>
      <c r="P763" s="143">
        <v>0</v>
      </c>
      <c r="Q763" s="140">
        <v>0</v>
      </c>
      <c r="R763" s="143">
        <v>0</v>
      </c>
      <c r="S763" s="140">
        <v>0</v>
      </c>
      <c r="T763" s="143">
        <v>0</v>
      </c>
      <c r="U763" s="140">
        <v>0</v>
      </c>
      <c r="V763" s="143">
        <v>1.3535000000000001</v>
      </c>
      <c r="W763" s="140">
        <v>5.4646666666666643</v>
      </c>
      <c r="X763" s="143">
        <v>0.16800000000000001</v>
      </c>
      <c r="Y763" s="140">
        <v>0</v>
      </c>
      <c r="Z763" s="143">
        <v>0</v>
      </c>
      <c r="AA763" s="140">
        <v>0</v>
      </c>
      <c r="AB763" s="143">
        <v>0</v>
      </c>
      <c r="AC763" s="238">
        <f t="shared" si="387"/>
        <v>6.9861666666666649</v>
      </c>
      <c r="AD763" s="238"/>
      <c r="AE763" s="238"/>
    </row>
    <row r="764" spans="2:31" x14ac:dyDescent="0.3">
      <c r="B764" s="245" t="s">
        <v>28</v>
      </c>
      <c r="C764" s="245"/>
      <c r="D764" s="245"/>
      <c r="E764" s="140">
        <v>0</v>
      </c>
      <c r="F764" s="143">
        <v>0</v>
      </c>
      <c r="G764" s="140">
        <v>0</v>
      </c>
      <c r="H764" s="143">
        <v>0</v>
      </c>
      <c r="I764" s="140">
        <v>0</v>
      </c>
      <c r="J764" s="143">
        <v>0</v>
      </c>
      <c r="K764" s="140">
        <v>0</v>
      </c>
      <c r="L764" s="143">
        <v>0</v>
      </c>
      <c r="M764" s="140">
        <v>0</v>
      </c>
      <c r="N764" s="143">
        <v>0</v>
      </c>
      <c r="O764" s="140">
        <v>0</v>
      </c>
      <c r="P764" s="143">
        <v>0</v>
      </c>
      <c r="Q764" s="140">
        <v>0</v>
      </c>
      <c r="R764" s="143">
        <v>0</v>
      </c>
      <c r="S764" s="140">
        <v>0</v>
      </c>
      <c r="T764" s="143">
        <v>0</v>
      </c>
      <c r="U764" s="140">
        <v>0</v>
      </c>
      <c r="V764" s="143">
        <v>1.0953333333333333</v>
      </c>
      <c r="W764" s="140">
        <v>4.8656666666666739</v>
      </c>
      <c r="X764" s="143">
        <v>0.16933333333333334</v>
      </c>
      <c r="Y764" s="140">
        <v>0</v>
      </c>
      <c r="Z764" s="143">
        <v>0</v>
      </c>
      <c r="AA764" s="140">
        <v>0</v>
      </c>
      <c r="AB764" s="143">
        <v>0</v>
      </c>
      <c r="AC764" s="238">
        <f t="shared" si="387"/>
        <v>6.1303333333333407</v>
      </c>
      <c r="AD764" s="238"/>
      <c r="AE764" s="238"/>
    </row>
    <row r="765" spans="2:31" x14ac:dyDescent="0.3">
      <c r="B765" s="245" t="s">
        <v>92</v>
      </c>
      <c r="C765" s="245"/>
      <c r="D765" s="245"/>
      <c r="E765" s="140">
        <v>0</v>
      </c>
      <c r="F765" s="143">
        <v>0</v>
      </c>
      <c r="G765" s="140">
        <v>0</v>
      </c>
      <c r="H765" s="143">
        <v>0</v>
      </c>
      <c r="I765" s="140">
        <v>0</v>
      </c>
      <c r="J765" s="143">
        <v>0</v>
      </c>
      <c r="K765" s="140">
        <v>0</v>
      </c>
      <c r="L765" s="143">
        <v>0</v>
      </c>
      <c r="M765" s="140">
        <v>0</v>
      </c>
      <c r="N765" s="143">
        <v>0</v>
      </c>
      <c r="O765" s="140">
        <v>0</v>
      </c>
      <c r="P765" s="143">
        <v>0</v>
      </c>
      <c r="Q765" s="140">
        <v>0</v>
      </c>
      <c r="R765" s="143">
        <v>0</v>
      </c>
      <c r="S765" s="140">
        <v>0</v>
      </c>
      <c r="T765" s="143">
        <v>0</v>
      </c>
      <c r="U765" s="140">
        <v>0</v>
      </c>
      <c r="V765" s="143">
        <v>0</v>
      </c>
      <c r="W765" s="140">
        <v>0</v>
      </c>
      <c r="X765" s="143">
        <v>0</v>
      </c>
      <c r="Y765" s="140">
        <v>0</v>
      </c>
      <c r="Z765" s="143">
        <v>0</v>
      </c>
      <c r="AA765" s="140">
        <v>0</v>
      </c>
      <c r="AB765" s="143">
        <v>0</v>
      </c>
      <c r="AC765" s="238">
        <f t="shared" si="387"/>
        <v>0</v>
      </c>
      <c r="AD765" s="238"/>
      <c r="AE765" s="238"/>
    </row>
    <row r="766" spans="2:31" x14ac:dyDescent="0.3">
      <c r="B766" s="245" t="s">
        <v>29</v>
      </c>
      <c r="C766" s="245"/>
      <c r="D766" s="245"/>
      <c r="E766" s="140">
        <v>0</v>
      </c>
      <c r="F766" s="143">
        <v>0</v>
      </c>
      <c r="G766" s="140">
        <v>0</v>
      </c>
      <c r="H766" s="143">
        <v>0</v>
      </c>
      <c r="I766" s="140">
        <v>0</v>
      </c>
      <c r="J766" s="143">
        <v>0</v>
      </c>
      <c r="K766" s="140">
        <v>0</v>
      </c>
      <c r="L766" s="143">
        <v>0</v>
      </c>
      <c r="M766" s="140">
        <v>0</v>
      </c>
      <c r="N766" s="143">
        <v>0</v>
      </c>
      <c r="O766" s="140">
        <v>0</v>
      </c>
      <c r="P766" s="143">
        <v>0</v>
      </c>
      <c r="Q766" s="140">
        <v>0</v>
      </c>
      <c r="R766" s="143">
        <v>0</v>
      </c>
      <c r="S766" s="140">
        <v>0</v>
      </c>
      <c r="T766" s="143">
        <v>0</v>
      </c>
      <c r="U766" s="140">
        <v>0</v>
      </c>
      <c r="V766" s="143">
        <v>2.2410000000000005</v>
      </c>
      <c r="W766" s="140">
        <v>9.7081666666666671</v>
      </c>
      <c r="X766" s="143">
        <v>0.26799999999999996</v>
      </c>
      <c r="Y766" s="140">
        <v>0</v>
      </c>
      <c r="Z766" s="143">
        <v>0</v>
      </c>
      <c r="AA766" s="140">
        <v>0</v>
      </c>
      <c r="AB766" s="143">
        <v>0</v>
      </c>
      <c r="AC766" s="238">
        <f t="shared" si="387"/>
        <v>12.217166666666667</v>
      </c>
      <c r="AD766" s="238"/>
      <c r="AE766" s="238"/>
    </row>
    <row r="767" spans="2:31" x14ac:dyDescent="0.3">
      <c r="B767" s="245" t="s">
        <v>30</v>
      </c>
      <c r="C767" s="245"/>
      <c r="D767" s="245"/>
      <c r="E767" s="140">
        <v>0</v>
      </c>
      <c r="F767" s="143">
        <v>0</v>
      </c>
      <c r="G767" s="140">
        <v>0</v>
      </c>
      <c r="H767" s="143">
        <v>0</v>
      </c>
      <c r="I767" s="140">
        <v>0</v>
      </c>
      <c r="J767" s="143">
        <v>0</v>
      </c>
      <c r="K767" s="140">
        <v>0</v>
      </c>
      <c r="L767" s="143">
        <v>0</v>
      </c>
      <c r="M767" s="140">
        <v>0</v>
      </c>
      <c r="N767" s="143">
        <v>0</v>
      </c>
      <c r="O767" s="140">
        <v>0</v>
      </c>
      <c r="P767" s="143">
        <v>0</v>
      </c>
      <c r="Q767" s="140">
        <v>0</v>
      </c>
      <c r="R767" s="143">
        <v>0</v>
      </c>
      <c r="S767" s="140">
        <v>0</v>
      </c>
      <c r="T767" s="143">
        <v>0</v>
      </c>
      <c r="U767" s="140">
        <v>0</v>
      </c>
      <c r="V767" s="143">
        <v>0</v>
      </c>
      <c r="W767" s="140">
        <v>0</v>
      </c>
      <c r="X767" s="143">
        <v>1.6833333333333329E-2</v>
      </c>
      <c r="Y767" s="140">
        <v>0</v>
      </c>
      <c r="Z767" s="143">
        <v>0</v>
      </c>
      <c r="AA767" s="140">
        <v>0</v>
      </c>
      <c r="AB767" s="143">
        <v>0</v>
      </c>
      <c r="AC767" s="238">
        <f t="shared" si="387"/>
        <v>1.6833333333333329E-2</v>
      </c>
      <c r="AD767" s="238"/>
      <c r="AE767" s="238"/>
    </row>
    <row r="768" spans="2:31" x14ac:dyDescent="0.3">
      <c r="B768" s="245" t="s">
        <v>31</v>
      </c>
      <c r="C768" s="245"/>
      <c r="D768" s="245"/>
      <c r="E768" s="140">
        <v>0</v>
      </c>
      <c r="F768" s="143">
        <v>0</v>
      </c>
      <c r="G768" s="140">
        <v>0</v>
      </c>
      <c r="H768" s="143">
        <v>0</v>
      </c>
      <c r="I768" s="140">
        <v>0</v>
      </c>
      <c r="J768" s="143">
        <v>0</v>
      </c>
      <c r="K768" s="140">
        <v>0</v>
      </c>
      <c r="L768" s="143">
        <v>0</v>
      </c>
      <c r="M768" s="140">
        <v>0</v>
      </c>
      <c r="N768" s="143">
        <v>0</v>
      </c>
      <c r="O768" s="140">
        <v>0</v>
      </c>
      <c r="P768" s="143">
        <v>0</v>
      </c>
      <c r="Q768" s="140">
        <v>0</v>
      </c>
      <c r="R768" s="143">
        <v>0</v>
      </c>
      <c r="S768" s="140">
        <v>0</v>
      </c>
      <c r="T768" s="143">
        <v>0</v>
      </c>
      <c r="U768" s="140">
        <v>0</v>
      </c>
      <c r="V768" s="143">
        <v>1.2433333333333343</v>
      </c>
      <c r="W768" s="140">
        <v>4.430000000000005</v>
      </c>
      <c r="X768" s="143">
        <v>0.10883333333333334</v>
      </c>
      <c r="Y768" s="140">
        <v>0</v>
      </c>
      <c r="Z768" s="143">
        <v>0</v>
      </c>
      <c r="AA768" s="140">
        <v>0</v>
      </c>
      <c r="AB768" s="143">
        <v>0</v>
      </c>
      <c r="AC768" s="238">
        <f t="shared" si="387"/>
        <v>5.7821666666666722</v>
      </c>
      <c r="AD768" s="238"/>
      <c r="AE768" s="238"/>
    </row>
    <row r="769" spans="2:31" x14ac:dyDescent="0.3">
      <c r="B769" s="245" t="s">
        <v>32</v>
      </c>
      <c r="C769" s="245"/>
      <c r="D769" s="245"/>
      <c r="E769" s="140">
        <v>0</v>
      </c>
      <c r="F769" s="143">
        <v>0</v>
      </c>
      <c r="G769" s="140">
        <v>0</v>
      </c>
      <c r="H769" s="143">
        <v>0</v>
      </c>
      <c r="I769" s="140">
        <v>0</v>
      </c>
      <c r="J769" s="143">
        <v>0</v>
      </c>
      <c r="K769" s="140">
        <v>0</v>
      </c>
      <c r="L769" s="143">
        <v>0</v>
      </c>
      <c r="M769" s="140">
        <v>0</v>
      </c>
      <c r="N769" s="143">
        <v>0</v>
      </c>
      <c r="O769" s="140">
        <v>0</v>
      </c>
      <c r="P769" s="143">
        <v>0</v>
      </c>
      <c r="Q769" s="140">
        <v>0</v>
      </c>
      <c r="R769" s="143">
        <v>0</v>
      </c>
      <c r="S769" s="140">
        <v>0</v>
      </c>
      <c r="T769" s="143">
        <v>0</v>
      </c>
      <c r="U769" s="140">
        <v>0</v>
      </c>
      <c r="V769" s="143">
        <v>2.4391666666666669</v>
      </c>
      <c r="W769" s="140">
        <v>9.0875000000000021</v>
      </c>
      <c r="X769" s="143">
        <v>0.23233333333333336</v>
      </c>
      <c r="Y769" s="140">
        <v>0</v>
      </c>
      <c r="Z769" s="143">
        <v>0</v>
      </c>
      <c r="AA769" s="140">
        <v>0</v>
      </c>
      <c r="AB769" s="143">
        <v>0</v>
      </c>
      <c r="AC769" s="238">
        <f t="shared" si="387"/>
        <v>11.759000000000002</v>
      </c>
      <c r="AD769" s="238"/>
      <c r="AE769" s="238"/>
    </row>
    <row r="770" spans="2:31" x14ac:dyDescent="0.3">
      <c r="B770" s="245" t="s">
        <v>33</v>
      </c>
      <c r="C770" s="245"/>
      <c r="D770" s="245"/>
      <c r="E770" s="140">
        <v>0</v>
      </c>
      <c r="F770" s="143">
        <v>0</v>
      </c>
      <c r="G770" s="140">
        <v>0</v>
      </c>
      <c r="H770" s="143">
        <v>0</v>
      </c>
      <c r="I770" s="140">
        <v>0</v>
      </c>
      <c r="J770" s="143">
        <v>0</v>
      </c>
      <c r="K770" s="140">
        <v>0</v>
      </c>
      <c r="L770" s="143">
        <v>0</v>
      </c>
      <c r="M770" s="140">
        <v>0</v>
      </c>
      <c r="N770" s="143">
        <v>0</v>
      </c>
      <c r="O770" s="140">
        <v>0</v>
      </c>
      <c r="P770" s="143">
        <v>0</v>
      </c>
      <c r="Q770" s="140">
        <v>0</v>
      </c>
      <c r="R770" s="143">
        <v>0</v>
      </c>
      <c r="S770" s="140">
        <v>0</v>
      </c>
      <c r="T770" s="143">
        <v>0</v>
      </c>
      <c r="U770" s="140">
        <v>0</v>
      </c>
      <c r="V770" s="143">
        <v>0.16666666666666663</v>
      </c>
      <c r="W770" s="140">
        <v>1.2819999999999987</v>
      </c>
      <c r="X770" s="143">
        <v>4.8333333333333332E-2</v>
      </c>
      <c r="Y770" s="140">
        <v>0</v>
      </c>
      <c r="Z770" s="143">
        <v>0</v>
      </c>
      <c r="AA770" s="140">
        <v>0</v>
      </c>
      <c r="AB770" s="143">
        <v>0</v>
      </c>
      <c r="AC770" s="238">
        <f t="shared" si="387"/>
        <v>1.4969999999999986</v>
      </c>
      <c r="AD770" s="238"/>
      <c r="AE770" s="238"/>
    </row>
    <row r="771" spans="2:31" x14ac:dyDescent="0.3">
      <c r="B771" s="245" t="s">
        <v>34</v>
      </c>
      <c r="C771" s="245"/>
      <c r="D771" s="245"/>
      <c r="E771" s="140">
        <v>0</v>
      </c>
      <c r="F771" s="143">
        <v>0</v>
      </c>
      <c r="G771" s="140">
        <v>0</v>
      </c>
      <c r="H771" s="143">
        <v>0</v>
      </c>
      <c r="I771" s="140">
        <v>0</v>
      </c>
      <c r="J771" s="143">
        <v>0</v>
      </c>
      <c r="K771" s="140">
        <v>0</v>
      </c>
      <c r="L771" s="143">
        <v>0</v>
      </c>
      <c r="M771" s="140">
        <v>0</v>
      </c>
      <c r="N771" s="143">
        <v>0</v>
      </c>
      <c r="O771" s="140">
        <v>0</v>
      </c>
      <c r="P771" s="143">
        <v>0</v>
      </c>
      <c r="Q771" s="140">
        <v>0</v>
      </c>
      <c r="R771" s="143">
        <v>0</v>
      </c>
      <c r="S771" s="140">
        <v>0</v>
      </c>
      <c r="T771" s="143">
        <v>0</v>
      </c>
      <c r="U771" s="140">
        <v>0</v>
      </c>
      <c r="V771" s="143">
        <v>8.0000000000000043E-2</v>
      </c>
      <c r="W771" s="140">
        <v>0.43033333333333312</v>
      </c>
      <c r="X771" s="143">
        <v>1.3833333333333335E-2</v>
      </c>
      <c r="Y771" s="140">
        <v>0</v>
      </c>
      <c r="Z771" s="143">
        <v>0</v>
      </c>
      <c r="AA771" s="140">
        <v>0</v>
      </c>
      <c r="AB771" s="143">
        <v>0</v>
      </c>
      <c r="AC771" s="238">
        <f t="shared" si="387"/>
        <v>0.52416666666666656</v>
      </c>
      <c r="AD771" s="238"/>
      <c r="AE771" s="238"/>
    </row>
    <row r="772" spans="2:31" x14ac:dyDescent="0.3">
      <c r="B772" s="245" t="s">
        <v>35</v>
      </c>
      <c r="C772" s="245"/>
      <c r="D772" s="245"/>
      <c r="E772" s="140">
        <v>0</v>
      </c>
      <c r="F772" s="143">
        <v>0</v>
      </c>
      <c r="G772" s="140">
        <v>0</v>
      </c>
      <c r="H772" s="143">
        <v>0</v>
      </c>
      <c r="I772" s="140">
        <v>0</v>
      </c>
      <c r="J772" s="143">
        <v>0</v>
      </c>
      <c r="K772" s="140">
        <v>0</v>
      </c>
      <c r="L772" s="143">
        <v>0</v>
      </c>
      <c r="M772" s="140">
        <v>0</v>
      </c>
      <c r="N772" s="143">
        <v>0</v>
      </c>
      <c r="O772" s="140">
        <v>0</v>
      </c>
      <c r="P772" s="143">
        <v>0</v>
      </c>
      <c r="Q772" s="140">
        <v>0</v>
      </c>
      <c r="R772" s="143">
        <v>0</v>
      </c>
      <c r="S772" s="140">
        <v>0</v>
      </c>
      <c r="T772" s="143">
        <v>0</v>
      </c>
      <c r="U772" s="140">
        <v>0</v>
      </c>
      <c r="V772" s="143">
        <v>0.11316666666666665</v>
      </c>
      <c r="W772" s="140">
        <v>1.2306666666666672</v>
      </c>
      <c r="X772" s="143">
        <v>0</v>
      </c>
      <c r="Y772" s="140">
        <v>0</v>
      </c>
      <c r="Z772" s="143">
        <v>0</v>
      </c>
      <c r="AA772" s="140">
        <v>0</v>
      </c>
      <c r="AB772" s="143">
        <v>0</v>
      </c>
      <c r="AC772" s="238">
        <f t="shared" si="387"/>
        <v>1.3438333333333339</v>
      </c>
      <c r="AD772" s="238"/>
      <c r="AE772" s="238"/>
    </row>
    <row r="773" spans="2:31" x14ac:dyDescent="0.3">
      <c r="B773" s="245" t="s">
        <v>36</v>
      </c>
      <c r="C773" s="245"/>
      <c r="D773" s="245"/>
      <c r="E773" s="140">
        <v>0</v>
      </c>
      <c r="F773" s="143">
        <v>0</v>
      </c>
      <c r="G773" s="140">
        <v>0</v>
      </c>
      <c r="H773" s="143">
        <v>0</v>
      </c>
      <c r="I773" s="140">
        <v>0</v>
      </c>
      <c r="J773" s="143">
        <v>0</v>
      </c>
      <c r="K773" s="140">
        <v>0</v>
      </c>
      <c r="L773" s="143">
        <v>0</v>
      </c>
      <c r="M773" s="140">
        <v>0</v>
      </c>
      <c r="N773" s="143">
        <v>0</v>
      </c>
      <c r="O773" s="140">
        <v>0</v>
      </c>
      <c r="P773" s="143">
        <v>0</v>
      </c>
      <c r="Q773" s="140">
        <v>0</v>
      </c>
      <c r="R773" s="143">
        <v>0</v>
      </c>
      <c r="S773" s="140">
        <v>0</v>
      </c>
      <c r="T773" s="143">
        <v>0</v>
      </c>
      <c r="U773" s="140">
        <v>0</v>
      </c>
      <c r="V773" s="143">
        <v>0</v>
      </c>
      <c r="W773" s="140">
        <v>0</v>
      </c>
      <c r="X773" s="143">
        <v>0</v>
      </c>
      <c r="Y773" s="140">
        <v>0</v>
      </c>
      <c r="Z773" s="143">
        <v>0</v>
      </c>
      <c r="AA773" s="140">
        <v>0</v>
      </c>
      <c r="AB773" s="143">
        <v>0</v>
      </c>
      <c r="AC773" s="238">
        <f t="shared" si="387"/>
        <v>0</v>
      </c>
      <c r="AD773" s="238"/>
      <c r="AE773" s="238"/>
    </row>
    <row r="774" spans="2:31" x14ac:dyDescent="0.3">
      <c r="B774" s="13" t="s">
        <v>89</v>
      </c>
      <c r="C774" s="13"/>
      <c r="D774" s="13"/>
      <c r="E774" s="140">
        <v>0</v>
      </c>
      <c r="F774" s="143">
        <v>0</v>
      </c>
      <c r="G774" s="140">
        <v>0</v>
      </c>
      <c r="H774" s="143">
        <v>0</v>
      </c>
      <c r="I774" s="140">
        <v>0</v>
      </c>
      <c r="J774" s="143">
        <v>0</v>
      </c>
      <c r="K774" s="140">
        <v>0</v>
      </c>
      <c r="L774" s="143">
        <v>0</v>
      </c>
      <c r="M774" s="140">
        <v>0</v>
      </c>
      <c r="N774" s="143">
        <v>0</v>
      </c>
      <c r="O774" s="140">
        <v>0</v>
      </c>
      <c r="P774" s="143">
        <v>0</v>
      </c>
      <c r="Q774" s="140">
        <v>0</v>
      </c>
      <c r="R774" s="143">
        <v>0</v>
      </c>
      <c r="S774" s="140">
        <v>0</v>
      </c>
      <c r="T774" s="143">
        <v>0</v>
      </c>
      <c r="U774" s="140">
        <v>0</v>
      </c>
      <c r="V774" s="143">
        <v>0</v>
      </c>
      <c r="W774" s="140">
        <v>0</v>
      </c>
      <c r="X774" s="143">
        <v>0</v>
      </c>
      <c r="Y774" s="140">
        <v>0</v>
      </c>
      <c r="Z774" s="143">
        <v>0</v>
      </c>
      <c r="AA774" s="140">
        <v>0</v>
      </c>
      <c r="AB774" s="143">
        <v>0</v>
      </c>
      <c r="AC774" s="238">
        <f t="shared" si="387"/>
        <v>0</v>
      </c>
      <c r="AD774" s="238"/>
      <c r="AE774" s="238"/>
    </row>
    <row r="775" spans="2:31" x14ac:dyDescent="0.3">
      <c r="B775" s="13" t="s">
        <v>90</v>
      </c>
      <c r="C775" s="13"/>
      <c r="D775" s="13"/>
      <c r="E775" s="140">
        <v>0</v>
      </c>
      <c r="F775" s="143">
        <v>0</v>
      </c>
      <c r="G775" s="140">
        <v>0</v>
      </c>
      <c r="H775" s="143">
        <v>0</v>
      </c>
      <c r="I775" s="140">
        <v>0</v>
      </c>
      <c r="J775" s="143">
        <v>0</v>
      </c>
      <c r="K775" s="140">
        <v>0</v>
      </c>
      <c r="L775" s="143">
        <v>0</v>
      </c>
      <c r="M775" s="140">
        <v>0</v>
      </c>
      <c r="N775" s="143">
        <v>0</v>
      </c>
      <c r="O775" s="140">
        <v>0</v>
      </c>
      <c r="P775" s="143">
        <v>0</v>
      </c>
      <c r="Q775" s="140">
        <v>0</v>
      </c>
      <c r="R775" s="143">
        <v>0</v>
      </c>
      <c r="S775" s="140">
        <v>0</v>
      </c>
      <c r="T775" s="143">
        <v>0</v>
      </c>
      <c r="U775" s="140">
        <v>0</v>
      </c>
      <c r="V775" s="143">
        <v>0</v>
      </c>
      <c r="W775" s="140">
        <v>0</v>
      </c>
      <c r="X775" s="143">
        <v>0</v>
      </c>
      <c r="Y775" s="140">
        <v>0</v>
      </c>
      <c r="Z775" s="143">
        <v>0</v>
      </c>
      <c r="AA775" s="140">
        <v>0</v>
      </c>
      <c r="AB775" s="143">
        <v>0</v>
      </c>
      <c r="AC775" s="238">
        <f t="shared" si="387"/>
        <v>0</v>
      </c>
      <c r="AD775" s="238"/>
      <c r="AE775" s="238"/>
    </row>
    <row r="776" spans="2:31" x14ac:dyDescent="0.3">
      <c r="B776" s="14" t="s">
        <v>2</v>
      </c>
      <c r="C776" s="14"/>
      <c r="D776" s="14"/>
      <c r="E776" s="15">
        <f>SUM(E739:E775)</f>
        <v>0</v>
      </c>
      <c r="F776" s="15">
        <f t="shared" ref="F776" si="388">SUM(F739:F775)</f>
        <v>0</v>
      </c>
      <c r="G776" s="15">
        <f t="shared" ref="G776" si="389">SUM(G739:G775)</f>
        <v>0</v>
      </c>
      <c r="H776" s="15">
        <f t="shared" ref="H776" si="390">SUM(H739:H775)</f>
        <v>0</v>
      </c>
      <c r="I776" s="15">
        <f t="shared" ref="I776" si="391">SUM(I739:I775)</f>
        <v>0</v>
      </c>
      <c r="J776" s="15">
        <f t="shared" ref="J776" si="392">SUM(J739:J775)</f>
        <v>0</v>
      </c>
      <c r="K776" s="15">
        <f t="shared" ref="K776" si="393">SUM(K739:K775)</f>
        <v>0</v>
      </c>
      <c r="L776" s="15">
        <f t="shared" ref="L776" si="394">SUM(L739:L775)</f>
        <v>0</v>
      </c>
      <c r="M776" s="15">
        <f t="shared" ref="M776" si="395">SUM(M739:M775)</f>
        <v>0</v>
      </c>
      <c r="N776" s="15">
        <f t="shared" ref="N776" si="396">SUM(N739:N775)</f>
        <v>0</v>
      </c>
      <c r="O776" s="15">
        <f t="shared" ref="O776" si="397">SUM(O739:O775)</f>
        <v>0</v>
      </c>
      <c r="P776" s="15">
        <f t="shared" ref="P776" si="398">SUM(P739:P775)</f>
        <v>0</v>
      </c>
      <c r="Q776" s="15">
        <f t="shared" ref="Q776" si="399">SUM(Q739:Q775)</f>
        <v>0</v>
      </c>
      <c r="R776" s="15">
        <f t="shared" ref="R776" si="400">SUM(R739:R775)</f>
        <v>0</v>
      </c>
      <c r="S776" s="15">
        <f t="shared" ref="S776" si="401">SUM(S739:S775)</f>
        <v>0.57149999999999979</v>
      </c>
      <c r="T776" s="15">
        <f t="shared" ref="T776" si="402">SUM(T739:T775)</f>
        <v>73.077499999999986</v>
      </c>
      <c r="U776" s="15">
        <f t="shared" ref="U776" si="403">SUM(U739:U775)</f>
        <v>152.59449999999998</v>
      </c>
      <c r="V776" s="15">
        <f t="shared" ref="V776" si="404">SUM(V739:V775)</f>
        <v>156.00316666666669</v>
      </c>
      <c r="W776" s="15">
        <f t="shared" ref="W776" si="405">SUM(W739:W775)</f>
        <v>198.24566666666669</v>
      </c>
      <c r="X776" s="15">
        <f t="shared" ref="X776" si="406">SUM(X739:X775)</f>
        <v>20.769333333333325</v>
      </c>
      <c r="Y776" s="15">
        <f t="shared" ref="Y776" si="407">SUM(Y739:Y775)</f>
        <v>0</v>
      </c>
      <c r="Z776" s="15">
        <f t="shared" ref="Z776" si="408">SUM(Z739:Z775)</f>
        <v>0</v>
      </c>
      <c r="AA776" s="15">
        <f t="shared" ref="AA776" si="409">SUM(AA739:AA775)</f>
        <v>0</v>
      </c>
      <c r="AB776" s="15">
        <f t="shared" ref="AB776" si="410">SUM(AB739:AB775)</f>
        <v>0</v>
      </c>
      <c r="AC776" s="249">
        <f>SUM(AC739:AE775)</f>
        <v>601.26166666666666</v>
      </c>
      <c r="AD776" s="249"/>
      <c r="AE776" s="249"/>
    </row>
    <row r="779" spans="2:31" x14ac:dyDescent="0.3">
      <c r="B779" s="8">
        <f>'Resumen-Mensual'!$W$22</f>
        <v>44580</v>
      </c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4"/>
      <c r="AD779" s="4"/>
      <c r="AE779" s="4"/>
    </row>
    <row r="780" spans="2:31" x14ac:dyDescent="0.3">
      <c r="B780" s="8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4"/>
      <c r="AD780" s="4"/>
      <c r="AE780" s="4"/>
    </row>
    <row r="781" spans="2:31" x14ac:dyDescent="0.3">
      <c r="B781" s="9" t="s">
        <v>81</v>
      </c>
      <c r="C781" s="10"/>
      <c r="D781" s="10"/>
      <c r="E781" s="11">
        <v>1</v>
      </c>
      <c r="F781" s="11">
        <v>2</v>
      </c>
      <c r="G781" s="11">
        <v>3</v>
      </c>
      <c r="H781" s="11">
        <v>4</v>
      </c>
      <c r="I781" s="11">
        <v>5</v>
      </c>
      <c r="J781" s="11">
        <v>6</v>
      </c>
      <c r="K781" s="11">
        <v>7</v>
      </c>
      <c r="L781" s="11">
        <v>8</v>
      </c>
      <c r="M781" s="11">
        <v>9</v>
      </c>
      <c r="N781" s="11">
        <v>10</v>
      </c>
      <c r="O781" s="11">
        <v>11</v>
      </c>
      <c r="P781" s="11">
        <v>12</v>
      </c>
      <c r="Q781" s="11">
        <v>13</v>
      </c>
      <c r="R781" s="11">
        <v>14</v>
      </c>
      <c r="S781" s="11">
        <v>15</v>
      </c>
      <c r="T781" s="11">
        <v>16</v>
      </c>
      <c r="U781" s="11">
        <v>17</v>
      </c>
      <c r="V781" s="11">
        <v>18</v>
      </c>
      <c r="W781" s="11">
        <v>19</v>
      </c>
      <c r="X781" s="11">
        <v>20</v>
      </c>
      <c r="Y781" s="11">
        <v>21</v>
      </c>
      <c r="Z781" s="11">
        <v>22</v>
      </c>
      <c r="AA781" s="11">
        <v>23</v>
      </c>
      <c r="AB781" s="11">
        <v>24</v>
      </c>
      <c r="AC781" s="248" t="s">
        <v>2</v>
      </c>
      <c r="AD781" s="248"/>
      <c r="AE781" s="248"/>
    </row>
    <row r="782" spans="2:31" x14ac:dyDescent="0.3">
      <c r="B782" s="245" t="s">
        <v>4</v>
      </c>
      <c r="C782" s="245"/>
      <c r="D782" s="245"/>
      <c r="E782" s="148">
        <v>0</v>
      </c>
      <c r="F782" s="149">
        <v>0</v>
      </c>
      <c r="G782" s="148">
        <v>0</v>
      </c>
      <c r="H782" s="149">
        <v>0</v>
      </c>
      <c r="I782" s="148">
        <v>0</v>
      </c>
      <c r="J782" s="149">
        <v>0</v>
      </c>
      <c r="K782" s="148">
        <v>0</v>
      </c>
      <c r="L782" s="149">
        <v>0</v>
      </c>
      <c r="M782" s="148">
        <v>0</v>
      </c>
      <c r="N782" s="149">
        <v>0</v>
      </c>
      <c r="O782" s="148">
        <v>0</v>
      </c>
      <c r="P782" s="149">
        <v>0</v>
      </c>
      <c r="Q782" s="148">
        <v>0</v>
      </c>
      <c r="R782" s="149">
        <v>0</v>
      </c>
      <c r="S782" s="148">
        <v>0</v>
      </c>
      <c r="T782" s="149">
        <v>0</v>
      </c>
      <c r="U782" s="148">
        <v>0</v>
      </c>
      <c r="V782" s="149">
        <v>0</v>
      </c>
      <c r="W782" s="148">
        <v>30.154500000000017</v>
      </c>
      <c r="X782" s="149">
        <v>0.57416666666666671</v>
      </c>
      <c r="Y782" s="148">
        <v>0</v>
      </c>
      <c r="Z782" s="149">
        <v>0</v>
      </c>
      <c r="AA782" s="148">
        <v>0</v>
      </c>
      <c r="AB782" s="149">
        <v>0</v>
      </c>
      <c r="AC782" s="238">
        <f>SUM(E782:AB782)</f>
        <v>30.728666666666683</v>
      </c>
      <c r="AD782" s="238"/>
      <c r="AE782" s="238"/>
    </row>
    <row r="783" spans="2:31" x14ac:dyDescent="0.3">
      <c r="B783" s="245" t="s">
        <v>5</v>
      </c>
      <c r="C783" s="245"/>
      <c r="D783" s="245"/>
      <c r="E783" s="147">
        <v>0</v>
      </c>
      <c r="F783" s="150">
        <v>0</v>
      </c>
      <c r="G783" s="147">
        <v>0</v>
      </c>
      <c r="H783" s="150">
        <v>0</v>
      </c>
      <c r="I783" s="147">
        <v>0</v>
      </c>
      <c r="J783" s="150">
        <v>0</v>
      </c>
      <c r="K783" s="147">
        <v>0</v>
      </c>
      <c r="L783" s="150">
        <v>0</v>
      </c>
      <c r="M783" s="147">
        <v>0</v>
      </c>
      <c r="N783" s="150">
        <v>0</v>
      </c>
      <c r="O783" s="147">
        <v>0</v>
      </c>
      <c r="P783" s="150">
        <v>0</v>
      </c>
      <c r="Q783" s="147">
        <v>0</v>
      </c>
      <c r="R783" s="150">
        <v>11.270333333333333</v>
      </c>
      <c r="S783" s="147">
        <v>48.43416666666667</v>
      </c>
      <c r="T783" s="150">
        <v>60.493166666666667</v>
      </c>
      <c r="U783" s="147">
        <v>73.207666666666682</v>
      </c>
      <c r="V783" s="150">
        <v>35.476166666666664</v>
      </c>
      <c r="W783" s="147">
        <v>75.05983333333333</v>
      </c>
      <c r="X783" s="150">
        <v>0.6865</v>
      </c>
      <c r="Y783" s="147">
        <v>0</v>
      </c>
      <c r="Z783" s="150">
        <v>0</v>
      </c>
      <c r="AA783" s="147">
        <v>0</v>
      </c>
      <c r="AB783" s="150">
        <v>0</v>
      </c>
      <c r="AC783" s="238">
        <f t="shared" ref="AC783:AC818" si="411">SUM(E783:AB783)</f>
        <v>304.62783333333334</v>
      </c>
      <c r="AD783" s="238"/>
      <c r="AE783" s="238"/>
    </row>
    <row r="784" spans="2:31" x14ac:dyDescent="0.3">
      <c r="B784" s="245" t="s">
        <v>6</v>
      </c>
      <c r="C784" s="245"/>
      <c r="D784" s="245"/>
      <c r="E784" s="147">
        <v>0</v>
      </c>
      <c r="F784" s="150">
        <v>0</v>
      </c>
      <c r="G784" s="147">
        <v>0</v>
      </c>
      <c r="H784" s="150">
        <v>0</v>
      </c>
      <c r="I784" s="147">
        <v>0</v>
      </c>
      <c r="J784" s="150">
        <v>0</v>
      </c>
      <c r="K784" s="147">
        <v>0</v>
      </c>
      <c r="L784" s="150">
        <v>0</v>
      </c>
      <c r="M784" s="147">
        <v>0</v>
      </c>
      <c r="N784" s="150">
        <v>0</v>
      </c>
      <c r="O784" s="147">
        <v>0</v>
      </c>
      <c r="P784" s="150">
        <v>0</v>
      </c>
      <c r="Q784" s="147">
        <v>0</v>
      </c>
      <c r="R784" s="150">
        <v>0</v>
      </c>
      <c r="S784" s="147">
        <v>0</v>
      </c>
      <c r="T784" s="150">
        <v>0</v>
      </c>
      <c r="U784" s="147">
        <v>25.622166666666661</v>
      </c>
      <c r="V784" s="150">
        <v>10.180999999999999</v>
      </c>
      <c r="W784" s="147">
        <v>18.792166666666656</v>
      </c>
      <c r="X784" s="150">
        <v>36.17466666666666</v>
      </c>
      <c r="Y784" s="147">
        <v>0</v>
      </c>
      <c r="Z784" s="150">
        <v>0</v>
      </c>
      <c r="AA784" s="147">
        <v>0</v>
      </c>
      <c r="AB784" s="150">
        <v>0</v>
      </c>
      <c r="AC784" s="238">
        <f t="shared" si="411"/>
        <v>90.769999999999982</v>
      </c>
      <c r="AD784" s="238"/>
      <c r="AE784" s="238"/>
    </row>
    <row r="785" spans="2:31" x14ac:dyDescent="0.3">
      <c r="B785" s="245" t="s">
        <v>91</v>
      </c>
      <c r="C785" s="245"/>
      <c r="D785" s="245"/>
      <c r="E785" s="147">
        <v>0</v>
      </c>
      <c r="F785" s="150">
        <v>0</v>
      </c>
      <c r="G785" s="147">
        <v>0</v>
      </c>
      <c r="H785" s="150">
        <v>0</v>
      </c>
      <c r="I785" s="147">
        <v>0</v>
      </c>
      <c r="J785" s="150">
        <v>0</v>
      </c>
      <c r="K785" s="147">
        <v>0</v>
      </c>
      <c r="L785" s="150">
        <v>0</v>
      </c>
      <c r="M785" s="147">
        <v>0</v>
      </c>
      <c r="N785" s="150">
        <v>0</v>
      </c>
      <c r="O785" s="147">
        <v>0</v>
      </c>
      <c r="P785" s="150">
        <v>0</v>
      </c>
      <c r="Q785" s="147">
        <v>0</v>
      </c>
      <c r="R785" s="150">
        <v>0</v>
      </c>
      <c r="S785" s="147">
        <v>0</v>
      </c>
      <c r="T785" s="150">
        <v>0</v>
      </c>
      <c r="U785" s="147">
        <v>0</v>
      </c>
      <c r="V785" s="150">
        <v>0</v>
      </c>
      <c r="W785" s="147">
        <v>0</v>
      </c>
      <c r="X785" s="150">
        <v>0</v>
      </c>
      <c r="Y785" s="147">
        <v>0</v>
      </c>
      <c r="Z785" s="150">
        <v>0</v>
      </c>
      <c r="AA785" s="147">
        <v>0</v>
      </c>
      <c r="AB785" s="150">
        <v>0</v>
      </c>
      <c r="AC785" s="238">
        <f t="shared" si="411"/>
        <v>0</v>
      </c>
      <c r="AD785" s="238"/>
      <c r="AE785" s="238"/>
    </row>
    <row r="786" spans="2:31" x14ac:dyDescent="0.3">
      <c r="B786" s="245" t="s">
        <v>7</v>
      </c>
      <c r="C786" s="245"/>
      <c r="D786" s="245"/>
      <c r="E786" s="147">
        <v>0</v>
      </c>
      <c r="F786" s="150">
        <v>0</v>
      </c>
      <c r="G786" s="147">
        <v>0</v>
      </c>
      <c r="H786" s="150">
        <v>0</v>
      </c>
      <c r="I786" s="147">
        <v>0</v>
      </c>
      <c r="J786" s="150">
        <v>0</v>
      </c>
      <c r="K786" s="147">
        <v>0</v>
      </c>
      <c r="L786" s="150">
        <v>0</v>
      </c>
      <c r="M786" s="147">
        <v>0</v>
      </c>
      <c r="N786" s="150">
        <v>0</v>
      </c>
      <c r="O786" s="147">
        <v>0</v>
      </c>
      <c r="P786" s="150">
        <v>0</v>
      </c>
      <c r="Q786" s="147">
        <v>0</v>
      </c>
      <c r="R786" s="150">
        <v>0.93599999999999972</v>
      </c>
      <c r="S786" s="147">
        <v>0</v>
      </c>
      <c r="T786" s="150">
        <v>0</v>
      </c>
      <c r="U786" s="147">
        <v>0</v>
      </c>
      <c r="V786" s="150">
        <v>0.34183333333333743</v>
      </c>
      <c r="W786" s="147">
        <v>0</v>
      </c>
      <c r="X786" s="150">
        <v>0</v>
      </c>
      <c r="Y786" s="147">
        <v>0</v>
      </c>
      <c r="Z786" s="150">
        <v>0</v>
      </c>
      <c r="AA786" s="147">
        <v>0</v>
      </c>
      <c r="AB786" s="150">
        <v>0</v>
      </c>
      <c r="AC786" s="238">
        <f t="shared" si="411"/>
        <v>1.2778333333333372</v>
      </c>
      <c r="AD786" s="238"/>
      <c r="AE786" s="238"/>
    </row>
    <row r="787" spans="2:31" x14ac:dyDescent="0.3">
      <c r="B787" s="245" t="s">
        <v>8</v>
      </c>
      <c r="C787" s="245"/>
      <c r="D787" s="245"/>
      <c r="E787" s="147">
        <v>0</v>
      </c>
      <c r="F787" s="150">
        <v>0</v>
      </c>
      <c r="G787" s="147">
        <v>0</v>
      </c>
      <c r="H787" s="150">
        <v>0</v>
      </c>
      <c r="I787" s="147">
        <v>0</v>
      </c>
      <c r="J787" s="150">
        <v>0</v>
      </c>
      <c r="K787" s="147">
        <v>0</v>
      </c>
      <c r="L787" s="150">
        <v>0</v>
      </c>
      <c r="M787" s="147">
        <v>0</v>
      </c>
      <c r="N787" s="150">
        <v>0</v>
      </c>
      <c r="O787" s="147">
        <v>0</v>
      </c>
      <c r="P787" s="150">
        <v>0</v>
      </c>
      <c r="Q787" s="147">
        <v>0</v>
      </c>
      <c r="R787" s="150">
        <v>0</v>
      </c>
      <c r="S787" s="147">
        <v>0</v>
      </c>
      <c r="T787" s="150">
        <v>1.2195000000000007</v>
      </c>
      <c r="U787" s="147">
        <v>2.4705000000000004</v>
      </c>
      <c r="V787" s="150">
        <v>3.5384999999999973</v>
      </c>
      <c r="W787" s="147">
        <v>8.4061666666666657</v>
      </c>
      <c r="X787" s="150">
        <v>2.6666666666666692E-3</v>
      </c>
      <c r="Y787" s="147">
        <v>0</v>
      </c>
      <c r="Z787" s="150">
        <v>0</v>
      </c>
      <c r="AA787" s="147">
        <v>0</v>
      </c>
      <c r="AB787" s="150">
        <v>0</v>
      </c>
      <c r="AC787" s="238">
        <f t="shared" si="411"/>
        <v>15.637333333333331</v>
      </c>
      <c r="AD787" s="238"/>
      <c r="AE787" s="238"/>
    </row>
    <row r="788" spans="2:31" x14ac:dyDescent="0.3">
      <c r="B788" s="245" t="s">
        <v>9</v>
      </c>
      <c r="C788" s="245"/>
      <c r="D788" s="245"/>
      <c r="E788" s="147">
        <v>0</v>
      </c>
      <c r="F788" s="150">
        <v>0</v>
      </c>
      <c r="G788" s="147">
        <v>0</v>
      </c>
      <c r="H788" s="150">
        <v>0</v>
      </c>
      <c r="I788" s="147">
        <v>0</v>
      </c>
      <c r="J788" s="150">
        <v>0</v>
      </c>
      <c r="K788" s="147">
        <v>0</v>
      </c>
      <c r="L788" s="150">
        <v>0</v>
      </c>
      <c r="M788" s="147">
        <v>0</v>
      </c>
      <c r="N788" s="150">
        <v>0</v>
      </c>
      <c r="O788" s="147">
        <v>0</v>
      </c>
      <c r="P788" s="150">
        <v>0</v>
      </c>
      <c r="Q788" s="147">
        <v>0</v>
      </c>
      <c r="R788" s="150">
        <v>3.1266666666666665</v>
      </c>
      <c r="S788" s="147">
        <v>29.327000000000012</v>
      </c>
      <c r="T788" s="150">
        <v>43.74649999999999</v>
      </c>
      <c r="U788" s="147">
        <v>56.931833333333344</v>
      </c>
      <c r="V788" s="150">
        <v>30.862666666666666</v>
      </c>
      <c r="W788" s="147">
        <v>83.418500000000009</v>
      </c>
      <c r="X788" s="150">
        <v>1.1490000000000002</v>
      </c>
      <c r="Y788" s="147">
        <v>0</v>
      </c>
      <c r="Z788" s="150">
        <v>0</v>
      </c>
      <c r="AA788" s="147">
        <v>0</v>
      </c>
      <c r="AB788" s="150">
        <v>0</v>
      </c>
      <c r="AC788" s="238">
        <f t="shared" si="411"/>
        <v>248.56216666666666</v>
      </c>
      <c r="AD788" s="238"/>
      <c r="AE788" s="238"/>
    </row>
    <row r="789" spans="2:31" x14ac:dyDescent="0.3">
      <c r="B789" s="245" t="s">
        <v>10</v>
      </c>
      <c r="C789" s="245"/>
      <c r="D789" s="245"/>
      <c r="E789" s="147">
        <v>0</v>
      </c>
      <c r="F789" s="150">
        <v>0</v>
      </c>
      <c r="G789" s="147">
        <v>0</v>
      </c>
      <c r="H789" s="150">
        <v>0</v>
      </c>
      <c r="I789" s="147">
        <v>0</v>
      </c>
      <c r="J789" s="150">
        <v>0</v>
      </c>
      <c r="K789" s="147">
        <v>0</v>
      </c>
      <c r="L789" s="150">
        <v>0</v>
      </c>
      <c r="M789" s="147">
        <v>0</v>
      </c>
      <c r="N789" s="150">
        <v>0</v>
      </c>
      <c r="O789" s="147">
        <v>0</v>
      </c>
      <c r="P789" s="150">
        <v>0</v>
      </c>
      <c r="Q789" s="147">
        <v>0</v>
      </c>
      <c r="R789" s="150">
        <v>0</v>
      </c>
      <c r="S789" s="147">
        <v>2.9310000000000023</v>
      </c>
      <c r="T789" s="150">
        <v>18.754666666666662</v>
      </c>
      <c r="U789" s="147">
        <v>37.11133333333332</v>
      </c>
      <c r="V789" s="150">
        <v>20.180166666666661</v>
      </c>
      <c r="W789" s="147">
        <v>39.2395</v>
      </c>
      <c r="X789" s="150">
        <v>0</v>
      </c>
      <c r="Y789" s="147">
        <v>0</v>
      </c>
      <c r="Z789" s="150">
        <v>0</v>
      </c>
      <c r="AA789" s="147">
        <v>0</v>
      </c>
      <c r="AB789" s="150">
        <v>0</v>
      </c>
      <c r="AC789" s="238">
        <f t="shared" si="411"/>
        <v>118.21666666666664</v>
      </c>
      <c r="AD789" s="238"/>
      <c r="AE789" s="238"/>
    </row>
    <row r="790" spans="2:31" x14ac:dyDescent="0.3">
      <c r="B790" s="245" t="s">
        <v>11</v>
      </c>
      <c r="C790" s="245"/>
      <c r="D790" s="245"/>
      <c r="E790" s="147">
        <v>0</v>
      </c>
      <c r="F790" s="150">
        <v>0</v>
      </c>
      <c r="G790" s="147">
        <v>0</v>
      </c>
      <c r="H790" s="150">
        <v>0</v>
      </c>
      <c r="I790" s="147">
        <v>0</v>
      </c>
      <c r="J790" s="150">
        <v>0</v>
      </c>
      <c r="K790" s="147">
        <v>0</v>
      </c>
      <c r="L790" s="150">
        <v>0</v>
      </c>
      <c r="M790" s="147">
        <v>0</v>
      </c>
      <c r="N790" s="150">
        <v>0</v>
      </c>
      <c r="O790" s="147">
        <v>0</v>
      </c>
      <c r="P790" s="150">
        <v>0</v>
      </c>
      <c r="Q790" s="147">
        <v>0</v>
      </c>
      <c r="R790" s="150">
        <v>4.8183333333333334</v>
      </c>
      <c r="S790" s="147">
        <v>36.782999999999994</v>
      </c>
      <c r="T790" s="150">
        <v>57.401833333333343</v>
      </c>
      <c r="U790" s="147">
        <v>81.745166666666648</v>
      </c>
      <c r="V790" s="150">
        <v>46.900666666666652</v>
      </c>
      <c r="W790" s="147">
        <v>115.93483333333332</v>
      </c>
      <c r="X790" s="150">
        <v>1.2913333333333334</v>
      </c>
      <c r="Y790" s="147">
        <v>0</v>
      </c>
      <c r="Z790" s="150">
        <v>0</v>
      </c>
      <c r="AA790" s="147">
        <v>0</v>
      </c>
      <c r="AB790" s="150">
        <v>0</v>
      </c>
      <c r="AC790" s="238">
        <f t="shared" si="411"/>
        <v>344.87516666666664</v>
      </c>
      <c r="AD790" s="238"/>
      <c r="AE790" s="238"/>
    </row>
    <row r="791" spans="2:31" x14ac:dyDescent="0.3">
      <c r="B791" s="245" t="s">
        <v>12</v>
      </c>
      <c r="C791" s="245"/>
      <c r="D791" s="245"/>
      <c r="E791" s="147">
        <v>0</v>
      </c>
      <c r="F791" s="150">
        <v>0</v>
      </c>
      <c r="G791" s="147">
        <v>0</v>
      </c>
      <c r="H791" s="150">
        <v>0</v>
      </c>
      <c r="I791" s="147">
        <v>0</v>
      </c>
      <c r="J791" s="150">
        <v>0</v>
      </c>
      <c r="K791" s="147">
        <v>0</v>
      </c>
      <c r="L791" s="150">
        <v>0</v>
      </c>
      <c r="M791" s="147">
        <v>0</v>
      </c>
      <c r="N791" s="150">
        <v>0</v>
      </c>
      <c r="O791" s="147">
        <v>0</v>
      </c>
      <c r="P791" s="150">
        <v>0</v>
      </c>
      <c r="Q791" s="147">
        <v>0</v>
      </c>
      <c r="R791" s="150">
        <v>1.6101666666666656</v>
      </c>
      <c r="S791" s="147">
        <v>33.015999999999991</v>
      </c>
      <c r="T791" s="150">
        <v>57.599666666666636</v>
      </c>
      <c r="U791" s="147">
        <v>76.900166666666649</v>
      </c>
      <c r="V791" s="150">
        <v>39.27866666666668</v>
      </c>
      <c r="W791" s="147">
        <v>91.808499999999967</v>
      </c>
      <c r="X791" s="150">
        <v>0.88433333333333364</v>
      </c>
      <c r="Y791" s="147">
        <v>0</v>
      </c>
      <c r="Z791" s="150">
        <v>0</v>
      </c>
      <c r="AA791" s="147">
        <v>0</v>
      </c>
      <c r="AB791" s="150">
        <v>0</v>
      </c>
      <c r="AC791" s="238">
        <f t="shared" si="411"/>
        <v>301.09749999999997</v>
      </c>
      <c r="AD791" s="238"/>
      <c r="AE791" s="238"/>
    </row>
    <row r="792" spans="2:31" x14ac:dyDescent="0.3">
      <c r="B792" s="245" t="s">
        <v>13</v>
      </c>
      <c r="C792" s="245"/>
      <c r="D792" s="245"/>
      <c r="E792" s="147">
        <v>0</v>
      </c>
      <c r="F792" s="150">
        <v>0</v>
      </c>
      <c r="G792" s="147">
        <v>0</v>
      </c>
      <c r="H792" s="150">
        <v>0</v>
      </c>
      <c r="I792" s="147">
        <v>0</v>
      </c>
      <c r="J792" s="150">
        <v>0</v>
      </c>
      <c r="K792" s="147">
        <v>0</v>
      </c>
      <c r="L792" s="150">
        <v>0</v>
      </c>
      <c r="M792" s="147">
        <v>0</v>
      </c>
      <c r="N792" s="150">
        <v>0</v>
      </c>
      <c r="O792" s="147">
        <v>0</v>
      </c>
      <c r="P792" s="150">
        <v>0</v>
      </c>
      <c r="Q792" s="147">
        <v>0</v>
      </c>
      <c r="R792" s="150">
        <v>1.1909999999999985</v>
      </c>
      <c r="S792" s="147">
        <v>28.811333333333334</v>
      </c>
      <c r="T792" s="150">
        <v>43.560166666666667</v>
      </c>
      <c r="U792" s="147">
        <v>28.754666666666648</v>
      </c>
      <c r="V792" s="150">
        <v>10.145666666666669</v>
      </c>
      <c r="W792" s="147">
        <v>14.810999999999995</v>
      </c>
      <c r="X792" s="150">
        <v>0</v>
      </c>
      <c r="Y792" s="147">
        <v>0</v>
      </c>
      <c r="Z792" s="150">
        <v>0</v>
      </c>
      <c r="AA792" s="147">
        <v>0</v>
      </c>
      <c r="AB792" s="150">
        <v>0</v>
      </c>
      <c r="AC792" s="238">
        <f t="shared" si="411"/>
        <v>127.27383333333331</v>
      </c>
      <c r="AD792" s="238"/>
      <c r="AE792" s="238"/>
    </row>
    <row r="793" spans="2:31" x14ac:dyDescent="0.3">
      <c r="B793" s="245" t="s">
        <v>14</v>
      </c>
      <c r="C793" s="245"/>
      <c r="D793" s="245"/>
      <c r="E793" s="147">
        <v>0</v>
      </c>
      <c r="F793" s="150">
        <v>0</v>
      </c>
      <c r="G793" s="147">
        <v>0</v>
      </c>
      <c r="H793" s="150">
        <v>0</v>
      </c>
      <c r="I793" s="147">
        <v>0</v>
      </c>
      <c r="J793" s="150">
        <v>0</v>
      </c>
      <c r="K793" s="147">
        <v>0</v>
      </c>
      <c r="L793" s="150">
        <v>0</v>
      </c>
      <c r="M793" s="147">
        <v>0</v>
      </c>
      <c r="N793" s="150">
        <v>0</v>
      </c>
      <c r="O793" s="147">
        <v>0</v>
      </c>
      <c r="P793" s="150">
        <v>0</v>
      </c>
      <c r="Q793" s="147">
        <v>0</v>
      </c>
      <c r="R793" s="150">
        <v>0.78000000000000014</v>
      </c>
      <c r="S793" s="147">
        <v>2.049999999999998</v>
      </c>
      <c r="T793" s="150">
        <v>1.950000000000002</v>
      </c>
      <c r="U793" s="147">
        <v>1.6500000000000015</v>
      </c>
      <c r="V793" s="150">
        <v>0.49833333333333318</v>
      </c>
      <c r="W793" s="147">
        <v>1.25</v>
      </c>
      <c r="X793" s="150">
        <v>2.9166666666666667E-2</v>
      </c>
      <c r="Y793" s="147">
        <v>0</v>
      </c>
      <c r="Z793" s="150">
        <v>0</v>
      </c>
      <c r="AA793" s="147">
        <v>0</v>
      </c>
      <c r="AB793" s="150">
        <v>0</v>
      </c>
      <c r="AC793" s="238">
        <f t="shared" si="411"/>
        <v>8.2075000000000014</v>
      </c>
      <c r="AD793" s="238"/>
      <c r="AE793" s="238"/>
    </row>
    <row r="794" spans="2:31" x14ac:dyDescent="0.3">
      <c r="B794" s="245" t="s">
        <v>15</v>
      </c>
      <c r="C794" s="245"/>
      <c r="D794" s="245"/>
      <c r="E794" s="147">
        <v>0</v>
      </c>
      <c r="F794" s="150">
        <v>0</v>
      </c>
      <c r="G794" s="147">
        <v>0</v>
      </c>
      <c r="H794" s="150">
        <v>0</v>
      </c>
      <c r="I794" s="147">
        <v>0</v>
      </c>
      <c r="J794" s="150">
        <v>0</v>
      </c>
      <c r="K794" s="147">
        <v>0</v>
      </c>
      <c r="L794" s="150">
        <v>0</v>
      </c>
      <c r="M794" s="147">
        <v>0</v>
      </c>
      <c r="N794" s="150">
        <v>0</v>
      </c>
      <c r="O794" s="147">
        <v>0</v>
      </c>
      <c r="P794" s="150">
        <v>0</v>
      </c>
      <c r="Q794" s="147">
        <v>0</v>
      </c>
      <c r="R794" s="150">
        <v>0</v>
      </c>
      <c r="S794" s="147">
        <v>0</v>
      </c>
      <c r="T794" s="150">
        <v>0</v>
      </c>
      <c r="U794" s="147">
        <v>0</v>
      </c>
      <c r="V794" s="150">
        <v>0</v>
      </c>
      <c r="W794" s="147">
        <v>0.65666666666666695</v>
      </c>
      <c r="X794" s="150">
        <v>0</v>
      </c>
      <c r="Y794" s="147">
        <v>0</v>
      </c>
      <c r="Z794" s="150">
        <v>0</v>
      </c>
      <c r="AA794" s="147">
        <v>0</v>
      </c>
      <c r="AB794" s="150">
        <v>0</v>
      </c>
      <c r="AC794" s="238">
        <f t="shared" si="411"/>
        <v>0.65666666666666695</v>
      </c>
      <c r="AD794" s="238"/>
      <c r="AE794" s="238"/>
    </row>
    <row r="795" spans="2:31" x14ac:dyDescent="0.3">
      <c r="B795" s="245" t="s">
        <v>16</v>
      </c>
      <c r="C795" s="245"/>
      <c r="D795" s="245"/>
      <c r="E795" s="147">
        <v>0</v>
      </c>
      <c r="F795" s="150">
        <v>0</v>
      </c>
      <c r="G795" s="147">
        <v>0</v>
      </c>
      <c r="H795" s="150">
        <v>0</v>
      </c>
      <c r="I795" s="147">
        <v>0</v>
      </c>
      <c r="J795" s="150">
        <v>0</v>
      </c>
      <c r="K795" s="147">
        <v>0</v>
      </c>
      <c r="L795" s="150">
        <v>0</v>
      </c>
      <c r="M795" s="147">
        <v>0</v>
      </c>
      <c r="N795" s="150">
        <v>0</v>
      </c>
      <c r="O795" s="147">
        <v>0</v>
      </c>
      <c r="P795" s="150">
        <v>0</v>
      </c>
      <c r="Q795" s="147">
        <v>0</v>
      </c>
      <c r="R795" s="150">
        <v>0</v>
      </c>
      <c r="S795" s="147">
        <v>0</v>
      </c>
      <c r="T795" s="150">
        <v>0</v>
      </c>
      <c r="U795" s="147">
        <v>0</v>
      </c>
      <c r="V795" s="150">
        <v>0</v>
      </c>
      <c r="W795" s="147">
        <v>0</v>
      </c>
      <c r="X795" s="150">
        <v>0</v>
      </c>
      <c r="Y795" s="147">
        <v>0</v>
      </c>
      <c r="Z795" s="150">
        <v>0</v>
      </c>
      <c r="AA795" s="147">
        <v>0</v>
      </c>
      <c r="AB795" s="150">
        <v>0</v>
      </c>
      <c r="AC795" s="238">
        <f t="shared" si="411"/>
        <v>0</v>
      </c>
      <c r="AD795" s="238"/>
      <c r="AE795" s="238"/>
    </row>
    <row r="796" spans="2:31" x14ac:dyDescent="0.3">
      <c r="B796" s="245" t="s">
        <v>17</v>
      </c>
      <c r="C796" s="245"/>
      <c r="D796" s="245"/>
      <c r="E796" s="147">
        <v>0</v>
      </c>
      <c r="F796" s="150">
        <v>0</v>
      </c>
      <c r="G796" s="147">
        <v>0</v>
      </c>
      <c r="H796" s="150">
        <v>0</v>
      </c>
      <c r="I796" s="147">
        <v>0</v>
      </c>
      <c r="J796" s="150">
        <v>0</v>
      </c>
      <c r="K796" s="147">
        <v>0</v>
      </c>
      <c r="L796" s="150">
        <v>0</v>
      </c>
      <c r="M796" s="147">
        <v>0</v>
      </c>
      <c r="N796" s="150">
        <v>0</v>
      </c>
      <c r="O796" s="147">
        <v>0</v>
      </c>
      <c r="P796" s="150">
        <v>0</v>
      </c>
      <c r="Q796" s="147">
        <v>0</v>
      </c>
      <c r="R796" s="150">
        <v>7.0853333333333355</v>
      </c>
      <c r="S796" s="147">
        <v>23.941166666666678</v>
      </c>
      <c r="T796" s="150">
        <v>0</v>
      </c>
      <c r="U796" s="147">
        <v>0</v>
      </c>
      <c r="V796" s="150">
        <v>0</v>
      </c>
      <c r="W796" s="147">
        <v>0</v>
      </c>
      <c r="X796" s="150">
        <v>0.47516666666666674</v>
      </c>
      <c r="Y796" s="147">
        <v>0</v>
      </c>
      <c r="Z796" s="150">
        <v>0</v>
      </c>
      <c r="AA796" s="147">
        <v>0</v>
      </c>
      <c r="AB796" s="150">
        <v>0</v>
      </c>
      <c r="AC796" s="238">
        <f t="shared" si="411"/>
        <v>31.501666666666679</v>
      </c>
      <c r="AD796" s="238"/>
      <c r="AE796" s="238"/>
    </row>
    <row r="797" spans="2:31" x14ac:dyDescent="0.3">
      <c r="B797" s="245" t="s">
        <v>18</v>
      </c>
      <c r="C797" s="245"/>
      <c r="D797" s="245"/>
      <c r="E797" s="147">
        <v>0</v>
      </c>
      <c r="F797" s="150">
        <v>0</v>
      </c>
      <c r="G797" s="147">
        <v>0</v>
      </c>
      <c r="H797" s="150">
        <v>0</v>
      </c>
      <c r="I797" s="147">
        <v>0</v>
      </c>
      <c r="J797" s="150">
        <v>0</v>
      </c>
      <c r="K797" s="147">
        <v>0</v>
      </c>
      <c r="L797" s="150">
        <v>0</v>
      </c>
      <c r="M797" s="147">
        <v>0</v>
      </c>
      <c r="N797" s="150">
        <v>0</v>
      </c>
      <c r="O797" s="147">
        <v>0</v>
      </c>
      <c r="P797" s="150">
        <v>0</v>
      </c>
      <c r="Q797" s="147">
        <v>0</v>
      </c>
      <c r="R797" s="150">
        <v>0</v>
      </c>
      <c r="S797" s="147">
        <v>0</v>
      </c>
      <c r="T797" s="150">
        <v>0</v>
      </c>
      <c r="U797" s="147">
        <v>0</v>
      </c>
      <c r="V797" s="150">
        <v>0</v>
      </c>
      <c r="W797" s="147">
        <v>0</v>
      </c>
      <c r="X797" s="150">
        <v>0</v>
      </c>
      <c r="Y797" s="147">
        <v>0</v>
      </c>
      <c r="Z797" s="150">
        <v>0</v>
      </c>
      <c r="AA797" s="147">
        <v>0</v>
      </c>
      <c r="AB797" s="150">
        <v>0</v>
      </c>
      <c r="AC797" s="238">
        <f t="shared" si="411"/>
        <v>0</v>
      </c>
      <c r="AD797" s="238"/>
      <c r="AE797" s="238"/>
    </row>
    <row r="798" spans="2:31" x14ac:dyDescent="0.3">
      <c r="B798" s="245" t="s">
        <v>19</v>
      </c>
      <c r="C798" s="245"/>
      <c r="D798" s="245"/>
      <c r="E798" s="147">
        <v>0</v>
      </c>
      <c r="F798" s="150">
        <v>0</v>
      </c>
      <c r="G798" s="147">
        <v>0</v>
      </c>
      <c r="H798" s="150">
        <v>0</v>
      </c>
      <c r="I798" s="147">
        <v>0</v>
      </c>
      <c r="J798" s="150">
        <v>0</v>
      </c>
      <c r="K798" s="147">
        <v>0</v>
      </c>
      <c r="L798" s="150">
        <v>0</v>
      </c>
      <c r="M798" s="147">
        <v>0</v>
      </c>
      <c r="N798" s="150">
        <v>0</v>
      </c>
      <c r="O798" s="147">
        <v>0</v>
      </c>
      <c r="P798" s="150">
        <v>0</v>
      </c>
      <c r="Q798" s="147">
        <v>0</v>
      </c>
      <c r="R798" s="150">
        <v>1.0325000000000022</v>
      </c>
      <c r="S798" s="147">
        <v>8.3181666666666718</v>
      </c>
      <c r="T798" s="150">
        <v>11.705833333333336</v>
      </c>
      <c r="U798" s="147">
        <v>13.717666666666663</v>
      </c>
      <c r="V798" s="150">
        <v>6.7413333333333307</v>
      </c>
      <c r="W798" s="147">
        <v>17.244333333333337</v>
      </c>
      <c r="X798" s="150">
        <v>0.30150000000000005</v>
      </c>
      <c r="Y798" s="147">
        <v>0</v>
      </c>
      <c r="Z798" s="150">
        <v>0</v>
      </c>
      <c r="AA798" s="147">
        <v>0</v>
      </c>
      <c r="AB798" s="150">
        <v>0</v>
      </c>
      <c r="AC798" s="238">
        <f t="shared" si="411"/>
        <v>59.061333333333337</v>
      </c>
      <c r="AD798" s="238"/>
      <c r="AE798" s="238"/>
    </row>
    <row r="799" spans="2:31" x14ac:dyDescent="0.3">
      <c r="B799" s="245" t="s">
        <v>20</v>
      </c>
      <c r="C799" s="245"/>
      <c r="D799" s="245"/>
      <c r="E799" s="147">
        <v>0</v>
      </c>
      <c r="F799" s="150">
        <v>0</v>
      </c>
      <c r="G799" s="147">
        <v>0</v>
      </c>
      <c r="H799" s="150">
        <v>0</v>
      </c>
      <c r="I799" s="147">
        <v>0</v>
      </c>
      <c r="J799" s="150">
        <v>0</v>
      </c>
      <c r="K799" s="147">
        <v>0</v>
      </c>
      <c r="L799" s="150">
        <v>0</v>
      </c>
      <c r="M799" s="147">
        <v>0</v>
      </c>
      <c r="N799" s="150">
        <v>0</v>
      </c>
      <c r="O799" s="147">
        <v>0</v>
      </c>
      <c r="P799" s="150">
        <v>0</v>
      </c>
      <c r="Q799" s="147">
        <v>0</v>
      </c>
      <c r="R799" s="150">
        <v>7.1239999999999997</v>
      </c>
      <c r="S799" s="147">
        <v>20.609999999999992</v>
      </c>
      <c r="T799" s="150">
        <v>23.410000000000007</v>
      </c>
      <c r="U799" s="147">
        <v>25.009999999999994</v>
      </c>
      <c r="V799" s="150">
        <v>11.791000000000002</v>
      </c>
      <c r="W799" s="147">
        <v>28.210000000000022</v>
      </c>
      <c r="X799" s="150">
        <v>0.4301666666666667</v>
      </c>
      <c r="Y799" s="147">
        <v>0</v>
      </c>
      <c r="Z799" s="150">
        <v>0</v>
      </c>
      <c r="AA799" s="147">
        <v>0</v>
      </c>
      <c r="AB799" s="150">
        <v>0</v>
      </c>
      <c r="AC799" s="238">
        <f t="shared" si="411"/>
        <v>116.58516666666668</v>
      </c>
      <c r="AD799" s="238"/>
      <c r="AE799" s="238"/>
    </row>
    <row r="800" spans="2:31" x14ac:dyDescent="0.3">
      <c r="B800" s="245" t="s">
        <v>21</v>
      </c>
      <c r="C800" s="245"/>
      <c r="D800" s="245"/>
      <c r="E800" s="147">
        <v>0</v>
      </c>
      <c r="F800" s="150">
        <v>0</v>
      </c>
      <c r="G800" s="147">
        <v>0</v>
      </c>
      <c r="H800" s="150">
        <v>0</v>
      </c>
      <c r="I800" s="147">
        <v>0</v>
      </c>
      <c r="J800" s="150">
        <v>0</v>
      </c>
      <c r="K800" s="147">
        <v>0</v>
      </c>
      <c r="L800" s="150">
        <v>0</v>
      </c>
      <c r="M800" s="147">
        <v>0</v>
      </c>
      <c r="N800" s="150">
        <v>0</v>
      </c>
      <c r="O800" s="147">
        <v>0</v>
      </c>
      <c r="P800" s="150">
        <v>0</v>
      </c>
      <c r="Q800" s="147">
        <v>0</v>
      </c>
      <c r="R800" s="150">
        <v>0</v>
      </c>
      <c r="S800" s="147">
        <v>0.26616666666666661</v>
      </c>
      <c r="T800" s="150">
        <v>1.2071666666666669</v>
      </c>
      <c r="U800" s="147">
        <v>1.1648333333333341</v>
      </c>
      <c r="V800" s="150">
        <v>0.13633333333333356</v>
      </c>
      <c r="W800" s="147">
        <v>0</v>
      </c>
      <c r="X800" s="150">
        <v>0</v>
      </c>
      <c r="Y800" s="147">
        <v>0</v>
      </c>
      <c r="Z800" s="150">
        <v>0</v>
      </c>
      <c r="AA800" s="147">
        <v>0</v>
      </c>
      <c r="AB800" s="150">
        <v>0</v>
      </c>
      <c r="AC800" s="238">
        <f t="shared" si="411"/>
        <v>2.7745000000000011</v>
      </c>
      <c r="AD800" s="238"/>
      <c r="AE800" s="238"/>
    </row>
    <row r="801" spans="2:31" x14ac:dyDescent="0.3">
      <c r="B801" s="245" t="s">
        <v>22</v>
      </c>
      <c r="C801" s="245"/>
      <c r="D801" s="245"/>
      <c r="E801" s="147">
        <v>0</v>
      </c>
      <c r="F801" s="150">
        <v>0</v>
      </c>
      <c r="G801" s="147">
        <v>0</v>
      </c>
      <c r="H801" s="150">
        <v>0</v>
      </c>
      <c r="I801" s="147">
        <v>0</v>
      </c>
      <c r="J801" s="150">
        <v>0</v>
      </c>
      <c r="K801" s="147">
        <v>0</v>
      </c>
      <c r="L801" s="150">
        <v>0</v>
      </c>
      <c r="M801" s="147">
        <v>0</v>
      </c>
      <c r="N801" s="150">
        <v>0</v>
      </c>
      <c r="O801" s="147">
        <v>0</v>
      </c>
      <c r="P801" s="150">
        <v>0</v>
      </c>
      <c r="Q801" s="147">
        <v>0</v>
      </c>
      <c r="R801" s="150">
        <v>1.3166666666666653E-2</v>
      </c>
      <c r="S801" s="147">
        <v>9.1000000000000109E-2</v>
      </c>
      <c r="T801" s="150">
        <v>0.21266666666666698</v>
      </c>
      <c r="U801" s="147">
        <v>0.38499999999999968</v>
      </c>
      <c r="V801" s="150">
        <v>0.13799999999999993</v>
      </c>
      <c r="W801" s="147">
        <v>8.4166666666666529E-2</v>
      </c>
      <c r="X801" s="150">
        <v>4.3333333333333297E-3</v>
      </c>
      <c r="Y801" s="147">
        <v>0</v>
      </c>
      <c r="Z801" s="150">
        <v>0</v>
      </c>
      <c r="AA801" s="147">
        <v>0</v>
      </c>
      <c r="AB801" s="150">
        <v>0</v>
      </c>
      <c r="AC801" s="238">
        <f t="shared" si="411"/>
        <v>0.92833333333333312</v>
      </c>
      <c r="AD801" s="238"/>
      <c r="AE801" s="238"/>
    </row>
    <row r="802" spans="2:31" x14ac:dyDescent="0.3">
      <c r="B802" s="245" t="s">
        <v>23</v>
      </c>
      <c r="C802" s="245"/>
      <c r="D802" s="245"/>
      <c r="E802" s="147">
        <v>0</v>
      </c>
      <c r="F802" s="150">
        <v>0</v>
      </c>
      <c r="G802" s="147">
        <v>0</v>
      </c>
      <c r="H802" s="150">
        <v>0</v>
      </c>
      <c r="I802" s="147">
        <v>0</v>
      </c>
      <c r="J802" s="150">
        <v>0</v>
      </c>
      <c r="K802" s="147">
        <v>0</v>
      </c>
      <c r="L802" s="150">
        <v>0</v>
      </c>
      <c r="M802" s="147">
        <v>0</v>
      </c>
      <c r="N802" s="150">
        <v>0</v>
      </c>
      <c r="O802" s="147">
        <v>0</v>
      </c>
      <c r="P802" s="150">
        <v>0</v>
      </c>
      <c r="Q802" s="147">
        <v>0</v>
      </c>
      <c r="R802" s="150">
        <v>3.0738333333333334</v>
      </c>
      <c r="S802" s="147">
        <v>12.79233333333333</v>
      </c>
      <c r="T802" s="150">
        <v>15.962166666666665</v>
      </c>
      <c r="U802" s="147">
        <v>19.676166666666674</v>
      </c>
      <c r="V802" s="150">
        <v>9.9293333333333358</v>
      </c>
      <c r="W802" s="147">
        <v>12.442333333333334</v>
      </c>
      <c r="X802" s="150">
        <v>2.2666666666666658E-2</v>
      </c>
      <c r="Y802" s="147">
        <v>0</v>
      </c>
      <c r="Z802" s="150">
        <v>0</v>
      </c>
      <c r="AA802" s="147">
        <v>0</v>
      </c>
      <c r="AB802" s="150">
        <v>0</v>
      </c>
      <c r="AC802" s="238">
        <f t="shared" si="411"/>
        <v>73.898833333333343</v>
      </c>
      <c r="AD802" s="238"/>
      <c r="AE802" s="238"/>
    </row>
    <row r="803" spans="2:31" x14ac:dyDescent="0.3">
      <c r="B803" s="245" t="s">
        <v>24</v>
      </c>
      <c r="C803" s="245"/>
      <c r="D803" s="245"/>
      <c r="E803" s="147">
        <v>0</v>
      </c>
      <c r="F803" s="150">
        <v>0</v>
      </c>
      <c r="G803" s="147">
        <v>0</v>
      </c>
      <c r="H803" s="150">
        <v>0</v>
      </c>
      <c r="I803" s="147">
        <v>0</v>
      </c>
      <c r="J803" s="150">
        <v>0</v>
      </c>
      <c r="K803" s="147">
        <v>0</v>
      </c>
      <c r="L803" s="150">
        <v>0</v>
      </c>
      <c r="M803" s="147">
        <v>0</v>
      </c>
      <c r="N803" s="150">
        <v>0</v>
      </c>
      <c r="O803" s="147">
        <v>0</v>
      </c>
      <c r="P803" s="150">
        <v>0</v>
      </c>
      <c r="Q803" s="147">
        <v>0</v>
      </c>
      <c r="R803" s="150">
        <v>1.0198333333333329</v>
      </c>
      <c r="S803" s="147">
        <v>6.3026666666666671</v>
      </c>
      <c r="T803" s="150">
        <v>7.9176666666666664</v>
      </c>
      <c r="U803" s="147">
        <v>9.9021666666666661</v>
      </c>
      <c r="V803" s="150">
        <v>4.692499999999999</v>
      </c>
      <c r="W803" s="147">
        <v>10.566666666666668</v>
      </c>
      <c r="X803" s="150">
        <v>0</v>
      </c>
      <c r="Y803" s="147">
        <v>0</v>
      </c>
      <c r="Z803" s="150">
        <v>0</v>
      </c>
      <c r="AA803" s="147">
        <v>0</v>
      </c>
      <c r="AB803" s="150">
        <v>0</v>
      </c>
      <c r="AC803" s="238">
        <f t="shared" si="411"/>
        <v>40.401499999999999</v>
      </c>
      <c r="AD803" s="238"/>
      <c r="AE803" s="238"/>
    </row>
    <row r="804" spans="2:31" x14ac:dyDescent="0.3">
      <c r="B804" s="245" t="s">
        <v>25</v>
      </c>
      <c r="C804" s="245"/>
      <c r="D804" s="245"/>
      <c r="E804" s="147">
        <v>0</v>
      </c>
      <c r="F804" s="150">
        <v>0</v>
      </c>
      <c r="G804" s="147">
        <v>0</v>
      </c>
      <c r="H804" s="150">
        <v>0</v>
      </c>
      <c r="I804" s="147">
        <v>0</v>
      </c>
      <c r="J804" s="150">
        <v>0</v>
      </c>
      <c r="K804" s="147">
        <v>0</v>
      </c>
      <c r="L804" s="150">
        <v>0</v>
      </c>
      <c r="M804" s="147">
        <v>0</v>
      </c>
      <c r="N804" s="150">
        <v>0</v>
      </c>
      <c r="O804" s="147">
        <v>0</v>
      </c>
      <c r="P804" s="150">
        <v>0</v>
      </c>
      <c r="Q804" s="147">
        <v>0</v>
      </c>
      <c r="R804" s="150">
        <v>0</v>
      </c>
      <c r="S804" s="147">
        <v>0</v>
      </c>
      <c r="T804" s="150">
        <v>0</v>
      </c>
      <c r="U804" s="147">
        <v>0</v>
      </c>
      <c r="V804" s="150">
        <v>0</v>
      </c>
      <c r="W804" s="147">
        <v>0.1189999999999999</v>
      </c>
      <c r="X804" s="150">
        <v>0</v>
      </c>
      <c r="Y804" s="147">
        <v>0</v>
      </c>
      <c r="Z804" s="150">
        <v>0</v>
      </c>
      <c r="AA804" s="147">
        <v>0</v>
      </c>
      <c r="AB804" s="150">
        <v>0</v>
      </c>
      <c r="AC804" s="238">
        <f t="shared" si="411"/>
        <v>0.1189999999999999</v>
      </c>
      <c r="AD804" s="238"/>
      <c r="AE804" s="238"/>
    </row>
    <row r="805" spans="2:31" x14ac:dyDescent="0.3">
      <c r="B805" s="245" t="s">
        <v>26</v>
      </c>
      <c r="C805" s="245"/>
      <c r="D805" s="245"/>
      <c r="E805" s="147">
        <v>0</v>
      </c>
      <c r="F805" s="150">
        <v>0</v>
      </c>
      <c r="G805" s="147">
        <v>0</v>
      </c>
      <c r="H805" s="150">
        <v>0</v>
      </c>
      <c r="I805" s="147">
        <v>0</v>
      </c>
      <c r="J805" s="150">
        <v>0</v>
      </c>
      <c r="K805" s="147">
        <v>0</v>
      </c>
      <c r="L805" s="150">
        <v>0</v>
      </c>
      <c r="M805" s="147">
        <v>0</v>
      </c>
      <c r="N805" s="150">
        <v>0</v>
      </c>
      <c r="O805" s="147">
        <v>0</v>
      </c>
      <c r="P805" s="150">
        <v>0</v>
      </c>
      <c r="Q805" s="147">
        <v>0</v>
      </c>
      <c r="R805" s="150">
        <v>0</v>
      </c>
      <c r="S805" s="147">
        <v>0</v>
      </c>
      <c r="T805" s="150">
        <v>0</v>
      </c>
      <c r="U805" s="147">
        <v>0</v>
      </c>
      <c r="V805" s="150">
        <v>0</v>
      </c>
      <c r="W805" s="147">
        <v>0</v>
      </c>
      <c r="X805" s="150">
        <v>0</v>
      </c>
      <c r="Y805" s="147">
        <v>0</v>
      </c>
      <c r="Z805" s="150">
        <v>0</v>
      </c>
      <c r="AA805" s="147">
        <v>0</v>
      </c>
      <c r="AB805" s="150">
        <v>0</v>
      </c>
      <c r="AC805" s="238">
        <f t="shared" si="411"/>
        <v>0</v>
      </c>
      <c r="AD805" s="238"/>
      <c r="AE805" s="238"/>
    </row>
    <row r="806" spans="2:31" x14ac:dyDescent="0.3">
      <c r="B806" s="245" t="s">
        <v>27</v>
      </c>
      <c r="C806" s="245"/>
      <c r="D806" s="245"/>
      <c r="E806" s="147">
        <v>0</v>
      </c>
      <c r="F806" s="150">
        <v>0</v>
      </c>
      <c r="G806" s="147">
        <v>0</v>
      </c>
      <c r="H806" s="150">
        <v>0</v>
      </c>
      <c r="I806" s="147">
        <v>0</v>
      </c>
      <c r="J806" s="150">
        <v>0</v>
      </c>
      <c r="K806" s="147">
        <v>0</v>
      </c>
      <c r="L806" s="150">
        <v>0</v>
      </c>
      <c r="M806" s="147">
        <v>0</v>
      </c>
      <c r="N806" s="150">
        <v>0</v>
      </c>
      <c r="O806" s="147">
        <v>0</v>
      </c>
      <c r="P806" s="150">
        <v>0</v>
      </c>
      <c r="Q806" s="147">
        <v>0</v>
      </c>
      <c r="R806" s="150">
        <v>0</v>
      </c>
      <c r="S806" s="147">
        <v>0</v>
      </c>
      <c r="T806" s="150">
        <v>0</v>
      </c>
      <c r="U806" s="147">
        <v>0</v>
      </c>
      <c r="V806" s="150">
        <v>3.3256666666666672</v>
      </c>
      <c r="W806" s="147">
        <v>26.13600000000001</v>
      </c>
      <c r="X806" s="150">
        <v>0.61250000000000004</v>
      </c>
      <c r="Y806" s="147">
        <v>0</v>
      </c>
      <c r="Z806" s="150">
        <v>0</v>
      </c>
      <c r="AA806" s="147">
        <v>0</v>
      </c>
      <c r="AB806" s="150">
        <v>0</v>
      </c>
      <c r="AC806" s="238">
        <f t="shared" si="411"/>
        <v>30.074166666666677</v>
      </c>
      <c r="AD806" s="238"/>
      <c r="AE806" s="238"/>
    </row>
    <row r="807" spans="2:31" x14ac:dyDescent="0.3">
      <c r="B807" s="245" t="s">
        <v>28</v>
      </c>
      <c r="C807" s="245"/>
      <c r="D807" s="245"/>
      <c r="E807" s="147">
        <v>0</v>
      </c>
      <c r="F807" s="150">
        <v>0</v>
      </c>
      <c r="G807" s="147">
        <v>0</v>
      </c>
      <c r="H807" s="150">
        <v>0</v>
      </c>
      <c r="I807" s="147">
        <v>0</v>
      </c>
      <c r="J807" s="150">
        <v>0</v>
      </c>
      <c r="K807" s="147">
        <v>0</v>
      </c>
      <c r="L807" s="150">
        <v>0</v>
      </c>
      <c r="M807" s="147">
        <v>0</v>
      </c>
      <c r="N807" s="150">
        <v>0</v>
      </c>
      <c r="O807" s="147">
        <v>0</v>
      </c>
      <c r="P807" s="150">
        <v>0</v>
      </c>
      <c r="Q807" s="147">
        <v>0</v>
      </c>
      <c r="R807" s="150">
        <v>0</v>
      </c>
      <c r="S807" s="147">
        <v>0</v>
      </c>
      <c r="T807" s="150">
        <v>0</v>
      </c>
      <c r="U807" s="147">
        <v>0</v>
      </c>
      <c r="V807" s="150">
        <v>3.0974999999999993</v>
      </c>
      <c r="W807" s="147">
        <v>21.679499999999997</v>
      </c>
      <c r="X807" s="150">
        <v>0.47116666666666668</v>
      </c>
      <c r="Y807" s="147">
        <v>0</v>
      </c>
      <c r="Z807" s="150">
        <v>0</v>
      </c>
      <c r="AA807" s="147">
        <v>0</v>
      </c>
      <c r="AB807" s="150">
        <v>0</v>
      </c>
      <c r="AC807" s="238">
        <f t="shared" si="411"/>
        <v>25.248166666666663</v>
      </c>
      <c r="AD807" s="238"/>
      <c r="AE807" s="238"/>
    </row>
    <row r="808" spans="2:31" x14ac:dyDescent="0.3">
      <c r="B808" s="245" t="s">
        <v>92</v>
      </c>
      <c r="C808" s="245"/>
      <c r="D808" s="245"/>
      <c r="E808" s="147">
        <v>0</v>
      </c>
      <c r="F808" s="150">
        <v>0</v>
      </c>
      <c r="G808" s="147">
        <v>0</v>
      </c>
      <c r="H808" s="150">
        <v>0</v>
      </c>
      <c r="I808" s="147">
        <v>0</v>
      </c>
      <c r="J808" s="150">
        <v>0</v>
      </c>
      <c r="K808" s="147">
        <v>0</v>
      </c>
      <c r="L808" s="150">
        <v>0</v>
      </c>
      <c r="M808" s="147">
        <v>0</v>
      </c>
      <c r="N808" s="150">
        <v>0</v>
      </c>
      <c r="O808" s="147">
        <v>0</v>
      </c>
      <c r="P808" s="150">
        <v>0</v>
      </c>
      <c r="Q808" s="147">
        <v>0</v>
      </c>
      <c r="R808" s="150">
        <v>0</v>
      </c>
      <c r="S808" s="147">
        <v>0</v>
      </c>
      <c r="T808" s="150">
        <v>0</v>
      </c>
      <c r="U808" s="147">
        <v>0</v>
      </c>
      <c r="V808" s="150">
        <v>0</v>
      </c>
      <c r="W808" s="147">
        <v>0</v>
      </c>
      <c r="X808" s="150">
        <v>0</v>
      </c>
      <c r="Y808" s="147">
        <v>0</v>
      </c>
      <c r="Z808" s="150">
        <v>0</v>
      </c>
      <c r="AA808" s="147">
        <v>0</v>
      </c>
      <c r="AB808" s="150">
        <v>0</v>
      </c>
      <c r="AC808" s="238">
        <f t="shared" si="411"/>
        <v>0</v>
      </c>
      <c r="AD808" s="238"/>
      <c r="AE808" s="238"/>
    </row>
    <row r="809" spans="2:31" x14ac:dyDescent="0.3">
      <c r="B809" s="245" t="s">
        <v>29</v>
      </c>
      <c r="C809" s="245"/>
      <c r="D809" s="245"/>
      <c r="E809" s="147">
        <v>0</v>
      </c>
      <c r="F809" s="150">
        <v>0</v>
      </c>
      <c r="G809" s="147">
        <v>0</v>
      </c>
      <c r="H809" s="150">
        <v>0</v>
      </c>
      <c r="I809" s="147">
        <v>0</v>
      </c>
      <c r="J809" s="150">
        <v>0</v>
      </c>
      <c r="K809" s="147">
        <v>0</v>
      </c>
      <c r="L809" s="150">
        <v>0</v>
      </c>
      <c r="M809" s="147">
        <v>0</v>
      </c>
      <c r="N809" s="150">
        <v>0</v>
      </c>
      <c r="O809" s="147">
        <v>0</v>
      </c>
      <c r="P809" s="150">
        <v>0</v>
      </c>
      <c r="Q809" s="147">
        <v>0</v>
      </c>
      <c r="R809" s="150">
        <v>0</v>
      </c>
      <c r="S809" s="147">
        <v>0</v>
      </c>
      <c r="T809" s="150">
        <v>0</v>
      </c>
      <c r="U809" s="147">
        <v>0</v>
      </c>
      <c r="V809" s="150">
        <v>2.2775000000000003</v>
      </c>
      <c r="W809" s="147">
        <v>24.471999999999994</v>
      </c>
      <c r="X809" s="150">
        <v>0.74216666666666664</v>
      </c>
      <c r="Y809" s="147">
        <v>0</v>
      </c>
      <c r="Z809" s="150">
        <v>0</v>
      </c>
      <c r="AA809" s="147">
        <v>0</v>
      </c>
      <c r="AB809" s="150">
        <v>0</v>
      </c>
      <c r="AC809" s="238">
        <f t="shared" si="411"/>
        <v>27.49166666666666</v>
      </c>
      <c r="AD809" s="238"/>
      <c r="AE809" s="238"/>
    </row>
    <row r="810" spans="2:31" x14ac:dyDescent="0.3">
      <c r="B810" s="245" t="s">
        <v>30</v>
      </c>
      <c r="C810" s="245"/>
      <c r="D810" s="245"/>
      <c r="E810" s="147">
        <v>0</v>
      </c>
      <c r="F810" s="150">
        <v>0</v>
      </c>
      <c r="G810" s="147">
        <v>0</v>
      </c>
      <c r="H810" s="150">
        <v>0</v>
      </c>
      <c r="I810" s="147">
        <v>0</v>
      </c>
      <c r="J810" s="150">
        <v>0</v>
      </c>
      <c r="K810" s="147">
        <v>0</v>
      </c>
      <c r="L810" s="150">
        <v>0</v>
      </c>
      <c r="M810" s="147">
        <v>0</v>
      </c>
      <c r="N810" s="150">
        <v>0</v>
      </c>
      <c r="O810" s="147">
        <v>0</v>
      </c>
      <c r="P810" s="150">
        <v>0</v>
      </c>
      <c r="Q810" s="147">
        <v>0</v>
      </c>
      <c r="R810" s="150">
        <v>0</v>
      </c>
      <c r="S810" s="147">
        <v>0</v>
      </c>
      <c r="T810" s="150">
        <v>0</v>
      </c>
      <c r="U810" s="147">
        <v>0</v>
      </c>
      <c r="V810" s="150">
        <v>0.33716666666666667</v>
      </c>
      <c r="W810" s="147">
        <v>0.93383333333333352</v>
      </c>
      <c r="X810" s="150">
        <v>2.0333333333333335E-2</v>
      </c>
      <c r="Y810" s="147">
        <v>0</v>
      </c>
      <c r="Z810" s="150">
        <v>0</v>
      </c>
      <c r="AA810" s="147">
        <v>0</v>
      </c>
      <c r="AB810" s="150">
        <v>0</v>
      </c>
      <c r="AC810" s="238">
        <f t="shared" si="411"/>
        <v>1.2913333333333334</v>
      </c>
      <c r="AD810" s="238"/>
      <c r="AE810" s="238"/>
    </row>
    <row r="811" spans="2:31" x14ac:dyDescent="0.3">
      <c r="B811" s="245" t="s">
        <v>31</v>
      </c>
      <c r="C811" s="245"/>
      <c r="D811" s="245"/>
      <c r="E811" s="147">
        <v>0</v>
      </c>
      <c r="F811" s="150">
        <v>0</v>
      </c>
      <c r="G811" s="147">
        <v>0</v>
      </c>
      <c r="H811" s="150">
        <v>0</v>
      </c>
      <c r="I811" s="147">
        <v>0</v>
      </c>
      <c r="J811" s="150">
        <v>0</v>
      </c>
      <c r="K811" s="147">
        <v>0</v>
      </c>
      <c r="L811" s="150">
        <v>0</v>
      </c>
      <c r="M811" s="147">
        <v>0</v>
      </c>
      <c r="N811" s="150">
        <v>0</v>
      </c>
      <c r="O811" s="147">
        <v>0</v>
      </c>
      <c r="P811" s="150">
        <v>0</v>
      </c>
      <c r="Q811" s="147">
        <v>0</v>
      </c>
      <c r="R811" s="150">
        <v>0</v>
      </c>
      <c r="S811" s="147">
        <v>0</v>
      </c>
      <c r="T811" s="150">
        <v>0</v>
      </c>
      <c r="U811" s="147">
        <v>0</v>
      </c>
      <c r="V811" s="150">
        <v>0.88250000000000017</v>
      </c>
      <c r="W811" s="147">
        <v>5.7300000000000022</v>
      </c>
      <c r="X811" s="150">
        <v>0.15216666666666664</v>
      </c>
      <c r="Y811" s="147">
        <v>0</v>
      </c>
      <c r="Z811" s="150">
        <v>0</v>
      </c>
      <c r="AA811" s="147">
        <v>0</v>
      </c>
      <c r="AB811" s="150">
        <v>0</v>
      </c>
      <c r="AC811" s="238">
        <f t="shared" si="411"/>
        <v>6.7646666666666695</v>
      </c>
      <c r="AD811" s="238"/>
      <c r="AE811" s="238"/>
    </row>
    <row r="812" spans="2:31" x14ac:dyDescent="0.3">
      <c r="B812" s="245" t="s">
        <v>32</v>
      </c>
      <c r="C812" s="245"/>
      <c r="D812" s="245"/>
      <c r="E812" s="147">
        <v>0</v>
      </c>
      <c r="F812" s="150">
        <v>0</v>
      </c>
      <c r="G812" s="147">
        <v>0</v>
      </c>
      <c r="H812" s="150">
        <v>0</v>
      </c>
      <c r="I812" s="147">
        <v>0</v>
      </c>
      <c r="J812" s="150">
        <v>0</v>
      </c>
      <c r="K812" s="147">
        <v>0</v>
      </c>
      <c r="L812" s="150">
        <v>0</v>
      </c>
      <c r="M812" s="147">
        <v>0</v>
      </c>
      <c r="N812" s="150">
        <v>0</v>
      </c>
      <c r="O812" s="147">
        <v>0</v>
      </c>
      <c r="P812" s="150">
        <v>0</v>
      </c>
      <c r="Q812" s="147">
        <v>0</v>
      </c>
      <c r="R812" s="150">
        <v>0</v>
      </c>
      <c r="S812" s="147">
        <v>0</v>
      </c>
      <c r="T812" s="150">
        <v>0</v>
      </c>
      <c r="U812" s="147">
        <v>0</v>
      </c>
      <c r="V812" s="150">
        <v>3.1105</v>
      </c>
      <c r="W812" s="147">
        <v>16.305333333333333</v>
      </c>
      <c r="X812" s="150">
        <v>0.27583333333333326</v>
      </c>
      <c r="Y812" s="147">
        <v>0</v>
      </c>
      <c r="Z812" s="150">
        <v>0</v>
      </c>
      <c r="AA812" s="147">
        <v>0</v>
      </c>
      <c r="AB812" s="150">
        <v>0</v>
      </c>
      <c r="AC812" s="238">
        <f t="shared" si="411"/>
        <v>19.691666666666666</v>
      </c>
      <c r="AD812" s="238"/>
      <c r="AE812" s="238"/>
    </row>
    <row r="813" spans="2:31" x14ac:dyDescent="0.3">
      <c r="B813" s="245" t="s">
        <v>33</v>
      </c>
      <c r="C813" s="245"/>
      <c r="D813" s="245"/>
      <c r="E813" s="147">
        <v>0</v>
      </c>
      <c r="F813" s="150">
        <v>0</v>
      </c>
      <c r="G813" s="147">
        <v>0</v>
      </c>
      <c r="H813" s="150">
        <v>0</v>
      </c>
      <c r="I813" s="147">
        <v>0</v>
      </c>
      <c r="J813" s="150">
        <v>0</v>
      </c>
      <c r="K813" s="147">
        <v>0</v>
      </c>
      <c r="L813" s="150">
        <v>0</v>
      </c>
      <c r="M813" s="147">
        <v>0</v>
      </c>
      <c r="N813" s="150">
        <v>0</v>
      </c>
      <c r="O813" s="147">
        <v>0</v>
      </c>
      <c r="P813" s="150">
        <v>0</v>
      </c>
      <c r="Q813" s="147">
        <v>0</v>
      </c>
      <c r="R813" s="150">
        <v>0</v>
      </c>
      <c r="S813" s="147">
        <v>0</v>
      </c>
      <c r="T813" s="150">
        <v>0</v>
      </c>
      <c r="U813" s="147">
        <v>0</v>
      </c>
      <c r="V813" s="150">
        <v>1.2504999999999999</v>
      </c>
      <c r="W813" s="147">
        <v>1.893</v>
      </c>
      <c r="X813" s="150">
        <v>0</v>
      </c>
      <c r="Y813" s="147">
        <v>0</v>
      </c>
      <c r="Z813" s="150">
        <v>0</v>
      </c>
      <c r="AA813" s="147">
        <v>0</v>
      </c>
      <c r="AB813" s="150">
        <v>0</v>
      </c>
      <c r="AC813" s="238">
        <f t="shared" si="411"/>
        <v>3.1435</v>
      </c>
      <c r="AD813" s="238"/>
      <c r="AE813" s="238"/>
    </row>
    <row r="814" spans="2:31" x14ac:dyDescent="0.3">
      <c r="B814" s="245" t="s">
        <v>34</v>
      </c>
      <c r="C814" s="245"/>
      <c r="D814" s="245"/>
      <c r="E814" s="147">
        <v>0</v>
      </c>
      <c r="F814" s="150">
        <v>0</v>
      </c>
      <c r="G814" s="147">
        <v>0</v>
      </c>
      <c r="H814" s="150">
        <v>0</v>
      </c>
      <c r="I814" s="147">
        <v>0</v>
      </c>
      <c r="J814" s="150">
        <v>0</v>
      </c>
      <c r="K814" s="147">
        <v>0</v>
      </c>
      <c r="L814" s="150">
        <v>0</v>
      </c>
      <c r="M814" s="147">
        <v>0</v>
      </c>
      <c r="N814" s="150">
        <v>0</v>
      </c>
      <c r="O814" s="147">
        <v>0</v>
      </c>
      <c r="P814" s="150">
        <v>0</v>
      </c>
      <c r="Q814" s="147">
        <v>0</v>
      </c>
      <c r="R814" s="150">
        <v>0</v>
      </c>
      <c r="S814" s="147">
        <v>0</v>
      </c>
      <c r="T814" s="150">
        <v>0</v>
      </c>
      <c r="U814" s="147">
        <v>0</v>
      </c>
      <c r="V814" s="150">
        <v>0.12250000000000004</v>
      </c>
      <c r="W814" s="147">
        <v>0.50600000000000001</v>
      </c>
      <c r="X814" s="150">
        <v>1.5333333333333332E-2</v>
      </c>
      <c r="Y814" s="147">
        <v>0</v>
      </c>
      <c r="Z814" s="150">
        <v>0</v>
      </c>
      <c r="AA814" s="147">
        <v>0</v>
      </c>
      <c r="AB814" s="150">
        <v>0</v>
      </c>
      <c r="AC814" s="238">
        <f t="shared" si="411"/>
        <v>0.64383333333333337</v>
      </c>
      <c r="AD814" s="238"/>
      <c r="AE814" s="238"/>
    </row>
    <row r="815" spans="2:31" x14ac:dyDescent="0.3">
      <c r="B815" s="245" t="s">
        <v>35</v>
      </c>
      <c r="C815" s="245"/>
      <c r="D815" s="245"/>
      <c r="E815" s="147">
        <v>0</v>
      </c>
      <c r="F815" s="150">
        <v>0</v>
      </c>
      <c r="G815" s="147">
        <v>0</v>
      </c>
      <c r="H815" s="150">
        <v>0</v>
      </c>
      <c r="I815" s="147">
        <v>0</v>
      </c>
      <c r="J815" s="150">
        <v>0</v>
      </c>
      <c r="K815" s="147">
        <v>0</v>
      </c>
      <c r="L815" s="150">
        <v>0</v>
      </c>
      <c r="M815" s="147">
        <v>0</v>
      </c>
      <c r="N815" s="150">
        <v>0</v>
      </c>
      <c r="O815" s="147">
        <v>0</v>
      </c>
      <c r="P815" s="150">
        <v>0</v>
      </c>
      <c r="Q815" s="147">
        <v>0</v>
      </c>
      <c r="R815" s="150">
        <v>0</v>
      </c>
      <c r="S815" s="147">
        <v>0</v>
      </c>
      <c r="T815" s="150">
        <v>0</v>
      </c>
      <c r="U815" s="147">
        <v>0</v>
      </c>
      <c r="V815" s="150">
        <v>0</v>
      </c>
      <c r="W815" s="147">
        <v>0</v>
      </c>
      <c r="X815" s="150">
        <v>0</v>
      </c>
      <c r="Y815" s="147">
        <v>0</v>
      </c>
      <c r="Z815" s="150">
        <v>0</v>
      </c>
      <c r="AA815" s="147">
        <v>0</v>
      </c>
      <c r="AB815" s="150">
        <v>0</v>
      </c>
      <c r="AC815" s="238">
        <f t="shared" si="411"/>
        <v>0</v>
      </c>
      <c r="AD815" s="238"/>
      <c r="AE815" s="238"/>
    </row>
    <row r="816" spans="2:31" x14ac:dyDescent="0.3">
      <c r="B816" s="245" t="s">
        <v>36</v>
      </c>
      <c r="C816" s="245"/>
      <c r="D816" s="245"/>
      <c r="E816" s="147">
        <v>0</v>
      </c>
      <c r="F816" s="150">
        <v>0</v>
      </c>
      <c r="G816" s="147">
        <v>0</v>
      </c>
      <c r="H816" s="150">
        <v>0</v>
      </c>
      <c r="I816" s="147">
        <v>0</v>
      </c>
      <c r="J816" s="150">
        <v>0</v>
      </c>
      <c r="K816" s="147">
        <v>0</v>
      </c>
      <c r="L816" s="150">
        <v>0</v>
      </c>
      <c r="M816" s="147">
        <v>0</v>
      </c>
      <c r="N816" s="150">
        <v>0</v>
      </c>
      <c r="O816" s="147">
        <v>0</v>
      </c>
      <c r="P816" s="150">
        <v>0</v>
      </c>
      <c r="Q816" s="147">
        <v>0</v>
      </c>
      <c r="R816" s="150">
        <v>0</v>
      </c>
      <c r="S816" s="147">
        <v>0</v>
      </c>
      <c r="T816" s="150">
        <v>0</v>
      </c>
      <c r="U816" s="147">
        <v>0</v>
      </c>
      <c r="V816" s="150">
        <v>0</v>
      </c>
      <c r="W816" s="147">
        <v>0</v>
      </c>
      <c r="X816" s="150">
        <v>0</v>
      </c>
      <c r="Y816" s="147">
        <v>0</v>
      </c>
      <c r="Z816" s="150">
        <v>0</v>
      </c>
      <c r="AA816" s="147">
        <v>0</v>
      </c>
      <c r="AB816" s="150">
        <v>0</v>
      </c>
      <c r="AC816" s="238">
        <f t="shared" si="411"/>
        <v>0</v>
      </c>
      <c r="AD816" s="238"/>
      <c r="AE816" s="238"/>
    </row>
    <row r="817" spans="2:31" x14ac:dyDescent="0.3">
      <c r="B817" s="13" t="s">
        <v>89</v>
      </c>
      <c r="C817" s="13"/>
      <c r="D817" s="13"/>
      <c r="E817" s="147">
        <v>0</v>
      </c>
      <c r="F817" s="150">
        <v>0</v>
      </c>
      <c r="G817" s="147">
        <v>0</v>
      </c>
      <c r="H817" s="150">
        <v>0</v>
      </c>
      <c r="I817" s="147">
        <v>0</v>
      </c>
      <c r="J817" s="150">
        <v>0</v>
      </c>
      <c r="K817" s="147">
        <v>0</v>
      </c>
      <c r="L817" s="150">
        <v>0</v>
      </c>
      <c r="M817" s="147">
        <v>0</v>
      </c>
      <c r="N817" s="150">
        <v>0</v>
      </c>
      <c r="O817" s="147">
        <v>0</v>
      </c>
      <c r="P817" s="150">
        <v>0</v>
      </c>
      <c r="Q817" s="147">
        <v>0</v>
      </c>
      <c r="R817" s="150">
        <v>0</v>
      </c>
      <c r="S817" s="147">
        <v>0</v>
      </c>
      <c r="T817" s="150">
        <v>0</v>
      </c>
      <c r="U817" s="147">
        <v>0</v>
      </c>
      <c r="V817" s="150">
        <v>0</v>
      </c>
      <c r="W817" s="147">
        <v>0</v>
      </c>
      <c r="X817" s="150">
        <v>0</v>
      </c>
      <c r="Y817" s="147">
        <v>0</v>
      </c>
      <c r="Z817" s="150">
        <v>0</v>
      </c>
      <c r="AA817" s="147">
        <v>0</v>
      </c>
      <c r="AB817" s="150">
        <v>0</v>
      </c>
      <c r="AC817" s="238">
        <f t="shared" si="411"/>
        <v>0</v>
      </c>
      <c r="AD817" s="238"/>
      <c r="AE817" s="238"/>
    </row>
    <row r="818" spans="2:31" x14ac:dyDescent="0.3">
      <c r="B818" s="13" t="s">
        <v>90</v>
      </c>
      <c r="C818" s="13"/>
      <c r="D818" s="13"/>
      <c r="E818" s="147">
        <v>0</v>
      </c>
      <c r="F818" s="150">
        <v>0</v>
      </c>
      <c r="G818" s="147">
        <v>0</v>
      </c>
      <c r="H818" s="150">
        <v>0</v>
      </c>
      <c r="I818" s="147">
        <v>0</v>
      </c>
      <c r="J818" s="150">
        <v>0</v>
      </c>
      <c r="K818" s="147">
        <v>0</v>
      </c>
      <c r="L818" s="150">
        <v>0</v>
      </c>
      <c r="M818" s="147">
        <v>0</v>
      </c>
      <c r="N818" s="150">
        <v>0</v>
      </c>
      <c r="O818" s="147">
        <v>0</v>
      </c>
      <c r="P818" s="150">
        <v>0</v>
      </c>
      <c r="Q818" s="147">
        <v>0</v>
      </c>
      <c r="R818" s="150">
        <v>0</v>
      </c>
      <c r="S818" s="147">
        <v>0</v>
      </c>
      <c r="T818" s="150">
        <v>0</v>
      </c>
      <c r="U818" s="147">
        <v>0</v>
      </c>
      <c r="V818" s="150">
        <v>0</v>
      </c>
      <c r="W818" s="147">
        <v>0</v>
      </c>
      <c r="X818" s="150">
        <v>0</v>
      </c>
      <c r="Y818" s="147">
        <v>0</v>
      </c>
      <c r="Z818" s="150">
        <v>0</v>
      </c>
      <c r="AA818" s="147">
        <v>0</v>
      </c>
      <c r="AB818" s="150">
        <v>0</v>
      </c>
      <c r="AC818" s="238">
        <f t="shared" si="411"/>
        <v>0</v>
      </c>
      <c r="AD818" s="238"/>
      <c r="AE818" s="238"/>
    </row>
    <row r="819" spans="2:31" x14ac:dyDescent="0.3">
      <c r="B819" s="14" t="s">
        <v>2</v>
      </c>
      <c r="C819" s="14"/>
      <c r="D819" s="14"/>
      <c r="E819" s="15">
        <f>SUM(E782:E818)</f>
        <v>0</v>
      </c>
      <c r="F819" s="15">
        <f t="shared" ref="F819" si="412">SUM(F782:F818)</f>
        <v>0</v>
      </c>
      <c r="G819" s="15">
        <f t="shared" ref="G819" si="413">SUM(G782:G818)</f>
        <v>0</v>
      </c>
      <c r="H819" s="15">
        <f t="shared" ref="H819" si="414">SUM(H782:H818)</f>
        <v>0</v>
      </c>
      <c r="I819" s="15">
        <f t="shared" ref="I819" si="415">SUM(I782:I818)</f>
        <v>0</v>
      </c>
      <c r="J819" s="15">
        <f t="shared" ref="J819" si="416">SUM(J782:J818)</f>
        <v>0</v>
      </c>
      <c r="K819" s="15">
        <f t="shared" ref="K819" si="417">SUM(K782:K818)</f>
        <v>0</v>
      </c>
      <c r="L819" s="15">
        <f t="shared" ref="L819" si="418">SUM(L782:L818)</f>
        <v>0</v>
      </c>
      <c r="M819" s="15">
        <f t="shared" ref="M819" si="419">SUM(M782:M818)</f>
        <v>0</v>
      </c>
      <c r="N819" s="15">
        <f t="shared" ref="N819" si="420">SUM(N782:N818)</f>
        <v>0</v>
      </c>
      <c r="O819" s="15">
        <f t="shared" ref="O819" si="421">SUM(O782:O818)</f>
        <v>0</v>
      </c>
      <c r="P819" s="15">
        <f t="shared" ref="P819" si="422">SUM(P782:P818)</f>
        <v>0</v>
      </c>
      <c r="Q819" s="15">
        <f t="shared" ref="Q819" si="423">SUM(Q782:Q818)</f>
        <v>0</v>
      </c>
      <c r="R819" s="15">
        <f t="shared" ref="R819" si="424">SUM(R782:R818)</f>
        <v>43.081166666666661</v>
      </c>
      <c r="S819" s="15">
        <f t="shared" ref="S819" si="425">SUM(S782:S818)</f>
        <v>253.67399999999998</v>
      </c>
      <c r="T819" s="15">
        <f t="shared" ref="T819" si="426">SUM(T782:T818)</f>
        <v>345.14100000000002</v>
      </c>
      <c r="U819" s="15">
        <f t="shared" ref="U819" si="427">SUM(U782:U818)</f>
        <v>454.24933333333331</v>
      </c>
      <c r="V819" s="15">
        <f t="shared" ref="V819" si="428">SUM(V782:V818)</f>
        <v>245.23600000000002</v>
      </c>
      <c r="W819" s="15">
        <f t="shared" ref="W819" si="429">SUM(W782:W818)</f>
        <v>645.85383333333334</v>
      </c>
      <c r="X819" s="15">
        <f t="shared" ref="X819" si="430">SUM(X782:X818)</f>
        <v>44.315166666666656</v>
      </c>
      <c r="Y819" s="15">
        <f t="shared" ref="Y819" si="431">SUM(Y782:Y818)</f>
        <v>0</v>
      </c>
      <c r="Z819" s="15">
        <f t="shared" ref="Z819" si="432">SUM(Z782:Z818)</f>
        <v>0</v>
      </c>
      <c r="AA819" s="15">
        <f t="shared" ref="AA819" si="433">SUM(AA782:AA818)</f>
        <v>0</v>
      </c>
      <c r="AB819" s="15">
        <f t="shared" ref="AB819" si="434">SUM(AB782:AB818)</f>
        <v>0</v>
      </c>
      <c r="AC819" s="249">
        <f>SUM(AC782:AE818)</f>
        <v>2031.5505000000003</v>
      </c>
      <c r="AD819" s="249"/>
      <c r="AE819" s="249"/>
    </row>
    <row r="822" spans="2:31" x14ac:dyDescent="0.3">
      <c r="B822" s="8">
        <f>'Resumen-Mensual'!$X$22</f>
        <v>44581</v>
      </c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4"/>
      <c r="AD822" s="4"/>
      <c r="AE822" s="4"/>
    </row>
    <row r="823" spans="2:31" x14ac:dyDescent="0.3">
      <c r="B823" s="8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4"/>
      <c r="AD823" s="4"/>
      <c r="AE823" s="4"/>
    </row>
    <row r="824" spans="2:31" x14ac:dyDescent="0.3">
      <c r="B824" s="9" t="s">
        <v>81</v>
      </c>
      <c r="C824" s="10"/>
      <c r="D824" s="10"/>
      <c r="E824" s="11">
        <v>1</v>
      </c>
      <c r="F824" s="11">
        <v>2</v>
      </c>
      <c r="G824" s="11">
        <v>3</v>
      </c>
      <c r="H824" s="11">
        <v>4</v>
      </c>
      <c r="I824" s="11">
        <v>5</v>
      </c>
      <c r="J824" s="11">
        <v>6</v>
      </c>
      <c r="K824" s="11">
        <v>7</v>
      </c>
      <c r="L824" s="11">
        <v>8</v>
      </c>
      <c r="M824" s="11">
        <v>9</v>
      </c>
      <c r="N824" s="11">
        <v>10</v>
      </c>
      <c r="O824" s="11">
        <v>11</v>
      </c>
      <c r="P824" s="11">
        <v>12</v>
      </c>
      <c r="Q824" s="11">
        <v>13</v>
      </c>
      <c r="R824" s="11">
        <v>14</v>
      </c>
      <c r="S824" s="11">
        <v>15</v>
      </c>
      <c r="T824" s="11">
        <v>16</v>
      </c>
      <c r="U824" s="11">
        <v>17</v>
      </c>
      <c r="V824" s="11">
        <v>18</v>
      </c>
      <c r="W824" s="11">
        <v>19</v>
      </c>
      <c r="X824" s="11">
        <v>20</v>
      </c>
      <c r="Y824" s="11">
        <v>21</v>
      </c>
      <c r="Z824" s="11">
        <v>22</v>
      </c>
      <c r="AA824" s="11">
        <v>23</v>
      </c>
      <c r="AB824" s="11">
        <v>24</v>
      </c>
      <c r="AC824" s="248" t="s">
        <v>2</v>
      </c>
      <c r="AD824" s="248"/>
      <c r="AE824" s="248"/>
    </row>
    <row r="825" spans="2:31" x14ac:dyDescent="0.3">
      <c r="B825" s="245" t="s">
        <v>4</v>
      </c>
      <c r="C825" s="245"/>
      <c r="D825" s="245"/>
      <c r="E825" s="155">
        <v>0</v>
      </c>
      <c r="F825" s="156">
        <v>0</v>
      </c>
      <c r="G825" s="155">
        <v>0</v>
      </c>
      <c r="H825" s="156">
        <v>0</v>
      </c>
      <c r="I825" s="155">
        <v>0</v>
      </c>
      <c r="J825" s="156">
        <v>0</v>
      </c>
      <c r="K825" s="155">
        <v>0</v>
      </c>
      <c r="L825" s="156">
        <v>0</v>
      </c>
      <c r="M825" s="155">
        <v>0</v>
      </c>
      <c r="N825" s="156">
        <v>0</v>
      </c>
      <c r="O825" s="155">
        <v>1.3666666666666667E-2</v>
      </c>
      <c r="P825" s="156">
        <v>0</v>
      </c>
      <c r="Q825" s="155">
        <v>0</v>
      </c>
      <c r="R825" s="156">
        <v>0</v>
      </c>
      <c r="S825" s="155">
        <v>0</v>
      </c>
      <c r="T825" s="156">
        <v>0</v>
      </c>
      <c r="U825" s="155">
        <v>0</v>
      </c>
      <c r="V825" s="156">
        <v>0</v>
      </c>
      <c r="W825" s="155">
        <v>11.023666666666674</v>
      </c>
      <c r="X825" s="156">
        <v>2.6124999999999998</v>
      </c>
      <c r="Y825" s="155">
        <v>0</v>
      </c>
      <c r="Z825" s="156">
        <v>0</v>
      </c>
      <c r="AA825" s="155">
        <v>0</v>
      </c>
      <c r="AB825" s="156">
        <v>0</v>
      </c>
      <c r="AC825" s="238">
        <f>SUM(E825:AB825)</f>
        <v>13.649833333333341</v>
      </c>
      <c r="AD825" s="238"/>
      <c r="AE825" s="238"/>
    </row>
    <row r="826" spans="2:31" x14ac:dyDescent="0.3">
      <c r="B826" s="245" t="s">
        <v>5</v>
      </c>
      <c r="C826" s="245"/>
      <c r="D826" s="245"/>
      <c r="E826" s="154">
        <v>0</v>
      </c>
      <c r="F826" s="157">
        <v>0</v>
      </c>
      <c r="G826" s="154">
        <v>0</v>
      </c>
      <c r="H826" s="157">
        <v>0</v>
      </c>
      <c r="I826" s="154">
        <v>0</v>
      </c>
      <c r="J826" s="157">
        <v>0</v>
      </c>
      <c r="K826" s="154">
        <v>0</v>
      </c>
      <c r="L826" s="157">
        <v>0</v>
      </c>
      <c r="M826" s="154">
        <v>0</v>
      </c>
      <c r="N826" s="157">
        <v>0</v>
      </c>
      <c r="O826" s="154">
        <v>0</v>
      </c>
      <c r="P826" s="157">
        <v>0</v>
      </c>
      <c r="Q826" s="154">
        <v>12.089999999999996</v>
      </c>
      <c r="R826" s="157">
        <v>32.039333333333339</v>
      </c>
      <c r="S826" s="154">
        <v>55.362166666666667</v>
      </c>
      <c r="T826" s="157">
        <v>70.813833333333335</v>
      </c>
      <c r="U826" s="154">
        <v>81.317000000000007</v>
      </c>
      <c r="V826" s="157">
        <v>76.675833333333358</v>
      </c>
      <c r="W826" s="154">
        <v>48.69100000000001</v>
      </c>
      <c r="X826" s="157">
        <v>5.7064999999999992</v>
      </c>
      <c r="Y826" s="154">
        <v>0</v>
      </c>
      <c r="Z826" s="157">
        <v>0</v>
      </c>
      <c r="AA826" s="154">
        <v>0</v>
      </c>
      <c r="AB826" s="157">
        <v>0</v>
      </c>
      <c r="AC826" s="238">
        <f t="shared" ref="AC826:AC861" si="435">SUM(E826:AB826)</f>
        <v>382.69566666666674</v>
      </c>
      <c r="AD826" s="238"/>
      <c r="AE826" s="238"/>
    </row>
    <row r="827" spans="2:31" x14ac:dyDescent="0.3">
      <c r="B827" s="245" t="s">
        <v>6</v>
      </c>
      <c r="C827" s="245"/>
      <c r="D827" s="245"/>
      <c r="E827" s="154">
        <v>0</v>
      </c>
      <c r="F827" s="157">
        <v>0</v>
      </c>
      <c r="G827" s="154">
        <v>0</v>
      </c>
      <c r="H827" s="157">
        <v>0</v>
      </c>
      <c r="I827" s="154">
        <v>0</v>
      </c>
      <c r="J827" s="157">
        <v>0</v>
      </c>
      <c r="K827" s="154">
        <v>0</v>
      </c>
      <c r="L827" s="157">
        <v>0</v>
      </c>
      <c r="M827" s="154">
        <v>0</v>
      </c>
      <c r="N827" s="157">
        <v>0</v>
      </c>
      <c r="O827" s="154">
        <v>0</v>
      </c>
      <c r="P827" s="157">
        <v>0</v>
      </c>
      <c r="Q827" s="154">
        <v>5.6958333333333337</v>
      </c>
      <c r="R827" s="157">
        <v>0</v>
      </c>
      <c r="S827" s="154">
        <v>0</v>
      </c>
      <c r="T827" s="157">
        <v>0</v>
      </c>
      <c r="U827" s="154">
        <v>0</v>
      </c>
      <c r="V827" s="157">
        <v>11.900166666666671</v>
      </c>
      <c r="W827" s="154">
        <v>21.320000000000004</v>
      </c>
      <c r="X827" s="157">
        <v>3.387833333333333</v>
      </c>
      <c r="Y827" s="154">
        <v>0</v>
      </c>
      <c r="Z827" s="157">
        <v>0</v>
      </c>
      <c r="AA827" s="154">
        <v>0</v>
      </c>
      <c r="AB827" s="157">
        <v>0</v>
      </c>
      <c r="AC827" s="238">
        <f t="shared" si="435"/>
        <v>42.303833333333344</v>
      </c>
      <c r="AD827" s="238"/>
      <c r="AE827" s="238"/>
    </row>
    <row r="828" spans="2:31" x14ac:dyDescent="0.3">
      <c r="B828" s="245" t="s">
        <v>91</v>
      </c>
      <c r="C828" s="245"/>
      <c r="D828" s="245"/>
      <c r="E828" s="154">
        <v>0</v>
      </c>
      <c r="F828" s="157">
        <v>0</v>
      </c>
      <c r="G828" s="154">
        <v>0</v>
      </c>
      <c r="H828" s="157">
        <v>0</v>
      </c>
      <c r="I828" s="154">
        <v>0</v>
      </c>
      <c r="J828" s="157">
        <v>0</v>
      </c>
      <c r="K828" s="154">
        <v>0</v>
      </c>
      <c r="L828" s="157">
        <v>0</v>
      </c>
      <c r="M828" s="154">
        <v>0</v>
      </c>
      <c r="N828" s="157">
        <v>0</v>
      </c>
      <c r="O828" s="154">
        <v>0</v>
      </c>
      <c r="P828" s="157">
        <v>0</v>
      </c>
      <c r="Q828" s="154">
        <v>0</v>
      </c>
      <c r="R828" s="157">
        <v>0</v>
      </c>
      <c r="S828" s="154">
        <v>0</v>
      </c>
      <c r="T828" s="157">
        <v>0</v>
      </c>
      <c r="U828" s="154">
        <v>0</v>
      </c>
      <c r="V828" s="157">
        <v>0</v>
      </c>
      <c r="W828" s="154">
        <v>0</v>
      </c>
      <c r="X828" s="157">
        <v>0</v>
      </c>
      <c r="Y828" s="154">
        <v>0</v>
      </c>
      <c r="Z828" s="157">
        <v>0</v>
      </c>
      <c r="AA828" s="154">
        <v>0</v>
      </c>
      <c r="AB828" s="157">
        <v>0</v>
      </c>
      <c r="AC828" s="238">
        <f t="shared" si="435"/>
        <v>0</v>
      </c>
      <c r="AD828" s="238"/>
      <c r="AE828" s="238"/>
    </row>
    <row r="829" spans="2:31" x14ac:dyDescent="0.3">
      <c r="B829" s="245" t="s">
        <v>7</v>
      </c>
      <c r="C829" s="245"/>
      <c r="D829" s="245"/>
      <c r="E829" s="154">
        <v>0</v>
      </c>
      <c r="F829" s="157">
        <v>0</v>
      </c>
      <c r="G829" s="154">
        <v>0</v>
      </c>
      <c r="H829" s="157">
        <v>0</v>
      </c>
      <c r="I829" s="154">
        <v>0</v>
      </c>
      <c r="J829" s="157">
        <v>0</v>
      </c>
      <c r="K829" s="154">
        <v>0</v>
      </c>
      <c r="L829" s="157">
        <v>0</v>
      </c>
      <c r="M829" s="154">
        <v>0</v>
      </c>
      <c r="N829" s="157">
        <v>0</v>
      </c>
      <c r="O829" s="154">
        <v>0</v>
      </c>
      <c r="P829" s="157">
        <v>0</v>
      </c>
      <c r="Q829" s="154">
        <v>12.773000000000001</v>
      </c>
      <c r="R829" s="157">
        <v>0.16849999999999996</v>
      </c>
      <c r="S829" s="154">
        <v>43.065500000000007</v>
      </c>
      <c r="T829" s="157">
        <v>28.456833333333339</v>
      </c>
      <c r="U829" s="154">
        <v>26.53266666666666</v>
      </c>
      <c r="V829" s="157">
        <v>24.966166666666684</v>
      </c>
      <c r="W829" s="154">
        <v>0</v>
      </c>
      <c r="X829" s="157">
        <v>3.3454999999999995</v>
      </c>
      <c r="Y829" s="154">
        <v>0</v>
      </c>
      <c r="Z829" s="157">
        <v>0</v>
      </c>
      <c r="AA829" s="154">
        <v>0</v>
      </c>
      <c r="AB829" s="157">
        <v>0</v>
      </c>
      <c r="AC829" s="238">
        <f t="shared" si="435"/>
        <v>139.30816666666666</v>
      </c>
      <c r="AD829" s="238"/>
      <c r="AE829" s="238"/>
    </row>
    <row r="830" spans="2:31" x14ac:dyDescent="0.3">
      <c r="B830" s="245" t="s">
        <v>8</v>
      </c>
      <c r="C830" s="245"/>
      <c r="D830" s="245"/>
      <c r="E830" s="154">
        <v>0</v>
      </c>
      <c r="F830" s="157">
        <v>0</v>
      </c>
      <c r="G830" s="154">
        <v>0</v>
      </c>
      <c r="H830" s="157">
        <v>0</v>
      </c>
      <c r="I830" s="154">
        <v>0</v>
      </c>
      <c r="J830" s="157">
        <v>0</v>
      </c>
      <c r="K830" s="154">
        <v>0</v>
      </c>
      <c r="L830" s="157">
        <v>0</v>
      </c>
      <c r="M830" s="154">
        <v>0</v>
      </c>
      <c r="N830" s="157">
        <v>0</v>
      </c>
      <c r="O830" s="154">
        <v>9.4999999999999987E-2</v>
      </c>
      <c r="P830" s="157">
        <v>2.7084999999999959</v>
      </c>
      <c r="Q830" s="154">
        <v>2.3396666666666674</v>
      </c>
      <c r="R830" s="157">
        <v>14.960666666666668</v>
      </c>
      <c r="S830" s="154">
        <v>27.033333333333339</v>
      </c>
      <c r="T830" s="157">
        <v>30.049999999999969</v>
      </c>
      <c r="U830" s="154">
        <v>36.25</v>
      </c>
      <c r="V830" s="157">
        <v>35.650000000000041</v>
      </c>
      <c r="W830" s="154">
        <v>21.866666666666664</v>
      </c>
      <c r="X830" s="157">
        <v>0</v>
      </c>
      <c r="Y830" s="154">
        <v>0</v>
      </c>
      <c r="Z830" s="157">
        <v>0</v>
      </c>
      <c r="AA830" s="154">
        <v>0</v>
      </c>
      <c r="AB830" s="157">
        <v>0</v>
      </c>
      <c r="AC830" s="238">
        <f t="shared" si="435"/>
        <v>170.95383333333336</v>
      </c>
      <c r="AD830" s="238"/>
      <c r="AE830" s="238"/>
    </row>
    <row r="831" spans="2:31" x14ac:dyDescent="0.3">
      <c r="B831" s="245" t="s">
        <v>9</v>
      </c>
      <c r="C831" s="245"/>
      <c r="D831" s="245"/>
      <c r="E831" s="154">
        <v>0</v>
      </c>
      <c r="F831" s="157">
        <v>0</v>
      </c>
      <c r="G831" s="154">
        <v>0</v>
      </c>
      <c r="H831" s="157">
        <v>0</v>
      </c>
      <c r="I831" s="154">
        <v>0</v>
      </c>
      <c r="J831" s="157">
        <v>0</v>
      </c>
      <c r="K831" s="154">
        <v>0</v>
      </c>
      <c r="L831" s="157">
        <v>0</v>
      </c>
      <c r="M831" s="154">
        <v>0</v>
      </c>
      <c r="N831" s="157">
        <v>0</v>
      </c>
      <c r="O831" s="154">
        <v>3.7436666666666651</v>
      </c>
      <c r="P831" s="157">
        <v>20.312833333333341</v>
      </c>
      <c r="Q831" s="154">
        <v>16.456666666666667</v>
      </c>
      <c r="R831" s="157">
        <v>5.8198333333333334</v>
      </c>
      <c r="S831" s="154">
        <v>19.050666666666679</v>
      </c>
      <c r="T831" s="157">
        <v>31.093000000000007</v>
      </c>
      <c r="U831" s="154">
        <v>42.022499999999994</v>
      </c>
      <c r="V831" s="157">
        <v>47.930166666666658</v>
      </c>
      <c r="W831" s="154">
        <v>0</v>
      </c>
      <c r="X831" s="157">
        <v>0</v>
      </c>
      <c r="Y831" s="154">
        <v>0</v>
      </c>
      <c r="Z831" s="157">
        <v>0</v>
      </c>
      <c r="AA831" s="154">
        <v>0</v>
      </c>
      <c r="AB831" s="157">
        <v>0</v>
      </c>
      <c r="AC831" s="238">
        <f t="shared" si="435"/>
        <v>186.42933333333335</v>
      </c>
      <c r="AD831" s="238"/>
      <c r="AE831" s="238"/>
    </row>
    <row r="832" spans="2:31" x14ac:dyDescent="0.3">
      <c r="B832" s="245" t="s">
        <v>10</v>
      </c>
      <c r="C832" s="245"/>
      <c r="D832" s="245"/>
      <c r="E832" s="154">
        <v>0</v>
      </c>
      <c r="F832" s="157">
        <v>0</v>
      </c>
      <c r="G832" s="154">
        <v>0</v>
      </c>
      <c r="H832" s="157">
        <v>0</v>
      </c>
      <c r="I832" s="154">
        <v>0</v>
      </c>
      <c r="J832" s="157">
        <v>0</v>
      </c>
      <c r="K832" s="154">
        <v>0</v>
      </c>
      <c r="L832" s="157">
        <v>0</v>
      </c>
      <c r="M832" s="154">
        <v>0</v>
      </c>
      <c r="N832" s="157">
        <v>0</v>
      </c>
      <c r="O832" s="154">
        <v>0</v>
      </c>
      <c r="P832" s="157">
        <v>10.837500000000004</v>
      </c>
      <c r="Q832" s="154">
        <v>9.921166666666668</v>
      </c>
      <c r="R832" s="157">
        <v>8.527333333333333</v>
      </c>
      <c r="S832" s="154">
        <v>24.300166666666652</v>
      </c>
      <c r="T832" s="157">
        <v>35.652666666666661</v>
      </c>
      <c r="U832" s="154">
        <v>35.638999999999996</v>
      </c>
      <c r="V832" s="157">
        <v>35.682333333333332</v>
      </c>
      <c r="W832" s="154">
        <v>29.175000000000015</v>
      </c>
      <c r="X832" s="157">
        <v>0</v>
      </c>
      <c r="Y832" s="154">
        <v>0</v>
      </c>
      <c r="Z832" s="157">
        <v>0</v>
      </c>
      <c r="AA832" s="154">
        <v>0</v>
      </c>
      <c r="AB832" s="157">
        <v>0</v>
      </c>
      <c r="AC832" s="238">
        <f t="shared" si="435"/>
        <v>189.73516666666666</v>
      </c>
      <c r="AD832" s="238"/>
      <c r="AE832" s="238"/>
    </row>
    <row r="833" spans="2:31" x14ac:dyDescent="0.3">
      <c r="B833" s="245" t="s">
        <v>11</v>
      </c>
      <c r="C833" s="245"/>
      <c r="D833" s="245"/>
      <c r="E833" s="154">
        <v>0</v>
      </c>
      <c r="F833" s="157">
        <v>0</v>
      </c>
      <c r="G833" s="154">
        <v>0</v>
      </c>
      <c r="H833" s="157">
        <v>0</v>
      </c>
      <c r="I833" s="154">
        <v>0</v>
      </c>
      <c r="J833" s="157">
        <v>0</v>
      </c>
      <c r="K833" s="154">
        <v>0</v>
      </c>
      <c r="L833" s="157">
        <v>0</v>
      </c>
      <c r="M833" s="154">
        <v>0</v>
      </c>
      <c r="N833" s="157">
        <v>0</v>
      </c>
      <c r="O833" s="154">
        <v>0.49350000000000033</v>
      </c>
      <c r="P833" s="157">
        <v>33.401500000000013</v>
      </c>
      <c r="Q833" s="154">
        <v>28.313000000000006</v>
      </c>
      <c r="R833" s="157">
        <v>50.192166666666679</v>
      </c>
      <c r="S833" s="154">
        <v>74.786500000000004</v>
      </c>
      <c r="T833" s="157">
        <v>101.80750000000002</v>
      </c>
      <c r="U833" s="154">
        <v>126.29266666666666</v>
      </c>
      <c r="V833" s="157">
        <v>142.62483333333333</v>
      </c>
      <c r="W833" s="154">
        <v>142.13833333333335</v>
      </c>
      <c r="X833" s="157">
        <v>19.023166666666668</v>
      </c>
      <c r="Y833" s="154">
        <v>0</v>
      </c>
      <c r="Z833" s="157">
        <v>0</v>
      </c>
      <c r="AA833" s="154">
        <v>0</v>
      </c>
      <c r="AB833" s="157">
        <v>0</v>
      </c>
      <c r="AC833" s="238">
        <f t="shared" si="435"/>
        <v>719.07316666666679</v>
      </c>
      <c r="AD833" s="238"/>
      <c r="AE833" s="238"/>
    </row>
    <row r="834" spans="2:31" x14ac:dyDescent="0.3">
      <c r="B834" s="245" t="s">
        <v>12</v>
      </c>
      <c r="C834" s="245"/>
      <c r="D834" s="245"/>
      <c r="E834" s="154">
        <v>0</v>
      </c>
      <c r="F834" s="157">
        <v>0</v>
      </c>
      <c r="G834" s="154">
        <v>0</v>
      </c>
      <c r="H834" s="157">
        <v>0</v>
      </c>
      <c r="I834" s="154">
        <v>0</v>
      </c>
      <c r="J834" s="157">
        <v>0</v>
      </c>
      <c r="K834" s="154">
        <v>0</v>
      </c>
      <c r="L834" s="157">
        <v>0</v>
      </c>
      <c r="M834" s="154">
        <v>0</v>
      </c>
      <c r="N834" s="157">
        <v>0</v>
      </c>
      <c r="O834" s="154">
        <v>0</v>
      </c>
      <c r="P834" s="157">
        <v>19.069833333333332</v>
      </c>
      <c r="Q834" s="154">
        <v>18.023666666666667</v>
      </c>
      <c r="R834" s="157">
        <v>30.842833333333335</v>
      </c>
      <c r="S834" s="154">
        <v>52.052833333333361</v>
      </c>
      <c r="T834" s="157">
        <v>65.845499999999987</v>
      </c>
      <c r="U834" s="154">
        <v>73.808666666666639</v>
      </c>
      <c r="V834" s="157">
        <v>79.093833333333322</v>
      </c>
      <c r="W834" s="154">
        <v>74.999333333333297</v>
      </c>
      <c r="X834" s="157">
        <v>5.985666666666666</v>
      </c>
      <c r="Y834" s="154">
        <v>0</v>
      </c>
      <c r="Z834" s="157">
        <v>0</v>
      </c>
      <c r="AA834" s="154">
        <v>0</v>
      </c>
      <c r="AB834" s="157">
        <v>0</v>
      </c>
      <c r="AC834" s="238">
        <f t="shared" si="435"/>
        <v>419.72216666666662</v>
      </c>
      <c r="AD834" s="238"/>
      <c r="AE834" s="238"/>
    </row>
    <row r="835" spans="2:31" x14ac:dyDescent="0.3">
      <c r="B835" s="245" t="s">
        <v>13</v>
      </c>
      <c r="C835" s="245"/>
      <c r="D835" s="245"/>
      <c r="E835" s="154">
        <v>0</v>
      </c>
      <c r="F835" s="157">
        <v>0</v>
      </c>
      <c r="G835" s="154">
        <v>0</v>
      </c>
      <c r="H835" s="157">
        <v>0</v>
      </c>
      <c r="I835" s="154">
        <v>0</v>
      </c>
      <c r="J835" s="157">
        <v>0</v>
      </c>
      <c r="K835" s="154">
        <v>0</v>
      </c>
      <c r="L835" s="157">
        <v>0</v>
      </c>
      <c r="M835" s="154">
        <v>0</v>
      </c>
      <c r="N835" s="157">
        <v>0</v>
      </c>
      <c r="O835" s="154">
        <v>2.4553333333333343</v>
      </c>
      <c r="P835" s="157">
        <v>19.308999999999994</v>
      </c>
      <c r="Q835" s="154">
        <v>0</v>
      </c>
      <c r="R835" s="157">
        <v>13.030166666666661</v>
      </c>
      <c r="S835" s="154">
        <v>26.608000000000008</v>
      </c>
      <c r="T835" s="157">
        <v>31.262666666666664</v>
      </c>
      <c r="U835" s="154">
        <v>27.15216666666667</v>
      </c>
      <c r="V835" s="157">
        <v>52.461166666666678</v>
      </c>
      <c r="W835" s="154">
        <v>39.346333333333341</v>
      </c>
      <c r="X835" s="157">
        <v>0</v>
      </c>
      <c r="Y835" s="154">
        <v>0</v>
      </c>
      <c r="Z835" s="157">
        <v>0</v>
      </c>
      <c r="AA835" s="154">
        <v>0</v>
      </c>
      <c r="AB835" s="157">
        <v>0</v>
      </c>
      <c r="AC835" s="238">
        <f t="shared" si="435"/>
        <v>211.62483333333336</v>
      </c>
      <c r="AD835" s="238"/>
      <c r="AE835" s="238"/>
    </row>
    <row r="836" spans="2:31" x14ac:dyDescent="0.3">
      <c r="B836" s="245" t="s">
        <v>14</v>
      </c>
      <c r="C836" s="245"/>
      <c r="D836" s="245"/>
      <c r="E836" s="154">
        <v>0</v>
      </c>
      <c r="F836" s="157">
        <v>0</v>
      </c>
      <c r="G836" s="154">
        <v>0</v>
      </c>
      <c r="H836" s="157">
        <v>0</v>
      </c>
      <c r="I836" s="154">
        <v>0</v>
      </c>
      <c r="J836" s="157">
        <v>0</v>
      </c>
      <c r="K836" s="154">
        <v>0</v>
      </c>
      <c r="L836" s="157">
        <v>0</v>
      </c>
      <c r="M836" s="154">
        <v>0</v>
      </c>
      <c r="N836" s="157">
        <v>0</v>
      </c>
      <c r="O836" s="154">
        <v>0</v>
      </c>
      <c r="P836" s="157">
        <v>0</v>
      </c>
      <c r="Q836" s="154">
        <v>0.85000000000000087</v>
      </c>
      <c r="R836" s="157">
        <v>1.75</v>
      </c>
      <c r="S836" s="154">
        <v>1.6500000000000015</v>
      </c>
      <c r="T836" s="157">
        <v>0</v>
      </c>
      <c r="U836" s="154">
        <v>0</v>
      </c>
      <c r="V836" s="157">
        <v>1.0499999999999989</v>
      </c>
      <c r="W836" s="154">
        <v>0.95000000000000095</v>
      </c>
      <c r="X836" s="157">
        <v>0.26583333333333331</v>
      </c>
      <c r="Y836" s="154">
        <v>0</v>
      </c>
      <c r="Z836" s="157">
        <v>0</v>
      </c>
      <c r="AA836" s="154">
        <v>0</v>
      </c>
      <c r="AB836" s="157">
        <v>0</v>
      </c>
      <c r="AC836" s="238">
        <f t="shared" si="435"/>
        <v>6.5158333333333358</v>
      </c>
      <c r="AD836" s="238"/>
      <c r="AE836" s="238"/>
    </row>
    <row r="837" spans="2:31" x14ac:dyDescent="0.3">
      <c r="B837" s="245" t="s">
        <v>15</v>
      </c>
      <c r="C837" s="245"/>
      <c r="D837" s="245"/>
      <c r="E837" s="154">
        <v>0</v>
      </c>
      <c r="F837" s="157">
        <v>0</v>
      </c>
      <c r="G837" s="154">
        <v>0</v>
      </c>
      <c r="H837" s="157">
        <v>0</v>
      </c>
      <c r="I837" s="154">
        <v>0</v>
      </c>
      <c r="J837" s="157">
        <v>0</v>
      </c>
      <c r="K837" s="154">
        <v>0</v>
      </c>
      <c r="L837" s="157">
        <v>0</v>
      </c>
      <c r="M837" s="154">
        <v>0</v>
      </c>
      <c r="N837" s="157">
        <v>0</v>
      </c>
      <c r="O837" s="154">
        <v>0</v>
      </c>
      <c r="P837" s="157">
        <v>0</v>
      </c>
      <c r="Q837" s="154">
        <v>0</v>
      </c>
      <c r="R837" s="157">
        <v>0</v>
      </c>
      <c r="S837" s="154">
        <v>0</v>
      </c>
      <c r="T837" s="157">
        <v>0</v>
      </c>
      <c r="U837" s="154">
        <v>0</v>
      </c>
      <c r="V837" s="157">
        <v>0</v>
      </c>
      <c r="W837" s="154">
        <v>0</v>
      </c>
      <c r="X837" s="157">
        <v>0</v>
      </c>
      <c r="Y837" s="154">
        <v>0</v>
      </c>
      <c r="Z837" s="157">
        <v>0</v>
      </c>
      <c r="AA837" s="154">
        <v>0</v>
      </c>
      <c r="AB837" s="157">
        <v>0</v>
      </c>
      <c r="AC837" s="238">
        <f t="shared" si="435"/>
        <v>0</v>
      </c>
      <c r="AD837" s="238"/>
      <c r="AE837" s="238"/>
    </row>
    <row r="838" spans="2:31" x14ac:dyDescent="0.3">
      <c r="B838" s="245" t="s">
        <v>16</v>
      </c>
      <c r="C838" s="245"/>
      <c r="D838" s="245"/>
      <c r="E838" s="154">
        <v>0</v>
      </c>
      <c r="F838" s="157">
        <v>0</v>
      </c>
      <c r="G838" s="154">
        <v>0</v>
      </c>
      <c r="H838" s="157">
        <v>0</v>
      </c>
      <c r="I838" s="154">
        <v>0</v>
      </c>
      <c r="J838" s="157">
        <v>0</v>
      </c>
      <c r="K838" s="154">
        <v>0</v>
      </c>
      <c r="L838" s="157">
        <v>0</v>
      </c>
      <c r="M838" s="154">
        <v>0</v>
      </c>
      <c r="N838" s="157">
        <v>0</v>
      </c>
      <c r="O838" s="154">
        <v>0</v>
      </c>
      <c r="P838" s="157">
        <v>1.4748333333333348</v>
      </c>
      <c r="Q838" s="154">
        <v>0</v>
      </c>
      <c r="R838" s="157">
        <v>0</v>
      </c>
      <c r="S838" s="154">
        <v>0</v>
      </c>
      <c r="T838" s="157">
        <v>0</v>
      </c>
      <c r="U838" s="154">
        <v>0</v>
      </c>
      <c r="V838" s="157">
        <v>0</v>
      </c>
      <c r="W838" s="154">
        <v>0</v>
      </c>
      <c r="X838" s="157">
        <v>0</v>
      </c>
      <c r="Y838" s="154">
        <v>0</v>
      </c>
      <c r="Z838" s="157">
        <v>0</v>
      </c>
      <c r="AA838" s="154">
        <v>0</v>
      </c>
      <c r="AB838" s="157">
        <v>0</v>
      </c>
      <c r="AC838" s="238">
        <f t="shared" si="435"/>
        <v>1.4748333333333348</v>
      </c>
      <c r="AD838" s="238"/>
      <c r="AE838" s="238"/>
    </row>
    <row r="839" spans="2:31" x14ac:dyDescent="0.3">
      <c r="B839" s="245" t="s">
        <v>17</v>
      </c>
      <c r="C839" s="245"/>
      <c r="D839" s="245"/>
      <c r="E839" s="154">
        <v>0</v>
      </c>
      <c r="F839" s="157">
        <v>0</v>
      </c>
      <c r="G839" s="154">
        <v>0</v>
      </c>
      <c r="H839" s="157">
        <v>0</v>
      </c>
      <c r="I839" s="154">
        <v>0</v>
      </c>
      <c r="J839" s="157">
        <v>0</v>
      </c>
      <c r="K839" s="154">
        <v>0</v>
      </c>
      <c r="L839" s="157">
        <v>0</v>
      </c>
      <c r="M839" s="154">
        <v>0</v>
      </c>
      <c r="N839" s="157">
        <v>0</v>
      </c>
      <c r="O839" s="154">
        <v>0</v>
      </c>
      <c r="P839" s="157">
        <v>1.6986666666666645</v>
      </c>
      <c r="Q839" s="154">
        <v>16.269666666666662</v>
      </c>
      <c r="R839" s="157">
        <v>0</v>
      </c>
      <c r="S839" s="154">
        <v>0</v>
      </c>
      <c r="T839" s="157">
        <v>0</v>
      </c>
      <c r="U839" s="154">
        <v>0</v>
      </c>
      <c r="V839" s="157">
        <v>0</v>
      </c>
      <c r="W839" s="154">
        <v>0</v>
      </c>
      <c r="X839" s="157">
        <v>5.3563333333333345</v>
      </c>
      <c r="Y839" s="154">
        <v>0</v>
      </c>
      <c r="Z839" s="157">
        <v>0</v>
      </c>
      <c r="AA839" s="154">
        <v>0</v>
      </c>
      <c r="AB839" s="157">
        <v>0</v>
      </c>
      <c r="AC839" s="238">
        <f t="shared" si="435"/>
        <v>23.324666666666662</v>
      </c>
      <c r="AD839" s="238"/>
      <c r="AE839" s="238"/>
    </row>
    <row r="840" spans="2:31" x14ac:dyDescent="0.3">
      <c r="B840" s="245" t="s">
        <v>18</v>
      </c>
      <c r="C840" s="245"/>
      <c r="D840" s="245"/>
      <c r="E840" s="154">
        <v>0</v>
      </c>
      <c r="F840" s="157">
        <v>0</v>
      </c>
      <c r="G840" s="154">
        <v>0</v>
      </c>
      <c r="H840" s="157">
        <v>0</v>
      </c>
      <c r="I840" s="154">
        <v>0</v>
      </c>
      <c r="J840" s="157">
        <v>0</v>
      </c>
      <c r="K840" s="154">
        <v>0</v>
      </c>
      <c r="L840" s="157">
        <v>0</v>
      </c>
      <c r="M840" s="154">
        <v>0</v>
      </c>
      <c r="N840" s="157">
        <v>0</v>
      </c>
      <c r="O840" s="154">
        <v>0</v>
      </c>
      <c r="P840" s="157">
        <v>0</v>
      </c>
      <c r="Q840" s="154">
        <v>0</v>
      </c>
      <c r="R840" s="157">
        <v>0</v>
      </c>
      <c r="S840" s="154">
        <v>0</v>
      </c>
      <c r="T840" s="157">
        <v>0</v>
      </c>
      <c r="U840" s="154">
        <v>0</v>
      </c>
      <c r="V840" s="157">
        <v>0</v>
      </c>
      <c r="W840" s="154">
        <v>0</v>
      </c>
      <c r="X840" s="157">
        <v>0</v>
      </c>
      <c r="Y840" s="154">
        <v>0</v>
      </c>
      <c r="Z840" s="157">
        <v>0</v>
      </c>
      <c r="AA840" s="154">
        <v>0</v>
      </c>
      <c r="AB840" s="157">
        <v>0</v>
      </c>
      <c r="AC840" s="238">
        <f t="shared" si="435"/>
        <v>0</v>
      </c>
      <c r="AD840" s="238"/>
      <c r="AE840" s="238"/>
    </row>
    <row r="841" spans="2:31" x14ac:dyDescent="0.3">
      <c r="B841" s="245" t="s">
        <v>19</v>
      </c>
      <c r="C841" s="245"/>
      <c r="D841" s="245"/>
      <c r="E841" s="154">
        <v>0</v>
      </c>
      <c r="F841" s="157">
        <v>0</v>
      </c>
      <c r="G841" s="154">
        <v>0</v>
      </c>
      <c r="H841" s="157">
        <v>0</v>
      </c>
      <c r="I841" s="154">
        <v>0</v>
      </c>
      <c r="J841" s="157">
        <v>0</v>
      </c>
      <c r="K841" s="154">
        <v>0</v>
      </c>
      <c r="L841" s="157">
        <v>0</v>
      </c>
      <c r="M841" s="154">
        <v>0</v>
      </c>
      <c r="N841" s="157">
        <v>0</v>
      </c>
      <c r="O841" s="154">
        <v>0</v>
      </c>
      <c r="P841" s="157">
        <v>10.930000000000017</v>
      </c>
      <c r="Q841" s="154">
        <v>0.95533333333333414</v>
      </c>
      <c r="R841" s="157">
        <v>0</v>
      </c>
      <c r="S841" s="154">
        <v>0</v>
      </c>
      <c r="T841" s="157">
        <v>0</v>
      </c>
      <c r="U841" s="154">
        <v>0</v>
      </c>
      <c r="V841" s="157">
        <v>0</v>
      </c>
      <c r="W841" s="154">
        <v>2.8031666666666673</v>
      </c>
      <c r="X841" s="157">
        <v>3.3333333333333808E-3</v>
      </c>
      <c r="Y841" s="154">
        <v>0</v>
      </c>
      <c r="Z841" s="157">
        <v>0</v>
      </c>
      <c r="AA841" s="154">
        <v>0</v>
      </c>
      <c r="AB841" s="157">
        <v>0</v>
      </c>
      <c r="AC841" s="238">
        <f t="shared" si="435"/>
        <v>14.691833333333353</v>
      </c>
      <c r="AD841" s="238"/>
      <c r="AE841" s="238"/>
    </row>
    <row r="842" spans="2:31" x14ac:dyDescent="0.3">
      <c r="B842" s="245" t="s">
        <v>20</v>
      </c>
      <c r="C842" s="245"/>
      <c r="D842" s="245"/>
      <c r="E842" s="154">
        <v>0</v>
      </c>
      <c r="F842" s="157">
        <v>0</v>
      </c>
      <c r="G842" s="154">
        <v>0</v>
      </c>
      <c r="H842" s="157">
        <v>0</v>
      </c>
      <c r="I842" s="154">
        <v>0</v>
      </c>
      <c r="J842" s="157">
        <v>0</v>
      </c>
      <c r="K842" s="154">
        <v>0</v>
      </c>
      <c r="L842" s="157">
        <v>0</v>
      </c>
      <c r="M842" s="154">
        <v>0</v>
      </c>
      <c r="N842" s="157">
        <v>0</v>
      </c>
      <c r="O842" s="154">
        <v>6.3524999999999974</v>
      </c>
      <c r="P842" s="157">
        <v>27.910000000000018</v>
      </c>
      <c r="Q842" s="154">
        <v>29.410000000000021</v>
      </c>
      <c r="R842" s="157">
        <v>30.80999999999996</v>
      </c>
      <c r="S842" s="154">
        <v>30.60999999999996</v>
      </c>
      <c r="T842" s="157">
        <v>32.410000000000025</v>
      </c>
      <c r="U842" s="154">
        <v>33.01</v>
      </c>
      <c r="V842" s="157">
        <v>33.710000000000022</v>
      </c>
      <c r="W842" s="154">
        <v>34.01</v>
      </c>
      <c r="X842" s="157">
        <v>5.5201666666666682</v>
      </c>
      <c r="Y842" s="154">
        <v>0</v>
      </c>
      <c r="Z842" s="157">
        <v>0</v>
      </c>
      <c r="AA842" s="154">
        <v>0</v>
      </c>
      <c r="AB842" s="157">
        <v>0</v>
      </c>
      <c r="AC842" s="238">
        <f t="shared" si="435"/>
        <v>263.7526666666667</v>
      </c>
      <c r="AD842" s="238"/>
      <c r="AE842" s="238"/>
    </row>
    <row r="843" spans="2:31" x14ac:dyDescent="0.3">
      <c r="B843" s="245" t="s">
        <v>21</v>
      </c>
      <c r="C843" s="245"/>
      <c r="D843" s="245"/>
      <c r="E843" s="154">
        <v>0</v>
      </c>
      <c r="F843" s="157">
        <v>0</v>
      </c>
      <c r="G843" s="154">
        <v>0</v>
      </c>
      <c r="H843" s="157">
        <v>0</v>
      </c>
      <c r="I843" s="154">
        <v>0</v>
      </c>
      <c r="J843" s="157">
        <v>0</v>
      </c>
      <c r="K843" s="154">
        <v>0</v>
      </c>
      <c r="L843" s="157">
        <v>0</v>
      </c>
      <c r="M843" s="154">
        <v>0</v>
      </c>
      <c r="N843" s="157">
        <v>0</v>
      </c>
      <c r="O843" s="154">
        <v>0</v>
      </c>
      <c r="P843" s="157">
        <v>0</v>
      </c>
      <c r="Q843" s="154">
        <v>4.1499999999999977</v>
      </c>
      <c r="R843" s="157">
        <v>6.6559999999999979</v>
      </c>
      <c r="S843" s="154">
        <v>7.4123333333333328</v>
      </c>
      <c r="T843" s="157">
        <v>7.7884999999999964</v>
      </c>
      <c r="U843" s="154">
        <v>8.0508333333333333</v>
      </c>
      <c r="V843" s="157">
        <v>10.744000000000003</v>
      </c>
      <c r="W843" s="154">
        <v>15.634833333333336</v>
      </c>
      <c r="X843" s="157">
        <v>1.483333333333358E-2</v>
      </c>
      <c r="Y843" s="154">
        <v>0</v>
      </c>
      <c r="Z843" s="157">
        <v>0</v>
      </c>
      <c r="AA843" s="154">
        <v>0</v>
      </c>
      <c r="AB843" s="157">
        <v>0</v>
      </c>
      <c r="AC843" s="238">
        <f t="shared" si="435"/>
        <v>60.451333333333331</v>
      </c>
      <c r="AD843" s="238"/>
      <c r="AE843" s="238"/>
    </row>
    <row r="844" spans="2:31" x14ac:dyDescent="0.3">
      <c r="B844" s="245" t="s">
        <v>22</v>
      </c>
      <c r="C844" s="245"/>
      <c r="D844" s="245"/>
      <c r="E844" s="154">
        <v>0</v>
      </c>
      <c r="F844" s="157">
        <v>0</v>
      </c>
      <c r="G844" s="154">
        <v>0</v>
      </c>
      <c r="H844" s="157">
        <v>0</v>
      </c>
      <c r="I844" s="154">
        <v>0</v>
      </c>
      <c r="J844" s="157">
        <v>0</v>
      </c>
      <c r="K844" s="154">
        <v>0</v>
      </c>
      <c r="L844" s="157">
        <v>0</v>
      </c>
      <c r="M844" s="154">
        <v>0</v>
      </c>
      <c r="N844" s="157">
        <v>0</v>
      </c>
      <c r="O844" s="154">
        <v>0</v>
      </c>
      <c r="P844" s="157">
        <v>0</v>
      </c>
      <c r="Q844" s="154">
        <v>0</v>
      </c>
      <c r="R844" s="157">
        <v>9.4999999999999755E-3</v>
      </c>
      <c r="S844" s="154">
        <v>1.733333333333326E-2</v>
      </c>
      <c r="T844" s="157">
        <v>0.82299999999999995</v>
      </c>
      <c r="U844" s="154">
        <v>0.41199999999999987</v>
      </c>
      <c r="V844" s="157">
        <v>1.8499999999999992E-2</v>
      </c>
      <c r="W844" s="154">
        <v>3.1000000000000021E-2</v>
      </c>
      <c r="X844" s="157">
        <v>4.3833333333333432E-2</v>
      </c>
      <c r="Y844" s="154">
        <v>0</v>
      </c>
      <c r="Z844" s="157">
        <v>0</v>
      </c>
      <c r="AA844" s="154">
        <v>0</v>
      </c>
      <c r="AB844" s="157">
        <v>0</v>
      </c>
      <c r="AC844" s="238">
        <f t="shared" si="435"/>
        <v>1.3551666666666664</v>
      </c>
      <c r="AD844" s="238"/>
      <c r="AE844" s="238"/>
    </row>
    <row r="845" spans="2:31" x14ac:dyDescent="0.3">
      <c r="B845" s="245" t="s">
        <v>23</v>
      </c>
      <c r="C845" s="245"/>
      <c r="D845" s="245"/>
      <c r="E845" s="154">
        <v>0</v>
      </c>
      <c r="F845" s="157">
        <v>0</v>
      </c>
      <c r="G845" s="154">
        <v>0</v>
      </c>
      <c r="H845" s="157">
        <v>0</v>
      </c>
      <c r="I845" s="154">
        <v>0</v>
      </c>
      <c r="J845" s="157">
        <v>0</v>
      </c>
      <c r="K845" s="154">
        <v>0</v>
      </c>
      <c r="L845" s="157">
        <v>0</v>
      </c>
      <c r="M845" s="154">
        <v>0</v>
      </c>
      <c r="N845" s="157">
        <v>0</v>
      </c>
      <c r="O845" s="154">
        <v>0</v>
      </c>
      <c r="P845" s="157">
        <v>0</v>
      </c>
      <c r="Q845" s="154">
        <v>0</v>
      </c>
      <c r="R845" s="157">
        <v>6.6666666666665244E-4</v>
      </c>
      <c r="S845" s="154">
        <v>1.4208333333333301</v>
      </c>
      <c r="T845" s="157">
        <v>3.1318333333333337</v>
      </c>
      <c r="U845" s="154">
        <v>4.3278333333333352</v>
      </c>
      <c r="V845" s="157">
        <v>5.2139999999999995</v>
      </c>
      <c r="W845" s="154">
        <v>4.2158333333333342</v>
      </c>
      <c r="X845" s="157">
        <v>0</v>
      </c>
      <c r="Y845" s="154">
        <v>0</v>
      </c>
      <c r="Z845" s="157">
        <v>0</v>
      </c>
      <c r="AA845" s="154">
        <v>0</v>
      </c>
      <c r="AB845" s="157">
        <v>0</v>
      </c>
      <c r="AC845" s="238">
        <f t="shared" si="435"/>
        <v>18.311</v>
      </c>
      <c r="AD845" s="238"/>
      <c r="AE845" s="238"/>
    </row>
    <row r="846" spans="2:31" x14ac:dyDescent="0.3">
      <c r="B846" s="245" t="s">
        <v>24</v>
      </c>
      <c r="C846" s="245"/>
      <c r="D846" s="245"/>
      <c r="E846" s="154">
        <v>0</v>
      </c>
      <c r="F846" s="157">
        <v>0</v>
      </c>
      <c r="G846" s="154">
        <v>0</v>
      </c>
      <c r="H846" s="157">
        <v>0</v>
      </c>
      <c r="I846" s="154">
        <v>0</v>
      </c>
      <c r="J846" s="157">
        <v>0</v>
      </c>
      <c r="K846" s="154">
        <v>0</v>
      </c>
      <c r="L846" s="157">
        <v>0</v>
      </c>
      <c r="M846" s="154">
        <v>0</v>
      </c>
      <c r="N846" s="157">
        <v>0</v>
      </c>
      <c r="O846" s="154">
        <v>0</v>
      </c>
      <c r="P846" s="157">
        <v>0</v>
      </c>
      <c r="Q846" s="154">
        <v>4.4999999999999927E-3</v>
      </c>
      <c r="R846" s="157">
        <v>0</v>
      </c>
      <c r="S846" s="154">
        <v>0.27433333333333337</v>
      </c>
      <c r="T846" s="157">
        <v>0.79116666666666902</v>
      </c>
      <c r="U846" s="154">
        <v>1.2683333333333322</v>
      </c>
      <c r="V846" s="157">
        <v>1.39733333333333</v>
      </c>
      <c r="W846" s="154">
        <v>2.3183333333333342</v>
      </c>
      <c r="X846" s="157">
        <v>6.3333333333332577E-3</v>
      </c>
      <c r="Y846" s="154">
        <v>0</v>
      </c>
      <c r="Z846" s="157">
        <v>0</v>
      </c>
      <c r="AA846" s="154">
        <v>0</v>
      </c>
      <c r="AB846" s="157">
        <v>0</v>
      </c>
      <c r="AC846" s="238">
        <f t="shared" si="435"/>
        <v>6.0603333333333316</v>
      </c>
      <c r="AD846" s="238"/>
      <c r="AE846" s="238"/>
    </row>
    <row r="847" spans="2:31" x14ac:dyDescent="0.3">
      <c r="B847" s="245" t="s">
        <v>25</v>
      </c>
      <c r="C847" s="245"/>
      <c r="D847" s="245"/>
      <c r="E847" s="154">
        <v>0</v>
      </c>
      <c r="F847" s="157">
        <v>0</v>
      </c>
      <c r="G847" s="154">
        <v>0</v>
      </c>
      <c r="H847" s="157">
        <v>0</v>
      </c>
      <c r="I847" s="154">
        <v>0</v>
      </c>
      <c r="J847" s="157">
        <v>0</v>
      </c>
      <c r="K847" s="154">
        <v>0</v>
      </c>
      <c r="L847" s="157">
        <v>0</v>
      </c>
      <c r="M847" s="154">
        <v>0</v>
      </c>
      <c r="N847" s="157">
        <v>0</v>
      </c>
      <c r="O847" s="154">
        <v>2.8280000000000007</v>
      </c>
      <c r="P847" s="157">
        <v>8.2998333333333427</v>
      </c>
      <c r="Q847" s="154">
        <v>5.7403333333333366</v>
      </c>
      <c r="R847" s="157">
        <v>5.1573333333333364</v>
      </c>
      <c r="S847" s="154">
        <v>6.6819999999999986</v>
      </c>
      <c r="T847" s="157">
        <v>9.6440000000000001</v>
      </c>
      <c r="U847" s="154">
        <v>5.3126666666666695</v>
      </c>
      <c r="V847" s="157">
        <v>2.3801666666666672</v>
      </c>
      <c r="W847" s="154">
        <v>0.52499999999999958</v>
      </c>
      <c r="X847" s="157">
        <v>3.1166666666666742E-2</v>
      </c>
      <c r="Y847" s="154">
        <v>0</v>
      </c>
      <c r="Z847" s="157">
        <v>0</v>
      </c>
      <c r="AA847" s="154">
        <v>0</v>
      </c>
      <c r="AB847" s="157">
        <v>0</v>
      </c>
      <c r="AC847" s="238">
        <f t="shared" si="435"/>
        <v>46.600500000000018</v>
      </c>
      <c r="AD847" s="238"/>
      <c r="AE847" s="238"/>
    </row>
    <row r="848" spans="2:31" x14ac:dyDescent="0.3">
      <c r="B848" s="245" t="s">
        <v>26</v>
      </c>
      <c r="C848" s="245"/>
      <c r="D848" s="245"/>
      <c r="E848" s="154">
        <v>0</v>
      </c>
      <c r="F848" s="157">
        <v>0</v>
      </c>
      <c r="G848" s="154">
        <v>0</v>
      </c>
      <c r="H848" s="157">
        <v>0</v>
      </c>
      <c r="I848" s="154">
        <v>0</v>
      </c>
      <c r="J848" s="157">
        <v>0</v>
      </c>
      <c r="K848" s="154">
        <v>0</v>
      </c>
      <c r="L848" s="157">
        <v>0</v>
      </c>
      <c r="M848" s="154">
        <v>0</v>
      </c>
      <c r="N848" s="157">
        <v>0</v>
      </c>
      <c r="O848" s="154">
        <v>0</v>
      </c>
      <c r="P848" s="157">
        <v>0</v>
      </c>
      <c r="Q848" s="154">
        <v>0</v>
      </c>
      <c r="R848" s="157">
        <v>0</v>
      </c>
      <c r="S848" s="154">
        <v>0</v>
      </c>
      <c r="T848" s="157">
        <v>0</v>
      </c>
      <c r="U848" s="154">
        <v>0</v>
      </c>
      <c r="V848" s="157">
        <v>0</v>
      </c>
      <c r="W848" s="154">
        <v>0</v>
      </c>
      <c r="X848" s="157">
        <v>0</v>
      </c>
      <c r="Y848" s="154">
        <v>0</v>
      </c>
      <c r="Z848" s="157">
        <v>0</v>
      </c>
      <c r="AA848" s="154">
        <v>0</v>
      </c>
      <c r="AB848" s="157">
        <v>0</v>
      </c>
      <c r="AC848" s="238">
        <f t="shared" si="435"/>
        <v>0</v>
      </c>
      <c r="AD848" s="238"/>
      <c r="AE848" s="238"/>
    </row>
    <row r="849" spans="2:31" x14ac:dyDescent="0.3">
      <c r="B849" s="245" t="s">
        <v>27</v>
      </c>
      <c r="C849" s="245"/>
      <c r="D849" s="245"/>
      <c r="E849" s="154">
        <v>0</v>
      </c>
      <c r="F849" s="157">
        <v>0</v>
      </c>
      <c r="G849" s="154">
        <v>0</v>
      </c>
      <c r="H849" s="157">
        <v>0</v>
      </c>
      <c r="I849" s="154">
        <v>0</v>
      </c>
      <c r="J849" s="157">
        <v>0</v>
      </c>
      <c r="K849" s="154">
        <v>0</v>
      </c>
      <c r="L849" s="157">
        <v>0</v>
      </c>
      <c r="M849" s="154">
        <v>0</v>
      </c>
      <c r="N849" s="157">
        <v>0</v>
      </c>
      <c r="O849" s="154">
        <v>1.5270000000000004</v>
      </c>
      <c r="P849" s="157">
        <v>3.1811666666666656</v>
      </c>
      <c r="Q849" s="154">
        <v>0.43033333333333329</v>
      </c>
      <c r="R849" s="157">
        <v>0</v>
      </c>
      <c r="S849" s="154">
        <v>0</v>
      </c>
      <c r="T849" s="157">
        <v>0</v>
      </c>
      <c r="U849" s="154">
        <v>0.10350000000000001</v>
      </c>
      <c r="V849" s="157">
        <v>0.13083333333333327</v>
      </c>
      <c r="W849" s="154">
        <v>0</v>
      </c>
      <c r="X849" s="157">
        <v>0.31583333333333358</v>
      </c>
      <c r="Y849" s="154">
        <v>0</v>
      </c>
      <c r="Z849" s="157">
        <v>0</v>
      </c>
      <c r="AA849" s="154">
        <v>0</v>
      </c>
      <c r="AB849" s="157">
        <v>0</v>
      </c>
      <c r="AC849" s="238">
        <f t="shared" si="435"/>
        <v>5.6886666666666672</v>
      </c>
      <c r="AD849" s="238"/>
      <c r="AE849" s="238"/>
    </row>
    <row r="850" spans="2:31" x14ac:dyDescent="0.3">
      <c r="B850" s="245" t="s">
        <v>28</v>
      </c>
      <c r="C850" s="245"/>
      <c r="D850" s="245"/>
      <c r="E850" s="154">
        <v>0</v>
      </c>
      <c r="F850" s="157">
        <v>0</v>
      </c>
      <c r="G850" s="154">
        <v>0</v>
      </c>
      <c r="H850" s="157">
        <v>0</v>
      </c>
      <c r="I850" s="154">
        <v>0</v>
      </c>
      <c r="J850" s="157">
        <v>0</v>
      </c>
      <c r="K850" s="154">
        <v>0</v>
      </c>
      <c r="L850" s="157">
        <v>0</v>
      </c>
      <c r="M850" s="154">
        <v>0</v>
      </c>
      <c r="N850" s="157">
        <v>0</v>
      </c>
      <c r="O850" s="154">
        <v>0.4375</v>
      </c>
      <c r="P850" s="157">
        <v>0</v>
      </c>
      <c r="Q850" s="154">
        <v>0</v>
      </c>
      <c r="R850" s="157">
        <v>0</v>
      </c>
      <c r="S850" s="154">
        <v>0.40516666666666573</v>
      </c>
      <c r="T850" s="157">
        <v>3.2931666666666652</v>
      </c>
      <c r="U850" s="154">
        <v>7.8755000000000015</v>
      </c>
      <c r="V850" s="157">
        <v>9.3453333333333273</v>
      </c>
      <c r="W850" s="154">
        <v>10.215833333333331</v>
      </c>
      <c r="X850" s="157">
        <v>2.8251666666666666</v>
      </c>
      <c r="Y850" s="154">
        <v>0</v>
      </c>
      <c r="Z850" s="157">
        <v>0</v>
      </c>
      <c r="AA850" s="154">
        <v>0</v>
      </c>
      <c r="AB850" s="157">
        <v>0</v>
      </c>
      <c r="AC850" s="238">
        <f t="shared" si="435"/>
        <v>34.397666666666659</v>
      </c>
      <c r="AD850" s="238"/>
      <c r="AE850" s="238"/>
    </row>
    <row r="851" spans="2:31" x14ac:dyDescent="0.3">
      <c r="B851" s="245" t="s">
        <v>92</v>
      </c>
      <c r="C851" s="245"/>
      <c r="D851" s="245"/>
      <c r="E851" s="154">
        <v>0</v>
      </c>
      <c r="F851" s="157">
        <v>0</v>
      </c>
      <c r="G851" s="154">
        <v>0</v>
      </c>
      <c r="H851" s="157">
        <v>0</v>
      </c>
      <c r="I851" s="154">
        <v>0</v>
      </c>
      <c r="J851" s="157">
        <v>0</v>
      </c>
      <c r="K851" s="154">
        <v>0</v>
      </c>
      <c r="L851" s="157">
        <v>0</v>
      </c>
      <c r="M851" s="154">
        <v>0</v>
      </c>
      <c r="N851" s="157">
        <v>0</v>
      </c>
      <c r="O851" s="154">
        <v>0</v>
      </c>
      <c r="P851" s="157">
        <v>0</v>
      </c>
      <c r="Q851" s="154">
        <v>0</v>
      </c>
      <c r="R851" s="157">
        <v>0</v>
      </c>
      <c r="S851" s="154">
        <v>0</v>
      </c>
      <c r="T851" s="157">
        <v>0</v>
      </c>
      <c r="U851" s="154">
        <v>0</v>
      </c>
      <c r="V851" s="157">
        <v>0</v>
      </c>
      <c r="W851" s="154">
        <v>0</v>
      </c>
      <c r="X851" s="157">
        <v>0</v>
      </c>
      <c r="Y851" s="154">
        <v>0</v>
      </c>
      <c r="Z851" s="157">
        <v>0</v>
      </c>
      <c r="AA851" s="154">
        <v>0</v>
      </c>
      <c r="AB851" s="157">
        <v>0</v>
      </c>
      <c r="AC851" s="238">
        <f t="shared" si="435"/>
        <v>0</v>
      </c>
      <c r="AD851" s="238"/>
      <c r="AE851" s="238"/>
    </row>
    <row r="852" spans="2:31" x14ac:dyDescent="0.3">
      <c r="B852" s="245" t="s">
        <v>29</v>
      </c>
      <c r="C852" s="245"/>
      <c r="D852" s="245"/>
      <c r="E852" s="154">
        <v>0</v>
      </c>
      <c r="F852" s="157">
        <v>0</v>
      </c>
      <c r="G852" s="154">
        <v>0</v>
      </c>
      <c r="H852" s="157">
        <v>0</v>
      </c>
      <c r="I852" s="154">
        <v>0</v>
      </c>
      <c r="J852" s="157">
        <v>0</v>
      </c>
      <c r="K852" s="154">
        <v>0</v>
      </c>
      <c r="L852" s="157">
        <v>0</v>
      </c>
      <c r="M852" s="154">
        <v>0</v>
      </c>
      <c r="N852" s="157">
        <v>0</v>
      </c>
      <c r="O852" s="154">
        <v>1.7619999999999998</v>
      </c>
      <c r="P852" s="157">
        <v>3.5445000000000002</v>
      </c>
      <c r="Q852" s="154">
        <v>0.15600000000000006</v>
      </c>
      <c r="R852" s="157">
        <v>0</v>
      </c>
      <c r="S852" s="154">
        <v>0</v>
      </c>
      <c r="T852" s="157">
        <v>0</v>
      </c>
      <c r="U852" s="154">
        <v>0</v>
      </c>
      <c r="V852" s="157">
        <v>2.0013333333333336</v>
      </c>
      <c r="W852" s="154">
        <v>15.090166666666667</v>
      </c>
      <c r="X852" s="157">
        <v>0.4331666666666662</v>
      </c>
      <c r="Y852" s="154">
        <v>0</v>
      </c>
      <c r="Z852" s="157">
        <v>0</v>
      </c>
      <c r="AA852" s="154">
        <v>0</v>
      </c>
      <c r="AB852" s="157">
        <v>0</v>
      </c>
      <c r="AC852" s="238">
        <f t="shared" si="435"/>
        <v>22.987166666666667</v>
      </c>
      <c r="AD852" s="238"/>
      <c r="AE852" s="238"/>
    </row>
    <row r="853" spans="2:31" x14ac:dyDescent="0.3">
      <c r="B853" s="245" t="s">
        <v>30</v>
      </c>
      <c r="C853" s="245"/>
      <c r="D853" s="245"/>
      <c r="E853" s="154">
        <v>0</v>
      </c>
      <c r="F853" s="157">
        <v>0</v>
      </c>
      <c r="G853" s="154">
        <v>0</v>
      </c>
      <c r="H853" s="157">
        <v>0</v>
      </c>
      <c r="I853" s="154">
        <v>0</v>
      </c>
      <c r="J853" s="157">
        <v>0</v>
      </c>
      <c r="K853" s="154">
        <v>0</v>
      </c>
      <c r="L853" s="157">
        <v>0</v>
      </c>
      <c r="M853" s="154">
        <v>0</v>
      </c>
      <c r="N853" s="157">
        <v>0</v>
      </c>
      <c r="O853" s="154">
        <v>0</v>
      </c>
      <c r="P853" s="157">
        <v>0</v>
      </c>
      <c r="Q853" s="154">
        <v>0</v>
      </c>
      <c r="R853" s="157">
        <v>0</v>
      </c>
      <c r="S853" s="154">
        <v>0</v>
      </c>
      <c r="T853" s="157">
        <v>0</v>
      </c>
      <c r="U853" s="154">
        <v>0</v>
      </c>
      <c r="V853" s="157">
        <v>0</v>
      </c>
      <c r="W853" s="154">
        <v>0</v>
      </c>
      <c r="X853" s="157">
        <v>0.26950000000000002</v>
      </c>
      <c r="Y853" s="154">
        <v>0</v>
      </c>
      <c r="Z853" s="157">
        <v>0</v>
      </c>
      <c r="AA853" s="154">
        <v>0</v>
      </c>
      <c r="AB853" s="157">
        <v>0</v>
      </c>
      <c r="AC853" s="238">
        <f t="shared" si="435"/>
        <v>0.26950000000000002</v>
      </c>
      <c r="AD853" s="238"/>
      <c r="AE853" s="238"/>
    </row>
    <row r="854" spans="2:31" x14ac:dyDescent="0.3">
      <c r="B854" s="245" t="s">
        <v>31</v>
      </c>
      <c r="C854" s="245"/>
      <c r="D854" s="245"/>
      <c r="E854" s="154">
        <v>0</v>
      </c>
      <c r="F854" s="157">
        <v>0</v>
      </c>
      <c r="G854" s="154">
        <v>0</v>
      </c>
      <c r="H854" s="157">
        <v>0</v>
      </c>
      <c r="I854" s="154">
        <v>0</v>
      </c>
      <c r="J854" s="157">
        <v>0</v>
      </c>
      <c r="K854" s="154">
        <v>0</v>
      </c>
      <c r="L854" s="157">
        <v>0</v>
      </c>
      <c r="M854" s="154">
        <v>0</v>
      </c>
      <c r="N854" s="157">
        <v>0</v>
      </c>
      <c r="O854" s="154">
        <v>0.40749999999999997</v>
      </c>
      <c r="P854" s="157">
        <v>0.92999999999999983</v>
      </c>
      <c r="Q854" s="154">
        <v>0.53000000000000047</v>
      </c>
      <c r="R854" s="157">
        <v>0.63000000000000023</v>
      </c>
      <c r="S854" s="154">
        <v>1.130000000000001</v>
      </c>
      <c r="T854" s="157">
        <v>1.930000000000003</v>
      </c>
      <c r="U854" s="154">
        <v>2.6299999999999977</v>
      </c>
      <c r="V854" s="157">
        <v>2.73</v>
      </c>
      <c r="W854" s="154">
        <v>3.3300000000000036</v>
      </c>
      <c r="X854" s="157">
        <v>0.90383333333333338</v>
      </c>
      <c r="Y854" s="154">
        <v>0</v>
      </c>
      <c r="Z854" s="157">
        <v>0</v>
      </c>
      <c r="AA854" s="154">
        <v>0</v>
      </c>
      <c r="AB854" s="157">
        <v>0</v>
      </c>
      <c r="AC854" s="238">
        <f t="shared" si="435"/>
        <v>15.151333333333339</v>
      </c>
      <c r="AD854" s="238"/>
      <c r="AE854" s="238"/>
    </row>
    <row r="855" spans="2:31" x14ac:dyDescent="0.3">
      <c r="B855" s="245" t="s">
        <v>32</v>
      </c>
      <c r="C855" s="245"/>
      <c r="D855" s="245"/>
      <c r="E855" s="154">
        <v>0</v>
      </c>
      <c r="F855" s="157">
        <v>0</v>
      </c>
      <c r="G855" s="154">
        <v>0</v>
      </c>
      <c r="H855" s="157">
        <v>0</v>
      </c>
      <c r="I855" s="154">
        <v>0</v>
      </c>
      <c r="J855" s="157">
        <v>0</v>
      </c>
      <c r="K855" s="154">
        <v>0</v>
      </c>
      <c r="L855" s="157">
        <v>0</v>
      </c>
      <c r="M855" s="154">
        <v>0</v>
      </c>
      <c r="N855" s="157">
        <v>0</v>
      </c>
      <c r="O855" s="154">
        <v>1.4135</v>
      </c>
      <c r="P855" s="157">
        <v>1.6786666666666674</v>
      </c>
      <c r="Q855" s="154">
        <v>0</v>
      </c>
      <c r="R855" s="157">
        <v>0</v>
      </c>
      <c r="S855" s="154">
        <v>0</v>
      </c>
      <c r="T855" s="157">
        <v>0.13049999999999995</v>
      </c>
      <c r="U855" s="154">
        <v>0.68250000000000066</v>
      </c>
      <c r="V855" s="157">
        <v>0</v>
      </c>
      <c r="W855" s="154">
        <v>0.4401666666666666</v>
      </c>
      <c r="X855" s="157">
        <v>1.7133333333333332</v>
      </c>
      <c r="Y855" s="154">
        <v>0</v>
      </c>
      <c r="Z855" s="157">
        <v>0</v>
      </c>
      <c r="AA855" s="154">
        <v>0</v>
      </c>
      <c r="AB855" s="157">
        <v>0</v>
      </c>
      <c r="AC855" s="238">
        <f t="shared" si="435"/>
        <v>6.0586666666666673</v>
      </c>
      <c r="AD855" s="238"/>
      <c r="AE855" s="238"/>
    </row>
    <row r="856" spans="2:31" x14ac:dyDescent="0.3">
      <c r="B856" s="245" t="s">
        <v>33</v>
      </c>
      <c r="C856" s="245"/>
      <c r="D856" s="245"/>
      <c r="E856" s="154">
        <v>0</v>
      </c>
      <c r="F856" s="157">
        <v>0</v>
      </c>
      <c r="G856" s="154">
        <v>0</v>
      </c>
      <c r="H856" s="157">
        <v>0</v>
      </c>
      <c r="I856" s="154">
        <v>0</v>
      </c>
      <c r="J856" s="157">
        <v>0</v>
      </c>
      <c r="K856" s="154">
        <v>0</v>
      </c>
      <c r="L856" s="157">
        <v>0</v>
      </c>
      <c r="M856" s="154">
        <v>0</v>
      </c>
      <c r="N856" s="157">
        <v>0</v>
      </c>
      <c r="O856" s="154">
        <v>9.7499999999999989E-2</v>
      </c>
      <c r="P856" s="157">
        <v>6.1833333333333337E-2</v>
      </c>
      <c r="Q856" s="154">
        <v>1.0333333333333335E-2</v>
      </c>
      <c r="R856" s="157">
        <v>7.2499999999999995E-2</v>
      </c>
      <c r="S856" s="154">
        <v>9.6166666666666692E-2</v>
      </c>
      <c r="T856" s="157">
        <v>0.14200000000000004</v>
      </c>
      <c r="U856" s="154">
        <v>0.21083333333333332</v>
      </c>
      <c r="V856" s="157">
        <v>1.4584999999999992</v>
      </c>
      <c r="W856" s="154">
        <v>0.27033333333333326</v>
      </c>
      <c r="X856" s="157">
        <v>0</v>
      </c>
      <c r="Y856" s="154">
        <v>0</v>
      </c>
      <c r="Z856" s="157">
        <v>0</v>
      </c>
      <c r="AA856" s="154">
        <v>0</v>
      </c>
      <c r="AB856" s="157">
        <v>0</v>
      </c>
      <c r="AC856" s="238">
        <f t="shared" si="435"/>
        <v>2.419999999999999</v>
      </c>
      <c r="AD856" s="238"/>
      <c r="AE856" s="238"/>
    </row>
    <row r="857" spans="2:31" x14ac:dyDescent="0.3">
      <c r="B857" s="245" t="s">
        <v>34</v>
      </c>
      <c r="C857" s="245"/>
      <c r="D857" s="245"/>
      <c r="E857" s="154">
        <v>0</v>
      </c>
      <c r="F857" s="157">
        <v>0</v>
      </c>
      <c r="G857" s="154">
        <v>0</v>
      </c>
      <c r="H857" s="157">
        <v>0</v>
      </c>
      <c r="I857" s="154">
        <v>0</v>
      </c>
      <c r="J857" s="157">
        <v>0</v>
      </c>
      <c r="K857" s="154">
        <v>0</v>
      </c>
      <c r="L857" s="157">
        <v>0</v>
      </c>
      <c r="M857" s="154">
        <v>0</v>
      </c>
      <c r="N857" s="157">
        <v>0</v>
      </c>
      <c r="O857" s="154">
        <v>6.4999999999999974E-2</v>
      </c>
      <c r="P857" s="157">
        <v>4.7000000000000035E-2</v>
      </c>
      <c r="Q857" s="154">
        <v>0</v>
      </c>
      <c r="R857" s="157">
        <v>8.1666666666666728E-3</v>
      </c>
      <c r="S857" s="154">
        <v>6.9666666666666682E-2</v>
      </c>
      <c r="T857" s="157">
        <v>0.34649999999999997</v>
      </c>
      <c r="U857" s="154">
        <v>0.52816666666666634</v>
      </c>
      <c r="V857" s="157">
        <v>0.56216666666666659</v>
      </c>
      <c r="W857" s="154">
        <v>0.33450000000000002</v>
      </c>
      <c r="X857" s="157">
        <v>8.0000000000000019E-3</v>
      </c>
      <c r="Y857" s="154">
        <v>0</v>
      </c>
      <c r="Z857" s="157">
        <v>0</v>
      </c>
      <c r="AA857" s="154">
        <v>0</v>
      </c>
      <c r="AB857" s="157">
        <v>0</v>
      </c>
      <c r="AC857" s="238">
        <f t="shared" si="435"/>
        <v>1.9691666666666665</v>
      </c>
      <c r="AD857" s="238"/>
      <c r="AE857" s="238"/>
    </row>
    <row r="858" spans="2:31" x14ac:dyDescent="0.3">
      <c r="B858" s="245" t="s">
        <v>35</v>
      </c>
      <c r="C858" s="245"/>
      <c r="D858" s="245"/>
      <c r="E858" s="154">
        <v>0</v>
      </c>
      <c r="F858" s="157">
        <v>0</v>
      </c>
      <c r="G858" s="154">
        <v>0</v>
      </c>
      <c r="H858" s="157">
        <v>0</v>
      </c>
      <c r="I858" s="154">
        <v>0</v>
      </c>
      <c r="J858" s="157">
        <v>0</v>
      </c>
      <c r="K858" s="154">
        <v>0</v>
      </c>
      <c r="L858" s="157">
        <v>0</v>
      </c>
      <c r="M858" s="154">
        <v>0</v>
      </c>
      <c r="N858" s="157">
        <v>0</v>
      </c>
      <c r="O858" s="154">
        <v>0.1831666666666667</v>
      </c>
      <c r="P858" s="157">
        <v>4.2921666666666676</v>
      </c>
      <c r="Q858" s="154">
        <v>6.6661666666666655</v>
      </c>
      <c r="R858" s="157">
        <v>9.1376666666666697</v>
      </c>
      <c r="S858" s="154">
        <v>6.3840000000000012</v>
      </c>
      <c r="T858" s="157">
        <v>4.3168333333333333</v>
      </c>
      <c r="U858" s="154">
        <v>4.6268333333333338</v>
      </c>
      <c r="V858" s="157">
        <v>17.711333333333325</v>
      </c>
      <c r="W858" s="154">
        <v>18.79933333333334</v>
      </c>
      <c r="X858" s="157">
        <v>3.9816666666666669</v>
      </c>
      <c r="Y858" s="154">
        <v>0</v>
      </c>
      <c r="Z858" s="157">
        <v>0</v>
      </c>
      <c r="AA858" s="154">
        <v>0</v>
      </c>
      <c r="AB858" s="157">
        <v>0</v>
      </c>
      <c r="AC858" s="238">
        <f t="shared" si="435"/>
        <v>76.099166666666676</v>
      </c>
      <c r="AD858" s="238"/>
      <c r="AE858" s="238"/>
    </row>
    <row r="859" spans="2:31" x14ac:dyDescent="0.3">
      <c r="B859" s="245" t="s">
        <v>36</v>
      </c>
      <c r="C859" s="245"/>
      <c r="D859" s="245"/>
      <c r="E859" s="154">
        <v>0</v>
      </c>
      <c r="F859" s="157">
        <v>0</v>
      </c>
      <c r="G859" s="154">
        <v>0</v>
      </c>
      <c r="H859" s="157">
        <v>0</v>
      </c>
      <c r="I859" s="154">
        <v>0</v>
      </c>
      <c r="J859" s="157">
        <v>0</v>
      </c>
      <c r="K859" s="154">
        <v>0</v>
      </c>
      <c r="L859" s="157">
        <v>0</v>
      </c>
      <c r="M859" s="154">
        <v>0</v>
      </c>
      <c r="N859" s="157">
        <v>0</v>
      </c>
      <c r="O859" s="154">
        <v>1.4065000000000003</v>
      </c>
      <c r="P859" s="157">
        <v>9.5908333333333307</v>
      </c>
      <c r="Q859" s="154">
        <v>14.520166666666665</v>
      </c>
      <c r="R859" s="157">
        <v>15.815500000000002</v>
      </c>
      <c r="S859" s="154">
        <v>17.804000000000006</v>
      </c>
      <c r="T859" s="157">
        <v>4.1771666666666682</v>
      </c>
      <c r="U859" s="154">
        <v>3.8896666666666637</v>
      </c>
      <c r="V859" s="157">
        <v>2.2228333333333299</v>
      </c>
      <c r="W859" s="154">
        <v>9.8464999999999971</v>
      </c>
      <c r="X859" s="157">
        <v>2.6186666666666674</v>
      </c>
      <c r="Y859" s="154">
        <v>0</v>
      </c>
      <c r="Z859" s="157">
        <v>0</v>
      </c>
      <c r="AA859" s="154">
        <v>0</v>
      </c>
      <c r="AB859" s="157">
        <v>0</v>
      </c>
      <c r="AC859" s="238">
        <f t="shared" si="435"/>
        <v>81.891833333333324</v>
      </c>
      <c r="AD859" s="238"/>
      <c r="AE859" s="238"/>
    </row>
    <row r="860" spans="2:31" x14ac:dyDescent="0.3">
      <c r="B860" s="13" t="s">
        <v>89</v>
      </c>
      <c r="C860" s="13"/>
      <c r="D860" s="13"/>
      <c r="E860" s="154">
        <v>0</v>
      </c>
      <c r="F860" s="157">
        <v>0</v>
      </c>
      <c r="G860" s="154">
        <v>0</v>
      </c>
      <c r="H860" s="157">
        <v>0</v>
      </c>
      <c r="I860" s="154">
        <v>0</v>
      </c>
      <c r="J860" s="157">
        <v>0</v>
      </c>
      <c r="K860" s="154">
        <v>0</v>
      </c>
      <c r="L860" s="157">
        <v>0</v>
      </c>
      <c r="M860" s="154">
        <v>0</v>
      </c>
      <c r="N860" s="157">
        <v>0</v>
      </c>
      <c r="O860" s="154">
        <v>0</v>
      </c>
      <c r="P860" s="157">
        <v>0</v>
      </c>
      <c r="Q860" s="154">
        <v>0</v>
      </c>
      <c r="R860" s="157">
        <v>0</v>
      </c>
      <c r="S860" s="154">
        <v>0</v>
      </c>
      <c r="T860" s="157">
        <v>0</v>
      </c>
      <c r="U860" s="154">
        <v>0</v>
      </c>
      <c r="V860" s="157">
        <v>0</v>
      </c>
      <c r="W860" s="154">
        <v>0</v>
      </c>
      <c r="X860" s="157">
        <v>0</v>
      </c>
      <c r="Y860" s="154">
        <v>0</v>
      </c>
      <c r="Z860" s="157">
        <v>0</v>
      </c>
      <c r="AA860" s="154">
        <v>0</v>
      </c>
      <c r="AB860" s="157">
        <v>0</v>
      </c>
      <c r="AC860" s="238">
        <f t="shared" si="435"/>
        <v>0</v>
      </c>
      <c r="AD860" s="238"/>
      <c r="AE860" s="238"/>
    </row>
    <row r="861" spans="2:31" x14ac:dyDescent="0.3">
      <c r="B861" s="13" t="s">
        <v>90</v>
      </c>
      <c r="C861" s="13"/>
      <c r="D861" s="13"/>
      <c r="E861" s="154">
        <v>0</v>
      </c>
      <c r="F861" s="157">
        <v>0</v>
      </c>
      <c r="G861" s="154">
        <v>0</v>
      </c>
      <c r="H861" s="157">
        <v>0</v>
      </c>
      <c r="I861" s="154">
        <v>0</v>
      </c>
      <c r="J861" s="157">
        <v>0</v>
      </c>
      <c r="K861" s="154">
        <v>0</v>
      </c>
      <c r="L861" s="157">
        <v>0</v>
      </c>
      <c r="M861" s="154">
        <v>0</v>
      </c>
      <c r="N861" s="157">
        <v>0</v>
      </c>
      <c r="O861" s="154">
        <v>0</v>
      </c>
      <c r="P861" s="157">
        <v>0</v>
      </c>
      <c r="Q861" s="154">
        <v>0</v>
      </c>
      <c r="R861" s="157">
        <v>0</v>
      </c>
      <c r="S861" s="154">
        <v>0</v>
      </c>
      <c r="T861" s="157">
        <v>0</v>
      </c>
      <c r="U861" s="154">
        <v>0</v>
      </c>
      <c r="V861" s="157">
        <v>1.2688333333333328</v>
      </c>
      <c r="W861" s="154">
        <v>0</v>
      </c>
      <c r="X861" s="157">
        <v>0</v>
      </c>
      <c r="Y861" s="154">
        <v>0</v>
      </c>
      <c r="Z861" s="157">
        <v>0</v>
      </c>
      <c r="AA861" s="154">
        <v>0</v>
      </c>
      <c r="AB861" s="157">
        <v>0</v>
      </c>
      <c r="AC861" s="238">
        <f t="shared" si="435"/>
        <v>1.2688333333333328</v>
      </c>
      <c r="AD861" s="238"/>
      <c r="AE861" s="238"/>
    </row>
    <row r="862" spans="2:31" x14ac:dyDescent="0.3">
      <c r="B862" s="14" t="s">
        <v>2</v>
      </c>
      <c r="C862" s="14"/>
      <c r="D862" s="14"/>
      <c r="E862" s="15">
        <f>SUM(E825:E861)</f>
        <v>0</v>
      </c>
      <c r="F862" s="15">
        <f t="shared" ref="F862" si="436">SUM(F825:F861)</f>
        <v>0</v>
      </c>
      <c r="G862" s="15">
        <f t="shared" ref="G862" si="437">SUM(G825:G861)</f>
        <v>0</v>
      </c>
      <c r="H862" s="15">
        <f t="shared" ref="H862" si="438">SUM(H825:H861)</f>
        <v>0</v>
      </c>
      <c r="I862" s="15">
        <f t="shared" ref="I862" si="439">SUM(I825:I861)</f>
        <v>0</v>
      </c>
      <c r="J862" s="15">
        <f t="shared" ref="J862" si="440">SUM(J825:J861)</f>
        <v>0</v>
      </c>
      <c r="K862" s="15">
        <f t="shared" ref="K862" si="441">SUM(K825:K861)</f>
        <v>0</v>
      </c>
      <c r="L862" s="15">
        <f t="shared" ref="L862" si="442">SUM(L825:L861)</f>
        <v>0</v>
      </c>
      <c r="M862" s="15">
        <f t="shared" ref="M862" si="443">SUM(M825:M861)</f>
        <v>0</v>
      </c>
      <c r="N862" s="15">
        <f t="shared" ref="N862" si="444">SUM(N825:N861)</f>
        <v>0</v>
      </c>
      <c r="O862" s="15">
        <f t="shared" ref="O862" si="445">SUM(O825:O861)</f>
        <v>23.281333333333336</v>
      </c>
      <c r="P862" s="15">
        <f t="shared" ref="P862" si="446">SUM(P825:P861)</f>
        <v>179.27866666666674</v>
      </c>
      <c r="Q862" s="15">
        <f t="shared" ref="Q862" si="447">SUM(Q825:Q861)</f>
        <v>185.30583333333334</v>
      </c>
      <c r="R862" s="15">
        <f t="shared" ref="R862" si="448">SUM(R825:R861)</f>
        <v>225.62816666666663</v>
      </c>
      <c r="S862" s="15">
        <f t="shared" ref="S862" si="449">SUM(S825:S861)</f>
        <v>396.21500000000003</v>
      </c>
      <c r="T862" s="15">
        <f t="shared" ref="T862" si="450">SUM(T825:T861)</f>
        <v>463.90666666666664</v>
      </c>
      <c r="U862" s="15">
        <f t="shared" ref="U862" si="451">SUM(U825:U861)</f>
        <v>521.94333333333338</v>
      </c>
      <c r="V862" s="15">
        <f t="shared" ref="V862" si="452">SUM(V825:V861)</f>
        <v>598.929666666667</v>
      </c>
      <c r="W862" s="15">
        <f t="shared" ref="W862" si="453">SUM(W825:W861)</f>
        <v>507.37533333333323</v>
      </c>
      <c r="X862" s="15">
        <f t="shared" ref="X862" si="454">SUM(X825:X861)</f>
        <v>64.372166666666658</v>
      </c>
      <c r="Y862" s="15">
        <f t="shared" ref="Y862" si="455">SUM(Y825:Y861)</f>
        <v>0</v>
      </c>
      <c r="Z862" s="15">
        <f t="shared" ref="Z862" si="456">SUM(Z825:Z861)</f>
        <v>0</v>
      </c>
      <c r="AA862" s="15">
        <f t="shared" ref="AA862" si="457">SUM(AA825:AA861)</f>
        <v>0</v>
      </c>
      <c r="AB862" s="15">
        <f t="shared" ref="AB862" si="458">SUM(AB825:AB861)</f>
        <v>0</v>
      </c>
      <c r="AC862" s="249">
        <f>SUM(AC825:AE861)</f>
        <v>3166.2361666666675</v>
      </c>
      <c r="AD862" s="249"/>
      <c r="AE862" s="249"/>
    </row>
    <row r="865" spans="2:31" x14ac:dyDescent="0.3">
      <c r="B865" s="8">
        <f>'Resumen-Mensual'!$Y$22</f>
        <v>44582</v>
      </c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4"/>
      <c r="AD865" s="4"/>
      <c r="AE865" s="4"/>
    </row>
    <row r="866" spans="2:31" x14ac:dyDescent="0.3">
      <c r="B866" s="8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4"/>
      <c r="AD866" s="4"/>
      <c r="AE866" s="4"/>
    </row>
    <row r="867" spans="2:31" x14ac:dyDescent="0.3">
      <c r="B867" s="9" t="s">
        <v>81</v>
      </c>
      <c r="C867" s="10"/>
      <c r="D867" s="10"/>
      <c r="E867" s="11">
        <v>1</v>
      </c>
      <c r="F867" s="11">
        <v>2</v>
      </c>
      <c r="G867" s="11">
        <v>3</v>
      </c>
      <c r="H867" s="11">
        <v>4</v>
      </c>
      <c r="I867" s="11">
        <v>5</v>
      </c>
      <c r="J867" s="11">
        <v>6</v>
      </c>
      <c r="K867" s="11">
        <v>7</v>
      </c>
      <c r="L867" s="11">
        <v>8</v>
      </c>
      <c r="M867" s="11">
        <v>9</v>
      </c>
      <c r="N867" s="11">
        <v>10</v>
      </c>
      <c r="O867" s="11">
        <v>11</v>
      </c>
      <c r="P867" s="11">
        <v>12</v>
      </c>
      <c r="Q867" s="11">
        <v>13</v>
      </c>
      <c r="R867" s="11">
        <v>14</v>
      </c>
      <c r="S867" s="11">
        <v>15</v>
      </c>
      <c r="T867" s="11">
        <v>16</v>
      </c>
      <c r="U867" s="11">
        <v>17</v>
      </c>
      <c r="V867" s="11">
        <v>18</v>
      </c>
      <c r="W867" s="11">
        <v>19</v>
      </c>
      <c r="X867" s="11">
        <v>20</v>
      </c>
      <c r="Y867" s="11">
        <v>21</v>
      </c>
      <c r="Z867" s="11">
        <v>22</v>
      </c>
      <c r="AA867" s="11">
        <v>23</v>
      </c>
      <c r="AB867" s="11">
        <v>24</v>
      </c>
      <c r="AC867" s="248" t="s">
        <v>2</v>
      </c>
      <c r="AD867" s="248"/>
      <c r="AE867" s="248"/>
    </row>
    <row r="868" spans="2:31" x14ac:dyDescent="0.3">
      <c r="B868" s="245" t="s">
        <v>4</v>
      </c>
      <c r="C868" s="245"/>
      <c r="D868" s="245"/>
      <c r="E868" s="162">
        <v>0</v>
      </c>
      <c r="F868" s="163">
        <v>0</v>
      </c>
      <c r="G868" s="162">
        <v>0</v>
      </c>
      <c r="H868" s="163">
        <v>0</v>
      </c>
      <c r="I868" s="162">
        <v>0</v>
      </c>
      <c r="J868" s="163">
        <v>0</v>
      </c>
      <c r="K868" s="162">
        <v>0</v>
      </c>
      <c r="L868" s="163">
        <v>0</v>
      </c>
      <c r="M868" s="162">
        <v>0</v>
      </c>
      <c r="N868" s="163">
        <v>0</v>
      </c>
      <c r="O868" s="162">
        <v>0</v>
      </c>
      <c r="P868" s="163">
        <v>0</v>
      </c>
      <c r="Q868" s="162">
        <v>0</v>
      </c>
      <c r="R868" s="163">
        <v>0</v>
      </c>
      <c r="S868" s="162">
        <v>0</v>
      </c>
      <c r="T868" s="163">
        <v>0</v>
      </c>
      <c r="U868" s="162">
        <v>0</v>
      </c>
      <c r="V868" s="163">
        <v>0</v>
      </c>
      <c r="W868" s="162">
        <v>0</v>
      </c>
      <c r="X868" s="163">
        <v>0</v>
      </c>
      <c r="Y868" s="162">
        <v>0</v>
      </c>
      <c r="Z868" s="163">
        <v>0</v>
      </c>
      <c r="AA868" s="162">
        <v>0</v>
      </c>
      <c r="AB868" s="163">
        <v>0</v>
      </c>
      <c r="AC868" s="238">
        <f>SUM(E868:AB868)</f>
        <v>0</v>
      </c>
      <c r="AD868" s="238"/>
      <c r="AE868" s="238"/>
    </row>
    <row r="869" spans="2:31" x14ac:dyDescent="0.3">
      <c r="B869" s="245" t="s">
        <v>5</v>
      </c>
      <c r="C869" s="245"/>
      <c r="D869" s="245"/>
      <c r="E869" s="161">
        <v>0</v>
      </c>
      <c r="F869" s="164">
        <v>0</v>
      </c>
      <c r="G869" s="161">
        <v>0</v>
      </c>
      <c r="H869" s="164">
        <v>0</v>
      </c>
      <c r="I869" s="161">
        <v>0</v>
      </c>
      <c r="J869" s="164">
        <v>0</v>
      </c>
      <c r="K869" s="161">
        <v>0</v>
      </c>
      <c r="L869" s="164">
        <v>0</v>
      </c>
      <c r="M869" s="161">
        <v>0</v>
      </c>
      <c r="N869" s="164">
        <v>0</v>
      </c>
      <c r="O869" s="161">
        <v>0</v>
      </c>
      <c r="P869" s="164">
        <v>0</v>
      </c>
      <c r="Q869" s="161">
        <v>1.0166666666666657E-2</v>
      </c>
      <c r="R869" s="164">
        <v>19.830666666666666</v>
      </c>
      <c r="S869" s="161">
        <v>44.887666666666668</v>
      </c>
      <c r="T869" s="164">
        <v>58.567166666666672</v>
      </c>
      <c r="U869" s="161">
        <v>70.69616666666667</v>
      </c>
      <c r="V869" s="164">
        <v>75.231833333333313</v>
      </c>
      <c r="W869" s="161">
        <v>70.399500000000003</v>
      </c>
      <c r="X869" s="164">
        <v>4.5804999999999998</v>
      </c>
      <c r="Y869" s="161">
        <v>0</v>
      </c>
      <c r="Z869" s="164">
        <v>0</v>
      </c>
      <c r="AA869" s="161">
        <v>0</v>
      </c>
      <c r="AB869" s="164">
        <v>0</v>
      </c>
      <c r="AC869" s="238">
        <f t="shared" ref="AC869:AC904" si="459">SUM(E869:AB869)</f>
        <v>344.20366666666661</v>
      </c>
      <c r="AD869" s="238"/>
      <c r="AE869" s="238"/>
    </row>
    <row r="870" spans="2:31" x14ac:dyDescent="0.3">
      <c r="B870" s="245" t="s">
        <v>6</v>
      </c>
      <c r="C870" s="245"/>
      <c r="D870" s="245"/>
      <c r="E870" s="161">
        <v>0</v>
      </c>
      <c r="F870" s="164">
        <v>0</v>
      </c>
      <c r="G870" s="161">
        <v>0</v>
      </c>
      <c r="H870" s="164">
        <v>0</v>
      </c>
      <c r="I870" s="161">
        <v>0</v>
      </c>
      <c r="J870" s="164">
        <v>0</v>
      </c>
      <c r="K870" s="161">
        <v>0</v>
      </c>
      <c r="L870" s="164">
        <v>0</v>
      </c>
      <c r="M870" s="161">
        <v>0</v>
      </c>
      <c r="N870" s="164">
        <v>0</v>
      </c>
      <c r="O870" s="161">
        <v>0</v>
      </c>
      <c r="P870" s="164">
        <v>0</v>
      </c>
      <c r="Q870" s="161">
        <v>0</v>
      </c>
      <c r="R870" s="164">
        <v>0</v>
      </c>
      <c r="S870" s="161">
        <v>0</v>
      </c>
      <c r="T870" s="164">
        <v>0</v>
      </c>
      <c r="U870" s="161">
        <v>0</v>
      </c>
      <c r="V870" s="164">
        <v>10.303499999999996</v>
      </c>
      <c r="W870" s="161">
        <v>17.389666666666667</v>
      </c>
      <c r="X870" s="164">
        <v>16.792666666666673</v>
      </c>
      <c r="Y870" s="161">
        <v>0</v>
      </c>
      <c r="Z870" s="164">
        <v>0</v>
      </c>
      <c r="AA870" s="161">
        <v>0</v>
      </c>
      <c r="AB870" s="164">
        <v>0</v>
      </c>
      <c r="AC870" s="238">
        <f t="shared" si="459"/>
        <v>44.485833333333332</v>
      </c>
      <c r="AD870" s="238"/>
      <c r="AE870" s="238"/>
    </row>
    <row r="871" spans="2:31" x14ac:dyDescent="0.3">
      <c r="B871" s="245" t="s">
        <v>91</v>
      </c>
      <c r="C871" s="245"/>
      <c r="D871" s="245"/>
      <c r="E871" s="161">
        <v>0</v>
      </c>
      <c r="F871" s="164">
        <v>0</v>
      </c>
      <c r="G871" s="161">
        <v>0</v>
      </c>
      <c r="H871" s="164">
        <v>0</v>
      </c>
      <c r="I871" s="161">
        <v>0</v>
      </c>
      <c r="J871" s="164">
        <v>0</v>
      </c>
      <c r="K871" s="161">
        <v>0</v>
      </c>
      <c r="L871" s="164">
        <v>0</v>
      </c>
      <c r="M871" s="161">
        <v>0</v>
      </c>
      <c r="N871" s="164">
        <v>0</v>
      </c>
      <c r="O871" s="161">
        <v>0</v>
      </c>
      <c r="P871" s="164">
        <v>0</v>
      </c>
      <c r="Q871" s="161">
        <v>0</v>
      </c>
      <c r="R871" s="164">
        <v>0</v>
      </c>
      <c r="S871" s="161">
        <v>0</v>
      </c>
      <c r="T871" s="164">
        <v>0</v>
      </c>
      <c r="U871" s="161">
        <v>0</v>
      </c>
      <c r="V871" s="164">
        <v>0</v>
      </c>
      <c r="W871" s="161">
        <v>0</v>
      </c>
      <c r="X871" s="164">
        <v>0</v>
      </c>
      <c r="Y871" s="161">
        <v>0</v>
      </c>
      <c r="Z871" s="164">
        <v>0</v>
      </c>
      <c r="AA871" s="161">
        <v>0</v>
      </c>
      <c r="AB871" s="164">
        <v>0</v>
      </c>
      <c r="AC871" s="238">
        <f t="shared" si="459"/>
        <v>0</v>
      </c>
      <c r="AD871" s="238"/>
      <c r="AE871" s="238"/>
    </row>
    <row r="872" spans="2:31" x14ac:dyDescent="0.3">
      <c r="B872" s="245" t="s">
        <v>7</v>
      </c>
      <c r="C872" s="245"/>
      <c r="D872" s="245"/>
      <c r="E872" s="161">
        <v>0</v>
      </c>
      <c r="F872" s="164">
        <v>0</v>
      </c>
      <c r="G872" s="161">
        <v>0</v>
      </c>
      <c r="H872" s="164">
        <v>0</v>
      </c>
      <c r="I872" s="161">
        <v>0</v>
      </c>
      <c r="J872" s="164">
        <v>0</v>
      </c>
      <c r="K872" s="161">
        <v>0</v>
      </c>
      <c r="L872" s="164">
        <v>0</v>
      </c>
      <c r="M872" s="161">
        <v>0</v>
      </c>
      <c r="N872" s="164">
        <v>0</v>
      </c>
      <c r="O872" s="161">
        <v>0</v>
      </c>
      <c r="P872" s="164">
        <v>0</v>
      </c>
      <c r="Q872" s="161">
        <v>0</v>
      </c>
      <c r="R872" s="164">
        <v>1.2483333333333348</v>
      </c>
      <c r="S872" s="161">
        <v>22.270166666666668</v>
      </c>
      <c r="T872" s="164">
        <v>31.653666666666663</v>
      </c>
      <c r="U872" s="161">
        <v>0</v>
      </c>
      <c r="V872" s="164">
        <v>0.92199999999999582</v>
      </c>
      <c r="W872" s="161">
        <v>0.32416666666666599</v>
      </c>
      <c r="X872" s="164">
        <v>0</v>
      </c>
      <c r="Y872" s="161">
        <v>0</v>
      </c>
      <c r="Z872" s="164">
        <v>0</v>
      </c>
      <c r="AA872" s="161">
        <v>0</v>
      </c>
      <c r="AB872" s="164">
        <v>0</v>
      </c>
      <c r="AC872" s="238">
        <f t="shared" si="459"/>
        <v>56.418333333333329</v>
      </c>
      <c r="AD872" s="238"/>
      <c r="AE872" s="238"/>
    </row>
    <row r="873" spans="2:31" x14ac:dyDescent="0.3">
      <c r="B873" s="245" t="s">
        <v>8</v>
      </c>
      <c r="C873" s="245"/>
      <c r="D873" s="245"/>
      <c r="E873" s="161">
        <v>0</v>
      </c>
      <c r="F873" s="164">
        <v>0</v>
      </c>
      <c r="G873" s="161">
        <v>0</v>
      </c>
      <c r="H873" s="164">
        <v>0</v>
      </c>
      <c r="I873" s="161">
        <v>0</v>
      </c>
      <c r="J873" s="164">
        <v>0</v>
      </c>
      <c r="K873" s="161">
        <v>0</v>
      </c>
      <c r="L873" s="164">
        <v>0</v>
      </c>
      <c r="M873" s="161">
        <v>0</v>
      </c>
      <c r="N873" s="164">
        <v>0</v>
      </c>
      <c r="O873" s="161">
        <v>0</v>
      </c>
      <c r="P873" s="164">
        <v>0</v>
      </c>
      <c r="Q873" s="161">
        <v>4.0486666666666657</v>
      </c>
      <c r="R873" s="164">
        <v>22.656833333333335</v>
      </c>
      <c r="S873" s="161">
        <v>38.150333333333343</v>
      </c>
      <c r="T873" s="164">
        <v>45.673333333333353</v>
      </c>
      <c r="U873" s="161">
        <v>49.204499999999975</v>
      </c>
      <c r="V873" s="164">
        <v>46.064000000000036</v>
      </c>
      <c r="W873" s="161">
        <v>34.351666666666652</v>
      </c>
      <c r="X873" s="164">
        <v>0</v>
      </c>
      <c r="Y873" s="161">
        <v>0</v>
      </c>
      <c r="Z873" s="164">
        <v>0</v>
      </c>
      <c r="AA873" s="161">
        <v>0</v>
      </c>
      <c r="AB873" s="164">
        <v>0</v>
      </c>
      <c r="AC873" s="238">
        <f t="shared" si="459"/>
        <v>240.14933333333337</v>
      </c>
      <c r="AD873" s="238"/>
      <c r="AE873" s="238"/>
    </row>
    <row r="874" spans="2:31" x14ac:dyDescent="0.3">
      <c r="B874" s="245" t="s">
        <v>9</v>
      </c>
      <c r="C874" s="245"/>
      <c r="D874" s="245"/>
      <c r="E874" s="161">
        <v>0</v>
      </c>
      <c r="F874" s="164">
        <v>0</v>
      </c>
      <c r="G874" s="161">
        <v>0</v>
      </c>
      <c r="H874" s="164">
        <v>0</v>
      </c>
      <c r="I874" s="161">
        <v>0</v>
      </c>
      <c r="J874" s="164">
        <v>0</v>
      </c>
      <c r="K874" s="161">
        <v>0</v>
      </c>
      <c r="L874" s="164">
        <v>0</v>
      </c>
      <c r="M874" s="161">
        <v>0</v>
      </c>
      <c r="N874" s="164">
        <v>0</v>
      </c>
      <c r="O874" s="161">
        <v>0</v>
      </c>
      <c r="P874" s="164">
        <v>0</v>
      </c>
      <c r="Q874" s="161">
        <v>0</v>
      </c>
      <c r="R874" s="164">
        <v>2.3141666666666656</v>
      </c>
      <c r="S874" s="161">
        <v>11.190999999999999</v>
      </c>
      <c r="T874" s="164">
        <v>11.342833333333333</v>
      </c>
      <c r="U874" s="161">
        <v>0</v>
      </c>
      <c r="V874" s="164">
        <v>0</v>
      </c>
      <c r="W874" s="161">
        <v>0</v>
      </c>
      <c r="X874" s="164">
        <v>0</v>
      </c>
      <c r="Y874" s="161">
        <v>0</v>
      </c>
      <c r="Z874" s="164">
        <v>0</v>
      </c>
      <c r="AA874" s="161">
        <v>0</v>
      </c>
      <c r="AB874" s="164">
        <v>0</v>
      </c>
      <c r="AC874" s="238">
        <f t="shared" si="459"/>
        <v>24.847999999999999</v>
      </c>
      <c r="AD874" s="238"/>
      <c r="AE874" s="238"/>
    </row>
    <row r="875" spans="2:31" x14ac:dyDescent="0.3">
      <c r="B875" s="245" t="s">
        <v>10</v>
      </c>
      <c r="C875" s="245"/>
      <c r="D875" s="245"/>
      <c r="E875" s="161">
        <v>0</v>
      </c>
      <c r="F875" s="164">
        <v>0</v>
      </c>
      <c r="G875" s="161">
        <v>0</v>
      </c>
      <c r="H875" s="164">
        <v>0</v>
      </c>
      <c r="I875" s="161">
        <v>0</v>
      </c>
      <c r="J875" s="164">
        <v>0</v>
      </c>
      <c r="K875" s="161">
        <v>0</v>
      </c>
      <c r="L875" s="164">
        <v>0</v>
      </c>
      <c r="M875" s="161">
        <v>0</v>
      </c>
      <c r="N875" s="164">
        <v>0</v>
      </c>
      <c r="O875" s="161">
        <v>0</v>
      </c>
      <c r="P875" s="164">
        <v>0</v>
      </c>
      <c r="Q875" s="161">
        <v>0</v>
      </c>
      <c r="R875" s="164">
        <v>1.0598333333333361</v>
      </c>
      <c r="S875" s="161">
        <v>15.949</v>
      </c>
      <c r="T875" s="164">
        <v>32.535500000000006</v>
      </c>
      <c r="U875" s="161">
        <v>51.292833333333334</v>
      </c>
      <c r="V875" s="164">
        <v>8.367166666666666</v>
      </c>
      <c r="W875" s="161">
        <v>0</v>
      </c>
      <c r="X875" s="164">
        <v>0</v>
      </c>
      <c r="Y875" s="161">
        <v>0</v>
      </c>
      <c r="Z875" s="164">
        <v>0</v>
      </c>
      <c r="AA875" s="161">
        <v>0</v>
      </c>
      <c r="AB875" s="164">
        <v>0</v>
      </c>
      <c r="AC875" s="238">
        <f t="shared" si="459"/>
        <v>109.20433333333334</v>
      </c>
      <c r="AD875" s="238"/>
      <c r="AE875" s="238"/>
    </row>
    <row r="876" spans="2:31" x14ac:dyDescent="0.3">
      <c r="B876" s="245" t="s">
        <v>11</v>
      </c>
      <c r="C876" s="245"/>
      <c r="D876" s="245"/>
      <c r="E876" s="161">
        <v>0</v>
      </c>
      <c r="F876" s="164">
        <v>0</v>
      </c>
      <c r="G876" s="161">
        <v>0</v>
      </c>
      <c r="H876" s="164">
        <v>0</v>
      </c>
      <c r="I876" s="161">
        <v>0</v>
      </c>
      <c r="J876" s="164">
        <v>0</v>
      </c>
      <c r="K876" s="161">
        <v>0</v>
      </c>
      <c r="L876" s="164">
        <v>0</v>
      </c>
      <c r="M876" s="161">
        <v>0</v>
      </c>
      <c r="N876" s="164">
        <v>0</v>
      </c>
      <c r="O876" s="161">
        <v>0</v>
      </c>
      <c r="P876" s="164">
        <v>0</v>
      </c>
      <c r="Q876" s="161">
        <v>0</v>
      </c>
      <c r="R876" s="164">
        <v>8.1123333333333374</v>
      </c>
      <c r="S876" s="161">
        <v>28.13283333333333</v>
      </c>
      <c r="T876" s="164">
        <v>50.131500000000003</v>
      </c>
      <c r="U876" s="161">
        <v>75.069333333333361</v>
      </c>
      <c r="V876" s="164">
        <v>12.109166666666665</v>
      </c>
      <c r="W876" s="161">
        <v>0</v>
      </c>
      <c r="X876" s="164">
        <v>0</v>
      </c>
      <c r="Y876" s="161">
        <v>0</v>
      </c>
      <c r="Z876" s="164">
        <v>0</v>
      </c>
      <c r="AA876" s="161">
        <v>0</v>
      </c>
      <c r="AB876" s="164">
        <v>0</v>
      </c>
      <c r="AC876" s="238">
        <f t="shared" si="459"/>
        <v>173.55516666666668</v>
      </c>
      <c r="AD876" s="238"/>
      <c r="AE876" s="238"/>
    </row>
    <row r="877" spans="2:31" x14ac:dyDescent="0.3">
      <c r="B877" s="245" t="s">
        <v>12</v>
      </c>
      <c r="C877" s="245"/>
      <c r="D877" s="245"/>
      <c r="E877" s="161">
        <v>0</v>
      </c>
      <c r="F877" s="164">
        <v>0</v>
      </c>
      <c r="G877" s="161">
        <v>0</v>
      </c>
      <c r="H877" s="164">
        <v>0</v>
      </c>
      <c r="I877" s="161">
        <v>0</v>
      </c>
      <c r="J877" s="164">
        <v>0</v>
      </c>
      <c r="K877" s="161">
        <v>0</v>
      </c>
      <c r="L877" s="164">
        <v>0</v>
      </c>
      <c r="M877" s="161">
        <v>0</v>
      </c>
      <c r="N877" s="164">
        <v>0</v>
      </c>
      <c r="O877" s="161">
        <v>0</v>
      </c>
      <c r="P877" s="164">
        <v>0</v>
      </c>
      <c r="Q877" s="161">
        <v>0</v>
      </c>
      <c r="R877" s="164">
        <v>0</v>
      </c>
      <c r="S877" s="161">
        <v>24.437333333333335</v>
      </c>
      <c r="T877" s="164">
        <v>53.75333333333333</v>
      </c>
      <c r="U877" s="161">
        <v>75.288833333333329</v>
      </c>
      <c r="V877" s="164">
        <v>10.570666666666664</v>
      </c>
      <c r="W877" s="161">
        <v>0</v>
      </c>
      <c r="X877" s="164">
        <v>0</v>
      </c>
      <c r="Y877" s="161">
        <v>0</v>
      </c>
      <c r="Z877" s="164">
        <v>0</v>
      </c>
      <c r="AA877" s="161">
        <v>0</v>
      </c>
      <c r="AB877" s="164">
        <v>0</v>
      </c>
      <c r="AC877" s="238">
        <f t="shared" si="459"/>
        <v>164.05016666666663</v>
      </c>
      <c r="AD877" s="238"/>
      <c r="AE877" s="238"/>
    </row>
    <row r="878" spans="2:31" x14ac:dyDescent="0.3">
      <c r="B878" s="245" t="s">
        <v>13</v>
      </c>
      <c r="C878" s="245"/>
      <c r="D878" s="245"/>
      <c r="E878" s="161">
        <v>0</v>
      </c>
      <c r="F878" s="164">
        <v>0</v>
      </c>
      <c r="G878" s="161">
        <v>0</v>
      </c>
      <c r="H878" s="164">
        <v>0</v>
      </c>
      <c r="I878" s="161">
        <v>0</v>
      </c>
      <c r="J878" s="164">
        <v>0</v>
      </c>
      <c r="K878" s="161">
        <v>0</v>
      </c>
      <c r="L878" s="164">
        <v>0</v>
      </c>
      <c r="M878" s="161">
        <v>0</v>
      </c>
      <c r="N878" s="164">
        <v>0</v>
      </c>
      <c r="O878" s="161">
        <v>0</v>
      </c>
      <c r="P878" s="164">
        <v>0</v>
      </c>
      <c r="Q878" s="161">
        <v>0</v>
      </c>
      <c r="R878" s="164">
        <v>6.2946666666666733</v>
      </c>
      <c r="S878" s="161">
        <v>21.772833333333338</v>
      </c>
      <c r="T878" s="164">
        <v>45.578833333333336</v>
      </c>
      <c r="U878" s="161">
        <v>63.219666666666697</v>
      </c>
      <c r="V878" s="164">
        <v>10.405833333333334</v>
      </c>
      <c r="W878" s="161">
        <v>0</v>
      </c>
      <c r="X878" s="164">
        <v>0</v>
      </c>
      <c r="Y878" s="161">
        <v>0</v>
      </c>
      <c r="Z878" s="164">
        <v>0</v>
      </c>
      <c r="AA878" s="161">
        <v>0</v>
      </c>
      <c r="AB878" s="164">
        <v>0</v>
      </c>
      <c r="AC878" s="238">
        <f t="shared" si="459"/>
        <v>147.27183333333338</v>
      </c>
      <c r="AD878" s="238"/>
      <c r="AE878" s="238"/>
    </row>
    <row r="879" spans="2:31" x14ac:dyDescent="0.3">
      <c r="B879" s="245" t="s">
        <v>14</v>
      </c>
      <c r="C879" s="245"/>
      <c r="D879" s="245"/>
      <c r="E879" s="161">
        <v>0</v>
      </c>
      <c r="F879" s="164">
        <v>0</v>
      </c>
      <c r="G879" s="161">
        <v>0</v>
      </c>
      <c r="H879" s="164">
        <v>0</v>
      </c>
      <c r="I879" s="161">
        <v>0</v>
      </c>
      <c r="J879" s="164">
        <v>0</v>
      </c>
      <c r="K879" s="161">
        <v>0</v>
      </c>
      <c r="L879" s="164">
        <v>0</v>
      </c>
      <c r="M879" s="161">
        <v>0</v>
      </c>
      <c r="N879" s="164">
        <v>0</v>
      </c>
      <c r="O879" s="161">
        <v>0</v>
      </c>
      <c r="P879" s="164">
        <v>0</v>
      </c>
      <c r="Q879" s="161">
        <v>0.42500000000000016</v>
      </c>
      <c r="R879" s="164">
        <v>1.75</v>
      </c>
      <c r="S879" s="161">
        <v>1.950000000000002</v>
      </c>
      <c r="T879" s="164">
        <v>1.75</v>
      </c>
      <c r="U879" s="161">
        <v>1.3499999999999994</v>
      </c>
      <c r="V879" s="164">
        <v>0.12250000000000005</v>
      </c>
      <c r="W879" s="161">
        <v>0</v>
      </c>
      <c r="X879" s="164">
        <v>0</v>
      </c>
      <c r="Y879" s="161">
        <v>0</v>
      </c>
      <c r="Z879" s="164">
        <v>0</v>
      </c>
      <c r="AA879" s="161">
        <v>0</v>
      </c>
      <c r="AB879" s="164">
        <v>0</v>
      </c>
      <c r="AC879" s="238">
        <f t="shared" si="459"/>
        <v>7.3475000000000019</v>
      </c>
      <c r="AD879" s="238"/>
      <c r="AE879" s="238"/>
    </row>
    <row r="880" spans="2:31" x14ac:dyDescent="0.3">
      <c r="B880" s="245" t="s">
        <v>15</v>
      </c>
      <c r="C880" s="245"/>
      <c r="D880" s="245"/>
      <c r="E880" s="161">
        <v>0</v>
      </c>
      <c r="F880" s="164">
        <v>0</v>
      </c>
      <c r="G880" s="161">
        <v>0</v>
      </c>
      <c r="H880" s="164">
        <v>0</v>
      </c>
      <c r="I880" s="161">
        <v>0</v>
      </c>
      <c r="J880" s="164">
        <v>0</v>
      </c>
      <c r="K880" s="161">
        <v>0</v>
      </c>
      <c r="L880" s="164">
        <v>0</v>
      </c>
      <c r="M880" s="161">
        <v>0</v>
      </c>
      <c r="N880" s="164">
        <v>0</v>
      </c>
      <c r="O880" s="161">
        <v>0</v>
      </c>
      <c r="P880" s="164">
        <v>0</v>
      </c>
      <c r="Q880" s="161">
        <v>0</v>
      </c>
      <c r="R880" s="164">
        <v>0</v>
      </c>
      <c r="S880" s="161">
        <v>1.7499999999999953E-2</v>
      </c>
      <c r="T880" s="164">
        <v>0.18683333333333277</v>
      </c>
      <c r="U880" s="161">
        <v>1.9833333333333297E-2</v>
      </c>
      <c r="V880" s="164">
        <v>0.32733333333333309</v>
      </c>
      <c r="W880" s="161">
        <v>0</v>
      </c>
      <c r="X880" s="164">
        <v>0</v>
      </c>
      <c r="Y880" s="161">
        <v>0</v>
      </c>
      <c r="Z880" s="164">
        <v>0</v>
      </c>
      <c r="AA880" s="161">
        <v>0</v>
      </c>
      <c r="AB880" s="164">
        <v>0</v>
      </c>
      <c r="AC880" s="238">
        <f t="shared" si="459"/>
        <v>0.5514999999999991</v>
      </c>
      <c r="AD880" s="238"/>
      <c r="AE880" s="238"/>
    </row>
    <row r="881" spans="2:31" x14ac:dyDescent="0.3">
      <c r="B881" s="245" t="s">
        <v>16</v>
      </c>
      <c r="C881" s="245"/>
      <c r="D881" s="245"/>
      <c r="E881" s="161">
        <v>0</v>
      </c>
      <c r="F881" s="164">
        <v>0</v>
      </c>
      <c r="G881" s="161">
        <v>0</v>
      </c>
      <c r="H881" s="164">
        <v>0</v>
      </c>
      <c r="I881" s="161">
        <v>0</v>
      </c>
      <c r="J881" s="164">
        <v>0</v>
      </c>
      <c r="K881" s="161">
        <v>0</v>
      </c>
      <c r="L881" s="164">
        <v>0</v>
      </c>
      <c r="M881" s="161">
        <v>0</v>
      </c>
      <c r="N881" s="164">
        <v>0</v>
      </c>
      <c r="O881" s="161">
        <v>0</v>
      </c>
      <c r="P881" s="164">
        <v>0</v>
      </c>
      <c r="Q881" s="161">
        <v>0</v>
      </c>
      <c r="R881" s="164">
        <v>0</v>
      </c>
      <c r="S881" s="161">
        <v>0</v>
      </c>
      <c r="T881" s="164">
        <v>0</v>
      </c>
      <c r="U881" s="161">
        <v>0</v>
      </c>
      <c r="V881" s="164">
        <v>0</v>
      </c>
      <c r="W881" s="161">
        <v>0</v>
      </c>
      <c r="X881" s="164">
        <v>0</v>
      </c>
      <c r="Y881" s="161">
        <v>0</v>
      </c>
      <c r="Z881" s="164">
        <v>0</v>
      </c>
      <c r="AA881" s="161">
        <v>0</v>
      </c>
      <c r="AB881" s="164">
        <v>0</v>
      </c>
      <c r="AC881" s="238">
        <f t="shared" si="459"/>
        <v>0</v>
      </c>
      <c r="AD881" s="238"/>
      <c r="AE881" s="238"/>
    </row>
    <row r="882" spans="2:31" x14ac:dyDescent="0.3">
      <c r="B882" s="245" t="s">
        <v>17</v>
      </c>
      <c r="C882" s="245"/>
      <c r="D882" s="245"/>
      <c r="E882" s="161">
        <v>0</v>
      </c>
      <c r="F882" s="164">
        <v>0</v>
      </c>
      <c r="G882" s="161">
        <v>0</v>
      </c>
      <c r="H882" s="164">
        <v>0</v>
      </c>
      <c r="I882" s="161">
        <v>0</v>
      </c>
      <c r="J882" s="164">
        <v>0</v>
      </c>
      <c r="K882" s="161">
        <v>0</v>
      </c>
      <c r="L882" s="164">
        <v>0</v>
      </c>
      <c r="M882" s="161">
        <v>0</v>
      </c>
      <c r="N882" s="164">
        <v>0</v>
      </c>
      <c r="O882" s="161">
        <v>0</v>
      </c>
      <c r="P882" s="164">
        <v>0</v>
      </c>
      <c r="Q882" s="161">
        <v>3.5779999999999985</v>
      </c>
      <c r="R882" s="164">
        <v>22.264000000000006</v>
      </c>
      <c r="S882" s="161">
        <v>27.534166666666657</v>
      </c>
      <c r="T882" s="164">
        <v>31.444000000000006</v>
      </c>
      <c r="U882" s="161">
        <v>31.757166666666674</v>
      </c>
      <c r="V882" s="164">
        <v>0</v>
      </c>
      <c r="W882" s="161">
        <v>0</v>
      </c>
      <c r="X882" s="164">
        <v>0</v>
      </c>
      <c r="Y882" s="161">
        <v>0</v>
      </c>
      <c r="Z882" s="164">
        <v>0</v>
      </c>
      <c r="AA882" s="161">
        <v>0</v>
      </c>
      <c r="AB882" s="164">
        <v>0</v>
      </c>
      <c r="AC882" s="238">
        <f t="shared" si="459"/>
        <v>116.57733333333334</v>
      </c>
      <c r="AD882" s="238"/>
      <c r="AE882" s="238"/>
    </row>
    <row r="883" spans="2:31" x14ac:dyDescent="0.3">
      <c r="B883" s="245" t="s">
        <v>18</v>
      </c>
      <c r="C883" s="245"/>
      <c r="D883" s="245"/>
      <c r="E883" s="161">
        <v>0</v>
      </c>
      <c r="F883" s="164">
        <v>0</v>
      </c>
      <c r="G883" s="161">
        <v>0</v>
      </c>
      <c r="H883" s="164">
        <v>0</v>
      </c>
      <c r="I883" s="161">
        <v>0</v>
      </c>
      <c r="J883" s="164">
        <v>0</v>
      </c>
      <c r="K883" s="161">
        <v>0</v>
      </c>
      <c r="L883" s="164">
        <v>0</v>
      </c>
      <c r="M883" s="161">
        <v>0</v>
      </c>
      <c r="N883" s="164">
        <v>0</v>
      </c>
      <c r="O883" s="161">
        <v>0</v>
      </c>
      <c r="P883" s="164">
        <v>0</v>
      </c>
      <c r="Q883" s="161">
        <v>0</v>
      </c>
      <c r="R883" s="164">
        <v>0</v>
      </c>
      <c r="S883" s="161">
        <v>0</v>
      </c>
      <c r="T883" s="164">
        <v>0</v>
      </c>
      <c r="U883" s="161">
        <v>0</v>
      </c>
      <c r="V883" s="164">
        <v>0</v>
      </c>
      <c r="W883" s="161">
        <v>0</v>
      </c>
      <c r="X883" s="164">
        <v>0</v>
      </c>
      <c r="Y883" s="161">
        <v>0</v>
      </c>
      <c r="Z883" s="164">
        <v>0</v>
      </c>
      <c r="AA883" s="161">
        <v>0</v>
      </c>
      <c r="AB883" s="164">
        <v>0</v>
      </c>
      <c r="AC883" s="238">
        <f t="shared" si="459"/>
        <v>0</v>
      </c>
      <c r="AD883" s="238"/>
      <c r="AE883" s="238"/>
    </row>
    <row r="884" spans="2:31" x14ac:dyDescent="0.3">
      <c r="B884" s="245" t="s">
        <v>19</v>
      </c>
      <c r="C884" s="245"/>
      <c r="D884" s="245"/>
      <c r="E884" s="161">
        <v>0</v>
      </c>
      <c r="F884" s="164">
        <v>0</v>
      </c>
      <c r="G884" s="161">
        <v>0</v>
      </c>
      <c r="H884" s="164">
        <v>0</v>
      </c>
      <c r="I884" s="161">
        <v>0</v>
      </c>
      <c r="J884" s="164">
        <v>0</v>
      </c>
      <c r="K884" s="161">
        <v>0</v>
      </c>
      <c r="L884" s="164">
        <v>0</v>
      </c>
      <c r="M884" s="161">
        <v>0</v>
      </c>
      <c r="N884" s="164">
        <v>0</v>
      </c>
      <c r="O884" s="161">
        <v>0</v>
      </c>
      <c r="P884" s="164">
        <v>0</v>
      </c>
      <c r="Q884" s="161">
        <v>27.184999999999985</v>
      </c>
      <c r="R884" s="164">
        <v>59.670000000000044</v>
      </c>
      <c r="S884" s="161">
        <v>62.969999999999921</v>
      </c>
      <c r="T884" s="164">
        <v>65.27</v>
      </c>
      <c r="U884" s="161">
        <v>66.27</v>
      </c>
      <c r="V884" s="164">
        <v>7.8248333333333333</v>
      </c>
      <c r="W884" s="161">
        <v>0</v>
      </c>
      <c r="X884" s="164">
        <v>0</v>
      </c>
      <c r="Y884" s="161">
        <v>0</v>
      </c>
      <c r="Z884" s="164">
        <v>0</v>
      </c>
      <c r="AA884" s="161">
        <v>0</v>
      </c>
      <c r="AB884" s="164">
        <v>0</v>
      </c>
      <c r="AC884" s="238">
        <f t="shared" si="459"/>
        <v>289.1898333333333</v>
      </c>
      <c r="AD884" s="238"/>
      <c r="AE884" s="238"/>
    </row>
    <row r="885" spans="2:31" x14ac:dyDescent="0.3">
      <c r="B885" s="245" t="s">
        <v>20</v>
      </c>
      <c r="C885" s="245"/>
      <c r="D885" s="245"/>
      <c r="E885" s="161">
        <v>0</v>
      </c>
      <c r="F885" s="164">
        <v>0</v>
      </c>
      <c r="G885" s="161">
        <v>0</v>
      </c>
      <c r="H885" s="164">
        <v>0</v>
      </c>
      <c r="I885" s="161">
        <v>0</v>
      </c>
      <c r="J885" s="164">
        <v>0</v>
      </c>
      <c r="K885" s="161">
        <v>0</v>
      </c>
      <c r="L885" s="164">
        <v>0</v>
      </c>
      <c r="M885" s="161">
        <v>0</v>
      </c>
      <c r="N885" s="164">
        <v>0</v>
      </c>
      <c r="O885" s="161">
        <v>0</v>
      </c>
      <c r="P885" s="164">
        <v>0</v>
      </c>
      <c r="Q885" s="161">
        <v>5.51</v>
      </c>
      <c r="R885" s="164">
        <v>12.720000000000018</v>
      </c>
      <c r="S885" s="161">
        <v>14.220000000000018</v>
      </c>
      <c r="T885" s="164">
        <v>15.519999999999989</v>
      </c>
      <c r="U885" s="161">
        <v>17.019999999999989</v>
      </c>
      <c r="V885" s="164">
        <v>2.1139999999999999</v>
      </c>
      <c r="W885" s="161">
        <v>0</v>
      </c>
      <c r="X885" s="164">
        <v>0</v>
      </c>
      <c r="Y885" s="161">
        <v>0</v>
      </c>
      <c r="Z885" s="164">
        <v>0</v>
      </c>
      <c r="AA885" s="161">
        <v>0</v>
      </c>
      <c r="AB885" s="164">
        <v>0</v>
      </c>
      <c r="AC885" s="238">
        <f t="shared" si="459"/>
        <v>67.104000000000013</v>
      </c>
      <c r="AD885" s="238"/>
      <c r="AE885" s="238"/>
    </row>
    <row r="886" spans="2:31" x14ac:dyDescent="0.3">
      <c r="B886" s="245" t="s">
        <v>21</v>
      </c>
      <c r="C886" s="245"/>
      <c r="D886" s="245"/>
      <c r="E886" s="161">
        <v>0</v>
      </c>
      <c r="F886" s="164">
        <v>0</v>
      </c>
      <c r="G886" s="161">
        <v>0</v>
      </c>
      <c r="H886" s="164">
        <v>0</v>
      </c>
      <c r="I886" s="161">
        <v>0</v>
      </c>
      <c r="J886" s="164">
        <v>0</v>
      </c>
      <c r="K886" s="161">
        <v>0</v>
      </c>
      <c r="L886" s="164">
        <v>0</v>
      </c>
      <c r="M886" s="161">
        <v>0</v>
      </c>
      <c r="N886" s="164">
        <v>0</v>
      </c>
      <c r="O886" s="161">
        <v>0</v>
      </c>
      <c r="P886" s="164">
        <v>0</v>
      </c>
      <c r="Q886" s="161">
        <v>0</v>
      </c>
      <c r="R886" s="164">
        <v>0</v>
      </c>
      <c r="S886" s="161">
        <v>0.29750000000000115</v>
      </c>
      <c r="T886" s="164">
        <v>1.9910000000000025</v>
      </c>
      <c r="U886" s="161">
        <v>2.8906666666666694</v>
      </c>
      <c r="V886" s="164">
        <v>0.33433333333333332</v>
      </c>
      <c r="W886" s="161">
        <v>0</v>
      </c>
      <c r="X886" s="164">
        <v>0</v>
      </c>
      <c r="Y886" s="161">
        <v>0</v>
      </c>
      <c r="Z886" s="164">
        <v>0</v>
      </c>
      <c r="AA886" s="161">
        <v>0</v>
      </c>
      <c r="AB886" s="164">
        <v>0</v>
      </c>
      <c r="AC886" s="238">
        <f t="shared" si="459"/>
        <v>5.5135000000000058</v>
      </c>
      <c r="AD886" s="238"/>
      <c r="AE886" s="238"/>
    </row>
    <row r="887" spans="2:31" x14ac:dyDescent="0.3">
      <c r="B887" s="245" t="s">
        <v>22</v>
      </c>
      <c r="C887" s="245"/>
      <c r="D887" s="245"/>
      <c r="E887" s="161">
        <v>0</v>
      </c>
      <c r="F887" s="164">
        <v>0</v>
      </c>
      <c r="G887" s="161">
        <v>0</v>
      </c>
      <c r="H887" s="164">
        <v>0</v>
      </c>
      <c r="I887" s="161">
        <v>0</v>
      </c>
      <c r="J887" s="164">
        <v>0</v>
      </c>
      <c r="K887" s="161">
        <v>0</v>
      </c>
      <c r="L887" s="164">
        <v>0</v>
      </c>
      <c r="M887" s="161">
        <v>0</v>
      </c>
      <c r="N887" s="164">
        <v>0</v>
      </c>
      <c r="O887" s="161">
        <v>0</v>
      </c>
      <c r="P887" s="164">
        <v>0</v>
      </c>
      <c r="Q887" s="161">
        <v>0</v>
      </c>
      <c r="R887" s="164">
        <v>0</v>
      </c>
      <c r="S887" s="161">
        <v>0.30816666666666648</v>
      </c>
      <c r="T887" s="164">
        <v>0.51899999999999935</v>
      </c>
      <c r="U887" s="161">
        <v>1.2138333333333329</v>
      </c>
      <c r="V887" s="164">
        <v>0.20650000000000013</v>
      </c>
      <c r="W887" s="161">
        <v>0</v>
      </c>
      <c r="X887" s="164">
        <v>0</v>
      </c>
      <c r="Y887" s="161">
        <v>0</v>
      </c>
      <c r="Z887" s="164">
        <v>0</v>
      </c>
      <c r="AA887" s="161">
        <v>0</v>
      </c>
      <c r="AB887" s="164">
        <v>0</v>
      </c>
      <c r="AC887" s="238">
        <f t="shared" si="459"/>
        <v>2.2474999999999987</v>
      </c>
      <c r="AD887" s="238"/>
      <c r="AE887" s="238"/>
    </row>
    <row r="888" spans="2:31" x14ac:dyDescent="0.3">
      <c r="B888" s="245" t="s">
        <v>23</v>
      </c>
      <c r="C888" s="245"/>
      <c r="D888" s="245"/>
      <c r="E888" s="161">
        <v>0</v>
      </c>
      <c r="F888" s="164">
        <v>0</v>
      </c>
      <c r="G888" s="161">
        <v>0</v>
      </c>
      <c r="H888" s="164">
        <v>0</v>
      </c>
      <c r="I888" s="161">
        <v>0</v>
      </c>
      <c r="J888" s="164">
        <v>0</v>
      </c>
      <c r="K888" s="161">
        <v>0</v>
      </c>
      <c r="L888" s="164">
        <v>0</v>
      </c>
      <c r="M888" s="161">
        <v>0</v>
      </c>
      <c r="N888" s="164">
        <v>0</v>
      </c>
      <c r="O888" s="161">
        <v>0</v>
      </c>
      <c r="P888" s="164">
        <v>0</v>
      </c>
      <c r="Q888" s="161">
        <v>0</v>
      </c>
      <c r="R888" s="164">
        <v>0</v>
      </c>
      <c r="S888" s="161">
        <v>6.5535000000000005</v>
      </c>
      <c r="T888" s="164">
        <v>16.940333333333335</v>
      </c>
      <c r="U888" s="161">
        <v>19.323000000000004</v>
      </c>
      <c r="V888" s="164">
        <v>1.9638333333333331</v>
      </c>
      <c r="W888" s="161">
        <v>0</v>
      </c>
      <c r="X888" s="164">
        <v>0</v>
      </c>
      <c r="Y888" s="161">
        <v>0</v>
      </c>
      <c r="Z888" s="164">
        <v>0</v>
      </c>
      <c r="AA888" s="161">
        <v>0</v>
      </c>
      <c r="AB888" s="164">
        <v>0</v>
      </c>
      <c r="AC888" s="238">
        <f t="shared" si="459"/>
        <v>44.780666666666669</v>
      </c>
      <c r="AD888" s="238"/>
      <c r="AE888" s="238"/>
    </row>
    <row r="889" spans="2:31" x14ac:dyDescent="0.3">
      <c r="B889" s="245" t="s">
        <v>24</v>
      </c>
      <c r="C889" s="245"/>
      <c r="D889" s="245"/>
      <c r="E889" s="161">
        <v>0</v>
      </c>
      <c r="F889" s="164">
        <v>0</v>
      </c>
      <c r="G889" s="161">
        <v>0</v>
      </c>
      <c r="H889" s="164">
        <v>0</v>
      </c>
      <c r="I889" s="161">
        <v>0</v>
      </c>
      <c r="J889" s="164">
        <v>0</v>
      </c>
      <c r="K889" s="161">
        <v>0</v>
      </c>
      <c r="L889" s="164">
        <v>0</v>
      </c>
      <c r="M889" s="161">
        <v>0</v>
      </c>
      <c r="N889" s="164">
        <v>0</v>
      </c>
      <c r="O889" s="161">
        <v>0</v>
      </c>
      <c r="P889" s="164">
        <v>0</v>
      </c>
      <c r="Q889" s="161">
        <v>0</v>
      </c>
      <c r="R889" s="164">
        <v>0</v>
      </c>
      <c r="S889" s="161">
        <v>0</v>
      </c>
      <c r="T889" s="164">
        <v>0.10366666666666682</v>
      </c>
      <c r="U889" s="161">
        <v>1.3076666666666672</v>
      </c>
      <c r="V889" s="164">
        <v>0.39516666666666678</v>
      </c>
      <c r="W889" s="161">
        <v>0</v>
      </c>
      <c r="X889" s="164">
        <v>0</v>
      </c>
      <c r="Y889" s="161">
        <v>0</v>
      </c>
      <c r="Z889" s="164">
        <v>0</v>
      </c>
      <c r="AA889" s="161">
        <v>0</v>
      </c>
      <c r="AB889" s="164">
        <v>0</v>
      </c>
      <c r="AC889" s="238">
        <f t="shared" si="459"/>
        <v>1.8065000000000007</v>
      </c>
      <c r="AD889" s="238"/>
      <c r="AE889" s="238"/>
    </row>
    <row r="890" spans="2:31" x14ac:dyDescent="0.3">
      <c r="B890" s="245" t="s">
        <v>25</v>
      </c>
      <c r="C890" s="245"/>
      <c r="D890" s="245"/>
      <c r="E890" s="161">
        <v>0</v>
      </c>
      <c r="F890" s="164">
        <v>0</v>
      </c>
      <c r="G890" s="161">
        <v>0</v>
      </c>
      <c r="H890" s="164">
        <v>0</v>
      </c>
      <c r="I890" s="161">
        <v>0</v>
      </c>
      <c r="J890" s="164">
        <v>0</v>
      </c>
      <c r="K890" s="161">
        <v>0</v>
      </c>
      <c r="L890" s="164">
        <v>0</v>
      </c>
      <c r="M890" s="161">
        <v>0</v>
      </c>
      <c r="N890" s="164">
        <v>0</v>
      </c>
      <c r="O890" s="161">
        <v>0</v>
      </c>
      <c r="P890" s="164">
        <v>0</v>
      </c>
      <c r="Q890" s="161">
        <v>0</v>
      </c>
      <c r="R890" s="164">
        <v>0</v>
      </c>
      <c r="S890" s="161">
        <v>0</v>
      </c>
      <c r="T890" s="164">
        <v>0</v>
      </c>
      <c r="U890" s="161">
        <v>0</v>
      </c>
      <c r="V890" s="164">
        <v>0</v>
      </c>
      <c r="W890" s="161">
        <v>0</v>
      </c>
      <c r="X890" s="164">
        <v>0</v>
      </c>
      <c r="Y890" s="161">
        <v>0</v>
      </c>
      <c r="Z890" s="164">
        <v>0</v>
      </c>
      <c r="AA890" s="161">
        <v>0</v>
      </c>
      <c r="AB890" s="164">
        <v>0</v>
      </c>
      <c r="AC890" s="238">
        <f t="shared" si="459"/>
        <v>0</v>
      </c>
      <c r="AD890" s="238"/>
      <c r="AE890" s="238"/>
    </row>
    <row r="891" spans="2:31" x14ac:dyDescent="0.3">
      <c r="B891" s="245" t="s">
        <v>26</v>
      </c>
      <c r="C891" s="245"/>
      <c r="D891" s="245"/>
      <c r="E891" s="161">
        <v>0</v>
      </c>
      <c r="F891" s="164">
        <v>0</v>
      </c>
      <c r="G891" s="161">
        <v>0</v>
      </c>
      <c r="H891" s="164">
        <v>0</v>
      </c>
      <c r="I891" s="161">
        <v>0</v>
      </c>
      <c r="J891" s="164">
        <v>0</v>
      </c>
      <c r="K891" s="161">
        <v>0</v>
      </c>
      <c r="L891" s="164">
        <v>0</v>
      </c>
      <c r="M891" s="161">
        <v>0</v>
      </c>
      <c r="N891" s="164">
        <v>0</v>
      </c>
      <c r="O891" s="161">
        <v>0</v>
      </c>
      <c r="P891" s="164">
        <v>0</v>
      </c>
      <c r="Q891" s="161">
        <v>0</v>
      </c>
      <c r="R891" s="164">
        <v>0</v>
      </c>
      <c r="S891" s="161">
        <v>0</v>
      </c>
      <c r="T891" s="164">
        <v>0</v>
      </c>
      <c r="U891" s="161">
        <v>0</v>
      </c>
      <c r="V891" s="164">
        <v>0</v>
      </c>
      <c r="W891" s="161">
        <v>0</v>
      </c>
      <c r="X891" s="164">
        <v>0</v>
      </c>
      <c r="Y891" s="161">
        <v>0</v>
      </c>
      <c r="Z891" s="164">
        <v>0</v>
      </c>
      <c r="AA891" s="161">
        <v>0</v>
      </c>
      <c r="AB891" s="164">
        <v>0</v>
      </c>
      <c r="AC891" s="238">
        <f t="shared" si="459"/>
        <v>0</v>
      </c>
      <c r="AD891" s="238"/>
      <c r="AE891" s="238"/>
    </row>
    <row r="892" spans="2:31" x14ac:dyDescent="0.3">
      <c r="B892" s="245" t="s">
        <v>27</v>
      </c>
      <c r="C892" s="245"/>
      <c r="D892" s="245"/>
      <c r="E892" s="161">
        <v>0</v>
      </c>
      <c r="F892" s="164">
        <v>0</v>
      </c>
      <c r="G892" s="161">
        <v>0</v>
      </c>
      <c r="H892" s="164">
        <v>0</v>
      </c>
      <c r="I892" s="161">
        <v>0</v>
      </c>
      <c r="J892" s="164">
        <v>0</v>
      </c>
      <c r="K892" s="161">
        <v>0</v>
      </c>
      <c r="L892" s="164">
        <v>0</v>
      </c>
      <c r="M892" s="161">
        <v>0</v>
      </c>
      <c r="N892" s="164">
        <v>0</v>
      </c>
      <c r="O892" s="161">
        <v>0</v>
      </c>
      <c r="P892" s="164">
        <v>0</v>
      </c>
      <c r="Q892" s="161">
        <v>0</v>
      </c>
      <c r="R892" s="164">
        <v>0</v>
      </c>
      <c r="S892" s="161">
        <v>0</v>
      </c>
      <c r="T892" s="164">
        <v>0</v>
      </c>
      <c r="U892" s="161">
        <v>0</v>
      </c>
      <c r="V892" s="164">
        <v>0</v>
      </c>
      <c r="W892" s="161">
        <v>0</v>
      </c>
      <c r="X892" s="164">
        <v>0</v>
      </c>
      <c r="Y892" s="161">
        <v>0</v>
      </c>
      <c r="Z892" s="164">
        <v>0</v>
      </c>
      <c r="AA892" s="161">
        <v>0</v>
      </c>
      <c r="AB892" s="164">
        <v>0</v>
      </c>
      <c r="AC892" s="238">
        <f t="shared" si="459"/>
        <v>0</v>
      </c>
      <c r="AD892" s="238"/>
      <c r="AE892" s="238"/>
    </row>
    <row r="893" spans="2:31" x14ac:dyDescent="0.3">
      <c r="B893" s="245" t="s">
        <v>28</v>
      </c>
      <c r="C893" s="245"/>
      <c r="D893" s="245"/>
      <c r="E893" s="161">
        <v>0</v>
      </c>
      <c r="F893" s="164">
        <v>0</v>
      </c>
      <c r="G893" s="161">
        <v>0</v>
      </c>
      <c r="H893" s="164">
        <v>0</v>
      </c>
      <c r="I893" s="161">
        <v>0</v>
      </c>
      <c r="J893" s="164">
        <v>0</v>
      </c>
      <c r="K893" s="161">
        <v>0</v>
      </c>
      <c r="L893" s="164">
        <v>0</v>
      </c>
      <c r="M893" s="161">
        <v>0</v>
      </c>
      <c r="N893" s="164">
        <v>0</v>
      </c>
      <c r="O893" s="161">
        <v>0</v>
      </c>
      <c r="P893" s="164">
        <v>0</v>
      </c>
      <c r="Q893" s="161">
        <v>0</v>
      </c>
      <c r="R893" s="164">
        <v>0</v>
      </c>
      <c r="S893" s="161">
        <v>0</v>
      </c>
      <c r="T893" s="164">
        <v>0</v>
      </c>
      <c r="U893" s="161">
        <v>0</v>
      </c>
      <c r="V893" s="164">
        <v>0</v>
      </c>
      <c r="W893" s="161">
        <v>0</v>
      </c>
      <c r="X893" s="164">
        <v>0</v>
      </c>
      <c r="Y893" s="161">
        <v>0</v>
      </c>
      <c r="Z893" s="164">
        <v>0</v>
      </c>
      <c r="AA893" s="161">
        <v>0</v>
      </c>
      <c r="AB893" s="164">
        <v>0</v>
      </c>
      <c r="AC893" s="238">
        <f t="shared" si="459"/>
        <v>0</v>
      </c>
      <c r="AD893" s="238"/>
      <c r="AE893" s="238"/>
    </row>
    <row r="894" spans="2:31" x14ac:dyDescent="0.3">
      <c r="B894" s="245" t="s">
        <v>92</v>
      </c>
      <c r="C894" s="245"/>
      <c r="D894" s="245"/>
      <c r="E894" s="161">
        <v>0</v>
      </c>
      <c r="F894" s="164">
        <v>0</v>
      </c>
      <c r="G894" s="161">
        <v>0</v>
      </c>
      <c r="H894" s="164">
        <v>0</v>
      </c>
      <c r="I894" s="161">
        <v>0</v>
      </c>
      <c r="J894" s="164">
        <v>0</v>
      </c>
      <c r="K894" s="161">
        <v>0</v>
      </c>
      <c r="L894" s="164">
        <v>0</v>
      </c>
      <c r="M894" s="161">
        <v>0</v>
      </c>
      <c r="N894" s="164">
        <v>0</v>
      </c>
      <c r="O894" s="161">
        <v>0</v>
      </c>
      <c r="P894" s="164">
        <v>0</v>
      </c>
      <c r="Q894" s="161">
        <v>0</v>
      </c>
      <c r="R894" s="164">
        <v>0</v>
      </c>
      <c r="S894" s="161">
        <v>0</v>
      </c>
      <c r="T894" s="164">
        <v>0</v>
      </c>
      <c r="U894" s="161">
        <v>0</v>
      </c>
      <c r="V894" s="164">
        <v>0</v>
      </c>
      <c r="W894" s="161">
        <v>0</v>
      </c>
      <c r="X894" s="164">
        <v>0</v>
      </c>
      <c r="Y894" s="161">
        <v>0</v>
      </c>
      <c r="Z894" s="164">
        <v>0</v>
      </c>
      <c r="AA894" s="161">
        <v>0</v>
      </c>
      <c r="AB894" s="164">
        <v>0</v>
      </c>
      <c r="AC894" s="238">
        <f t="shared" si="459"/>
        <v>0</v>
      </c>
      <c r="AD894" s="238"/>
      <c r="AE894" s="238"/>
    </row>
    <row r="895" spans="2:31" x14ac:dyDescent="0.3">
      <c r="B895" s="245" t="s">
        <v>29</v>
      </c>
      <c r="C895" s="245"/>
      <c r="D895" s="245"/>
      <c r="E895" s="161">
        <v>0</v>
      </c>
      <c r="F895" s="164">
        <v>0</v>
      </c>
      <c r="G895" s="161">
        <v>0</v>
      </c>
      <c r="H895" s="164">
        <v>0</v>
      </c>
      <c r="I895" s="161">
        <v>0</v>
      </c>
      <c r="J895" s="164">
        <v>0</v>
      </c>
      <c r="K895" s="161">
        <v>0</v>
      </c>
      <c r="L895" s="164">
        <v>0</v>
      </c>
      <c r="M895" s="161">
        <v>0</v>
      </c>
      <c r="N895" s="164">
        <v>0</v>
      </c>
      <c r="O895" s="161">
        <v>0</v>
      </c>
      <c r="P895" s="164">
        <v>0</v>
      </c>
      <c r="Q895" s="161">
        <v>0</v>
      </c>
      <c r="R895" s="164">
        <v>0</v>
      </c>
      <c r="S895" s="161">
        <v>0</v>
      </c>
      <c r="T895" s="164">
        <v>0</v>
      </c>
      <c r="U895" s="161">
        <v>0</v>
      </c>
      <c r="V895" s="164">
        <v>0</v>
      </c>
      <c r="W895" s="161">
        <v>0</v>
      </c>
      <c r="X895" s="164">
        <v>0</v>
      </c>
      <c r="Y895" s="161">
        <v>0</v>
      </c>
      <c r="Z895" s="164">
        <v>0</v>
      </c>
      <c r="AA895" s="161">
        <v>0</v>
      </c>
      <c r="AB895" s="164">
        <v>0</v>
      </c>
      <c r="AC895" s="238">
        <f t="shared" si="459"/>
        <v>0</v>
      </c>
      <c r="AD895" s="238"/>
      <c r="AE895" s="238"/>
    </row>
    <row r="896" spans="2:31" x14ac:dyDescent="0.3">
      <c r="B896" s="245" t="s">
        <v>30</v>
      </c>
      <c r="C896" s="245"/>
      <c r="D896" s="245"/>
      <c r="E896" s="161">
        <v>0</v>
      </c>
      <c r="F896" s="164">
        <v>0</v>
      </c>
      <c r="G896" s="161">
        <v>0</v>
      </c>
      <c r="H896" s="164">
        <v>0</v>
      </c>
      <c r="I896" s="161">
        <v>0</v>
      </c>
      <c r="J896" s="164">
        <v>0</v>
      </c>
      <c r="K896" s="161">
        <v>0</v>
      </c>
      <c r="L896" s="164">
        <v>0</v>
      </c>
      <c r="M896" s="161">
        <v>0</v>
      </c>
      <c r="N896" s="164">
        <v>0</v>
      </c>
      <c r="O896" s="161">
        <v>0</v>
      </c>
      <c r="P896" s="164">
        <v>0</v>
      </c>
      <c r="Q896" s="161">
        <v>0</v>
      </c>
      <c r="R896" s="164">
        <v>0</v>
      </c>
      <c r="S896" s="161">
        <v>0</v>
      </c>
      <c r="T896" s="164">
        <v>0</v>
      </c>
      <c r="U896" s="161">
        <v>0</v>
      </c>
      <c r="V896" s="164">
        <v>0</v>
      </c>
      <c r="W896" s="161">
        <v>0</v>
      </c>
      <c r="X896" s="164">
        <v>0</v>
      </c>
      <c r="Y896" s="161">
        <v>0</v>
      </c>
      <c r="Z896" s="164">
        <v>0</v>
      </c>
      <c r="AA896" s="161">
        <v>0</v>
      </c>
      <c r="AB896" s="164">
        <v>0</v>
      </c>
      <c r="AC896" s="238">
        <f t="shared" si="459"/>
        <v>0</v>
      </c>
      <c r="AD896" s="238"/>
      <c r="AE896" s="238"/>
    </row>
    <row r="897" spans="2:31" x14ac:dyDescent="0.3">
      <c r="B897" s="245" t="s">
        <v>31</v>
      </c>
      <c r="C897" s="245"/>
      <c r="D897" s="245"/>
      <c r="E897" s="161">
        <v>0</v>
      </c>
      <c r="F897" s="164">
        <v>0</v>
      </c>
      <c r="G897" s="161">
        <v>0</v>
      </c>
      <c r="H897" s="164">
        <v>0</v>
      </c>
      <c r="I897" s="161">
        <v>0</v>
      </c>
      <c r="J897" s="164">
        <v>0</v>
      </c>
      <c r="K897" s="161">
        <v>0</v>
      </c>
      <c r="L897" s="164">
        <v>0</v>
      </c>
      <c r="M897" s="161">
        <v>0</v>
      </c>
      <c r="N897" s="164">
        <v>0</v>
      </c>
      <c r="O897" s="161">
        <v>0</v>
      </c>
      <c r="P897" s="164">
        <v>0</v>
      </c>
      <c r="Q897" s="161">
        <v>0</v>
      </c>
      <c r="R897" s="164">
        <v>0</v>
      </c>
      <c r="S897" s="161">
        <v>0</v>
      </c>
      <c r="T897" s="164">
        <v>0</v>
      </c>
      <c r="U897" s="161">
        <v>0</v>
      </c>
      <c r="V897" s="164">
        <v>0</v>
      </c>
      <c r="W897" s="161">
        <v>0</v>
      </c>
      <c r="X897" s="164">
        <v>0</v>
      </c>
      <c r="Y897" s="161">
        <v>0</v>
      </c>
      <c r="Z897" s="164">
        <v>0</v>
      </c>
      <c r="AA897" s="161">
        <v>0</v>
      </c>
      <c r="AB897" s="164">
        <v>0</v>
      </c>
      <c r="AC897" s="238">
        <f t="shared" si="459"/>
        <v>0</v>
      </c>
      <c r="AD897" s="238"/>
      <c r="AE897" s="238"/>
    </row>
    <row r="898" spans="2:31" x14ac:dyDescent="0.3">
      <c r="B898" s="245" t="s">
        <v>32</v>
      </c>
      <c r="C898" s="245"/>
      <c r="D898" s="245"/>
      <c r="E898" s="161">
        <v>0</v>
      </c>
      <c r="F898" s="164">
        <v>0</v>
      </c>
      <c r="G898" s="161">
        <v>0</v>
      </c>
      <c r="H898" s="164">
        <v>0</v>
      </c>
      <c r="I898" s="161">
        <v>0</v>
      </c>
      <c r="J898" s="164">
        <v>0</v>
      </c>
      <c r="K898" s="161">
        <v>0</v>
      </c>
      <c r="L898" s="164">
        <v>0</v>
      </c>
      <c r="M898" s="161">
        <v>0</v>
      </c>
      <c r="N898" s="164">
        <v>0</v>
      </c>
      <c r="O898" s="161">
        <v>0</v>
      </c>
      <c r="P898" s="164">
        <v>0</v>
      </c>
      <c r="Q898" s="161">
        <v>0</v>
      </c>
      <c r="R898" s="164">
        <v>0</v>
      </c>
      <c r="S898" s="161">
        <v>0</v>
      </c>
      <c r="T898" s="164">
        <v>0</v>
      </c>
      <c r="U898" s="161">
        <v>0</v>
      </c>
      <c r="V898" s="164">
        <v>0</v>
      </c>
      <c r="W898" s="161">
        <v>0</v>
      </c>
      <c r="X898" s="164">
        <v>0</v>
      </c>
      <c r="Y898" s="161">
        <v>0</v>
      </c>
      <c r="Z898" s="164">
        <v>0</v>
      </c>
      <c r="AA898" s="161">
        <v>0</v>
      </c>
      <c r="AB898" s="164">
        <v>0</v>
      </c>
      <c r="AC898" s="238">
        <f t="shared" si="459"/>
        <v>0</v>
      </c>
      <c r="AD898" s="238"/>
      <c r="AE898" s="238"/>
    </row>
    <row r="899" spans="2:31" x14ac:dyDescent="0.3">
      <c r="B899" s="245" t="s">
        <v>33</v>
      </c>
      <c r="C899" s="245"/>
      <c r="D899" s="245"/>
      <c r="E899" s="161">
        <v>0</v>
      </c>
      <c r="F899" s="164">
        <v>0</v>
      </c>
      <c r="G899" s="161">
        <v>0</v>
      </c>
      <c r="H899" s="164">
        <v>0</v>
      </c>
      <c r="I899" s="161">
        <v>0</v>
      </c>
      <c r="J899" s="164">
        <v>0</v>
      </c>
      <c r="K899" s="161">
        <v>0</v>
      </c>
      <c r="L899" s="164">
        <v>0</v>
      </c>
      <c r="M899" s="161">
        <v>0</v>
      </c>
      <c r="N899" s="164">
        <v>0</v>
      </c>
      <c r="O899" s="161">
        <v>0</v>
      </c>
      <c r="P899" s="164">
        <v>0</v>
      </c>
      <c r="Q899" s="161">
        <v>0</v>
      </c>
      <c r="R899" s="164">
        <v>0</v>
      </c>
      <c r="S899" s="161">
        <v>0</v>
      </c>
      <c r="T899" s="164">
        <v>0</v>
      </c>
      <c r="U899" s="161">
        <v>0</v>
      </c>
      <c r="V899" s="164">
        <v>0</v>
      </c>
      <c r="W899" s="161">
        <v>0</v>
      </c>
      <c r="X899" s="164">
        <v>0</v>
      </c>
      <c r="Y899" s="161">
        <v>0</v>
      </c>
      <c r="Z899" s="164">
        <v>0</v>
      </c>
      <c r="AA899" s="161">
        <v>0</v>
      </c>
      <c r="AB899" s="164">
        <v>0</v>
      </c>
      <c r="AC899" s="238">
        <f t="shared" si="459"/>
        <v>0</v>
      </c>
      <c r="AD899" s="238"/>
      <c r="AE899" s="238"/>
    </row>
    <row r="900" spans="2:31" x14ac:dyDescent="0.3">
      <c r="B900" s="245" t="s">
        <v>34</v>
      </c>
      <c r="C900" s="245"/>
      <c r="D900" s="245"/>
      <c r="E900" s="161">
        <v>0</v>
      </c>
      <c r="F900" s="164">
        <v>0</v>
      </c>
      <c r="G900" s="161">
        <v>0</v>
      </c>
      <c r="H900" s="164">
        <v>0</v>
      </c>
      <c r="I900" s="161">
        <v>0</v>
      </c>
      <c r="J900" s="164">
        <v>0</v>
      </c>
      <c r="K900" s="161">
        <v>0</v>
      </c>
      <c r="L900" s="164">
        <v>0</v>
      </c>
      <c r="M900" s="161">
        <v>0</v>
      </c>
      <c r="N900" s="164">
        <v>0</v>
      </c>
      <c r="O900" s="161">
        <v>0</v>
      </c>
      <c r="P900" s="164">
        <v>0</v>
      </c>
      <c r="Q900" s="161">
        <v>0</v>
      </c>
      <c r="R900" s="164">
        <v>0</v>
      </c>
      <c r="S900" s="161">
        <v>0</v>
      </c>
      <c r="T900" s="164">
        <v>0</v>
      </c>
      <c r="U900" s="161">
        <v>0</v>
      </c>
      <c r="V900" s="164">
        <v>0</v>
      </c>
      <c r="W900" s="161">
        <v>0</v>
      </c>
      <c r="X900" s="164">
        <v>0</v>
      </c>
      <c r="Y900" s="161">
        <v>0</v>
      </c>
      <c r="Z900" s="164">
        <v>0</v>
      </c>
      <c r="AA900" s="161">
        <v>0</v>
      </c>
      <c r="AB900" s="164">
        <v>0</v>
      </c>
      <c r="AC900" s="238">
        <f t="shared" si="459"/>
        <v>0</v>
      </c>
      <c r="AD900" s="238"/>
      <c r="AE900" s="238"/>
    </row>
    <row r="901" spans="2:31" x14ac:dyDescent="0.3">
      <c r="B901" s="245" t="s">
        <v>35</v>
      </c>
      <c r="C901" s="245"/>
      <c r="D901" s="245"/>
      <c r="E901" s="161">
        <v>0</v>
      </c>
      <c r="F901" s="164">
        <v>0</v>
      </c>
      <c r="G901" s="161">
        <v>0</v>
      </c>
      <c r="H901" s="164">
        <v>0</v>
      </c>
      <c r="I901" s="161">
        <v>0</v>
      </c>
      <c r="J901" s="164">
        <v>0</v>
      </c>
      <c r="K901" s="161">
        <v>0</v>
      </c>
      <c r="L901" s="164">
        <v>0</v>
      </c>
      <c r="M901" s="161">
        <v>0</v>
      </c>
      <c r="N901" s="164">
        <v>0</v>
      </c>
      <c r="O901" s="161">
        <v>0</v>
      </c>
      <c r="P901" s="164">
        <v>0</v>
      </c>
      <c r="Q901" s="161">
        <v>0</v>
      </c>
      <c r="R901" s="164">
        <v>0</v>
      </c>
      <c r="S901" s="161">
        <v>0</v>
      </c>
      <c r="T901" s="164">
        <v>0</v>
      </c>
      <c r="U901" s="161">
        <v>0</v>
      </c>
      <c r="V901" s="164">
        <v>0</v>
      </c>
      <c r="W901" s="161">
        <v>0</v>
      </c>
      <c r="X901" s="164">
        <v>0</v>
      </c>
      <c r="Y901" s="161">
        <v>0</v>
      </c>
      <c r="Z901" s="164">
        <v>0</v>
      </c>
      <c r="AA901" s="161">
        <v>0</v>
      </c>
      <c r="AB901" s="164">
        <v>0</v>
      </c>
      <c r="AC901" s="238">
        <f t="shared" si="459"/>
        <v>0</v>
      </c>
      <c r="AD901" s="238"/>
      <c r="AE901" s="238"/>
    </row>
    <row r="902" spans="2:31" x14ac:dyDescent="0.3">
      <c r="B902" s="245" t="s">
        <v>36</v>
      </c>
      <c r="C902" s="245"/>
      <c r="D902" s="245"/>
      <c r="E902" s="161">
        <v>0</v>
      </c>
      <c r="F902" s="164">
        <v>0</v>
      </c>
      <c r="G902" s="161">
        <v>0</v>
      </c>
      <c r="H902" s="164">
        <v>0</v>
      </c>
      <c r="I902" s="161">
        <v>0</v>
      </c>
      <c r="J902" s="164">
        <v>0</v>
      </c>
      <c r="K902" s="161">
        <v>0</v>
      </c>
      <c r="L902" s="164">
        <v>0</v>
      </c>
      <c r="M902" s="161">
        <v>0</v>
      </c>
      <c r="N902" s="164">
        <v>0</v>
      </c>
      <c r="O902" s="161">
        <v>0</v>
      </c>
      <c r="P902" s="164">
        <v>0</v>
      </c>
      <c r="Q902" s="161">
        <v>0</v>
      </c>
      <c r="R902" s="164">
        <v>0</v>
      </c>
      <c r="S902" s="161">
        <v>0</v>
      </c>
      <c r="T902" s="164">
        <v>0</v>
      </c>
      <c r="U902" s="161">
        <v>0</v>
      </c>
      <c r="V902" s="164">
        <v>0</v>
      </c>
      <c r="W902" s="161">
        <v>0</v>
      </c>
      <c r="X902" s="164">
        <v>0</v>
      </c>
      <c r="Y902" s="161">
        <v>0</v>
      </c>
      <c r="Z902" s="164">
        <v>0</v>
      </c>
      <c r="AA902" s="161">
        <v>0</v>
      </c>
      <c r="AB902" s="164">
        <v>0</v>
      </c>
      <c r="AC902" s="238">
        <f t="shared" si="459"/>
        <v>0</v>
      </c>
      <c r="AD902" s="238"/>
      <c r="AE902" s="238"/>
    </row>
    <row r="903" spans="2:31" x14ac:dyDescent="0.3">
      <c r="B903" s="13" t="s">
        <v>89</v>
      </c>
      <c r="C903" s="13"/>
      <c r="D903" s="13"/>
      <c r="E903" s="161">
        <v>0</v>
      </c>
      <c r="F903" s="164">
        <v>0</v>
      </c>
      <c r="G903" s="161">
        <v>0</v>
      </c>
      <c r="H903" s="164">
        <v>0</v>
      </c>
      <c r="I903" s="161">
        <v>0</v>
      </c>
      <c r="J903" s="164">
        <v>0</v>
      </c>
      <c r="K903" s="161">
        <v>0</v>
      </c>
      <c r="L903" s="164">
        <v>0</v>
      </c>
      <c r="M903" s="161">
        <v>0</v>
      </c>
      <c r="N903" s="164">
        <v>0</v>
      </c>
      <c r="O903" s="161">
        <v>0</v>
      </c>
      <c r="P903" s="164">
        <v>0</v>
      </c>
      <c r="Q903" s="161">
        <v>0</v>
      </c>
      <c r="R903" s="164">
        <v>0</v>
      </c>
      <c r="S903" s="161">
        <v>0</v>
      </c>
      <c r="T903" s="164">
        <v>0</v>
      </c>
      <c r="U903" s="161">
        <v>0</v>
      </c>
      <c r="V903" s="164">
        <v>0</v>
      </c>
      <c r="W903" s="161">
        <v>0</v>
      </c>
      <c r="X903" s="164">
        <v>0</v>
      </c>
      <c r="Y903" s="161">
        <v>0</v>
      </c>
      <c r="Z903" s="164">
        <v>0</v>
      </c>
      <c r="AA903" s="161">
        <v>0</v>
      </c>
      <c r="AB903" s="164">
        <v>0</v>
      </c>
      <c r="AC903" s="238">
        <f t="shared" si="459"/>
        <v>0</v>
      </c>
      <c r="AD903" s="238"/>
      <c r="AE903" s="238"/>
    </row>
    <row r="904" spans="2:31" x14ac:dyDescent="0.3">
      <c r="B904" s="13" t="s">
        <v>90</v>
      </c>
      <c r="C904" s="13"/>
      <c r="D904" s="13"/>
      <c r="E904" s="161">
        <v>0</v>
      </c>
      <c r="F904" s="164">
        <v>0</v>
      </c>
      <c r="G904" s="161">
        <v>0</v>
      </c>
      <c r="H904" s="164">
        <v>0</v>
      </c>
      <c r="I904" s="161">
        <v>0</v>
      </c>
      <c r="J904" s="164">
        <v>0</v>
      </c>
      <c r="K904" s="161">
        <v>0</v>
      </c>
      <c r="L904" s="164">
        <v>0</v>
      </c>
      <c r="M904" s="161">
        <v>0</v>
      </c>
      <c r="N904" s="164">
        <v>0</v>
      </c>
      <c r="O904" s="161">
        <v>0</v>
      </c>
      <c r="P904" s="164">
        <v>0</v>
      </c>
      <c r="Q904" s="161">
        <v>0</v>
      </c>
      <c r="R904" s="164">
        <v>0</v>
      </c>
      <c r="S904" s="161">
        <v>0</v>
      </c>
      <c r="T904" s="164">
        <v>0</v>
      </c>
      <c r="U904" s="161">
        <v>0</v>
      </c>
      <c r="V904" s="164">
        <v>0</v>
      </c>
      <c r="W904" s="161">
        <v>0</v>
      </c>
      <c r="X904" s="164">
        <v>0</v>
      </c>
      <c r="Y904" s="161">
        <v>0</v>
      </c>
      <c r="Z904" s="164">
        <v>0</v>
      </c>
      <c r="AA904" s="161">
        <v>0</v>
      </c>
      <c r="AB904" s="164">
        <v>0</v>
      </c>
      <c r="AC904" s="238">
        <f t="shared" si="459"/>
        <v>0</v>
      </c>
      <c r="AD904" s="238"/>
      <c r="AE904" s="238"/>
    </row>
    <row r="905" spans="2:31" x14ac:dyDescent="0.3">
      <c r="B905" s="14" t="s">
        <v>2</v>
      </c>
      <c r="C905" s="14"/>
      <c r="D905" s="14"/>
      <c r="E905" s="15">
        <f>SUM(E868:E904)</f>
        <v>0</v>
      </c>
      <c r="F905" s="15">
        <f t="shared" ref="F905" si="460">SUM(F868:F904)</f>
        <v>0</v>
      </c>
      <c r="G905" s="15">
        <f t="shared" ref="G905" si="461">SUM(G868:G904)</f>
        <v>0</v>
      </c>
      <c r="H905" s="15">
        <f t="shared" ref="H905" si="462">SUM(H868:H904)</f>
        <v>0</v>
      </c>
      <c r="I905" s="15">
        <f t="shared" ref="I905" si="463">SUM(I868:I904)</f>
        <v>0</v>
      </c>
      <c r="J905" s="15">
        <f t="shared" ref="J905" si="464">SUM(J868:J904)</f>
        <v>0</v>
      </c>
      <c r="K905" s="15">
        <f t="shared" ref="K905" si="465">SUM(K868:K904)</f>
        <v>0</v>
      </c>
      <c r="L905" s="15">
        <f t="shared" ref="L905" si="466">SUM(L868:L904)</f>
        <v>0</v>
      </c>
      <c r="M905" s="15">
        <f t="shared" ref="M905" si="467">SUM(M868:M904)</f>
        <v>0</v>
      </c>
      <c r="N905" s="15">
        <f t="shared" ref="N905" si="468">SUM(N868:N904)</f>
        <v>0</v>
      </c>
      <c r="O905" s="15">
        <f t="shared" ref="O905" si="469">SUM(O868:O904)</f>
        <v>0</v>
      </c>
      <c r="P905" s="15">
        <f t="shared" ref="P905" si="470">SUM(P868:P904)</f>
        <v>0</v>
      </c>
      <c r="Q905" s="15">
        <f t="shared" ref="Q905" si="471">SUM(Q868:Q904)</f>
        <v>40.756833333333311</v>
      </c>
      <c r="R905" s="15">
        <f t="shared" ref="R905" si="472">SUM(R868:R904)</f>
        <v>157.92083333333341</v>
      </c>
      <c r="S905" s="15">
        <f t="shared" ref="S905" si="473">SUM(S868:S904)</f>
        <v>320.642</v>
      </c>
      <c r="T905" s="15">
        <f t="shared" ref="T905" si="474">SUM(T868:T904)</f>
        <v>462.96099999999996</v>
      </c>
      <c r="U905" s="15">
        <f t="shared" ref="U905" si="475">SUM(U868:U904)</f>
        <v>525.9235000000001</v>
      </c>
      <c r="V905" s="15">
        <f t="shared" ref="V905" si="476">SUM(V868:V904)</f>
        <v>187.26266666666666</v>
      </c>
      <c r="W905" s="15">
        <f t="shared" ref="W905" si="477">SUM(W868:W904)</f>
        <v>122.465</v>
      </c>
      <c r="X905" s="15">
        <f t="shared" ref="X905" si="478">SUM(X868:X904)</f>
        <v>21.373166666666673</v>
      </c>
      <c r="Y905" s="15">
        <f t="shared" ref="Y905" si="479">SUM(Y868:Y904)</f>
        <v>0</v>
      </c>
      <c r="Z905" s="15">
        <f t="shared" ref="Z905" si="480">SUM(Z868:Z904)</f>
        <v>0</v>
      </c>
      <c r="AA905" s="15">
        <f t="shared" ref="AA905" si="481">SUM(AA868:AA904)</f>
        <v>0</v>
      </c>
      <c r="AB905" s="15">
        <f t="shared" ref="AB905" si="482">SUM(AB868:AB904)</f>
        <v>0</v>
      </c>
      <c r="AC905" s="249">
        <f>SUM(AC868:AE904)</f>
        <v>1839.3050000000003</v>
      </c>
      <c r="AD905" s="249"/>
      <c r="AE905" s="249"/>
    </row>
    <row r="908" spans="2:31" x14ac:dyDescent="0.3">
      <c r="B908" s="8">
        <f>'Resumen-Mensual'!$Z$22</f>
        <v>44583</v>
      </c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4"/>
      <c r="AD908" s="4"/>
      <c r="AE908" s="4"/>
    </row>
    <row r="909" spans="2:31" x14ac:dyDescent="0.3">
      <c r="B909" s="8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4"/>
      <c r="AD909" s="4"/>
      <c r="AE909" s="4"/>
    </row>
    <row r="910" spans="2:31" x14ac:dyDescent="0.3">
      <c r="B910" s="9" t="s">
        <v>81</v>
      </c>
      <c r="C910" s="10"/>
      <c r="D910" s="10"/>
      <c r="E910" s="11">
        <v>1</v>
      </c>
      <c r="F910" s="11">
        <v>2</v>
      </c>
      <c r="G910" s="11">
        <v>3</v>
      </c>
      <c r="H910" s="11">
        <v>4</v>
      </c>
      <c r="I910" s="11">
        <v>5</v>
      </c>
      <c r="J910" s="11">
        <v>6</v>
      </c>
      <c r="K910" s="11">
        <v>7</v>
      </c>
      <c r="L910" s="11">
        <v>8</v>
      </c>
      <c r="M910" s="11">
        <v>9</v>
      </c>
      <c r="N910" s="11">
        <v>10</v>
      </c>
      <c r="O910" s="11">
        <v>11</v>
      </c>
      <c r="P910" s="11">
        <v>12</v>
      </c>
      <c r="Q910" s="11">
        <v>13</v>
      </c>
      <c r="R910" s="11">
        <v>14</v>
      </c>
      <c r="S910" s="11">
        <v>15</v>
      </c>
      <c r="T910" s="11">
        <v>16</v>
      </c>
      <c r="U910" s="11">
        <v>17</v>
      </c>
      <c r="V910" s="11">
        <v>18</v>
      </c>
      <c r="W910" s="11">
        <v>19</v>
      </c>
      <c r="X910" s="11">
        <v>20</v>
      </c>
      <c r="Y910" s="11">
        <v>21</v>
      </c>
      <c r="Z910" s="11">
        <v>22</v>
      </c>
      <c r="AA910" s="11">
        <v>23</v>
      </c>
      <c r="AB910" s="11">
        <v>24</v>
      </c>
      <c r="AC910" s="248" t="s">
        <v>2</v>
      </c>
      <c r="AD910" s="248"/>
      <c r="AE910" s="248"/>
    </row>
    <row r="911" spans="2:31" x14ac:dyDescent="0.3">
      <c r="B911" s="245" t="s">
        <v>4</v>
      </c>
      <c r="C911" s="245"/>
      <c r="D911" s="245"/>
      <c r="E911" s="169">
        <v>0</v>
      </c>
      <c r="F911" s="170">
        <v>0</v>
      </c>
      <c r="G911" s="169">
        <v>0</v>
      </c>
      <c r="H911" s="170">
        <v>0</v>
      </c>
      <c r="I911" s="169">
        <v>0</v>
      </c>
      <c r="J911" s="170">
        <v>0</v>
      </c>
      <c r="K911" s="169">
        <v>0</v>
      </c>
      <c r="L911" s="170">
        <v>0</v>
      </c>
      <c r="M911" s="169">
        <v>0</v>
      </c>
      <c r="N911" s="170">
        <v>0</v>
      </c>
      <c r="O911" s="169">
        <v>0</v>
      </c>
      <c r="P911" s="170">
        <v>0</v>
      </c>
      <c r="Q911" s="169">
        <v>0</v>
      </c>
      <c r="R911" s="170">
        <v>0</v>
      </c>
      <c r="S911" s="169">
        <v>1.7216666666666667</v>
      </c>
      <c r="T911" s="170">
        <v>0.78583333333333394</v>
      </c>
      <c r="U911" s="169">
        <v>1.2976666666666659</v>
      </c>
      <c r="V911" s="170">
        <v>0</v>
      </c>
      <c r="W911" s="169">
        <v>0</v>
      </c>
      <c r="X911" s="170">
        <v>0</v>
      </c>
      <c r="Y911" s="169">
        <v>0</v>
      </c>
      <c r="Z911" s="170">
        <v>0</v>
      </c>
      <c r="AA911" s="169">
        <v>0</v>
      </c>
      <c r="AB911" s="170">
        <v>0</v>
      </c>
      <c r="AC911" s="238">
        <f>SUM(E911:AB911)</f>
        <v>3.8051666666666666</v>
      </c>
      <c r="AD911" s="238"/>
      <c r="AE911" s="238"/>
    </row>
    <row r="912" spans="2:31" x14ac:dyDescent="0.3">
      <c r="B912" s="245" t="s">
        <v>5</v>
      </c>
      <c r="C912" s="245"/>
      <c r="D912" s="245"/>
      <c r="E912" s="168">
        <v>0</v>
      </c>
      <c r="F912" s="171">
        <v>0</v>
      </c>
      <c r="G912" s="168">
        <v>0</v>
      </c>
      <c r="H912" s="171">
        <v>0</v>
      </c>
      <c r="I912" s="168">
        <v>0</v>
      </c>
      <c r="J912" s="171">
        <v>0</v>
      </c>
      <c r="K912" s="168">
        <v>0</v>
      </c>
      <c r="L912" s="171">
        <v>0</v>
      </c>
      <c r="M912" s="168">
        <v>0</v>
      </c>
      <c r="N912" s="171">
        <v>0</v>
      </c>
      <c r="O912" s="168">
        <v>0</v>
      </c>
      <c r="P912" s="171">
        <v>0</v>
      </c>
      <c r="Q912" s="168">
        <v>0</v>
      </c>
      <c r="R912" s="171">
        <v>0</v>
      </c>
      <c r="S912" s="168">
        <v>0.25183333333333463</v>
      </c>
      <c r="T912" s="171">
        <v>8.9504999999999999</v>
      </c>
      <c r="U912" s="168">
        <v>18.998333333333328</v>
      </c>
      <c r="V912" s="171">
        <v>26.328499999999995</v>
      </c>
      <c r="W912" s="168">
        <v>16.151999999999997</v>
      </c>
      <c r="X912" s="171">
        <v>0</v>
      </c>
      <c r="Y912" s="168">
        <v>0</v>
      </c>
      <c r="Z912" s="171">
        <v>0</v>
      </c>
      <c r="AA912" s="168">
        <v>0</v>
      </c>
      <c r="AB912" s="171">
        <v>0</v>
      </c>
      <c r="AC912" s="238">
        <f t="shared" ref="AC912:AC947" si="483">SUM(E912:AB912)</f>
        <v>70.681166666666655</v>
      </c>
      <c r="AD912" s="238"/>
      <c r="AE912" s="238"/>
    </row>
    <row r="913" spans="2:31" x14ac:dyDescent="0.3">
      <c r="B913" s="245" t="s">
        <v>6</v>
      </c>
      <c r="C913" s="245"/>
      <c r="D913" s="245"/>
      <c r="E913" s="168">
        <v>0</v>
      </c>
      <c r="F913" s="171">
        <v>0</v>
      </c>
      <c r="G913" s="168">
        <v>0</v>
      </c>
      <c r="H913" s="171">
        <v>0</v>
      </c>
      <c r="I913" s="168">
        <v>0</v>
      </c>
      <c r="J913" s="171">
        <v>0</v>
      </c>
      <c r="K913" s="168">
        <v>0</v>
      </c>
      <c r="L913" s="171">
        <v>0</v>
      </c>
      <c r="M913" s="168">
        <v>0</v>
      </c>
      <c r="N913" s="171">
        <v>0</v>
      </c>
      <c r="O913" s="168">
        <v>0</v>
      </c>
      <c r="P913" s="171">
        <v>0</v>
      </c>
      <c r="Q913" s="168">
        <v>0</v>
      </c>
      <c r="R913" s="171">
        <v>2.9245000000000001</v>
      </c>
      <c r="S913" s="168">
        <v>0</v>
      </c>
      <c r="T913" s="171">
        <v>0</v>
      </c>
      <c r="U913" s="168">
        <v>0</v>
      </c>
      <c r="V913" s="171">
        <v>0</v>
      </c>
      <c r="W913" s="168">
        <v>14.253000000000002</v>
      </c>
      <c r="X913" s="171">
        <v>6.1814999999999998</v>
      </c>
      <c r="Y913" s="168">
        <v>0</v>
      </c>
      <c r="Z913" s="171">
        <v>0</v>
      </c>
      <c r="AA913" s="168">
        <v>0</v>
      </c>
      <c r="AB913" s="171">
        <v>0</v>
      </c>
      <c r="AC913" s="238">
        <f t="shared" si="483"/>
        <v>23.359000000000002</v>
      </c>
      <c r="AD913" s="238"/>
      <c r="AE913" s="238"/>
    </row>
    <row r="914" spans="2:31" x14ac:dyDescent="0.3">
      <c r="B914" s="245" t="s">
        <v>91</v>
      </c>
      <c r="C914" s="245"/>
      <c r="D914" s="245"/>
      <c r="E914" s="168">
        <v>0</v>
      </c>
      <c r="F914" s="171">
        <v>0</v>
      </c>
      <c r="G914" s="168">
        <v>0</v>
      </c>
      <c r="H914" s="171">
        <v>0</v>
      </c>
      <c r="I914" s="168">
        <v>0</v>
      </c>
      <c r="J914" s="171">
        <v>0</v>
      </c>
      <c r="K914" s="168">
        <v>0</v>
      </c>
      <c r="L914" s="171">
        <v>0</v>
      </c>
      <c r="M914" s="168">
        <v>0</v>
      </c>
      <c r="N914" s="171">
        <v>0</v>
      </c>
      <c r="O914" s="168">
        <v>0</v>
      </c>
      <c r="P914" s="171">
        <v>0</v>
      </c>
      <c r="Q914" s="168">
        <v>0</v>
      </c>
      <c r="R914" s="171">
        <v>0</v>
      </c>
      <c r="S914" s="168">
        <v>0</v>
      </c>
      <c r="T914" s="171">
        <v>0</v>
      </c>
      <c r="U914" s="168">
        <v>0</v>
      </c>
      <c r="V914" s="171">
        <v>0</v>
      </c>
      <c r="W914" s="168">
        <v>0</v>
      </c>
      <c r="X914" s="171">
        <v>0</v>
      </c>
      <c r="Y914" s="168">
        <v>0</v>
      </c>
      <c r="Z914" s="171">
        <v>0</v>
      </c>
      <c r="AA914" s="168">
        <v>0</v>
      </c>
      <c r="AB914" s="171">
        <v>0</v>
      </c>
      <c r="AC914" s="238">
        <f t="shared" si="483"/>
        <v>0</v>
      </c>
      <c r="AD914" s="238"/>
      <c r="AE914" s="238"/>
    </row>
    <row r="915" spans="2:31" x14ac:dyDescent="0.3">
      <c r="B915" s="245" t="s">
        <v>7</v>
      </c>
      <c r="C915" s="245"/>
      <c r="D915" s="245"/>
      <c r="E915" s="168">
        <v>0</v>
      </c>
      <c r="F915" s="171">
        <v>0</v>
      </c>
      <c r="G915" s="168">
        <v>0</v>
      </c>
      <c r="H915" s="171">
        <v>0</v>
      </c>
      <c r="I915" s="168">
        <v>0</v>
      </c>
      <c r="J915" s="171">
        <v>0</v>
      </c>
      <c r="K915" s="168">
        <v>0</v>
      </c>
      <c r="L915" s="171">
        <v>0</v>
      </c>
      <c r="M915" s="168">
        <v>0</v>
      </c>
      <c r="N915" s="171">
        <v>0</v>
      </c>
      <c r="O915" s="168">
        <v>0</v>
      </c>
      <c r="P915" s="171">
        <v>0</v>
      </c>
      <c r="Q915" s="168">
        <v>0</v>
      </c>
      <c r="R915" s="171">
        <v>0</v>
      </c>
      <c r="S915" s="168">
        <v>0</v>
      </c>
      <c r="T915" s="171">
        <v>0</v>
      </c>
      <c r="U915" s="168">
        <v>0</v>
      </c>
      <c r="V915" s="171">
        <v>0</v>
      </c>
      <c r="W915" s="168">
        <v>0</v>
      </c>
      <c r="X915" s="171">
        <v>0</v>
      </c>
      <c r="Y915" s="168">
        <v>0</v>
      </c>
      <c r="Z915" s="171">
        <v>0</v>
      </c>
      <c r="AA915" s="168">
        <v>0</v>
      </c>
      <c r="AB915" s="171">
        <v>0</v>
      </c>
      <c r="AC915" s="238">
        <f t="shared" si="483"/>
        <v>0</v>
      </c>
      <c r="AD915" s="238"/>
      <c r="AE915" s="238"/>
    </row>
    <row r="916" spans="2:31" x14ac:dyDescent="0.3">
      <c r="B916" s="245" t="s">
        <v>8</v>
      </c>
      <c r="C916" s="245"/>
      <c r="D916" s="245"/>
      <c r="E916" s="168">
        <v>0</v>
      </c>
      <c r="F916" s="171">
        <v>0</v>
      </c>
      <c r="G916" s="168">
        <v>0</v>
      </c>
      <c r="H916" s="171">
        <v>0</v>
      </c>
      <c r="I916" s="168">
        <v>0</v>
      </c>
      <c r="J916" s="171">
        <v>0</v>
      </c>
      <c r="K916" s="168">
        <v>0</v>
      </c>
      <c r="L916" s="171">
        <v>0</v>
      </c>
      <c r="M916" s="168">
        <v>0</v>
      </c>
      <c r="N916" s="171">
        <v>0</v>
      </c>
      <c r="O916" s="168">
        <v>0</v>
      </c>
      <c r="P916" s="171">
        <v>0</v>
      </c>
      <c r="Q916" s="168">
        <v>0</v>
      </c>
      <c r="R916" s="171">
        <v>9.500000000000005E-3</v>
      </c>
      <c r="S916" s="168">
        <v>16.666166666666658</v>
      </c>
      <c r="T916" s="171">
        <v>26.808500000000031</v>
      </c>
      <c r="U916" s="168">
        <v>28.911000000000019</v>
      </c>
      <c r="V916" s="171">
        <v>30.540499999999991</v>
      </c>
      <c r="W916" s="168">
        <v>11.048000000000005</v>
      </c>
      <c r="X916" s="171">
        <v>0</v>
      </c>
      <c r="Y916" s="168">
        <v>0</v>
      </c>
      <c r="Z916" s="171">
        <v>0</v>
      </c>
      <c r="AA916" s="168">
        <v>0</v>
      </c>
      <c r="AB916" s="171">
        <v>0</v>
      </c>
      <c r="AC916" s="238">
        <f t="shared" si="483"/>
        <v>113.98366666666671</v>
      </c>
      <c r="AD916" s="238"/>
      <c r="AE916" s="238"/>
    </row>
    <row r="917" spans="2:31" x14ac:dyDescent="0.3">
      <c r="B917" s="245" t="s">
        <v>9</v>
      </c>
      <c r="C917" s="245"/>
      <c r="D917" s="245"/>
      <c r="E917" s="168">
        <v>0</v>
      </c>
      <c r="F917" s="171">
        <v>0</v>
      </c>
      <c r="G917" s="168">
        <v>0</v>
      </c>
      <c r="H917" s="171">
        <v>0</v>
      </c>
      <c r="I917" s="168">
        <v>0</v>
      </c>
      <c r="J917" s="171">
        <v>0</v>
      </c>
      <c r="K917" s="168">
        <v>0</v>
      </c>
      <c r="L917" s="171">
        <v>0</v>
      </c>
      <c r="M917" s="168">
        <v>0</v>
      </c>
      <c r="N917" s="171">
        <v>0</v>
      </c>
      <c r="O917" s="168">
        <v>0</v>
      </c>
      <c r="P917" s="171">
        <v>0</v>
      </c>
      <c r="Q917" s="168">
        <v>0</v>
      </c>
      <c r="R917" s="171">
        <v>4.6099999999999994</v>
      </c>
      <c r="S917" s="168">
        <v>9.2571666666666665</v>
      </c>
      <c r="T917" s="171">
        <v>0</v>
      </c>
      <c r="U917" s="168">
        <v>10.131500000000004</v>
      </c>
      <c r="V917" s="171">
        <v>13.279833333333336</v>
      </c>
      <c r="W917" s="168">
        <v>17.896666666666665</v>
      </c>
      <c r="X917" s="171">
        <v>0</v>
      </c>
      <c r="Y917" s="168">
        <v>0</v>
      </c>
      <c r="Z917" s="171">
        <v>0</v>
      </c>
      <c r="AA917" s="168">
        <v>0</v>
      </c>
      <c r="AB917" s="171">
        <v>0</v>
      </c>
      <c r="AC917" s="238">
        <f t="shared" si="483"/>
        <v>55.175166666666669</v>
      </c>
      <c r="AD917" s="238"/>
      <c r="AE917" s="238"/>
    </row>
    <row r="918" spans="2:31" x14ac:dyDescent="0.3">
      <c r="B918" s="245" t="s">
        <v>10</v>
      </c>
      <c r="C918" s="245"/>
      <c r="D918" s="245"/>
      <c r="E918" s="168">
        <v>0</v>
      </c>
      <c r="F918" s="171">
        <v>0</v>
      </c>
      <c r="G918" s="168">
        <v>0</v>
      </c>
      <c r="H918" s="171">
        <v>0</v>
      </c>
      <c r="I918" s="168">
        <v>0</v>
      </c>
      <c r="J918" s="171">
        <v>0</v>
      </c>
      <c r="K918" s="168">
        <v>0</v>
      </c>
      <c r="L918" s="171">
        <v>0</v>
      </c>
      <c r="M918" s="168">
        <v>0</v>
      </c>
      <c r="N918" s="171">
        <v>0</v>
      </c>
      <c r="O918" s="168">
        <v>0</v>
      </c>
      <c r="P918" s="171">
        <v>0</v>
      </c>
      <c r="Q918" s="168">
        <v>0</v>
      </c>
      <c r="R918" s="171">
        <v>1.2406666666666666</v>
      </c>
      <c r="S918" s="168">
        <v>14.859833333333333</v>
      </c>
      <c r="T918" s="171">
        <v>24.534833333333335</v>
      </c>
      <c r="U918" s="168">
        <v>32.280166666666666</v>
      </c>
      <c r="V918" s="171">
        <v>24.925333333333324</v>
      </c>
      <c r="W918" s="168">
        <v>17.765166666666666</v>
      </c>
      <c r="X918" s="171">
        <v>0</v>
      </c>
      <c r="Y918" s="168">
        <v>0</v>
      </c>
      <c r="Z918" s="171">
        <v>0</v>
      </c>
      <c r="AA918" s="168">
        <v>0</v>
      </c>
      <c r="AB918" s="171">
        <v>0</v>
      </c>
      <c r="AC918" s="238">
        <f t="shared" si="483"/>
        <v>115.60599999999999</v>
      </c>
      <c r="AD918" s="238"/>
      <c r="AE918" s="238"/>
    </row>
    <row r="919" spans="2:31" x14ac:dyDescent="0.3">
      <c r="B919" s="245" t="s">
        <v>11</v>
      </c>
      <c r="C919" s="245"/>
      <c r="D919" s="245"/>
      <c r="E919" s="168">
        <v>0</v>
      </c>
      <c r="F919" s="171">
        <v>0</v>
      </c>
      <c r="G919" s="168">
        <v>0</v>
      </c>
      <c r="H919" s="171">
        <v>0</v>
      </c>
      <c r="I919" s="168">
        <v>0</v>
      </c>
      <c r="J919" s="171">
        <v>0</v>
      </c>
      <c r="K919" s="168">
        <v>0</v>
      </c>
      <c r="L919" s="171">
        <v>0</v>
      </c>
      <c r="M919" s="168">
        <v>0</v>
      </c>
      <c r="N919" s="171">
        <v>0</v>
      </c>
      <c r="O919" s="168">
        <v>0</v>
      </c>
      <c r="P919" s="171">
        <v>0</v>
      </c>
      <c r="Q919" s="168">
        <v>0</v>
      </c>
      <c r="R919" s="171">
        <v>0.77349999999999997</v>
      </c>
      <c r="S919" s="168">
        <v>12.495166666666666</v>
      </c>
      <c r="T919" s="171">
        <v>22.792499999999997</v>
      </c>
      <c r="U919" s="168">
        <v>29.162333333333336</v>
      </c>
      <c r="V919" s="171">
        <v>19.612500000000001</v>
      </c>
      <c r="W919" s="168">
        <v>15.42583333333334</v>
      </c>
      <c r="X919" s="171">
        <v>0</v>
      </c>
      <c r="Y919" s="168">
        <v>0</v>
      </c>
      <c r="Z919" s="171">
        <v>0</v>
      </c>
      <c r="AA919" s="168">
        <v>0</v>
      </c>
      <c r="AB919" s="171">
        <v>0</v>
      </c>
      <c r="AC919" s="238">
        <f t="shared" si="483"/>
        <v>100.26183333333334</v>
      </c>
      <c r="AD919" s="238"/>
      <c r="AE919" s="238"/>
    </row>
    <row r="920" spans="2:31" x14ac:dyDescent="0.3">
      <c r="B920" s="245" t="s">
        <v>12</v>
      </c>
      <c r="C920" s="245"/>
      <c r="D920" s="245"/>
      <c r="E920" s="168">
        <v>0</v>
      </c>
      <c r="F920" s="171">
        <v>0</v>
      </c>
      <c r="G920" s="168">
        <v>0</v>
      </c>
      <c r="H920" s="171">
        <v>0</v>
      </c>
      <c r="I920" s="168">
        <v>0</v>
      </c>
      <c r="J920" s="171">
        <v>0</v>
      </c>
      <c r="K920" s="168">
        <v>0</v>
      </c>
      <c r="L920" s="171">
        <v>0</v>
      </c>
      <c r="M920" s="168">
        <v>0</v>
      </c>
      <c r="N920" s="171">
        <v>0</v>
      </c>
      <c r="O920" s="168">
        <v>0</v>
      </c>
      <c r="P920" s="171">
        <v>0</v>
      </c>
      <c r="Q920" s="168">
        <v>0</v>
      </c>
      <c r="R920" s="171">
        <v>5.7976666666666672</v>
      </c>
      <c r="S920" s="168">
        <v>38.557833333333342</v>
      </c>
      <c r="T920" s="171">
        <v>56.685499999999983</v>
      </c>
      <c r="U920" s="168">
        <v>71.930666666666667</v>
      </c>
      <c r="V920" s="171">
        <v>69.561666666666667</v>
      </c>
      <c r="W920" s="168">
        <v>42.375166666666672</v>
      </c>
      <c r="X920" s="171">
        <v>0</v>
      </c>
      <c r="Y920" s="168">
        <v>0</v>
      </c>
      <c r="Z920" s="171">
        <v>0</v>
      </c>
      <c r="AA920" s="168">
        <v>0</v>
      </c>
      <c r="AB920" s="171">
        <v>0</v>
      </c>
      <c r="AC920" s="238">
        <f t="shared" si="483"/>
        <v>284.9085</v>
      </c>
      <c r="AD920" s="238"/>
      <c r="AE920" s="238"/>
    </row>
    <row r="921" spans="2:31" x14ac:dyDescent="0.3">
      <c r="B921" s="245" t="s">
        <v>13</v>
      </c>
      <c r="C921" s="245"/>
      <c r="D921" s="245"/>
      <c r="E921" s="168">
        <v>0</v>
      </c>
      <c r="F921" s="171">
        <v>0</v>
      </c>
      <c r="G921" s="168">
        <v>0</v>
      </c>
      <c r="H921" s="171">
        <v>0</v>
      </c>
      <c r="I921" s="168">
        <v>0</v>
      </c>
      <c r="J921" s="171">
        <v>0</v>
      </c>
      <c r="K921" s="168">
        <v>0</v>
      </c>
      <c r="L921" s="171">
        <v>0</v>
      </c>
      <c r="M921" s="168">
        <v>0</v>
      </c>
      <c r="N921" s="171">
        <v>0</v>
      </c>
      <c r="O921" s="168">
        <v>0</v>
      </c>
      <c r="P921" s="171">
        <v>0</v>
      </c>
      <c r="Q921" s="168">
        <v>0</v>
      </c>
      <c r="R921" s="171">
        <v>4.3556666666666652</v>
      </c>
      <c r="S921" s="168">
        <v>21.448833333333326</v>
      </c>
      <c r="T921" s="171">
        <v>25.302833333333322</v>
      </c>
      <c r="U921" s="168">
        <v>7.8011666666666688</v>
      </c>
      <c r="V921" s="171">
        <v>0</v>
      </c>
      <c r="W921" s="168">
        <v>0</v>
      </c>
      <c r="X921" s="171">
        <v>0</v>
      </c>
      <c r="Y921" s="168">
        <v>0</v>
      </c>
      <c r="Z921" s="171">
        <v>0</v>
      </c>
      <c r="AA921" s="168">
        <v>0</v>
      </c>
      <c r="AB921" s="171">
        <v>0</v>
      </c>
      <c r="AC921" s="238">
        <f t="shared" si="483"/>
        <v>58.908499999999982</v>
      </c>
      <c r="AD921" s="238"/>
      <c r="AE921" s="238"/>
    </row>
    <row r="922" spans="2:31" x14ac:dyDescent="0.3">
      <c r="B922" s="245" t="s">
        <v>14</v>
      </c>
      <c r="C922" s="245"/>
      <c r="D922" s="245"/>
      <c r="E922" s="168">
        <v>0</v>
      </c>
      <c r="F922" s="171">
        <v>0</v>
      </c>
      <c r="G922" s="168">
        <v>0</v>
      </c>
      <c r="H922" s="171">
        <v>0</v>
      </c>
      <c r="I922" s="168">
        <v>0</v>
      </c>
      <c r="J922" s="171">
        <v>0</v>
      </c>
      <c r="K922" s="168">
        <v>0</v>
      </c>
      <c r="L922" s="171">
        <v>0</v>
      </c>
      <c r="M922" s="168">
        <v>0</v>
      </c>
      <c r="N922" s="171">
        <v>0</v>
      </c>
      <c r="O922" s="168">
        <v>0</v>
      </c>
      <c r="P922" s="171">
        <v>0</v>
      </c>
      <c r="Q922" s="168">
        <v>0</v>
      </c>
      <c r="R922" s="171">
        <v>0</v>
      </c>
      <c r="S922" s="168">
        <v>3.5551666666666661</v>
      </c>
      <c r="T922" s="171">
        <v>3.4281666666666668</v>
      </c>
      <c r="U922" s="168">
        <v>3.4286666666666661</v>
      </c>
      <c r="V922" s="171">
        <v>3.2525000000000004</v>
      </c>
      <c r="W922" s="168">
        <v>1.6216666666666668</v>
      </c>
      <c r="X922" s="171">
        <v>0</v>
      </c>
      <c r="Y922" s="168">
        <v>0</v>
      </c>
      <c r="Z922" s="171">
        <v>0</v>
      </c>
      <c r="AA922" s="168">
        <v>0</v>
      </c>
      <c r="AB922" s="171">
        <v>0</v>
      </c>
      <c r="AC922" s="238">
        <f t="shared" si="483"/>
        <v>15.286166666666666</v>
      </c>
      <c r="AD922" s="238"/>
      <c r="AE922" s="238"/>
    </row>
    <row r="923" spans="2:31" x14ac:dyDescent="0.3">
      <c r="B923" s="245" t="s">
        <v>15</v>
      </c>
      <c r="C923" s="245"/>
      <c r="D923" s="245"/>
      <c r="E923" s="168">
        <v>0</v>
      </c>
      <c r="F923" s="171">
        <v>0</v>
      </c>
      <c r="G923" s="168">
        <v>0</v>
      </c>
      <c r="H923" s="171">
        <v>0</v>
      </c>
      <c r="I923" s="168">
        <v>0</v>
      </c>
      <c r="J923" s="171">
        <v>0</v>
      </c>
      <c r="K923" s="168">
        <v>0</v>
      </c>
      <c r="L923" s="171">
        <v>0</v>
      </c>
      <c r="M923" s="168">
        <v>0</v>
      </c>
      <c r="N923" s="171">
        <v>0</v>
      </c>
      <c r="O923" s="168">
        <v>0</v>
      </c>
      <c r="P923" s="171">
        <v>0</v>
      </c>
      <c r="Q923" s="168">
        <v>0</v>
      </c>
      <c r="R923" s="171">
        <v>3.00000000000001E-3</v>
      </c>
      <c r="S923" s="168">
        <v>4.6858333333333357</v>
      </c>
      <c r="T923" s="171">
        <v>5.242166666666666</v>
      </c>
      <c r="U923" s="168">
        <v>4.5436666666666676</v>
      </c>
      <c r="V923" s="171">
        <v>0</v>
      </c>
      <c r="W923" s="168">
        <v>0</v>
      </c>
      <c r="X923" s="171">
        <v>0</v>
      </c>
      <c r="Y923" s="168">
        <v>0</v>
      </c>
      <c r="Z923" s="171">
        <v>0</v>
      </c>
      <c r="AA923" s="168">
        <v>0</v>
      </c>
      <c r="AB923" s="171">
        <v>0</v>
      </c>
      <c r="AC923" s="238">
        <f t="shared" si="483"/>
        <v>14.474666666666668</v>
      </c>
      <c r="AD923" s="238"/>
      <c r="AE923" s="238"/>
    </row>
    <row r="924" spans="2:31" x14ac:dyDescent="0.3">
      <c r="B924" s="245" t="s">
        <v>16</v>
      </c>
      <c r="C924" s="245"/>
      <c r="D924" s="245"/>
      <c r="E924" s="168">
        <v>0</v>
      </c>
      <c r="F924" s="171">
        <v>0</v>
      </c>
      <c r="G924" s="168">
        <v>0</v>
      </c>
      <c r="H924" s="171">
        <v>0</v>
      </c>
      <c r="I924" s="168">
        <v>0</v>
      </c>
      <c r="J924" s="171">
        <v>0</v>
      </c>
      <c r="K924" s="168">
        <v>0</v>
      </c>
      <c r="L924" s="171">
        <v>0</v>
      </c>
      <c r="M924" s="168">
        <v>0</v>
      </c>
      <c r="N924" s="171">
        <v>0</v>
      </c>
      <c r="O924" s="168">
        <v>0</v>
      </c>
      <c r="P924" s="171">
        <v>0</v>
      </c>
      <c r="Q924" s="168">
        <v>0</v>
      </c>
      <c r="R924" s="171">
        <v>0</v>
      </c>
      <c r="S924" s="168">
        <v>0</v>
      </c>
      <c r="T924" s="171">
        <v>0</v>
      </c>
      <c r="U924" s="168">
        <v>0</v>
      </c>
      <c r="V924" s="171">
        <v>0</v>
      </c>
      <c r="W924" s="168">
        <v>0</v>
      </c>
      <c r="X924" s="171">
        <v>0</v>
      </c>
      <c r="Y924" s="168">
        <v>0</v>
      </c>
      <c r="Z924" s="171">
        <v>0</v>
      </c>
      <c r="AA924" s="168">
        <v>0</v>
      </c>
      <c r="AB924" s="171">
        <v>0</v>
      </c>
      <c r="AC924" s="238">
        <f t="shared" si="483"/>
        <v>0</v>
      </c>
      <c r="AD924" s="238"/>
      <c r="AE924" s="238"/>
    </row>
    <row r="925" spans="2:31" x14ac:dyDescent="0.3">
      <c r="B925" s="245" t="s">
        <v>17</v>
      </c>
      <c r="C925" s="245"/>
      <c r="D925" s="245"/>
      <c r="E925" s="168">
        <v>0</v>
      </c>
      <c r="F925" s="171">
        <v>0</v>
      </c>
      <c r="G925" s="168">
        <v>0</v>
      </c>
      <c r="H925" s="171">
        <v>0</v>
      </c>
      <c r="I925" s="168">
        <v>0</v>
      </c>
      <c r="J925" s="171">
        <v>0</v>
      </c>
      <c r="K925" s="168">
        <v>0</v>
      </c>
      <c r="L925" s="171">
        <v>0</v>
      </c>
      <c r="M925" s="168">
        <v>0</v>
      </c>
      <c r="N925" s="171">
        <v>0</v>
      </c>
      <c r="O925" s="168">
        <v>0</v>
      </c>
      <c r="P925" s="171">
        <v>0</v>
      </c>
      <c r="Q925" s="168">
        <v>0</v>
      </c>
      <c r="R925" s="171">
        <v>2.2956666666666665</v>
      </c>
      <c r="S925" s="168">
        <v>12.790166666666664</v>
      </c>
      <c r="T925" s="171">
        <v>16.564833333333329</v>
      </c>
      <c r="U925" s="168">
        <v>18.540666666666667</v>
      </c>
      <c r="V925" s="171">
        <v>19.767833333333332</v>
      </c>
      <c r="W925" s="168">
        <v>10.9605</v>
      </c>
      <c r="X925" s="171">
        <v>0</v>
      </c>
      <c r="Y925" s="168">
        <v>0</v>
      </c>
      <c r="Z925" s="171">
        <v>0</v>
      </c>
      <c r="AA925" s="168">
        <v>0</v>
      </c>
      <c r="AB925" s="171">
        <v>0</v>
      </c>
      <c r="AC925" s="238">
        <f t="shared" si="483"/>
        <v>80.919666666666657</v>
      </c>
      <c r="AD925" s="238"/>
      <c r="AE925" s="238"/>
    </row>
    <row r="926" spans="2:31" x14ac:dyDescent="0.3">
      <c r="B926" s="245" t="s">
        <v>18</v>
      </c>
      <c r="C926" s="245"/>
      <c r="D926" s="245"/>
      <c r="E926" s="168">
        <v>0</v>
      </c>
      <c r="F926" s="171">
        <v>0</v>
      </c>
      <c r="G926" s="168">
        <v>0</v>
      </c>
      <c r="H926" s="171">
        <v>0</v>
      </c>
      <c r="I926" s="168">
        <v>0</v>
      </c>
      <c r="J926" s="171">
        <v>0</v>
      </c>
      <c r="K926" s="168">
        <v>0</v>
      </c>
      <c r="L926" s="171">
        <v>0</v>
      </c>
      <c r="M926" s="168">
        <v>0</v>
      </c>
      <c r="N926" s="171">
        <v>0</v>
      </c>
      <c r="O926" s="168">
        <v>0</v>
      </c>
      <c r="P926" s="171">
        <v>0</v>
      </c>
      <c r="Q926" s="168">
        <v>0</v>
      </c>
      <c r="R926" s="171">
        <v>1.9748333333333332</v>
      </c>
      <c r="S926" s="168">
        <v>4.0788333333333338</v>
      </c>
      <c r="T926" s="171">
        <v>3.0531666666666681</v>
      </c>
      <c r="U926" s="168">
        <v>2.851500000000001</v>
      </c>
      <c r="V926" s="171">
        <v>4.05</v>
      </c>
      <c r="W926" s="168">
        <v>2.497666666666666</v>
      </c>
      <c r="X926" s="171">
        <v>0</v>
      </c>
      <c r="Y926" s="168">
        <v>0</v>
      </c>
      <c r="Z926" s="171">
        <v>0</v>
      </c>
      <c r="AA926" s="168">
        <v>0</v>
      </c>
      <c r="AB926" s="171">
        <v>0</v>
      </c>
      <c r="AC926" s="238">
        <f t="shared" si="483"/>
        <v>18.506000000000004</v>
      </c>
      <c r="AD926" s="238"/>
      <c r="AE926" s="238"/>
    </row>
    <row r="927" spans="2:31" x14ac:dyDescent="0.3">
      <c r="B927" s="245" t="s">
        <v>19</v>
      </c>
      <c r="C927" s="245"/>
      <c r="D927" s="245"/>
      <c r="E927" s="168">
        <v>0</v>
      </c>
      <c r="F927" s="171">
        <v>0</v>
      </c>
      <c r="G927" s="168">
        <v>0</v>
      </c>
      <c r="H927" s="171">
        <v>0</v>
      </c>
      <c r="I927" s="168">
        <v>0</v>
      </c>
      <c r="J927" s="171">
        <v>0</v>
      </c>
      <c r="K927" s="168">
        <v>0</v>
      </c>
      <c r="L927" s="171">
        <v>0</v>
      </c>
      <c r="M927" s="168">
        <v>0</v>
      </c>
      <c r="N927" s="171">
        <v>0</v>
      </c>
      <c r="O927" s="168">
        <v>0</v>
      </c>
      <c r="P927" s="171">
        <v>0</v>
      </c>
      <c r="Q927" s="168">
        <v>0</v>
      </c>
      <c r="R927" s="171">
        <v>1.5700000000000003</v>
      </c>
      <c r="S927" s="168">
        <v>7.9883333333333315</v>
      </c>
      <c r="T927" s="171">
        <v>8.6828333333333365</v>
      </c>
      <c r="U927" s="168">
        <v>10.821166666666667</v>
      </c>
      <c r="V927" s="171">
        <v>12.794999999999998</v>
      </c>
      <c r="W927" s="168">
        <v>7.5821666666666658</v>
      </c>
      <c r="X927" s="171">
        <v>0</v>
      </c>
      <c r="Y927" s="168">
        <v>0</v>
      </c>
      <c r="Z927" s="171">
        <v>0</v>
      </c>
      <c r="AA927" s="168">
        <v>0</v>
      </c>
      <c r="AB927" s="171">
        <v>0</v>
      </c>
      <c r="AC927" s="238">
        <f t="shared" si="483"/>
        <v>49.439499999999995</v>
      </c>
      <c r="AD927" s="238"/>
      <c r="AE927" s="238"/>
    </row>
    <row r="928" spans="2:31" x14ac:dyDescent="0.3">
      <c r="B928" s="245" t="s">
        <v>20</v>
      </c>
      <c r="C928" s="245"/>
      <c r="D928" s="245"/>
      <c r="E928" s="168">
        <v>0</v>
      </c>
      <c r="F928" s="171">
        <v>0</v>
      </c>
      <c r="G928" s="168">
        <v>0</v>
      </c>
      <c r="H928" s="171">
        <v>0</v>
      </c>
      <c r="I928" s="168">
        <v>0</v>
      </c>
      <c r="J928" s="171">
        <v>0</v>
      </c>
      <c r="K928" s="168">
        <v>0</v>
      </c>
      <c r="L928" s="171">
        <v>0</v>
      </c>
      <c r="M928" s="168">
        <v>0</v>
      </c>
      <c r="N928" s="171">
        <v>0</v>
      </c>
      <c r="O928" s="168">
        <v>0</v>
      </c>
      <c r="P928" s="171">
        <v>0</v>
      </c>
      <c r="Q928" s="168">
        <v>0</v>
      </c>
      <c r="R928" s="171">
        <v>0.27500000000000002</v>
      </c>
      <c r="S928" s="168">
        <v>1.2985000000000002</v>
      </c>
      <c r="T928" s="171">
        <v>1.1549999999999991</v>
      </c>
      <c r="U928" s="168">
        <v>1.2945000000000004</v>
      </c>
      <c r="V928" s="171">
        <v>1.3803333333333339</v>
      </c>
      <c r="W928" s="168">
        <v>0.96799999999999953</v>
      </c>
      <c r="X928" s="171">
        <v>0</v>
      </c>
      <c r="Y928" s="168">
        <v>0</v>
      </c>
      <c r="Z928" s="171">
        <v>0</v>
      </c>
      <c r="AA928" s="168">
        <v>0</v>
      </c>
      <c r="AB928" s="171">
        <v>0</v>
      </c>
      <c r="AC928" s="238">
        <f t="shared" si="483"/>
        <v>6.3713333333333324</v>
      </c>
      <c r="AD928" s="238"/>
      <c r="AE928" s="238"/>
    </row>
    <row r="929" spans="2:31" x14ac:dyDescent="0.3">
      <c r="B929" s="245" t="s">
        <v>21</v>
      </c>
      <c r="C929" s="245"/>
      <c r="D929" s="245"/>
      <c r="E929" s="168">
        <v>0</v>
      </c>
      <c r="F929" s="171">
        <v>0</v>
      </c>
      <c r="G929" s="168">
        <v>0</v>
      </c>
      <c r="H929" s="171">
        <v>0</v>
      </c>
      <c r="I929" s="168">
        <v>0</v>
      </c>
      <c r="J929" s="171">
        <v>0</v>
      </c>
      <c r="K929" s="168">
        <v>0</v>
      </c>
      <c r="L929" s="171">
        <v>0</v>
      </c>
      <c r="M929" s="168">
        <v>0</v>
      </c>
      <c r="N929" s="171">
        <v>0</v>
      </c>
      <c r="O929" s="168">
        <v>0</v>
      </c>
      <c r="P929" s="171">
        <v>0</v>
      </c>
      <c r="Q929" s="168">
        <v>0</v>
      </c>
      <c r="R929" s="171">
        <v>0.54483333333333328</v>
      </c>
      <c r="S929" s="168">
        <v>1.649833333333333</v>
      </c>
      <c r="T929" s="171">
        <v>1.1876666666666666</v>
      </c>
      <c r="U929" s="168">
        <v>0.47099999999999992</v>
      </c>
      <c r="V929" s="171">
        <v>4.2500000000000003E-2</v>
      </c>
      <c r="W929" s="168">
        <v>1.5666666666666666E-2</v>
      </c>
      <c r="X929" s="171">
        <v>0</v>
      </c>
      <c r="Y929" s="168">
        <v>0</v>
      </c>
      <c r="Z929" s="171">
        <v>0</v>
      </c>
      <c r="AA929" s="168">
        <v>0</v>
      </c>
      <c r="AB929" s="171">
        <v>0</v>
      </c>
      <c r="AC929" s="238">
        <f t="shared" si="483"/>
        <v>3.9115000000000002</v>
      </c>
      <c r="AD929" s="238"/>
      <c r="AE929" s="238"/>
    </row>
    <row r="930" spans="2:31" x14ac:dyDescent="0.3">
      <c r="B930" s="245" t="s">
        <v>22</v>
      </c>
      <c r="C930" s="245"/>
      <c r="D930" s="245"/>
      <c r="E930" s="168">
        <v>0</v>
      </c>
      <c r="F930" s="171">
        <v>0</v>
      </c>
      <c r="G930" s="168">
        <v>0</v>
      </c>
      <c r="H930" s="171">
        <v>0</v>
      </c>
      <c r="I930" s="168">
        <v>0</v>
      </c>
      <c r="J930" s="171">
        <v>0</v>
      </c>
      <c r="K930" s="168">
        <v>0</v>
      </c>
      <c r="L930" s="171">
        <v>0</v>
      </c>
      <c r="M930" s="168">
        <v>0</v>
      </c>
      <c r="N930" s="171">
        <v>0</v>
      </c>
      <c r="O930" s="168">
        <v>0</v>
      </c>
      <c r="P930" s="171">
        <v>0</v>
      </c>
      <c r="Q930" s="168">
        <v>0</v>
      </c>
      <c r="R930" s="171">
        <v>0.17599999999999999</v>
      </c>
      <c r="S930" s="168">
        <v>0.66683333333333339</v>
      </c>
      <c r="T930" s="171">
        <v>0.43716666666666654</v>
      </c>
      <c r="U930" s="168">
        <v>0.22499999999999998</v>
      </c>
      <c r="V930" s="171">
        <v>0.23466666666666666</v>
      </c>
      <c r="W930" s="168">
        <v>4.5166666666666681E-2</v>
      </c>
      <c r="X930" s="171">
        <v>0</v>
      </c>
      <c r="Y930" s="168">
        <v>0</v>
      </c>
      <c r="Z930" s="171">
        <v>0</v>
      </c>
      <c r="AA930" s="168">
        <v>0</v>
      </c>
      <c r="AB930" s="171">
        <v>0</v>
      </c>
      <c r="AC930" s="238">
        <f t="shared" si="483"/>
        <v>1.784833333333333</v>
      </c>
      <c r="AD930" s="238"/>
      <c r="AE930" s="238"/>
    </row>
    <row r="931" spans="2:31" x14ac:dyDescent="0.3">
      <c r="B931" s="245" t="s">
        <v>23</v>
      </c>
      <c r="C931" s="245"/>
      <c r="D931" s="245"/>
      <c r="E931" s="168">
        <v>0</v>
      </c>
      <c r="F931" s="171">
        <v>0</v>
      </c>
      <c r="G931" s="168">
        <v>0</v>
      </c>
      <c r="H931" s="171">
        <v>0</v>
      </c>
      <c r="I931" s="168">
        <v>0</v>
      </c>
      <c r="J931" s="171">
        <v>0</v>
      </c>
      <c r="K931" s="168">
        <v>0</v>
      </c>
      <c r="L931" s="171">
        <v>0</v>
      </c>
      <c r="M931" s="168">
        <v>0</v>
      </c>
      <c r="N931" s="171">
        <v>0</v>
      </c>
      <c r="O931" s="168">
        <v>0</v>
      </c>
      <c r="P931" s="171">
        <v>0</v>
      </c>
      <c r="Q931" s="168">
        <v>0</v>
      </c>
      <c r="R931" s="171">
        <v>0</v>
      </c>
      <c r="S931" s="168">
        <v>0</v>
      </c>
      <c r="T931" s="171">
        <v>0</v>
      </c>
      <c r="U931" s="168">
        <v>0</v>
      </c>
      <c r="V931" s="171">
        <v>0</v>
      </c>
      <c r="W931" s="168">
        <v>0</v>
      </c>
      <c r="X931" s="171">
        <v>0</v>
      </c>
      <c r="Y931" s="168">
        <v>0</v>
      </c>
      <c r="Z931" s="171">
        <v>0</v>
      </c>
      <c r="AA931" s="168">
        <v>0</v>
      </c>
      <c r="AB931" s="171">
        <v>0</v>
      </c>
      <c r="AC931" s="238">
        <f t="shared" si="483"/>
        <v>0</v>
      </c>
      <c r="AD931" s="238"/>
      <c r="AE931" s="238"/>
    </row>
    <row r="932" spans="2:31" x14ac:dyDescent="0.3">
      <c r="B932" s="245" t="s">
        <v>24</v>
      </c>
      <c r="C932" s="245"/>
      <c r="D932" s="245"/>
      <c r="E932" s="168">
        <v>0</v>
      </c>
      <c r="F932" s="171">
        <v>0</v>
      </c>
      <c r="G932" s="168">
        <v>0</v>
      </c>
      <c r="H932" s="171">
        <v>0</v>
      </c>
      <c r="I932" s="168">
        <v>0</v>
      </c>
      <c r="J932" s="171">
        <v>0</v>
      </c>
      <c r="K932" s="168">
        <v>0</v>
      </c>
      <c r="L932" s="171">
        <v>0</v>
      </c>
      <c r="M932" s="168">
        <v>0</v>
      </c>
      <c r="N932" s="171">
        <v>0</v>
      </c>
      <c r="O932" s="168">
        <v>0</v>
      </c>
      <c r="P932" s="171">
        <v>0</v>
      </c>
      <c r="Q932" s="168">
        <v>0</v>
      </c>
      <c r="R932" s="171">
        <v>0.16900000000000004</v>
      </c>
      <c r="S932" s="168">
        <v>0.84433333333333349</v>
      </c>
      <c r="T932" s="171">
        <v>0.52916666666666656</v>
      </c>
      <c r="U932" s="168">
        <v>0</v>
      </c>
      <c r="V932" s="171">
        <v>0</v>
      </c>
      <c r="W932" s="168">
        <v>0</v>
      </c>
      <c r="X932" s="171">
        <v>0</v>
      </c>
      <c r="Y932" s="168">
        <v>0</v>
      </c>
      <c r="Z932" s="171">
        <v>0</v>
      </c>
      <c r="AA932" s="168">
        <v>0</v>
      </c>
      <c r="AB932" s="171">
        <v>0</v>
      </c>
      <c r="AC932" s="238">
        <f t="shared" si="483"/>
        <v>1.5425000000000002</v>
      </c>
      <c r="AD932" s="238"/>
      <c r="AE932" s="238"/>
    </row>
    <row r="933" spans="2:31" x14ac:dyDescent="0.3">
      <c r="B933" s="245" t="s">
        <v>25</v>
      </c>
      <c r="C933" s="245"/>
      <c r="D933" s="245"/>
      <c r="E933" s="168">
        <v>0</v>
      </c>
      <c r="F933" s="171">
        <v>0</v>
      </c>
      <c r="G933" s="168">
        <v>0</v>
      </c>
      <c r="H933" s="171">
        <v>0</v>
      </c>
      <c r="I933" s="168">
        <v>0</v>
      </c>
      <c r="J933" s="171">
        <v>0</v>
      </c>
      <c r="K933" s="168">
        <v>0</v>
      </c>
      <c r="L933" s="171">
        <v>0</v>
      </c>
      <c r="M933" s="168">
        <v>0</v>
      </c>
      <c r="N933" s="171">
        <v>0</v>
      </c>
      <c r="O933" s="168">
        <v>0</v>
      </c>
      <c r="P933" s="171">
        <v>0</v>
      </c>
      <c r="Q933" s="168">
        <v>0</v>
      </c>
      <c r="R933" s="171">
        <v>0</v>
      </c>
      <c r="S933" s="168">
        <v>0</v>
      </c>
      <c r="T933" s="171">
        <v>0</v>
      </c>
      <c r="U933" s="168">
        <v>0</v>
      </c>
      <c r="V933" s="171">
        <v>0</v>
      </c>
      <c r="W933" s="168">
        <v>0</v>
      </c>
      <c r="X933" s="171">
        <v>0</v>
      </c>
      <c r="Y933" s="168">
        <v>0</v>
      </c>
      <c r="Z933" s="171">
        <v>0</v>
      </c>
      <c r="AA933" s="168">
        <v>0</v>
      </c>
      <c r="AB933" s="171">
        <v>0</v>
      </c>
      <c r="AC933" s="238">
        <f t="shared" si="483"/>
        <v>0</v>
      </c>
      <c r="AD933" s="238"/>
      <c r="AE933" s="238"/>
    </row>
    <row r="934" spans="2:31" x14ac:dyDescent="0.3">
      <c r="B934" s="245" t="s">
        <v>26</v>
      </c>
      <c r="C934" s="245"/>
      <c r="D934" s="245"/>
      <c r="E934" s="168">
        <v>0</v>
      </c>
      <c r="F934" s="171">
        <v>0</v>
      </c>
      <c r="G934" s="168">
        <v>0</v>
      </c>
      <c r="H934" s="171">
        <v>0</v>
      </c>
      <c r="I934" s="168">
        <v>0</v>
      </c>
      <c r="J934" s="171">
        <v>0</v>
      </c>
      <c r="K934" s="168">
        <v>0</v>
      </c>
      <c r="L934" s="171">
        <v>0</v>
      </c>
      <c r="M934" s="168">
        <v>0</v>
      </c>
      <c r="N934" s="171">
        <v>0</v>
      </c>
      <c r="O934" s="168">
        <v>0</v>
      </c>
      <c r="P934" s="171">
        <v>0</v>
      </c>
      <c r="Q934" s="168">
        <v>0</v>
      </c>
      <c r="R934" s="171">
        <v>0</v>
      </c>
      <c r="S934" s="168">
        <v>0</v>
      </c>
      <c r="T934" s="171">
        <v>0</v>
      </c>
      <c r="U934" s="168">
        <v>0</v>
      </c>
      <c r="V934" s="171">
        <v>0</v>
      </c>
      <c r="W934" s="168">
        <v>0</v>
      </c>
      <c r="X934" s="171">
        <v>0</v>
      </c>
      <c r="Y934" s="168">
        <v>0</v>
      </c>
      <c r="Z934" s="171">
        <v>0</v>
      </c>
      <c r="AA934" s="168">
        <v>0</v>
      </c>
      <c r="AB934" s="171">
        <v>0</v>
      </c>
      <c r="AC934" s="238">
        <f t="shared" si="483"/>
        <v>0</v>
      </c>
      <c r="AD934" s="238"/>
      <c r="AE934" s="238"/>
    </row>
    <row r="935" spans="2:31" x14ac:dyDescent="0.3">
      <c r="B935" s="245" t="s">
        <v>27</v>
      </c>
      <c r="C935" s="245"/>
      <c r="D935" s="245"/>
      <c r="E935" s="168">
        <v>0</v>
      </c>
      <c r="F935" s="171">
        <v>0</v>
      </c>
      <c r="G935" s="168">
        <v>0</v>
      </c>
      <c r="H935" s="171">
        <v>0</v>
      </c>
      <c r="I935" s="168">
        <v>0</v>
      </c>
      <c r="J935" s="171">
        <v>0</v>
      </c>
      <c r="K935" s="168">
        <v>0</v>
      </c>
      <c r="L935" s="171">
        <v>0</v>
      </c>
      <c r="M935" s="168">
        <v>0</v>
      </c>
      <c r="N935" s="171">
        <v>0</v>
      </c>
      <c r="O935" s="168">
        <v>0</v>
      </c>
      <c r="P935" s="171">
        <v>0</v>
      </c>
      <c r="Q935" s="168">
        <v>0</v>
      </c>
      <c r="R935" s="171">
        <v>0</v>
      </c>
      <c r="S935" s="168">
        <v>0</v>
      </c>
      <c r="T935" s="171">
        <v>0</v>
      </c>
      <c r="U935" s="168">
        <v>0</v>
      </c>
      <c r="V935" s="171">
        <v>0</v>
      </c>
      <c r="W935" s="168">
        <v>0</v>
      </c>
      <c r="X935" s="171">
        <v>0</v>
      </c>
      <c r="Y935" s="168">
        <v>0</v>
      </c>
      <c r="Z935" s="171">
        <v>0</v>
      </c>
      <c r="AA935" s="168">
        <v>0</v>
      </c>
      <c r="AB935" s="171">
        <v>0</v>
      </c>
      <c r="AC935" s="238">
        <f t="shared" si="483"/>
        <v>0</v>
      </c>
      <c r="AD935" s="238"/>
      <c r="AE935" s="238"/>
    </row>
    <row r="936" spans="2:31" x14ac:dyDescent="0.3">
      <c r="B936" s="245" t="s">
        <v>28</v>
      </c>
      <c r="C936" s="245"/>
      <c r="D936" s="245"/>
      <c r="E936" s="168">
        <v>0</v>
      </c>
      <c r="F936" s="171">
        <v>0</v>
      </c>
      <c r="G936" s="168">
        <v>0</v>
      </c>
      <c r="H936" s="171">
        <v>0</v>
      </c>
      <c r="I936" s="168">
        <v>0</v>
      </c>
      <c r="J936" s="171">
        <v>0</v>
      </c>
      <c r="K936" s="168">
        <v>0</v>
      </c>
      <c r="L936" s="171">
        <v>0</v>
      </c>
      <c r="M936" s="168">
        <v>0</v>
      </c>
      <c r="N936" s="171">
        <v>0</v>
      </c>
      <c r="O936" s="168">
        <v>0</v>
      </c>
      <c r="P936" s="171">
        <v>0</v>
      </c>
      <c r="Q936" s="168">
        <v>0</v>
      </c>
      <c r="R936" s="171">
        <v>0</v>
      </c>
      <c r="S936" s="168">
        <v>0</v>
      </c>
      <c r="T936" s="171">
        <v>0</v>
      </c>
      <c r="U936" s="168">
        <v>0</v>
      </c>
      <c r="V936" s="171">
        <v>0</v>
      </c>
      <c r="W936" s="168">
        <v>0</v>
      </c>
      <c r="X936" s="171">
        <v>0</v>
      </c>
      <c r="Y936" s="168">
        <v>0</v>
      </c>
      <c r="Z936" s="171">
        <v>0</v>
      </c>
      <c r="AA936" s="168">
        <v>0</v>
      </c>
      <c r="AB936" s="171">
        <v>0</v>
      </c>
      <c r="AC936" s="238">
        <f t="shared" si="483"/>
        <v>0</v>
      </c>
      <c r="AD936" s="238"/>
      <c r="AE936" s="238"/>
    </row>
    <row r="937" spans="2:31" x14ac:dyDescent="0.3">
      <c r="B937" s="245" t="s">
        <v>92</v>
      </c>
      <c r="C937" s="245"/>
      <c r="D937" s="245"/>
      <c r="E937" s="168">
        <v>0</v>
      </c>
      <c r="F937" s="171">
        <v>0</v>
      </c>
      <c r="G937" s="168">
        <v>0</v>
      </c>
      <c r="H937" s="171">
        <v>0</v>
      </c>
      <c r="I937" s="168">
        <v>0</v>
      </c>
      <c r="J937" s="171">
        <v>0</v>
      </c>
      <c r="K937" s="168">
        <v>0</v>
      </c>
      <c r="L937" s="171">
        <v>0</v>
      </c>
      <c r="M937" s="168">
        <v>0</v>
      </c>
      <c r="N937" s="171">
        <v>0</v>
      </c>
      <c r="O937" s="168">
        <v>0</v>
      </c>
      <c r="P937" s="171">
        <v>0</v>
      </c>
      <c r="Q937" s="168">
        <v>0</v>
      </c>
      <c r="R937" s="171">
        <v>0</v>
      </c>
      <c r="S937" s="168">
        <v>0</v>
      </c>
      <c r="T937" s="171">
        <v>0</v>
      </c>
      <c r="U937" s="168">
        <v>0</v>
      </c>
      <c r="V937" s="171">
        <v>0</v>
      </c>
      <c r="W937" s="168">
        <v>0</v>
      </c>
      <c r="X937" s="171">
        <v>0</v>
      </c>
      <c r="Y937" s="168">
        <v>0</v>
      </c>
      <c r="Z937" s="171">
        <v>0</v>
      </c>
      <c r="AA937" s="168">
        <v>0</v>
      </c>
      <c r="AB937" s="171">
        <v>0</v>
      </c>
      <c r="AC937" s="238">
        <f t="shared" si="483"/>
        <v>0</v>
      </c>
      <c r="AD937" s="238"/>
      <c r="AE937" s="238"/>
    </row>
    <row r="938" spans="2:31" x14ac:dyDescent="0.3">
      <c r="B938" s="245" t="s">
        <v>29</v>
      </c>
      <c r="C938" s="245"/>
      <c r="D938" s="245"/>
      <c r="E938" s="168">
        <v>0</v>
      </c>
      <c r="F938" s="171">
        <v>0</v>
      </c>
      <c r="G938" s="168">
        <v>0</v>
      </c>
      <c r="H938" s="171">
        <v>0</v>
      </c>
      <c r="I938" s="168">
        <v>0</v>
      </c>
      <c r="J938" s="171">
        <v>0</v>
      </c>
      <c r="K938" s="168">
        <v>0</v>
      </c>
      <c r="L938" s="171">
        <v>0</v>
      </c>
      <c r="M938" s="168">
        <v>0</v>
      </c>
      <c r="N938" s="171">
        <v>0</v>
      </c>
      <c r="O938" s="168">
        <v>0</v>
      </c>
      <c r="P938" s="171">
        <v>0</v>
      </c>
      <c r="Q938" s="168">
        <v>0</v>
      </c>
      <c r="R938" s="171">
        <v>0</v>
      </c>
      <c r="S938" s="168">
        <v>0</v>
      </c>
      <c r="T938" s="171">
        <v>0</v>
      </c>
      <c r="U938" s="168">
        <v>0</v>
      </c>
      <c r="V938" s="171">
        <v>0</v>
      </c>
      <c r="W938" s="168">
        <v>0</v>
      </c>
      <c r="X938" s="171">
        <v>0</v>
      </c>
      <c r="Y938" s="168">
        <v>0</v>
      </c>
      <c r="Z938" s="171">
        <v>0</v>
      </c>
      <c r="AA938" s="168">
        <v>0</v>
      </c>
      <c r="AB938" s="171">
        <v>0</v>
      </c>
      <c r="AC938" s="238">
        <f t="shared" si="483"/>
        <v>0</v>
      </c>
      <c r="AD938" s="238"/>
      <c r="AE938" s="238"/>
    </row>
    <row r="939" spans="2:31" x14ac:dyDescent="0.3">
      <c r="B939" s="245" t="s">
        <v>30</v>
      </c>
      <c r="C939" s="245"/>
      <c r="D939" s="245"/>
      <c r="E939" s="168">
        <v>0</v>
      </c>
      <c r="F939" s="171">
        <v>0</v>
      </c>
      <c r="G939" s="168">
        <v>0</v>
      </c>
      <c r="H939" s="171">
        <v>0</v>
      </c>
      <c r="I939" s="168">
        <v>0</v>
      </c>
      <c r="J939" s="171">
        <v>0</v>
      </c>
      <c r="K939" s="168">
        <v>0</v>
      </c>
      <c r="L939" s="171">
        <v>0</v>
      </c>
      <c r="M939" s="168">
        <v>0</v>
      </c>
      <c r="N939" s="171">
        <v>0</v>
      </c>
      <c r="O939" s="168">
        <v>0</v>
      </c>
      <c r="P939" s="171">
        <v>0</v>
      </c>
      <c r="Q939" s="168">
        <v>0</v>
      </c>
      <c r="R939" s="171">
        <v>0</v>
      </c>
      <c r="S939" s="168">
        <v>0</v>
      </c>
      <c r="T939" s="171">
        <v>0</v>
      </c>
      <c r="U939" s="168">
        <v>0</v>
      </c>
      <c r="V939" s="171">
        <v>0</v>
      </c>
      <c r="W939" s="168">
        <v>0</v>
      </c>
      <c r="X939" s="171">
        <v>0</v>
      </c>
      <c r="Y939" s="168">
        <v>0</v>
      </c>
      <c r="Z939" s="171">
        <v>0</v>
      </c>
      <c r="AA939" s="168">
        <v>0</v>
      </c>
      <c r="AB939" s="171">
        <v>0</v>
      </c>
      <c r="AC939" s="238">
        <f t="shared" si="483"/>
        <v>0</v>
      </c>
      <c r="AD939" s="238"/>
      <c r="AE939" s="238"/>
    </row>
    <row r="940" spans="2:31" x14ac:dyDescent="0.3">
      <c r="B940" s="245" t="s">
        <v>31</v>
      </c>
      <c r="C940" s="245"/>
      <c r="D940" s="245"/>
      <c r="E940" s="168">
        <v>0</v>
      </c>
      <c r="F940" s="171">
        <v>0</v>
      </c>
      <c r="G940" s="168">
        <v>0</v>
      </c>
      <c r="H940" s="171">
        <v>0</v>
      </c>
      <c r="I940" s="168">
        <v>0</v>
      </c>
      <c r="J940" s="171">
        <v>0</v>
      </c>
      <c r="K940" s="168">
        <v>0</v>
      </c>
      <c r="L940" s="171">
        <v>0</v>
      </c>
      <c r="M940" s="168">
        <v>0</v>
      </c>
      <c r="N940" s="171">
        <v>0</v>
      </c>
      <c r="O940" s="168">
        <v>0</v>
      </c>
      <c r="P940" s="171">
        <v>0</v>
      </c>
      <c r="Q940" s="168">
        <v>0</v>
      </c>
      <c r="R940" s="171">
        <v>0</v>
      </c>
      <c r="S940" s="168">
        <v>0</v>
      </c>
      <c r="T940" s="171">
        <v>0</v>
      </c>
      <c r="U940" s="168">
        <v>0</v>
      </c>
      <c r="V940" s="171">
        <v>0</v>
      </c>
      <c r="W940" s="168">
        <v>0</v>
      </c>
      <c r="X940" s="171">
        <v>0</v>
      </c>
      <c r="Y940" s="168">
        <v>0</v>
      </c>
      <c r="Z940" s="171">
        <v>0</v>
      </c>
      <c r="AA940" s="168">
        <v>0</v>
      </c>
      <c r="AB940" s="171">
        <v>0</v>
      </c>
      <c r="AC940" s="238">
        <f t="shared" si="483"/>
        <v>0</v>
      </c>
      <c r="AD940" s="238"/>
      <c r="AE940" s="238"/>
    </row>
    <row r="941" spans="2:31" x14ac:dyDescent="0.3">
      <c r="B941" s="245" t="s">
        <v>32</v>
      </c>
      <c r="C941" s="245"/>
      <c r="D941" s="245"/>
      <c r="E941" s="168">
        <v>0</v>
      </c>
      <c r="F941" s="171">
        <v>0</v>
      </c>
      <c r="G941" s="168">
        <v>0</v>
      </c>
      <c r="H941" s="171">
        <v>0</v>
      </c>
      <c r="I941" s="168">
        <v>0</v>
      </c>
      <c r="J941" s="171">
        <v>0</v>
      </c>
      <c r="K941" s="168">
        <v>0</v>
      </c>
      <c r="L941" s="171">
        <v>0</v>
      </c>
      <c r="M941" s="168">
        <v>0</v>
      </c>
      <c r="N941" s="171">
        <v>0</v>
      </c>
      <c r="O941" s="168">
        <v>0</v>
      </c>
      <c r="P941" s="171">
        <v>0</v>
      </c>
      <c r="Q941" s="168">
        <v>0</v>
      </c>
      <c r="R941" s="171">
        <v>0</v>
      </c>
      <c r="S941" s="168">
        <v>0</v>
      </c>
      <c r="T941" s="171">
        <v>0</v>
      </c>
      <c r="U941" s="168">
        <v>0</v>
      </c>
      <c r="V941" s="171">
        <v>0</v>
      </c>
      <c r="W941" s="168">
        <v>0</v>
      </c>
      <c r="X941" s="171">
        <v>0</v>
      </c>
      <c r="Y941" s="168">
        <v>0</v>
      </c>
      <c r="Z941" s="171">
        <v>0</v>
      </c>
      <c r="AA941" s="168">
        <v>0</v>
      </c>
      <c r="AB941" s="171">
        <v>0</v>
      </c>
      <c r="AC941" s="238">
        <f t="shared" si="483"/>
        <v>0</v>
      </c>
      <c r="AD941" s="238"/>
      <c r="AE941" s="238"/>
    </row>
    <row r="942" spans="2:31" x14ac:dyDescent="0.3">
      <c r="B942" s="245" t="s">
        <v>33</v>
      </c>
      <c r="C942" s="245"/>
      <c r="D942" s="245"/>
      <c r="E942" s="168">
        <v>0</v>
      </c>
      <c r="F942" s="171">
        <v>0</v>
      </c>
      <c r="G942" s="168">
        <v>0</v>
      </c>
      <c r="H942" s="171">
        <v>0</v>
      </c>
      <c r="I942" s="168">
        <v>0</v>
      </c>
      <c r="J942" s="171">
        <v>0</v>
      </c>
      <c r="K942" s="168">
        <v>0</v>
      </c>
      <c r="L942" s="171">
        <v>0</v>
      </c>
      <c r="M942" s="168">
        <v>0</v>
      </c>
      <c r="N942" s="171">
        <v>0</v>
      </c>
      <c r="O942" s="168">
        <v>0</v>
      </c>
      <c r="P942" s="171">
        <v>0</v>
      </c>
      <c r="Q942" s="168">
        <v>0</v>
      </c>
      <c r="R942" s="171">
        <v>0</v>
      </c>
      <c r="S942" s="168">
        <v>0</v>
      </c>
      <c r="T942" s="171">
        <v>0</v>
      </c>
      <c r="U942" s="168">
        <v>0</v>
      </c>
      <c r="V942" s="171">
        <v>0</v>
      </c>
      <c r="W942" s="168">
        <v>0</v>
      </c>
      <c r="X942" s="171">
        <v>0</v>
      </c>
      <c r="Y942" s="168">
        <v>0</v>
      </c>
      <c r="Z942" s="171">
        <v>0</v>
      </c>
      <c r="AA942" s="168">
        <v>0</v>
      </c>
      <c r="AB942" s="171">
        <v>0</v>
      </c>
      <c r="AC942" s="238">
        <f t="shared" si="483"/>
        <v>0</v>
      </c>
      <c r="AD942" s="238"/>
      <c r="AE942" s="238"/>
    </row>
    <row r="943" spans="2:31" x14ac:dyDescent="0.3">
      <c r="B943" s="245" t="s">
        <v>34</v>
      </c>
      <c r="C943" s="245"/>
      <c r="D943" s="245"/>
      <c r="E943" s="168">
        <v>0</v>
      </c>
      <c r="F943" s="171">
        <v>0</v>
      </c>
      <c r="G943" s="168">
        <v>0</v>
      </c>
      <c r="H943" s="171">
        <v>0</v>
      </c>
      <c r="I943" s="168">
        <v>0</v>
      </c>
      <c r="J943" s="171">
        <v>0</v>
      </c>
      <c r="K943" s="168">
        <v>0</v>
      </c>
      <c r="L943" s="171">
        <v>0</v>
      </c>
      <c r="M943" s="168">
        <v>0</v>
      </c>
      <c r="N943" s="171">
        <v>0</v>
      </c>
      <c r="O943" s="168">
        <v>0</v>
      </c>
      <c r="P943" s="171">
        <v>0</v>
      </c>
      <c r="Q943" s="168">
        <v>0</v>
      </c>
      <c r="R943" s="171">
        <v>0</v>
      </c>
      <c r="S943" s="168">
        <v>0</v>
      </c>
      <c r="T943" s="171">
        <v>0</v>
      </c>
      <c r="U943" s="168">
        <v>0</v>
      </c>
      <c r="V943" s="171">
        <v>0</v>
      </c>
      <c r="W943" s="168">
        <v>0</v>
      </c>
      <c r="X943" s="171">
        <v>0</v>
      </c>
      <c r="Y943" s="168">
        <v>0</v>
      </c>
      <c r="Z943" s="171">
        <v>0</v>
      </c>
      <c r="AA943" s="168">
        <v>0</v>
      </c>
      <c r="AB943" s="171">
        <v>0</v>
      </c>
      <c r="AC943" s="238">
        <f t="shared" si="483"/>
        <v>0</v>
      </c>
      <c r="AD943" s="238"/>
      <c r="AE943" s="238"/>
    </row>
    <row r="944" spans="2:31" x14ac:dyDescent="0.3">
      <c r="B944" s="245" t="s">
        <v>35</v>
      </c>
      <c r="C944" s="245"/>
      <c r="D944" s="245"/>
      <c r="E944" s="168">
        <v>0</v>
      </c>
      <c r="F944" s="171">
        <v>0</v>
      </c>
      <c r="G944" s="168">
        <v>0</v>
      </c>
      <c r="H944" s="171">
        <v>0</v>
      </c>
      <c r="I944" s="168">
        <v>0</v>
      </c>
      <c r="J944" s="171">
        <v>0</v>
      </c>
      <c r="K944" s="168">
        <v>0</v>
      </c>
      <c r="L944" s="171">
        <v>0</v>
      </c>
      <c r="M944" s="168">
        <v>0</v>
      </c>
      <c r="N944" s="171">
        <v>0</v>
      </c>
      <c r="O944" s="168">
        <v>0</v>
      </c>
      <c r="P944" s="171">
        <v>0</v>
      </c>
      <c r="Q944" s="168">
        <v>0</v>
      </c>
      <c r="R944" s="171">
        <v>0</v>
      </c>
      <c r="S944" s="168">
        <v>0</v>
      </c>
      <c r="T944" s="171">
        <v>0</v>
      </c>
      <c r="U944" s="168">
        <v>0</v>
      </c>
      <c r="V944" s="171">
        <v>0</v>
      </c>
      <c r="W944" s="168">
        <v>0</v>
      </c>
      <c r="X944" s="171">
        <v>0</v>
      </c>
      <c r="Y944" s="168">
        <v>0</v>
      </c>
      <c r="Z944" s="171">
        <v>0</v>
      </c>
      <c r="AA944" s="168">
        <v>0</v>
      </c>
      <c r="AB944" s="171">
        <v>0</v>
      </c>
      <c r="AC944" s="238">
        <f t="shared" si="483"/>
        <v>0</v>
      </c>
      <c r="AD944" s="238"/>
      <c r="AE944" s="238"/>
    </row>
    <row r="945" spans="2:31" x14ac:dyDescent="0.3">
      <c r="B945" s="245" t="s">
        <v>36</v>
      </c>
      <c r="C945" s="245"/>
      <c r="D945" s="245"/>
      <c r="E945" s="168">
        <v>0</v>
      </c>
      <c r="F945" s="171">
        <v>0</v>
      </c>
      <c r="G945" s="168">
        <v>0</v>
      </c>
      <c r="H945" s="171">
        <v>0</v>
      </c>
      <c r="I945" s="168">
        <v>0</v>
      </c>
      <c r="J945" s="171">
        <v>0</v>
      </c>
      <c r="K945" s="168">
        <v>0</v>
      </c>
      <c r="L945" s="171">
        <v>0</v>
      </c>
      <c r="M945" s="168">
        <v>0</v>
      </c>
      <c r="N945" s="171">
        <v>0</v>
      </c>
      <c r="O945" s="168">
        <v>0</v>
      </c>
      <c r="P945" s="171">
        <v>0</v>
      </c>
      <c r="Q945" s="168">
        <v>0</v>
      </c>
      <c r="R945" s="171">
        <v>0</v>
      </c>
      <c r="S945" s="168">
        <v>0</v>
      </c>
      <c r="T945" s="171">
        <v>0</v>
      </c>
      <c r="U945" s="168">
        <v>0</v>
      </c>
      <c r="V945" s="171">
        <v>0</v>
      </c>
      <c r="W945" s="168">
        <v>0</v>
      </c>
      <c r="X945" s="171">
        <v>0</v>
      </c>
      <c r="Y945" s="168">
        <v>0</v>
      </c>
      <c r="Z945" s="171">
        <v>0</v>
      </c>
      <c r="AA945" s="168">
        <v>0</v>
      </c>
      <c r="AB945" s="171">
        <v>0</v>
      </c>
      <c r="AC945" s="238">
        <f t="shared" si="483"/>
        <v>0</v>
      </c>
      <c r="AD945" s="238"/>
      <c r="AE945" s="238"/>
    </row>
    <row r="946" spans="2:31" x14ac:dyDescent="0.3">
      <c r="B946" s="13" t="s">
        <v>89</v>
      </c>
      <c r="C946" s="13"/>
      <c r="D946" s="13"/>
      <c r="E946" s="168">
        <v>0</v>
      </c>
      <c r="F946" s="171">
        <v>0</v>
      </c>
      <c r="G946" s="168">
        <v>0</v>
      </c>
      <c r="H946" s="171">
        <v>0</v>
      </c>
      <c r="I946" s="168">
        <v>0</v>
      </c>
      <c r="J946" s="171">
        <v>0</v>
      </c>
      <c r="K946" s="168">
        <v>0</v>
      </c>
      <c r="L946" s="171">
        <v>0</v>
      </c>
      <c r="M946" s="168">
        <v>0</v>
      </c>
      <c r="N946" s="171">
        <v>0</v>
      </c>
      <c r="O946" s="168">
        <v>0</v>
      </c>
      <c r="P946" s="171">
        <v>0</v>
      </c>
      <c r="Q946" s="168">
        <v>0</v>
      </c>
      <c r="R946" s="171">
        <v>0</v>
      </c>
      <c r="S946" s="168">
        <v>0</v>
      </c>
      <c r="T946" s="171">
        <v>0</v>
      </c>
      <c r="U946" s="168">
        <v>0</v>
      </c>
      <c r="V946" s="171">
        <v>0</v>
      </c>
      <c r="W946" s="168">
        <v>0</v>
      </c>
      <c r="X946" s="171">
        <v>0</v>
      </c>
      <c r="Y946" s="168">
        <v>0</v>
      </c>
      <c r="Z946" s="171">
        <v>0</v>
      </c>
      <c r="AA946" s="168">
        <v>0</v>
      </c>
      <c r="AB946" s="171">
        <v>0</v>
      </c>
      <c r="AC946" s="238">
        <f t="shared" si="483"/>
        <v>0</v>
      </c>
      <c r="AD946" s="238"/>
      <c r="AE946" s="238"/>
    </row>
    <row r="947" spans="2:31" x14ac:dyDescent="0.3">
      <c r="B947" s="13" t="s">
        <v>90</v>
      </c>
      <c r="C947" s="13"/>
      <c r="D947" s="13"/>
      <c r="E947" s="168">
        <v>0</v>
      </c>
      <c r="F947" s="171">
        <v>0</v>
      </c>
      <c r="G947" s="168">
        <v>0</v>
      </c>
      <c r="H947" s="171">
        <v>0</v>
      </c>
      <c r="I947" s="168">
        <v>0</v>
      </c>
      <c r="J947" s="171">
        <v>0</v>
      </c>
      <c r="K947" s="168">
        <v>0</v>
      </c>
      <c r="L947" s="171">
        <v>0</v>
      </c>
      <c r="M947" s="168">
        <v>0</v>
      </c>
      <c r="N947" s="171">
        <v>0</v>
      </c>
      <c r="O947" s="168">
        <v>0</v>
      </c>
      <c r="P947" s="171">
        <v>0</v>
      </c>
      <c r="Q947" s="168">
        <v>0</v>
      </c>
      <c r="R947" s="171">
        <v>0</v>
      </c>
      <c r="S947" s="168">
        <v>0</v>
      </c>
      <c r="T947" s="171">
        <v>0</v>
      </c>
      <c r="U947" s="168">
        <v>0</v>
      </c>
      <c r="V947" s="171">
        <v>0</v>
      </c>
      <c r="W947" s="168">
        <v>0</v>
      </c>
      <c r="X947" s="171">
        <v>0</v>
      </c>
      <c r="Y947" s="168">
        <v>0</v>
      </c>
      <c r="Z947" s="171">
        <v>0</v>
      </c>
      <c r="AA947" s="168">
        <v>0</v>
      </c>
      <c r="AB947" s="171">
        <v>0</v>
      </c>
      <c r="AC947" s="238">
        <f t="shared" si="483"/>
        <v>0</v>
      </c>
      <c r="AD947" s="238"/>
      <c r="AE947" s="238"/>
    </row>
    <row r="948" spans="2:31" x14ac:dyDescent="0.3">
      <c r="B948" s="14" t="s">
        <v>2</v>
      </c>
      <c r="C948" s="14"/>
      <c r="D948" s="14"/>
      <c r="E948" s="15">
        <f>SUM(E911:E947)</f>
        <v>0</v>
      </c>
      <c r="F948" s="15">
        <f t="shared" ref="F948" si="484">SUM(F911:F947)</f>
        <v>0</v>
      </c>
      <c r="G948" s="15">
        <f t="shared" ref="G948" si="485">SUM(G911:G947)</f>
        <v>0</v>
      </c>
      <c r="H948" s="15">
        <f t="shared" ref="H948" si="486">SUM(H911:H947)</f>
        <v>0</v>
      </c>
      <c r="I948" s="15">
        <f t="shared" ref="I948" si="487">SUM(I911:I947)</f>
        <v>0</v>
      </c>
      <c r="J948" s="15">
        <f t="shared" ref="J948" si="488">SUM(J911:J947)</f>
        <v>0</v>
      </c>
      <c r="K948" s="15">
        <f t="shared" ref="K948" si="489">SUM(K911:K947)</f>
        <v>0</v>
      </c>
      <c r="L948" s="15">
        <f t="shared" ref="L948" si="490">SUM(L911:L947)</f>
        <v>0</v>
      </c>
      <c r="M948" s="15">
        <f t="shared" ref="M948" si="491">SUM(M911:M947)</f>
        <v>0</v>
      </c>
      <c r="N948" s="15">
        <f t="shared" ref="N948" si="492">SUM(N911:N947)</f>
        <v>0</v>
      </c>
      <c r="O948" s="15">
        <f t="shared" ref="O948" si="493">SUM(O911:O947)</f>
        <v>0</v>
      </c>
      <c r="P948" s="15">
        <f t="shared" ref="P948" si="494">SUM(P911:P947)</f>
        <v>0</v>
      </c>
      <c r="Q948" s="15">
        <f t="shared" ref="Q948" si="495">SUM(Q911:Q947)</f>
        <v>0</v>
      </c>
      <c r="R948" s="15">
        <f t="shared" ref="R948" si="496">SUM(R911:R947)</f>
        <v>26.719833333333327</v>
      </c>
      <c r="S948" s="15">
        <f t="shared" ref="S948" si="497">SUM(S911:S947)</f>
        <v>152.81633333333332</v>
      </c>
      <c r="T948" s="15">
        <f t="shared" ref="T948" si="498">SUM(T911:T947)</f>
        <v>206.14066666666668</v>
      </c>
      <c r="U948" s="15">
        <f t="shared" ref="U948" si="499">SUM(U911:U947)</f>
        <v>242.68900000000002</v>
      </c>
      <c r="V948" s="15">
        <f t="shared" ref="V948" si="500">SUM(V911:V947)</f>
        <v>225.77116666666666</v>
      </c>
      <c r="W948" s="15">
        <f t="shared" ref="W948" si="501">SUM(W911:W947)</f>
        <v>158.60666666666668</v>
      </c>
      <c r="X948" s="15">
        <f t="shared" ref="X948" si="502">SUM(X911:X947)</f>
        <v>6.1814999999999998</v>
      </c>
      <c r="Y948" s="15">
        <f t="shared" ref="Y948" si="503">SUM(Y911:Y947)</f>
        <v>0</v>
      </c>
      <c r="Z948" s="15">
        <f t="shared" ref="Z948" si="504">SUM(Z911:Z947)</f>
        <v>0</v>
      </c>
      <c r="AA948" s="15">
        <f t="shared" ref="AA948" si="505">SUM(AA911:AA947)</f>
        <v>0</v>
      </c>
      <c r="AB948" s="15">
        <f t="shared" ref="AB948" si="506">SUM(AB911:AB947)</f>
        <v>0</v>
      </c>
      <c r="AC948" s="249">
        <f>SUM(AC911:AE947)</f>
        <v>1018.9251666666668</v>
      </c>
      <c r="AD948" s="249"/>
      <c r="AE948" s="249"/>
    </row>
    <row r="951" spans="2:31" x14ac:dyDescent="0.3">
      <c r="B951" s="8">
        <f>'Resumen-Mensual'!$AA$22</f>
        <v>44584</v>
      </c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4"/>
      <c r="AD951" s="4"/>
      <c r="AE951" s="4"/>
    </row>
    <row r="952" spans="2:31" x14ac:dyDescent="0.3">
      <c r="B952" s="8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4"/>
      <c r="AD952" s="4"/>
      <c r="AE952" s="4"/>
    </row>
    <row r="953" spans="2:31" x14ac:dyDescent="0.3">
      <c r="B953" s="9" t="s">
        <v>81</v>
      </c>
      <c r="C953" s="10"/>
      <c r="D953" s="10"/>
      <c r="E953" s="11">
        <v>1</v>
      </c>
      <c r="F953" s="11">
        <v>2</v>
      </c>
      <c r="G953" s="11">
        <v>3</v>
      </c>
      <c r="H953" s="11">
        <v>4</v>
      </c>
      <c r="I953" s="11">
        <v>5</v>
      </c>
      <c r="J953" s="11">
        <v>6</v>
      </c>
      <c r="K953" s="11">
        <v>7</v>
      </c>
      <c r="L953" s="11">
        <v>8</v>
      </c>
      <c r="M953" s="11">
        <v>9</v>
      </c>
      <c r="N953" s="11">
        <v>10</v>
      </c>
      <c r="O953" s="11">
        <v>11</v>
      </c>
      <c r="P953" s="11">
        <v>12</v>
      </c>
      <c r="Q953" s="11">
        <v>13</v>
      </c>
      <c r="R953" s="11">
        <v>14</v>
      </c>
      <c r="S953" s="11">
        <v>15</v>
      </c>
      <c r="T953" s="11">
        <v>16</v>
      </c>
      <c r="U953" s="11">
        <v>17</v>
      </c>
      <c r="V953" s="11">
        <v>18</v>
      </c>
      <c r="W953" s="11">
        <v>19</v>
      </c>
      <c r="X953" s="11">
        <v>20</v>
      </c>
      <c r="Y953" s="11">
        <v>21</v>
      </c>
      <c r="Z953" s="11">
        <v>22</v>
      </c>
      <c r="AA953" s="11">
        <v>23</v>
      </c>
      <c r="AB953" s="11">
        <v>24</v>
      </c>
      <c r="AC953" s="248" t="s">
        <v>2</v>
      </c>
      <c r="AD953" s="248"/>
      <c r="AE953" s="248"/>
    </row>
    <row r="954" spans="2:31" x14ac:dyDescent="0.3">
      <c r="B954" s="245" t="s">
        <v>4</v>
      </c>
      <c r="C954" s="245"/>
      <c r="D954" s="245"/>
      <c r="E954" s="176">
        <v>0</v>
      </c>
      <c r="F954" s="177">
        <v>0</v>
      </c>
      <c r="G954" s="176">
        <v>0</v>
      </c>
      <c r="H954" s="177">
        <v>0</v>
      </c>
      <c r="I954" s="176">
        <v>0</v>
      </c>
      <c r="J954" s="177">
        <v>0</v>
      </c>
      <c r="K954" s="176">
        <v>0</v>
      </c>
      <c r="L954" s="177">
        <v>0</v>
      </c>
      <c r="M954" s="176">
        <v>0</v>
      </c>
      <c r="N954" s="177">
        <v>0</v>
      </c>
      <c r="O954" s="176">
        <v>0</v>
      </c>
      <c r="P954" s="177">
        <v>0</v>
      </c>
      <c r="Q954" s="176">
        <v>0</v>
      </c>
      <c r="R954" s="177">
        <v>2.7218333333333322</v>
      </c>
      <c r="S954" s="176">
        <v>3.8856666666666664</v>
      </c>
      <c r="T954" s="177">
        <v>0</v>
      </c>
      <c r="U954" s="176">
        <v>0</v>
      </c>
      <c r="V954" s="177">
        <v>0</v>
      </c>
      <c r="W954" s="176">
        <v>0</v>
      </c>
      <c r="X954" s="177">
        <v>0</v>
      </c>
      <c r="Y954" s="176">
        <v>0</v>
      </c>
      <c r="Z954" s="177">
        <v>0</v>
      </c>
      <c r="AA954" s="176">
        <v>0</v>
      </c>
      <c r="AB954" s="177">
        <v>0</v>
      </c>
      <c r="AC954" s="238">
        <f>SUM(E954:AB954)</f>
        <v>6.6074999999999982</v>
      </c>
      <c r="AD954" s="238"/>
      <c r="AE954" s="238"/>
    </row>
    <row r="955" spans="2:31" x14ac:dyDescent="0.3">
      <c r="B955" s="245" t="s">
        <v>5</v>
      </c>
      <c r="C955" s="245"/>
      <c r="D955" s="245"/>
      <c r="E955" s="175">
        <v>0</v>
      </c>
      <c r="F955" s="178">
        <v>0</v>
      </c>
      <c r="G955" s="175">
        <v>0</v>
      </c>
      <c r="H955" s="178">
        <v>0</v>
      </c>
      <c r="I955" s="175">
        <v>0</v>
      </c>
      <c r="J955" s="178">
        <v>0</v>
      </c>
      <c r="K955" s="175">
        <v>0</v>
      </c>
      <c r="L955" s="178">
        <v>0</v>
      </c>
      <c r="M955" s="175">
        <v>0</v>
      </c>
      <c r="N955" s="178">
        <v>0</v>
      </c>
      <c r="O955" s="175">
        <v>0</v>
      </c>
      <c r="P955" s="178">
        <v>0</v>
      </c>
      <c r="Q955" s="175">
        <v>2.3706666666666663</v>
      </c>
      <c r="R955" s="178">
        <v>13.133166666666664</v>
      </c>
      <c r="S955" s="175">
        <v>32.988499999999995</v>
      </c>
      <c r="T955" s="178">
        <v>37.086333333333329</v>
      </c>
      <c r="U955" s="175">
        <v>41.384666666666682</v>
      </c>
      <c r="V955" s="178">
        <v>46.319833333333314</v>
      </c>
      <c r="W955" s="175">
        <v>35.878166666666658</v>
      </c>
      <c r="X955" s="178">
        <v>0</v>
      </c>
      <c r="Y955" s="175">
        <v>0</v>
      </c>
      <c r="Z955" s="178">
        <v>0</v>
      </c>
      <c r="AA955" s="175">
        <v>0</v>
      </c>
      <c r="AB955" s="178">
        <v>0</v>
      </c>
      <c r="AC955" s="238">
        <f t="shared" ref="AC955:AC990" si="507">SUM(E955:AB955)</f>
        <v>209.16133333333332</v>
      </c>
      <c r="AD955" s="238"/>
      <c r="AE955" s="238"/>
    </row>
    <row r="956" spans="2:31" x14ac:dyDescent="0.3">
      <c r="B956" s="245" t="s">
        <v>6</v>
      </c>
      <c r="C956" s="245"/>
      <c r="D956" s="245"/>
      <c r="E956" s="175">
        <v>0</v>
      </c>
      <c r="F956" s="178">
        <v>0</v>
      </c>
      <c r="G956" s="175">
        <v>0</v>
      </c>
      <c r="H956" s="178">
        <v>0</v>
      </c>
      <c r="I956" s="175">
        <v>0</v>
      </c>
      <c r="J956" s="178">
        <v>0</v>
      </c>
      <c r="K956" s="175">
        <v>0</v>
      </c>
      <c r="L956" s="178">
        <v>0</v>
      </c>
      <c r="M956" s="175">
        <v>0</v>
      </c>
      <c r="N956" s="178">
        <v>0</v>
      </c>
      <c r="O956" s="175">
        <v>0</v>
      </c>
      <c r="P956" s="178">
        <v>0</v>
      </c>
      <c r="Q956" s="175">
        <v>0</v>
      </c>
      <c r="R956" s="178">
        <v>0</v>
      </c>
      <c r="S956" s="175">
        <v>4.4840000000000009</v>
      </c>
      <c r="T956" s="178">
        <v>0</v>
      </c>
      <c r="U956" s="175">
        <v>21.989999999999995</v>
      </c>
      <c r="V956" s="178">
        <v>12.687999999999997</v>
      </c>
      <c r="W956" s="175">
        <v>23.173833333333338</v>
      </c>
      <c r="X956" s="178">
        <v>3.1321666666666657</v>
      </c>
      <c r="Y956" s="175">
        <v>0</v>
      </c>
      <c r="Z956" s="178">
        <v>0</v>
      </c>
      <c r="AA956" s="175">
        <v>0</v>
      </c>
      <c r="AB956" s="178">
        <v>0</v>
      </c>
      <c r="AC956" s="238">
        <f t="shared" si="507"/>
        <v>65.467999999999989</v>
      </c>
      <c r="AD956" s="238"/>
      <c r="AE956" s="238"/>
    </row>
    <row r="957" spans="2:31" x14ac:dyDescent="0.3">
      <c r="B957" s="245" t="s">
        <v>91</v>
      </c>
      <c r="C957" s="245"/>
      <c r="D957" s="245"/>
      <c r="E957" s="175">
        <v>0</v>
      </c>
      <c r="F957" s="178">
        <v>0</v>
      </c>
      <c r="G957" s="175">
        <v>0</v>
      </c>
      <c r="H957" s="178">
        <v>0</v>
      </c>
      <c r="I957" s="175">
        <v>0</v>
      </c>
      <c r="J957" s="178">
        <v>0</v>
      </c>
      <c r="K957" s="175">
        <v>0</v>
      </c>
      <c r="L957" s="178">
        <v>0</v>
      </c>
      <c r="M957" s="175">
        <v>0</v>
      </c>
      <c r="N957" s="178">
        <v>0</v>
      </c>
      <c r="O957" s="175">
        <v>0</v>
      </c>
      <c r="P957" s="178">
        <v>0</v>
      </c>
      <c r="Q957" s="175">
        <v>0</v>
      </c>
      <c r="R957" s="178">
        <v>0</v>
      </c>
      <c r="S957" s="175">
        <v>0</v>
      </c>
      <c r="T957" s="178">
        <v>0</v>
      </c>
      <c r="U957" s="175">
        <v>0</v>
      </c>
      <c r="V957" s="178">
        <v>0</v>
      </c>
      <c r="W957" s="175">
        <v>0</v>
      </c>
      <c r="X957" s="178">
        <v>0</v>
      </c>
      <c r="Y957" s="175">
        <v>0</v>
      </c>
      <c r="Z957" s="178">
        <v>0</v>
      </c>
      <c r="AA957" s="175">
        <v>0</v>
      </c>
      <c r="AB957" s="178">
        <v>0</v>
      </c>
      <c r="AC957" s="238">
        <f t="shared" si="507"/>
        <v>0</v>
      </c>
      <c r="AD957" s="238"/>
      <c r="AE957" s="238"/>
    </row>
    <row r="958" spans="2:31" x14ac:dyDescent="0.3">
      <c r="B958" s="245" t="s">
        <v>7</v>
      </c>
      <c r="C958" s="245"/>
      <c r="D958" s="245"/>
      <c r="E958" s="175">
        <v>0</v>
      </c>
      <c r="F958" s="178">
        <v>0</v>
      </c>
      <c r="G958" s="175">
        <v>0</v>
      </c>
      <c r="H958" s="178">
        <v>0</v>
      </c>
      <c r="I958" s="175">
        <v>0</v>
      </c>
      <c r="J958" s="178">
        <v>0</v>
      </c>
      <c r="K958" s="175">
        <v>0</v>
      </c>
      <c r="L958" s="178">
        <v>0</v>
      </c>
      <c r="M958" s="175">
        <v>0</v>
      </c>
      <c r="N958" s="178">
        <v>0</v>
      </c>
      <c r="O958" s="175">
        <v>0</v>
      </c>
      <c r="P958" s="178">
        <v>0</v>
      </c>
      <c r="Q958" s="175">
        <v>0</v>
      </c>
      <c r="R958" s="178">
        <v>0</v>
      </c>
      <c r="S958" s="175">
        <v>0</v>
      </c>
      <c r="T958" s="178">
        <v>0</v>
      </c>
      <c r="U958" s="175">
        <v>0.86033333333333861</v>
      </c>
      <c r="V958" s="178">
        <v>0.72033333333332927</v>
      </c>
      <c r="W958" s="175">
        <v>0.29699999999999871</v>
      </c>
      <c r="X958" s="178">
        <v>0</v>
      </c>
      <c r="Y958" s="175">
        <v>0</v>
      </c>
      <c r="Z958" s="178">
        <v>0</v>
      </c>
      <c r="AA958" s="175">
        <v>0</v>
      </c>
      <c r="AB958" s="178">
        <v>0</v>
      </c>
      <c r="AC958" s="238">
        <f t="shared" si="507"/>
        <v>1.8776666666666668</v>
      </c>
      <c r="AD958" s="238"/>
      <c r="AE958" s="238"/>
    </row>
    <row r="959" spans="2:31" x14ac:dyDescent="0.3">
      <c r="B959" s="245" t="s">
        <v>8</v>
      </c>
      <c r="C959" s="245"/>
      <c r="D959" s="245"/>
      <c r="E959" s="175">
        <v>0</v>
      </c>
      <c r="F959" s="178">
        <v>0</v>
      </c>
      <c r="G959" s="175">
        <v>0</v>
      </c>
      <c r="H959" s="178">
        <v>0</v>
      </c>
      <c r="I959" s="175">
        <v>0</v>
      </c>
      <c r="J959" s="178">
        <v>0</v>
      </c>
      <c r="K959" s="175">
        <v>0</v>
      </c>
      <c r="L959" s="178">
        <v>0</v>
      </c>
      <c r="M959" s="175">
        <v>0</v>
      </c>
      <c r="N959" s="178">
        <v>0</v>
      </c>
      <c r="O959" s="175">
        <v>0</v>
      </c>
      <c r="P959" s="178">
        <v>0</v>
      </c>
      <c r="Q959" s="175">
        <v>0.24100000000000002</v>
      </c>
      <c r="R959" s="178">
        <v>7.1144999999999969</v>
      </c>
      <c r="S959" s="175">
        <v>26.139166666666696</v>
      </c>
      <c r="T959" s="178">
        <v>35.997500000000009</v>
      </c>
      <c r="U959" s="175">
        <v>40.068333333333335</v>
      </c>
      <c r="V959" s="178">
        <v>0</v>
      </c>
      <c r="W959" s="175">
        <v>5.5326666666666622</v>
      </c>
      <c r="X959" s="178">
        <v>0</v>
      </c>
      <c r="Y959" s="175">
        <v>0</v>
      </c>
      <c r="Z959" s="178">
        <v>0</v>
      </c>
      <c r="AA959" s="175">
        <v>0</v>
      </c>
      <c r="AB959" s="178">
        <v>0</v>
      </c>
      <c r="AC959" s="238">
        <f t="shared" si="507"/>
        <v>115.0931666666667</v>
      </c>
      <c r="AD959" s="238"/>
      <c r="AE959" s="238"/>
    </row>
    <row r="960" spans="2:31" x14ac:dyDescent="0.3">
      <c r="B960" s="245" t="s">
        <v>9</v>
      </c>
      <c r="C960" s="245"/>
      <c r="D960" s="245"/>
      <c r="E960" s="175">
        <v>0</v>
      </c>
      <c r="F960" s="178">
        <v>0</v>
      </c>
      <c r="G960" s="175">
        <v>0</v>
      </c>
      <c r="H960" s="178">
        <v>0</v>
      </c>
      <c r="I960" s="175">
        <v>0</v>
      </c>
      <c r="J960" s="178">
        <v>0</v>
      </c>
      <c r="K960" s="175">
        <v>0</v>
      </c>
      <c r="L960" s="178">
        <v>0</v>
      </c>
      <c r="M960" s="175">
        <v>0</v>
      </c>
      <c r="N960" s="178">
        <v>0</v>
      </c>
      <c r="O960" s="175">
        <v>0</v>
      </c>
      <c r="P960" s="178">
        <v>2.3000000000000013E-2</v>
      </c>
      <c r="Q960" s="175">
        <v>3.5619999999999994</v>
      </c>
      <c r="R960" s="178">
        <v>5.1986666666666679</v>
      </c>
      <c r="S960" s="175">
        <v>0</v>
      </c>
      <c r="T960" s="178">
        <v>0</v>
      </c>
      <c r="U960" s="175">
        <v>15.206833333333341</v>
      </c>
      <c r="V960" s="178">
        <v>27.711500000000004</v>
      </c>
      <c r="W960" s="175">
        <v>25.398500000000009</v>
      </c>
      <c r="X960" s="178">
        <v>0</v>
      </c>
      <c r="Y960" s="175">
        <v>0</v>
      </c>
      <c r="Z960" s="178">
        <v>0</v>
      </c>
      <c r="AA960" s="175">
        <v>0</v>
      </c>
      <c r="AB960" s="178">
        <v>0</v>
      </c>
      <c r="AC960" s="238">
        <f t="shared" si="507"/>
        <v>77.100500000000025</v>
      </c>
      <c r="AD960" s="238"/>
      <c r="AE960" s="238"/>
    </row>
    <row r="961" spans="2:31" x14ac:dyDescent="0.3">
      <c r="B961" s="245" t="s">
        <v>10</v>
      </c>
      <c r="C961" s="245"/>
      <c r="D961" s="245"/>
      <c r="E961" s="175">
        <v>0</v>
      </c>
      <c r="F961" s="178">
        <v>0</v>
      </c>
      <c r="G961" s="175">
        <v>0</v>
      </c>
      <c r="H961" s="178">
        <v>0</v>
      </c>
      <c r="I961" s="175">
        <v>0</v>
      </c>
      <c r="J961" s="178">
        <v>0</v>
      </c>
      <c r="K961" s="175">
        <v>0</v>
      </c>
      <c r="L961" s="178">
        <v>0</v>
      </c>
      <c r="M961" s="175">
        <v>0</v>
      </c>
      <c r="N961" s="178">
        <v>0</v>
      </c>
      <c r="O961" s="175">
        <v>0</v>
      </c>
      <c r="P961" s="178">
        <v>6.483333333333334E-2</v>
      </c>
      <c r="Q961" s="175">
        <v>12.289499999999997</v>
      </c>
      <c r="R961" s="178">
        <v>0.56666666666666665</v>
      </c>
      <c r="S961" s="175">
        <v>0</v>
      </c>
      <c r="T961" s="178">
        <v>14.218333333333328</v>
      </c>
      <c r="U961" s="175">
        <v>37.905000000000001</v>
      </c>
      <c r="V961" s="178">
        <v>22.904333333333323</v>
      </c>
      <c r="W961" s="175">
        <v>1.0135000000000001</v>
      </c>
      <c r="X961" s="178">
        <v>0</v>
      </c>
      <c r="Y961" s="175">
        <v>0</v>
      </c>
      <c r="Z961" s="178">
        <v>0</v>
      </c>
      <c r="AA961" s="175">
        <v>0</v>
      </c>
      <c r="AB961" s="178">
        <v>0</v>
      </c>
      <c r="AC961" s="238">
        <f t="shared" si="507"/>
        <v>88.962166666666647</v>
      </c>
      <c r="AD961" s="238"/>
      <c r="AE961" s="238"/>
    </row>
    <row r="962" spans="2:31" x14ac:dyDescent="0.3">
      <c r="B962" s="245" t="s">
        <v>11</v>
      </c>
      <c r="C962" s="245"/>
      <c r="D962" s="245"/>
      <c r="E962" s="175">
        <v>0</v>
      </c>
      <c r="F962" s="178">
        <v>0</v>
      </c>
      <c r="G962" s="175">
        <v>0</v>
      </c>
      <c r="H962" s="178">
        <v>0</v>
      </c>
      <c r="I962" s="175">
        <v>0</v>
      </c>
      <c r="J962" s="178">
        <v>0</v>
      </c>
      <c r="K962" s="175">
        <v>0</v>
      </c>
      <c r="L962" s="178">
        <v>0</v>
      </c>
      <c r="M962" s="175">
        <v>0</v>
      </c>
      <c r="N962" s="178">
        <v>0</v>
      </c>
      <c r="O962" s="175">
        <v>0</v>
      </c>
      <c r="P962" s="178">
        <v>0.15183333333333335</v>
      </c>
      <c r="Q962" s="175">
        <v>11.620000000000003</v>
      </c>
      <c r="R962" s="178">
        <v>7.2138333333333344</v>
      </c>
      <c r="S962" s="175">
        <v>0</v>
      </c>
      <c r="T962" s="178">
        <v>5.6089999999999964</v>
      </c>
      <c r="U962" s="175">
        <v>39.357666666666674</v>
      </c>
      <c r="V962" s="178">
        <v>61.983666666666686</v>
      </c>
      <c r="W962" s="175">
        <v>51.668499999999973</v>
      </c>
      <c r="X962" s="178">
        <v>0</v>
      </c>
      <c r="Y962" s="175">
        <v>0</v>
      </c>
      <c r="Z962" s="178">
        <v>0</v>
      </c>
      <c r="AA962" s="175">
        <v>0</v>
      </c>
      <c r="AB962" s="178">
        <v>0</v>
      </c>
      <c r="AC962" s="238">
        <f t="shared" si="507"/>
        <v>177.6045</v>
      </c>
      <c r="AD962" s="238"/>
      <c r="AE962" s="238"/>
    </row>
    <row r="963" spans="2:31" x14ac:dyDescent="0.3">
      <c r="B963" s="245" t="s">
        <v>12</v>
      </c>
      <c r="C963" s="245"/>
      <c r="D963" s="245"/>
      <c r="E963" s="175">
        <v>0</v>
      </c>
      <c r="F963" s="178">
        <v>0</v>
      </c>
      <c r="G963" s="175">
        <v>0</v>
      </c>
      <c r="H963" s="178">
        <v>0</v>
      </c>
      <c r="I963" s="175">
        <v>0</v>
      </c>
      <c r="J963" s="178">
        <v>0</v>
      </c>
      <c r="K963" s="175">
        <v>0</v>
      </c>
      <c r="L963" s="178">
        <v>0</v>
      </c>
      <c r="M963" s="175">
        <v>0</v>
      </c>
      <c r="N963" s="178">
        <v>0</v>
      </c>
      <c r="O963" s="175">
        <v>0</v>
      </c>
      <c r="P963" s="178">
        <v>0</v>
      </c>
      <c r="Q963" s="175">
        <v>12.273666666666672</v>
      </c>
      <c r="R963" s="178">
        <v>18.217833333333331</v>
      </c>
      <c r="S963" s="175">
        <v>49.260833333333345</v>
      </c>
      <c r="T963" s="178">
        <v>88.653999999999996</v>
      </c>
      <c r="U963" s="175">
        <v>112.48933333333338</v>
      </c>
      <c r="V963" s="178">
        <v>89.488499999999974</v>
      </c>
      <c r="W963" s="175">
        <v>51.29483333333333</v>
      </c>
      <c r="X963" s="178">
        <v>0</v>
      </c>
      <c r="Y963" s="175">
        <v>0</v>
      </c>
      <c r="Z963" s="178">
        <v>0</v>
      </c>
      <c r="AA963" s="175">
        <v>0</v>
      </c>
      <c r="AB963" s="178">
        <v>0</v>
      </c>
      <c r="AC963" s="238">
        <f t="shared" si="507"/>
        <v>421.67900000000003</v>
      </c>
      <c r="AD963" s="238"/>
      <c r="AE963" s="238"/>
    </row>
    <row r="964" spans="2:31" x14ac:dyDescent="0.3">
      <c r="B964" s="245" t="s">
        <v>13</v>
      </c>
      <c r="C964" s="245"/>
      <c r="D964" s="245"/>
      <c r="E964" s="175">
        <v>0</v>
      </c>
      <c r="F964" s="178">
        <v>0</v>
      </c>
      <c r="G964" s="175">
        <v>0</v>
      </c>
      <c r="H964" s="178">
        <v>0</v>
      </c>
      <c r="I964" s="175">
        <v>0</v>
      </c>
      <c r="J964" s="178">
        <v>0</v>
      </c>
      <c r="K964" s="175">
        <v>0</v>
      </c>
      <c r="L964" s="178">
        <v>0</v>
      </c>
      <c r="M964" s="175">
        <v>0</v>
      </c>
      <c r="N964" s="178">
        <v>0</v>
      </c>
      <c r="O964" s="175">
        <v>0</v>
      </c>
      <c r="P964" s="178">
        <v>0</v>
      </c>
      <c r="Q964" s="175">
        <v>9.9723333333333315</v>
      </c>
      <c r="R964" s="178">
        <v>0.48866666666666669</v>
      </c>
      <c r="S964" s="175">
        <v>0</v>
      </c>
      <c r="T964" s="178">
        <v>0</v>
      </c>
      <c r="U964" s="175">
        <v>0</v>
      </c>
      <c r="V964" s="178">
        <v>14.000999999999994</v>
      </c>
      <c r="W964" s="175">
        <v>1.2728333333333315</v>
      </c>
      <c r="X964" s="178">
        <v>0</v>
      </c>
      <c r="Y964" s="175">
        <v>0</v>
      </c>
      <c r="Z964" s="178">
        <v>0</v>
      </c>
      <c r="AA964" s="175">
        <v>0</v>
      </c>
      <c r="AB964" s="178">
        <v>0</v>
      </c>
      <c r="AC964" s="238">
        <f t="shared" si="507"/>
        <v>25.734833333333324</v>
      </c>
      <c r="AD964" s="238"/>
      <c r="AE964" s="238"/>
    </row>
    <row r="965" spans="2:31" x14ac:dyDescent="0.3">
      <c r="B965" s="245" t="s">
        <v>14</v>
      </c>
      <c r="C965" s="245"/>
      <c r="D965" s="245"/>
      <c r="E965" s="175">
        <v>0</v>
      </c>
      <c r="F965" s="178">
        <v>0</v>
      </c>
      <c r="G965" s="175">
        <v>0</v>
      </c>
      <c r="H965" s="178">
        <v>0</v>
      </c>
      <c r="I965" s="175">
        <v>0</v>
      </c>
      <c r="J965" s="178">
        <v>0</v>
      </c>
      <c r="K965" s="175">
        <v>0</v>
      </c>
      <c r="L965" s="178">
        <v>0</v>
      </c>
      <c r="M965" s="175">
        <v>0</v>
      </c>
      <c r="N965" s="178">
        <v>0</v>
      </c>
      <c r="O965" s="175">
        <v>0</v>
      </c>
      <c r="P965" s="178">
        <v>0</v>
      </c>
      <c r="Q965" s="175">
        <v>0.5500000000000006</v>
      </c>
      <c r="R965" s="178">
        <v>1.6500000000000015</v>
      </c>
      <c r="S965" s="175">
        <v>1.8499999999999983</v>
      </c>
      <c r="T965" s="178">
        <v>1.3499999999999994</v>
      </c>
      <c r="U965" s="175">
        <v>1.0499999999999989</v>
      </c>
      <c r="V965" s="178">
        <v>0.95000000000000095</v>
      </c>
      <c r="W965" s="175">
        <v>0.46750000000000053</v>
      </c>
      <c r="X965" s="178">
        <v>0</v>
      </c>
      <c r="Y965" s="175">
        <v>0</v>
      </c>
      <c r="Z965" s="178">
        <v>0</v>
      </c>
      <c r="AA965" s="175">
        <v>0</v>
      </c>
      <c r="AB965" s="178">
        <v>0</v>
      </c>
      <c r="AC965" s="238">
        <f t="shared" si="507"/>
        <v>7.8675000000000006</v>
      </c>
      <c r="AD965" s="238"/>
      <c r="AE965" s="238"/>
    </row>
    <row r="966" spans="2:31" x14ac:dyDescent="0.3">
      <c r="B966" s="245" t="s">
        <v>15</v>
      </c>
      <c r="C966" s="245"/>
      <c r="D966" s="245"/>
      <c r="E966" s="175">
        <v>0</v>
      </c>
      <c r="F966" s="178">
        <v>0</v>
      </c>
      <c r="G966" s="175">
        <v>0</v>
      </c>
      <c r="H966" s="178">
        <v>0</v>
      </c>
      <c r="I966" s="175">
        <v>0</v>
      </c>
      <c r="J966" s="178">
        <v>0</v>
      </c>
      <c r="K966" s="175">
        <v>0</v>
      </c>
      <c r="L966" s="178">
        <v>0</v>
      </c>
      <c r="M966" s="175">
        <v>0</v>
      </c>
      <c r="N966" s="178">
        <v>0</v>
      </c>
      <c r="O966" s="175">
        <v>0</v>
      </c>
      <c r="P966" s="178">
        <v>0</v>
      </c>
      <c r="Q966" s="175">
        <v>0</v>
      </c>
      <c r="R966" s="178">
        <v>7.5121666666666593</v>
      </c>
      <c r="S966" s="175">
        <v>13.74116666666667</v>
      </c>
      <c r="T966" s="178">
        <v>16.905666666666672</v>
      </c>
      <c r="U966" s="175">
        <v>19.699833333333338</v>
      </c>
      <c r="V966" s="178">
        <v>24.92966666666668</v>
      </c>
      <c r="W966" s="175">
        <v>16.823500000000003</v>
      </c>
      <c r="X966" s="178">
        <v>0</v>
      </c>
      <c r="Y966" s="175">
        <v>0</v>
      </c>
      <c r="Z966" s="178">
        <v>0</v>
      </c>
      <c r="AA966" s="175">
        <v>0</v>
      </c>
      <c r="AB966" s="178">
        <v>0</v>
      </c>
      <c r="AC966" s="238">
        <f t="shared" si="507"/>
        <v>99.612000000000023</v>
      </c>
      <c r="AD966" s="238"/>
      <c r="AE966" s="238"/>
    </row>
    <row r="967" spans="2:31" x14ac:dyDescent="0.3">
      <c r="B967" s="245" t="s">
        <v>16</v>
      </c>
      <c r="C967" s="245"/>
      <c r="D967" s="245"/>
      <c r="E967" s="175">
        <v>0</v>
      </c>
      <c r="F967" s="178">
        <v>0</v>
      </c>
      <c r="G967" s="175">
        <v>0</v>
      </c>
      <c r="H967" s="178">
        <v>0</v>
      </c>
      <c r="I967" s="175">
        <v>0</v>
      </c>
      <c r="J967" s="178">
        <v>0</v>
      </c>
      <c r="K967" s="175">
        <v>0</v>
      </c>
      <c r="L967" s="178">
        <v>0</v>
      </c>
      <c r="M967" s="175">
        <v>0</v>
      </c>
      <c r="N967" s="178">
        <v>0</v>
      </c>
      <c r="O967" s="175">
        <v>0</v>
      </c>
      <c r="P967" s="178">
        <v>0</v>
      </c>
      <c r="Q967" s="175">
        <v>0</v>
      </c>
      <c r="R967" s="178">
        <v>0.51400000000000001</v>
      </c>
      <c r="S967" s="175">
        <v>0</v>
      </c>
      <c r="T967" s="178">
        <v>0</v>
      </c>
      <c r="U967" s="175">
        <v>0</v>
      </c>
      <c r="V967" s="178">
        <v>0</v>
      </c>
      <c r="W967" s="175">
        <v>0</v>
      </c>
      <c r="X967" s="178">
        <v>0</v>
      </c>
      <c r="Y967" s="175">
        <v>0</v>
      </c>
      <c r="Z967" s="178">
        <v>0</v>
      </c>
      <c r="AA967" s="175">
        <v>0</v>
      </c>
      <c r="AB967" s="178">
        <v>0</v>
      </c>
      <c r="AC967" s="238">
        <f t="shared" si="507"/>
        <v>0.51400000000000001</v>
      </c>
      <c r="AD967" s="238"/>
      <c r="AE967" s="238"/>
    </row>
    <row r="968" spans="2:31" x14ac:dyDescent="0.3">
      <c r="B968" s="245" t="s">
        <v>17</v>
      </c>
      <c r="C968" s="245"/>
      <c r="D968" s="245"/>
      <c r="E968" s="175">
        <v>0</v>
      </c>
      <c r="F968" s="178">
        <v>0</v>
      </c>
      <c r="G968" s="175">
        <v>0</v>
      </c>
      <c r="H968" s="178">
        <v>0</v>
      </c>
      <c r="I968" s="175">
        <v>0</v>
      </c>
      <c r="J968" s="178">
        <v>0</v>
      </c>
      <c r="K968" s="175">
        <v>0</v>
      </c>
      <c r="L968" s="178">
        <v>0</v>
      </c>
      <c r="M968" s="175">
        <v>0</v>
      </c>
      <c r="N968" s="178">
        <v>0</v>
      </c>
      <c r="O968" s="175">
        <v>0</v>
      </c>
      <c r="P968" s="178">
        <v>0</v>
      </c>
      <c r="Q968" s="175">
        <v>10.465833333333334</v>
      </c>
      <c r="R968" s="178">
        <v>22.348500000000008</v>
      </c>
      <c r="S968" s="175">
        <v>29.16899999999999</v>
      </c>
      <c r="T968" s="178">
        <v>31.846833333333336</v>
      </c>
      <c r="U968" s="175">
        <v>0</v>
      </c>
      <c r="V968" s="178">
        <v>0</v>
      </c>
      <c r="W968" s="175">
        <v>0</v>
      </c>
      <c r="X968" s="178">
        <v>0</v>
      </c>
      <c r="Y968" s="175">
        <v>0</v>
      </c>
      <c r="Z968" s="178">
        <v>0</v>
      </c>
      <c r="AA968" s="175">
        <v>0</v>
      </c>
      <c r="AB968" s="178">
        <v>0</v>
      </c>
      <c r="AC968" s="238">
        <f t="shared" si="507"/>
        <v>93.83016666666667</v>
      </c>
      <c r="AD968" s="238"/>
      <c r="AE968" s="238"/>
    </row>
    <row r="969" spans="2:31" x14ac:dyDescent="0.3">
      <c r="B969" s="245" t="s">
        <v>18</v>
      </c>
      <c r="C969" s="245"/>
      <c r="D969" s="245"/>
      <c r="E969" s="175">
        <v>0</v>
      </c>
      <c r="F969" s="178">
        <v>0</v>
      </c>
      <c r="G969" s="175">
        <v>0</v>
      </c>
      <c r="H969" s="178">
        <v>0</v>
      </c>
      <c r="I969" s="175">
        <v>0</v>
      </c>
      <c r="J969" s="178">
        <v>0</v>
      </c>
      <c r="K969" s="175">
        <v>0</v>
      </c>
      <c r="L969" s="178">
        <v>0</v>
      </c>
      <c r="M969" s="175">
        <v>0</v>
      </c>
      <c r="N969" s="178">
        <v>0</v>
      </c>
      <c r="O969" s="175">
        <v>0</v>
      </c>
      <c r="P969" s="178">
        <v>1.6139999999999994</v>
      </c>
      <c r="Q969" s="175">
        <v>13.76866666666667</v>
      </c>
      <c r="R969" s="178">
        <v>8.8240000000000052</v>
      </c>
      <c r="S969" s="175">
        <v>7.1198333333333377</v>
      </c>
      <c r="T969" s="178">
        <v>8.5574999999999974</v>
      </c>
      <c r="U969" s="175">
        <v>10.662666666666677</v>
      </c>
      <c r="V969" s="178">
        <v>23.991333333333333</v>
      </c>
      <c r="W969" s="175">
        <v>11.349666666666673</v>
      </c>
      <c r="X969" s="178">
        <v>0</v>
      </c>
      <c r="Y969" s="175">
        <v>0</v>
      </c>
      <c r="Z969" s="178">
        <v>0</v>
      </c>
      <c r="AA969" s="175">
        <v>0</v>
      </c>
      <c r="AB969" s="178">
        <v>0</v>
      </c>
      <c r="AC969" s="238">
        <f t="shared" si="507"/>
        <v>85.887666666666689</v>
      </c>
      <c r="AD969" s="238"/>
      <c r="AE969" s="238"/>
    </row>
    <row r="970" spans="2:31" x14ac:dyDescent="0.3">
      <c r="B970" s="245" t="s">
        <v>19</v>
      </c>
      <c r="C970" s="245"/>
      <c r="D970" s="245"/>
      <c r="E970" s="175">
        <v>0</v>
      </c>
      <c r="F970" s="178">
        <v>0</v>
      </c>
      <c r="G970" s="175">
        <v>0</v>
      </c>
      <c r="H970" s="178">
        <v>0</v>
      </c>
      <c r="I970" s="175">
        <v>0</v>
      </c>
      <c r="J970" s="178">
        <v>0</v>
      </c>
      <c r="K970" s="175">
        <v>0</v>
      </c>
      <c r="L970" s="178">
        <v>0</v>
      </c>
      <c r="M970" s="175">
        <v>0</v>
      </c>
      <c r="N970" s="178">
        <v>0</v>
      </c>
      <c r="O970" s="175">
        <v>0</v>
      </c>
      <c r="P970" s="178">
        <v>0</v>
      </c>
      <c r="Q970" s="175">
        <v>1.4403333333333272</v>
      </c>
      <c r="R970" s="178">
        <v>0</v>
      </c>
      <c r="S970" s="175">
        <v>0</v>
      </c>
      <c r="T970" s="178">
        <v>0</v>
      </c>
      <c r="U970" s="175">
        <v>0</v>
      </c>
      <c r="V970" s="178">
        <v>0</v>
      </c>
      <c r="W970" s="175">
        <v>0</v>
      </c>
      <c r="X970" s="178">
        <v>0</v>
      </c>
      <c r="Y970" s="175">
        <v>0</v>
      </c>
      <c r="Z970" s="178">
        <v>0</v>
      </c>
      <c r="AA970" s="175">
        <v>0</v>
      </c>
      <c r="AB970" s="178">
        <v>0</v>
      </c>
      <c r="AC970" s="238">
        <f t="shared" si="507"/>
        <v>1.4403333333333272</v>
      </c>
      <c r="AD970" s="238"/>
      <c r="AE970" s="238"/>
    </row>
    <row r="971" spans="2:31" x14ac:dyDescent="0.3">
      <c r="B971" s="245" t="s">
        <v>20</v>
      </c>
      <c r="C971" s="245"/>
      <c r="D971" s="245"/>
      <c r="E971" s="175">
        <v>0</v>
      </c>
      <c r="F971" s="178">
        <v>0</v>
      </c>
      <c r="G971" s="175">
        <v>0</v>
      </c>
      <c r="H971" s="178">
        <v>0</v>
      </c>
      <c r="I971" s="175">
        <v>0</v>
      </c>
      <c r="J971" s="178">
        <v>0</v>
      </c>
      <c r="K971" s="175">
        <v>0</v>
      </c>
      <c r="L971" s="178">
        <v>0</v>
      </c>
      <c r="M971" s="175">
        <v>0</v>
      </c>
      <c r="N971" s="178">
        <v>0</v>
      </c>
      <c r="O971" s="175">
        <v>0</v>
      </c>
      <c r="P971" s="178">
        <v>1.9024999999999999</v>
      </c>
      <c r="Q971" s="175">
        <v>14.11000000000001</v>
      </c>
      <c r="R971" s="178">
        <v>20.109999999999996</v>
      </c>
      <c r="S971" s="175">
        <v>0</v>
      </c>
      <c r="T971" s="178">
        <v>27.410000000000018</v>
      </c>
      <c r="U971" s="175">
        <v>0</v>
      </c>
      <c r="V971" s="178">
        <v>0</v>
      </c>
      <c r="W971" s="175">
        <v>27.548500000000011</v>
      </c>
      <c r="X971" s="178">
        <v>0</v>
      </c>
      <c r="Y971" s="175">
        <v>0</v>
      </c>
      <c r="Z971" s="178">
        <v>0</v>
      </c>
      <c r="AA971" s="175">
        <v>0</v>
      </c>
      <c r="AB971" s="178">
        <v>0</v>
      </c>
      <c r="AC971" s="238">
        <f t="shared" si="507"/>
        <v>91.081000000000031</v>
      </c>
      <c r="AD971" s="238"/>
      <c r="AE971" s="238"/>
    </row>
    <row r="972" spans="2:31" x14ac:dyDescent="0.3">
      <c r="B972" s="245" t="s">
        <v>21</v>
      </c>
      <c r="C972" s="245"/>
      <c r="D972" s="245"/>
      <c r="E972" s="175">
        <v>0</v>
      </c>
      <c r="F972" s="178">
        <v>0</v>
      </c>
      <c r="G972" s="175">
        <v>0</v>
      </c>
      <c r="H972" s="178">
        <v>0</v>
      </c>
      <c r="I972" s="175">
        <v>0</v>
      </c>
      <c r="J972" s="178">
        <v>0</v>
      </c>
      <c r="K972" s="175">
        <v>0</v>
      </c>
      <c r="L972" s="178">
        <v>0</v>
      </c>
      <c r="M972" s="175">
        <v>0</v>
      </c>
      <c r="N972" s="178">
        <v>0</v>
      </c>
      <c r="O972" s="175">
        <v>0</v>
      </c>
      <c r="P972" s="178">
        <v>0</v>
      </c>
      <c r="Q972" s="175">
        <v>2.0863333333333354</v>
      </c>
      <c r="R972" s="178">
        <v>6.8708333333333336</v>
      </c>
      <c r="S972" s="175">
        <v>10.459</v>
      </c>
      <c r="T972" s="178">
        <v>12.594833333333337</v>
      </c>
      <c r="U972" s="175">
        <v>14.016166666666663</v>
      </c>
      <c r="V972" s="178">
        <v>20.845833333333328</v>
      </c>
      <c r="W972" s="175">
        <v>10.374333333333338</v>
      </c>
      <c r="X972" s="178">
        <v>0</v>
      </c>
      <c r="Y972" s="175">
        <v>0</v>
      </c>
      <c r="Z972" s="178">
        <v>0</v>
      </c>
      <c r="AA972" s="175">
        <v>0</v>
      </c>
      <c r="AB972" s="178">
        <v>0</v>
      </c>
      <c r="AC972" s="238">
        <f t="shared" si="507"/>
        <v>77.247333333333344</v>
      </c>
      <c r="AD972" s="238"/>
      <c r="AE972" s="238"/>
    </row>
    <row r="973" spans="2:31" x14ac:dyDescent="0.3">
      <c r="B973" s="245" t="s">
        <v>22</v>
      </c>
      <c r="C973" s="245"/>
      <c r="D973" s="245"/>
      <c r="E973" s="175">
        <v>0</v>
      </c>
      <c r="F973" s="178">
        <v>0</v>
      </c>
      <c r="G973" s="175">
        <v>0</v>
      </c>
      <c r="H973" s="178">
        <v>0</v>
      </c>
      <c r="I973" s="175">
        <v>0</v>
      </c>
      <c r="J973" s="178">
        <v>0</v>
      </c>
      <c r="K973" s="175">
        <v>0</v>
      </c>
      <c r="L973" s="178">
        <v>0</v>
      </c>
      <c r="M973" s="175">
        <v>0</v>
      </c>
      <c r="N973" s="178">
        <v>0</v>
      </c>
      <c r="O973" s="175">
        <v>0</v>
      </c>
      <c r="P973" s="178">
        <v>0</v>
      </c>
      <c r="Q973" s="175">
        <v>0.62800000000000011</v>
      </c>
      <c r="R973" s="178">
        <v>0.17716666666666644</v>
      </c>
      <c r="S973" s="175">
        <v>1.4333333333333354E-2</v>
      </c>
      <c r="T973" s="178">
        <v>0.83099999999999952</v>
      </c>
      <c r="U973" s="175">
        <v>1.5433333333333332</v>
      </c>
      <c r="V973" s="178">
        <v>2.2411666666666665</v>
      </c>
      <c r="W973" s="175">
        <v>3.0705000000000009</v>
      </c>
      <c r="X973" s="178">
        <v>0</v>
      </c>
      <c r="Y973" s="175">
        <v>0</v>
      </c>
      <c r="Z973" s="178">
        <v>0</v>
      </c>
      <c r="AA973" s="175">
        <v>0</v>
      </c>
      <c r="AB973" s="178">
        <v>0</v>
      </c>
      <c r="AC973" s="238">
        <f t="shared" si="507"/>
        <v>8.5054999999999996</v>
      </c>
      <c r="AD973" s="238"/>
      <c r="AE973" s="238"/>
    </row>
    <row r="974" spans="2:31" x14ac:dyDescent="0.3">
      <c r="B974" s="245" t="s">
        <v>23</v>
      </c>
      <c r="C974" s="245"/>
      <c r="D974" s="245"/>
      <c r="E974" s="175">
        <v>0</v>
      </c>
      <c r="F974" s="178">
        <v>0</v>
      </c>
      <c r="G974" s="175">
        <v>0</v>
      </c>
      <c r="H974" s="178">
        <v>0</v>
      </c>
      <c r="I974" s="175">
        <v>0</v>
      </c>
      <c r="J974" s="178">
        <v>0</v>
      </c>
      <c r="K974" s="175">
        <v>0</v>
      </c>
      <c r="L974" s="178">
        <v>0</v>
      </c>
      <c r="M974" s="175">
        <v>0</v>
      </c>
      <c r="N974" s="178">
        <v>0</v>
      </c>
      <c r="O974" s="175">
        <v>0</v>
      </c>
      <c r="P974" s="178">
        <v>0</v>
      </c>
      <c r="Q974" s="175">
        <v>2.2424999999999984</v>
      </c>
      <c r="R974" s="178">
        <v>4.4281666666666641</v>
      </c>
      <c r="S974" s="175">
        <v>7.7783333333333307</v>
      </c>
      <c r="T974" s="178">
        <v>10.440166666666668</v>
      </c>
      <c r="U974" s="175">
        <v>12.851833333333333</v>
      </c>
      <c r="V974" s="178">
        <v>3.5000000000000142E-2</v>
      </c>
      <c r="W974" s="175">
        <v>0</v>
      </c>
      <c r="X974" s="178">
        <v>0</v>
      </c>
      <c r="Y974" s="175">
        <v>0</v>
      </c>
      <c r="Z974" s="178">
        <v>0</v>
      </c>
      <c r="AA974" s="175">
        <v>0</v>
      </c>
      <c r="AB974" s="178">
        <v>0</v>
      </c>
      <c r="AC974" s="238">
        <f t="shared" si="507"/>
        <v>37.775999999999996</v>
      </c>
      <c r="AD974" s="238"/>
      <c r="AE974" s="238"/>
    </row>
    <row r="975" spans="2:31" x14ac:dyDescent="0.3">
      <c r="B975" s="245" t="s">
        <v>24</v>
      </c>
      <c r="C975" s="245"/>
      <c r="D975" s="245"/>
      <c r="E975" s="175">
        <v>0</v>
      </c>
      <c r="F975" s="178">
        <v>0</v>
      </c>
      <c r="G975" s="175">
        <v>0</v>
      </c>
      <c r="H975" s="178">
        <v>0</v>
      </c>
      <c r="I975" s="175">
        <v>0</v>
      </c>
      <c r="J975" s="178">
        <v>0</v>
      </c>
      <c r="K975" s="175">
        <v>0</v>
      </c>
      <c r="L975" s="178">
        <v>0</v>
      </c>
      <c r="M975" s="175">
        <v>0</v>
      </c>
      <c r="N975" s="178">
        <v>0</v>
      </c>
      <c r="O975" s="175">
        <v>0</v>
      </c>
      <c r="P975" s="178">
        <v>0.80666666666666675</v>
      </c>
      <c r="Q975" s="175">
        <v>7.2336666666666654</v>
      </c>
      <c r="R975" s="178">
        <v>4.6376666666666662</v>
      </c>
      <c r="S975" s="175">
        <v>7.8283333333333331</v>
      </c>
      <c r="T975" s="178">
        <v>10.224833333333331</v>
      </c>
      <c r="U975" s="175">
        <v>12.359666666666667</v>
      </c>
      <c r="V975" s="178">
        <v>12.865833333333333</v>
      </c>
      <c r="W975" s="175">
        <v>0.28133333333333443</v>
      </c>
      <c r="X975" s="178">
        <v>0</v>
      </c>
      <c r="Y975" s="175">
        <v>0</v>
      </c>
      <c r="Z975" s="178">
        <v>0</v>
      </c>
      <c r="AA975" s="175">
        <v>0</v>
      </c>
      <c r="AB975" s="178">
        <v>0</v>
      </c>
      <c r="AC975" s="238">
        <f t="shared" si="507"/>
        <v>56.238</v>
      </c>
      <c r="AD975" s="238"/>
      <c r="AE975" s="238"/>
    </row>
    <row r="976" spans="2:31" x14ac:dyDescent="0.3">
      <c r="B976" s="245" t="s">
        <v>25</v>
      </c>
      <c r="C976" s="245"/>
      <c r="D976" s="245"/>
      <c r="E976" s="175">
        <v>0</v>
      </c>
      <c r="F976" s="178">
        <v>0</v>
      </c>
      <c r="G976" s="175">
        <v>0</v>
      </c>
      <c r="H976" s="178">
        <v>0</v>
      </c>
      <c r="I976" s="175">
        <v>0</v>
      </c>
      <c r="J976" s="178">
        <v>0</v>
      </c>
      <c r="K976" s="175">
        <v>0</v>
      </c>
      <c r="L976" s="178">
        <v>0</v>
      </c>
      <c r="M976" s="175">
        <v>0</v>
      </c>
      <c r="N976" s="178">
        <v>0</v>
      </c>
      <c r="O976" s="175">
        <v>0</v>
      </c>
      <c r="P976" s="178">
        <v>1.1449999999999998</v>
      </c>
      <c r="Q976" s="175">
        <v>5.1701666666666677</v>
      </c>
      <c r="R976" s="178">
        <v>5.8095000000000008</v>
      </c>
      <c r="S976" s="175">
        <v>6.4545000000000003</v>
      </c>
      <c r="T976" s="178">
        <v>3.6300000000000012</v>
      </c>
      <c r="U976" s="175">
        <v>5.8333333333333362E-2</v>
      </c>
      <c r="V976" s="178">
        <v>0</v>
      </c>
      <c r="W976" s="175">
        <v>0</v>
      </c>
      <c r="X976" s="178">
        <v>0</v>
      </c>
      <c r="Y976" s="175">
        <v>0</v>
      </c>
      <c r="Z976" s="178">
        <v>0</v>
      </c>
      <c r="AA976" s="175">
        <v>0</v>
      </c>
      <c r="AB976" s="178">
        <v>0</v>
      </c>
      <c r="AC976" s="238">
        <f t="shared" si="507"/>
        <v>22.267500000000005</v>
      </c>
      <c r="AD976" s="238"/>
      <c r="AE976" s="238"/>
    </row>
    <row r="977" spans="2:31" x14ac:dyDescent="0.3">
      <c r="B977" s="245" t="s">
        <v>26</v>
      </c>
      <c r="C977" s="245"/>
      <c r="D977" s="245"/>
      <c r="E977" s="175">
        <v>0</v>
      </c>
      <c r="F977" s="178">
        <v>0</v>
      </c>
      <c r="G977" s="175">
        <v>0</v>
      </c>
      <c r="H977" s="178">
        <v>0</v>
      </c>
      <c r="I977" s="175">
        <v>0</v>
      </c>
      <c r="J977" s="178">
        <v>0</v>
      </c>
      <c r="K977" s="175">
        <v>0</v>
      </c>
      <c r="L977" s="178">
        <v>0</v>
      </c>
      <c r="M977" s="175">
        <v>0</v>
      </c>
      <c r="N977" s="178">
        <v>0</v>
      </c>
      <c r="O977" s="175">
        <v>0</v>
      </c>
      <c r="P977" s="178">
        <v>0</v>
      </c>
      <c r="Q977" s="175">
        <v>0</v>
      </c>
      <c r="R977" s="178">
        <v>0</v>
      </c>
      <c r="S977" s="175">
        <v>0</v>
      </c>
      <c r="T977" s="178">
        <v>0</v>
      </c>
      <c r="U977" s="175">
        <v>0</v>
      </c>
      <c r="V977" s="178">
        <v>0</v>
      </c>
      <c r="W977" s="175">
        <v>0</v>
      </c>
      <c r="X977" s="178">
        <v>0</v>
      </c>
      <c r="Y977" s="175">
        <v>0</v>
      </c>
      <c r="Z977" s="178">
        <v>0</v>
      </c>
      <c r="AA977" s="175">
        <v>0</v>
      </c>
      <c r="AB977" s="178">
        <v>0</v>
      </c>
      <c r="AC977" s="238">
        <f t="shared" si="507"/>
        <v>0</v>
      </c>
      <c r="AD977" s="238"/>
      <c r="AE977" s="238"/>
    </row>
    <row r="978" spans="2:31" x14ac:dyDescent="0.3">
      <c r="B978" s="245" t="s">
        <v>27</v>
      </c>
      <c r="C978" s="245"/>
      <c r="D978" s="245"/>
      <c r="E978" s="175">
        <v>0</v>
      </c>
      <c r="F978" s="178">
        <v>0</v>
      </c>
      <c r="G978" s="175">
        <v>0</v>
      </c>
      <c r="H978" s="178">
        <v>0</v>
      </c>
      <c r="I978" s="175">
        <v>0</v>
      </c>
      <c r="J978" s="178">
        <v>0</v>
      </c>
      <c r="K978" s="175">
        <v>0</v>
      </c>
      <c r="L978" s="178">
        <v>0</v>
      </c>
      <c r="M978" s="175">
        <v>0</v>
      </c>
      <c r="N978" s="178">
        <v>0</v>
      </c>
      <c r="O978" s="175">
        <v>0</v>
      </c>
      <c r="P978" s="178">
        <v>0</v>
      </c>
      <c r="Q978" s="175">
        <v>0</v>
      </c>
      <c r="R978" s="178">
        <v>0</v>
      </c>
      <c r="S978" s="175">
        <v>0</v>
      </c>
      <c r="T978" s="178">
        <v>0</v>
      </c>
      <c r="U978" s="175">
        <v>0</v>
      </c>
      <c r="V978" s="178">
        <v>0</v>
      </c>
      <c r="W978" s="175">
        <v>0</v>
      </c>
      <c r="X978" s="178">
        <v>0</v>
      </c>
      <c r="Y978" s="175">
        <v>0</v>
      </c>
      <c r="Z978" s="178">
        <v>0</v>
      </c>
      <c r="AA978" s="175">
        <v>0</v>
      </c>
      <c r="AB978" s="178">
        <v>0</v>
      </c>
      <c r="AC978" s="238">
        <f t="shared" si="507"/>
        <v>0</v>
      </c>
      <c r="AD978" s="238"/>
      <c r="AE978" s="238"/>
    </row>
    <row r="979" spans="2:31" x14ac:dyDescent="0.3">
      <c r="B979" s="245" t="s">
        <v>28</v>
      </c>
      <c r="C979" s="245"/>
      <c r="D979" s="245"/>
      <c r="E979" s="175">
        <v>0</v>
      </c>
      <c r="F979" s="178">
        <v>0</v>
      </c>
      <c r="G979" s="175">
        <v>0</v>
      </c>
      <c r="H979" s="178">
        <v>0</v>
      </c>
      <c r="I979" s="175">
        <v>0</v>
      </c>
      <c r="J979" s="178">
        <v>0</v>
      </c>
      <c r="K979" s="175">
        <v>0</v>
      </c>
      <c r="L979" s="178">
        <v>0</v>
      </c>
      <c r="M979" s="175">
        <v>0</v>
      </c>
      <c r="N979" s="178">
        <v>0</v>
      </c>
      <c r="O979" s="175">
        <v>0</v>
      </c>
      <c r="P979" s="178">
        <v>0</v>
      </c>
      <c r="Q979" s="175">
        <v>0</v>
      </c>
      <c r="R979" s="178">
        <v>0</v>
      </c>
      <c r="S979" s="175">
        <v>0</v>
      </c>
      <c r="T979" s="178">
        <v>0</v>
      </c>
      <c r="U979" s="175">
        <v>0</v>
      </c>
      <c r="V979" s="178">
        <v>0</v>
      </c>
      <c r="W979" s="175">
        <v>0</v>
      </c>
      <c r="X979" s="178">
        <v>0</v>
      </c>
      <c r="Y979" s="175">
        <v>0</v>
      </c>
      <c r="Z979" s="178">
        <v>0</v>
      </c>
      <c r="AA979" s="175">
        <v>0</v>
      </c>
      <c r="AB979" s="178">
        <v>0</v>
      </c>
      <c r="AC979" s="238">
        <f t="shared" si="507"/>
        <v>0</v>
      </c>
      <c r="AD979" s="238"/>
      <c r="AE979" s="238"/>
    </row>
    <row r="980" spans="2:31" x14ac:dyDescent="0.3">
      <c r="B980" s="245" t="s">
        <v>92</v>
      </c>
      <c r="C980" s="245"/>
      <c r="D980" s="245"/>
      <c r="E980" s="175">
        <v>0</v>
      </c>
      <c r="F980" s="178">
        <v>0</v>
      </c>
      <c r="G980" s="175">
        <v>0</v>
      </c>
      <c r="H980" s="178">
        <v>0</v>
      </c>
      <c r="I980" s="175">
        <v>0</v>
      </c>
      <c r="J980" s="178">
        <v>0</v>
      </c>
      <c r="K980" s="175">
        <v>0</v>
      </c>
      <c r="L980" s="178">
        <v>0</v>
      </c>
      <c r="M980" s="175">
        <v>0</v>
      </c>
      <c r="N980" s="178">
        <v>0</v>
      </c>
      <c r="O980" s="175">
        <v>0</v>
      </c>
      <c r="P980" s="178">
        <v>0</v>
      </c>
      <c r="Q980" s="175">
        <v>0</v>
      </c>
      <c r="R980" s="178">
        <v>0</v>
      </c>
      <c r="S980" s="175">
        <v>0</v>
      </c>
      <c r="T980" s="178">
        <v>0</v>
      </c>
      <c r="U980" s="175">
        <v>0</v>
      </c>
      <c r="V980" s="178">
        <v>0</v>
      </c>
      <c r="W980" s="175">
        <v>0</v>
      </c>
      <c r="X980" s="178">
        <v>0</v>
      </c>
      <c r="Y980" s="175">
        <v>0</v>
      </c>
      <c r="Z980" s="178">
        <v>0</v>
      </c>
      <c r="AA980" s="175">
        <v>0</v>
      </c>
      <c r="AB980" s="178">
        <v>0</v>
      </c>
      <c r="AC980" s="238">
        <f t="shared" si="507"/>
        <v>0</v>
      </c>
      <c r="AD980" s="238"/>
      <c r="AE980" s="238"/>
    </row>
    <row r="981" spans="2:31" x14ac:dyDescent="0.3">
      <c r="B981" s="245" t="s">
        <v>29</v>
      </c>
      <c r="C981" s="245"/>
      <c r="D981" s="245"/>
      <c r="E981" s="175">
        <v>0</v>
      </c>
      <c r="F981" s="178">
        <v>0</v>
      </c>
      <c r="G981" s="175">
        <v>0</v>
      </c>
      <c r="H981" s="178">
        <v>0</v>
      </c>
      <c r="I981" s="175">
        <v>0</v>
      </c>
      <c r="J981" s="178">
        <v>0</v>
      </c>
      <c r="K981" s="175">
        <v>0</v>
      </c>
      <c r="L981" s="178">
        <v>0</v>
      </c>
      <c r="M981" s="175">
        <v>0</v>
      </c>
      <c r="N981" s="178">
        <v>0</v>
      </c>
      <c r="O981" s="175">
        <v>0</v>
      </c>
      <c r="P981" s="178">
        <v>2.2284999999999999</v>
      </c>
      <c r="Q981" s="175">
        <v>12.730999999999998</v>
      </c>
      <c r="R981" s="178">
        <v>11.829333333333334</v>
      </c>
      <c r="S981" s="175">
        <v>12.437333333333335</v>
      </c>
      <c r="T981" s="178">
        <v>13.249499999999999</v>
      </c>
      <c r="U981" s="175">
        <v>12.453499999999996</v>
      </c>
      <c r="V981" s="178">
        <v>9.3511666666666713</v>
      </c>
      <c r="W981" s="175">
        <v>8.5468333333333355</v>
      </c>
      <c r="X981" s="178">
        <v>0</v>
      </c>
      <c r="Y981" s="175">
        <v>0</v>
      </c>
      <c r="Z981" s="178">
        <v>0</v>
      </c>
      <c r="AA981" s="175">
        <v>0</v>
      </c>
      <c r="AB981" s="178">
        <v>0</v>
      </c>
      <c r="AC981" s="238">
        <f t="shared" si="507"/>
        <v>82.82716666666667</v>
      </c>
      <c r="AD981" s="238"/>
      <c r="AE981" s="238"/>
    </row>
    <row r="982" spans="2:31" x14ac:dyDescent="0.3">
      <c r="B982" s="245" t="s">
        <v>30</v>
      </c>
      <c r="C982" s="245"/>
      <c r="D982" s="245"/>
      <c r="E982" s="175">
        <v>0</v>
      </c>
      <c r="F982" s="178">
        <v>0</v>
      </c>
      <c r="G982" s="175">
        <v>0</v>
      </c>
      <c r="H982" s="178">
        <v>0</v>
      </c>
      <c r="I982" s="175">
        <v>0</v>
      </c>
      <c r="J982" s="178">
        <v>0</v>
      </c>
      <c r="K982" s="175">
        <v>0</v>
      </c>
      <c r="L982" s="178">
        <v>0</v>
      </c>
      <c r="M982" s="175">
        <v>0</v>
      </c>
      <c r="N982" s="178">
        <v>0</v>
      </c>
      <c r="O982" s="175">
        <v>0</v>
      </c>
      <c r="P982" s="178">
        <v>0</v>
      </c>
      <c r="Q982" s="175">
        <v>0</v>
      </c>
      <c r="R982" s="178">
        <v>0</v>
      </c>
      <c r="S982" s="175">
        <v>2.3333333333333327E-3</v>
      </c>
      <c r="T982" s="178">
        <v>4.7833333333333346E-2</v>
      </c>
      <c r="U982" s="175">
        <v>0</v>
      </c>
      <c r="V982" s="178">
        <v>0</v>
      </c>
      <c r="W982" s="175">
        <v>0</v>
      </c>
      <c r="X982" s="178">
        <v>0</v>
      </c>
      <c r="Y982" s="175">
        <v>0</v>
      </c>
      <c r="Z982" s="178">
        <v>0</v>
      </c>
      <c r="AA982" s="175">
        <v>0</v>
      </c>
      <c r="AB982" s="178">
        <v>0</v>
      </c>
      <c r="AC982" s="238">
        <f t="shared" si="507"/>
        <v>5.0166666666666679E-2</v>
      </c>
      <c r="AD982" s="238"/>
      <c r="AE982" s="238"/>
    </row>
    <row r="983" spans="2:31" x14ac:dyDescent="0.3">
      <c r="B983" s="245" t="s">
        <v>31</v>
      </c>
      <c r="C983" s="245"/>
      <c r="D983" s="245"/>
      <c r="E983" s="175">
        <v>0</v>
      </c>
      <c r="F983" s="178">
        <v>0</v>
      </c>
      <c r="G983" s="175">
        <v>0</v>
      </c>
      <c r="H983" s="178">
        <v>0</v>
      </c>
      <c r="I983" s="175">
        <v>0</v>
      </c>
      <c r="J983" s="178">
        <v>0</v>
      </c>
      <c r="K983" s="175">
        <v>0</v>
      </c>
      <c r="L983" s="178">
        <v>0</v>
      </c>
      <c r="M983" s="175">
        <v>0</v>
      </c>
      <c r="N983" s="178">
        <v>0</v>
      </c>
      <c r="O983" s="175">
        <v>0</v>
      </c>
      <c r="P983" s="178">
        <v>1.5324999999999998</v>
      </c>
      <c r="Q983" s="175">
        <v>5.430000000000005</v>
      </c>
      <c r="R983" s="178">
        <v>4.6299999999999972</v>
      </c>
      <c r="S983" s="175">
        <v>4.229999999999996</v>
      </c>
      <c r="T983" s="178">
        <v>4.7299999999999986</v>
      </c>
      <c r="U983" s="175">
        <v>5.83</v>
      </c>
      <c r="V983" s="178">
        <v>7.7300000000000058</v>
      </c>
      <c r="W983" s="175">
        <v>8.4405000000000054</v>
      </c>
      <c r="X983" s="178">
        <v>0</v>
      </c>
      <c r="Y983" s="175">
        <v>0</v>
      </c>
      <c r="Z983" s="178">
        <v>0</v>
      </c>
      <c r="AA983" s="175">
        <v>0</v>
      </c>
      <c r="AB983" s="178">
        <v>0</v>
      </c>
      <c r="AC983" s="238">
        <f t="shared" si="507"/>
        <v>42.553000000000004</v>
      </c>
      <c r="AD983" s="238"/>
      <c r="AE983" s="238"/>
    </row>
    <row r="984" spans="2:31" x14ac:dyDescent="0.3">
      <c r="B984" s="245" t="s">
        <v>32</v>
      </c>
      <c r="C984" s="245"/>
      <c r="D984" s="245"/>
      <c r="E984" s="175">
        <v>0</v>
      </c>
      <c r="F984" s="178">
        <v>0</v>
      </c>
      <c r="G984" s="175">
        <v>0</v>
      </c>
      <c r="H984" s="178">
        <v>0</v>
      </c>
      <c r="I984" s="175">
        <v>0</v>
      </c>
      <c r="J984" s="178">
        <v>0</v>
      </c>
      <c r="K984" s="175">
        <v>0</v>
      </c>
      <c r="L984" s="178">
        <v>0</v>
      </c>
      <c r="M984" s="175">
        <v>0</v>
      </c>
      <c r="N984" s="178">
        <v>0</v>
      </c>
      <c r="O984" s="175">
        <v>0</v>
      </c>
      <c r="P984" s="178">
        <v>0</v>
      </c>
      <c r="Q984" s="175">
        <v>0</v>
      </c>
      <c r="R984" s="178">
        <v>0</v>
      </c>
      <c r="S984" s="175">
        <v>0</v>
      </c>
      <c r="T984" s="178">
        <v>0</v>
      </c>
      <c r="U984" s="175">
        <v>0</v>
      </c>
      <c r="V984" s="178">
        <v>0</v>
      </c>
      <c r="W984" s="175">
        <v>0</v>
      </c>
      <c r="X984" s="178">
        <v>0</v>
      </c>
      <c r="Y984" s="175">
        <v>0</v>
      </c>
      <c r="Z984" s="178">
        <v>0</v>
      </c>
      <c r="AA984" s="175">
        <v>0</v>
      </c>
      <c r="AB984" s="178">
        <v>0</v>
      </c>
      <c r="AC984" s="238">
        <f t="shared" si="507"/>
        <v>0</v>
      </c>
      <c r="AD984" s="238"/>
      <c r="AE984" s="238"/>
    </row>
    <row r="985" spans="2:31" x14ac:dyDescent="0.3">
      <c r="B985" s="245" t="s">
        <v>33</v>
      </c>
      <c r="C985" s="245"/>
      <c r="D985" s="245"/>
      <c r="E985" s="175">
        <v>0</v>
      </c>
      <c r="F985" s="178">
        <v>0</v>
      </c>
      <c r="G985" s="175">
        <v>0</v>
      </c>
      <c r="H985" s="178">
        <v>0</v>
      </c>
      <c r="I985" s="175">
        <v>0</v>
      </c>
      <c r="J985" s="178">
        <v>0</v>
      </c>
      <c r="K985" s="175">
        <v>0</v>
      </c>
      <c r="L985" s="178">
        <v>0</v>
      </c>
      <c r="M985" s="175">
        <v>0</v>
      </c>
      <c r="N985" s="178">
        <v>0</v>
      </c>
      <c r="O985" s="175">
        <v>0</v>
      </c>
      <c r="P985" s="178">
        <v>0.68483333333333318</v>
      </c>
      <c r="Q985" s="175">
        <v>2.0298333333333334</v>
      </c>
      <c r="R985" s="178">
        <v>2.1386666666666656</v>
      </c>
      <c r="S985" s="175">
        <v>1.6901666666666666</v>
      </c>
      <c r="T985" s="178">
        <v>1.8014999999999997</v>
      </c>
      <c r="U985" s="175">
        <v>1.8853333333333337</v>
      </c>
      <c r="V985" s="178">
        <v>2.6588333333333325</v>
      </c>
      <c r="W985" s="175">
        <v>0.11216666666666666</v>
      </c>
      <c r="X985" s="178">
        <v>0</v>
      </c>
      <c r="Y985" s="175">
        <v>0</v>
      </c>
      <c r="Z985" s="178">
        <v>0</v>
      </c>
      <c r="AA985" s="175">
        <v>0</v>
      </c>
      <c r="AB985" s="178">
        <v>0</v>
      </c>
      <c r="AC985" s="238">
        <f t="shared" si="507"/>
        <v>13.00133333333333</v>
      </c>
      <c r="AD985" s="238"/>
      <c r="AE985" s="238"/>
    </row>
    <row r="986" spans="2:31" x14ac:dyDescent="0.3">
      <c r="B986" s="245" t="s">
        <v>34</v>
      </c>
      <c r="C986" s="245"/>
      <c r="D986" s="245"/>
      <c r="E986" s="175">
        <v>0</v>
      </c>
      <c r="F986" s="178">
        <v>0</v>
      </c>
      <c r="G986" s="175">
        <v>0</v>
      </c>
      <c r="H986" s="178">
        <v>0</v>
      </c>
      <c r="I986" s="175">
        <v>0</v>
      </c>
      <c r="J986" s="178">
        <v>0</v>
      </c>
      <c r="K986" s="175">
        <v>0</v>
      </c>
      <c r="L986" s="178">
        <v>0</v>
      </c>
      <c r="M986" s="175">
        <v>0</v>
      </c>
      <c r="N986" s="178">
        <v>0</v>
      </c>
      <c r="O986" s="175">
        <v>0</v>
      </c>
      <c r="P986" s="178">
        <v>0.36183333333333328</v>
      </c>
      <c r="Q986" s="175">
        <v>1.022</v>
      </c>
      <c r="R986" s="178">
        <v>0.85650000000000026</v>
      </c>
      <c r="S986" s="175">
        <v>0.64366666666666705</v>
      </c>
      <c r="T986" s="178">
        <v>0.72833333333333317</v>
      </c>
      <c r="U986" s="175">
        <v>1.0949999999999998</v>
      </c>
      <c r="V986" s="178">
        <v>0.51049999999999984</v>
      </c>
      <c r="W986" s="175">
        <v>3.9500000000000042E-2</v>
      </c>
      <c r="X986" s="178">
        <v>0</v>
      </c>
      <c r="Y986" s="175">
        <v>0</v>
      </c>
      <c r="Z986" s="178">
        <v>0</v>
      </c>
      <c r="AA986" s="175">
        <v>0</v>
      </c>
      <c r="AB986" s="178">
        <v>0</v>
      </c>
      <c r="AC986" s="238">
        <f t="shared" si="507"/>
        <v>5.2573333333333325</v>
      </c>
      <c r="AD986" s="238"/>
      <c r="AE986" s="238"/>
    </row>
    <row r="987" spans="2:31" x14ac:dyDescent="0.3">
      <c r="B987" s="245" t="s">
        <v>35</v>
      </c>
      <c r="C987" s="245"/>
      <c r="D987" s="245"/>
      <c r="E987" s="175">
        <v>0</v>
      </c>
      <c r="F987" s="178">
        <v>0</v>
      </c>
      <c r="G987" s="175">
        <v>0</v>
      </c>
      <c r="H987" s="178">
        <v>0</v>
      </c>
      <c r="I987" s="175">
        <v>0</v>
      </c>
      <c r="J987" s="178">
        <v>0</v>
      </c>
      <c r="K987" s="175">
        <v>0</v>
      </c>
      <c r="L987" s="178">
        <v>0</v>
      </c>
      <c r="M987" s="175">
        <v>0</v>
      </c>
      <c r="N987" s="178">
        <v>0</v>
      </c>
      <c r="O987" s="175">
        <v>0</v>
      </c>
      <c r="P987" s="178">
        <v>1.3863333333333336</v>
      </c>
      <c r="Q987" s="175">
        <v>6.4058333333333328</v>
      </c>
      <c r="R987" s="178">
        <v>3.6666666666666475E-3</v>
      </c>
      <c r="S987" s="175">
        <v>0</v>
      </c>
      <c r="T987" s="178">
        <v>0</v>
      </c>
      <c r="U987" s="175">
        <v>1.2709999999999995</v>
      </c>
      <c r="V987" s="178">
        <v>9.9238333333333344</v>
      </c>
      <c r="W987" s="175">
        <v>13.443166666666674</v>
      </c>
      <c r="X987" s="178">
        <v>0</v>
      </c>
      <c r="Y987" s="175">
        <v>0</v>
      </c>
      <c r="Z987" s="178">
        <v>0</v>
      </c>
      <c r="AA987" s="175">
        <v>0</v>
      </c>
      <c r="AB987" s="178">
        <v>0</v>
      </c>
      <c r="AC987" s="238">
        <f t="shared" si="507"/>
        <v>32.43383333333334</v>
      </c>
      <c r="AD987" s="238"/>
      <c r="AE987" s="238"/>
    </row>
    <row r="988" spans="2:31" x14ac:dyDescent="0.3">
      <c r="B988" s="245" t="s">
        <v>36</v>
      </c>
      <c r="C988" s="245"/>
      <c r="D988" s="245"/>
      <c r="E988" s="175">
        <v>0</v>
      </c>
      <c r="F988" s="178">
        <v>0</v>
      </c>
      <c r="G988" s="175">
        <v>0</v>
      </c>
      <c r="H988" s="178">
        <v>0</v>
      </c>
      <c r="I988" s="175">
        <v>0</v>
      </c>
      <c r="J988" s="178">
        <v>0</v>
      </c>
      <c r="K988" s="175">
        <v>0</v>
      </c>
      <c r="L988" s="178">
        <v>0</v>
      </c>
      <c r="M988" s="175">
        <v>0</v>
      </c>
      <c r="N988" s="178">
        <v>0</v>
      </c>
      <c r="O988" s="175">
        <v>0</v>
      </c>
      <c r="P988" s="178">
        <v>0.80816666666666703</v>
      </c>
      <c r="Q988" s="175">
        <v>6.0511666666666724</v>
      </c>
      <c r="R988" s="178">
        <v>5.7049999999999992</v>
      </c>
      <c r="S988" s="175">
        <v>7.9288333333333298</v>
      </c>
      <c r="T988" s="178">
        <v>11.54066666666667</v>
      </c>
      <c r="U988" s="175">
        <v>4.46383333333333</v>
      </c>
      <c r="V988" s="178">
        <v>12.013833333333332</v>
      </c>
      <c r="W988" s="175">
        <v>12.026499999999999</v>
      </c>
      <c r="X988" s="178">
        <v>0</v>
      </c>
      <c r="Y988" s="175">
        <v>0</v>
      </c>
      <c r="Z988" s="178">
        <v>0</v>
      </c>
      <c r="AA988" s="175">
        <v>0</v>
      </c>
      <c r="AB988" s="178">
        <v>0</v>
      </c>
      <c r="AC988" s="238">
        <f t="shared" si="507"/>
        <v>60.53799999999999</v>
      </c>
      <c r="AD988" s="238"/>
      <c r="AE988" s="238"/>
    </row>
    <row r="989" spans="2:31" x14ac:dyDescent="0.3">
      <c r="B989" s="13" t="s">
        <v>89</v>
      </c>
      <c r="C989" s="13"/>
      <c r="D989" s="13"/>
      <c r="E989" s="175">
        <v>0</v>
      </c>
      <c r="F989" s="178">
        <v>0</v>
      </c>
      <c r="G989" s="175">
        <v>0</v>
      </c>
      <c r="H989" s="178">
        <v>0</v>
      </c>
      <c r="I989" s="175">
        <v>0</v>
      </c>
      <c r="J989" s="178">
        <v>0</v>
      </c>
      <c r="K989" s="175">
        <v>0</v>
      </c>
      <c r="L989" s="178">
        <v>0</v>
      </c>
      <c r="M989" s="175">
        <v>0</v>
      </c>
      <c r="N989" s="178">
        <v>0</v>
      </c>
      <c r="O989" s="175">
        <v>0</v>
      </c>
      <c r="P989" s="178">
        <v>0</v>
      </c>
      <c r="Q989" s="175">
        <v>0</v>
      </c>
      <c r="R989" s="178">
        <v>0</v>
      </c>
      <c r="S989" s="175">
        <v>0</v>
      </c>
      <c r="T989" s="178">
        <v>0</v>
      </c>
      <c r="U989" s="175">
        <v>0</v>
      </c>
      <c r="V989" s="178">
        <v>0</v>
      </c>
      <c r="W989" s="175">
        <v>0</v>
      </c>
      <c r="X989" s="178">
        <v>0</v>
      </c>
      <c r="Y989" s="175">
        <v>0</v>
      </c>
      <c r="Z989" s="178">
        <v>0</v>
      </c>
      <c r="AA989" s="175">
        <v>0</v>
      </c>
      <c r="AB989" s="178">
        <v>0</v>
      </c>
      <c r="AC989" s="238">
        <f t="shared" si="507"/>
        <v>0</v>
      </c>
      <c r="AD989" s="238"/>
      <c r="AE989" s="238"/>
    </row>
    <row r="990" spans="2:31" x14ac:dyDescent="0.3">
      <c r="B990" s="13" t="s">
        <v>90</v>
      </c>
      <c r="C990" s="13"/>
      <c r="D990" s="13"/>
      <c r="E990" s="175">
        <v>0</v>
      </c>
      <c r="F990" s="178">
        <v>0</v>
      </c>
      <c r="G990" s="175">
        <v>0</v>
      </c>
      <c r="H990" s="178">
        <v>0</v>
      </c>
      <c r="I990" s="175">
        <v>0</v>
      </c>
      <c r="J990" s="178">
        <v>0</v>
      </c>
      <c r="K990" s="175">
        <v>0</v>
      </c>
      <c r="L990" s="178">
        <v>0</v>
      </c>
      <c r="M990" s="175">
        <v>0</v>
      </c>
      <c r="N990" s="178">
        <v>0</v>
      </c>
      <c r="O990" s="175">
        <v>0</v>
      </c>
      <c r="P990" s="178">
        <v>0</v>
      </c>
      <c r="Q990" s="175">
        <v>0</v>
      </c>
      <c r="R990" s="178">
        <v>0</v>
      </c>
      <c r="S990" s="175">
        <v>0</v>
      </c>
      <c r="T990" s="178">
        <v>0</v>
      </c>
      <c r="U990" s="175">
        <v>0</v>
      </c>
      <c r="V990" s="178">
        <v>0</v>
      </c>
      <c r="W990" s="175">
        <v>0</v>
      </c>
      <c r="X990" s="178">
        <v>0</v>
      </c>
      <c r="Y990" s="175">
        <v>0</v>
      </c>
      <c r="Z990" s="178">
        <v>0</v>
      </c>
      <c r="AA990" s="175">
        <v>0</v>
      </c>
      <c r="AB990" s="178">
        <v>0</v>
      </c>
      <c r="AC990" s="238">
        <f t="shared" si="507"/>
        <v>0</v>
      </c>
      <c r="AD990" s="238"/>
      <c r="AE990" s="238"/>
    </row>
    <row r="991" spans="2:31" x14ac:dyDescent="0.3">
      <c r="B991" s="14" t="s">
        <v>2</v>
      </c>
      <c r="C991" s="14"/>
      <c r="D991" s="14"/>
      <c r="E991" s="15">
        <f>SUM(E954:E990)</f>
        <v>0</v>
      </c>
      <c r="F991" s="15">
        <f t="shared" ref="F991" si="508">SUM(F954:F990)</f>
        <v>0</v>
      </c>
      <c r="G991" s="15">
        <f t="shared" ref="G991" si="509">SUM(G954:G990)</f>
        <v>0</v>
      </c>
      <c r="H991" s="15">
        <f t="shared" ref="H991" si="510">SUM(H954:H990)</f>
        <v>0</v>
      </c>
      <c r="I991" s="15">
        <f t="shared" ref="I991" si="511">SUM(I954:I990)</f>
        <v>0</v>
      </c>
      <c r="J991" s="15">
        <f t="shared" ref="J991" si="512">SUM(J954:J990)</f>
        <v>0</v>
      </c>
      <c r="K991" s="15">
        <f t="shared" ref="K991" si="513">SUM(K954:K990)</f>
        <v>0</v>
      </c>
      <c r="L991" s="15">
        <f t="shared" ref="L991" si="514">SUM(L954:L990)</f>
        <v>0</v>
      </c>
      <c r="M991" s="15">
        <f t="shared" ref="M991" si="515">SUM(M954:M990)</f>
        <v>0</v>
      </c>
      <c r="N991" s="15">
        <f t="shared" ref="N991" si="516">SUM(N954:N990)</f>
        <v>0</v>
      </c>
      <c r="O991" s="15">
        <f t="shared" ref="O991" si="517">SUM(O954:O990)</f>
        <v>0</v>
      </c>
      <c r="P991" s="15">
        <f t="shared" ref="P991" si="518">SUM(P954:P990)</f>
        <v>12.709999999999999</v>
      </c>
      <c r="Q991" s="15">
        <f t="shared" ref="Q991" si="519">SUM(Q954:Q990)</f>
        <v>143.69449999999998</v>
      </c>
      <c r="R991" s="15">
        <f t="shared" ref="R991" si="520">SUM(R954:R990)</f>
        <v>162.70033333333339</v>
      </c>
      <c r="S991" s="15">
        <f t="shared" ref="S991" si="521">SUM(S954:S990)</f>
        <v>228.10499999999996</v>
      </c>
      <c r="T991" s="15">
        <f t="shared" ref="T991" si="522">SUM(T954:T990)</f>
        <v>337.45383333333331</v>
      </c>
      <c r="U991" s="15">
        <f t="shared" ref="U991" si="523">SUM(U954:U990)</f>
        <v>408.50266666666681</v>
      </c>
      <c r="V991" s="15">
        <f t="shared" ref="V991" si="524">SUM(V954:V990)</f>
        <v>403.86416666666662</v>
      </c>
      <c r="W991" s="15">
        <f t="shared" ref="W991" si="525">SUM(W954:W990)</f>
        <v>308.05383333333327</v>
      </c>
      <c r="X991" s="15">
        <f t="shared" ref="X991" si="526">SUM(X954:X990)</f>
        <v>3.1321666666666657</v>
      </c>
      <c r="Y991" s="15">
        <f t="shared" ref="Y991" si="527">SUM(Y954:Y990)</f>
        <v>0</v>
      </c>
      <c r="Z991" s="15">
        <f t="shared" ref="Z991" si="528">SUM(Z954:Z990)</f>
        <v>0</v>
      </c>
      <c r="AA991" s="15">
        <f t="shared" ref="AA991" si="529">SUM(AA954:AA990)</f>
        <v>0</v>
      </c>
      <c r="AB991" s="15">
        <f t="shared" ref="AB991" si="530">SUM(AB954:AB990)</f>
        <v>0</v>
      </c>
      <c r="AC991" s="249">
        <f>SUM(AC954:AE990)</f>
        <v>2008.2165000000002</v>
      </c>
      <c r="AD991" s="249"/>
      <c r="AE991" s="249"/>
    </row>
    <row r="994" spans="2:31" x14ac:dyDescent="0.3">
      <c r="B994" s="8">
        <f>'Resumen-Mensual'!$AB$22</f>
        <v>44585</v>
      </c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4"/>
      <c r="AD994" s="4"/>
      <c r="AE994" s="4"/>
    </row>
    <row r="995" spans="2:31" x14ac:dyDescent="0.3">
      <c r="B995" s="8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4"/>
      <c r="AD995" s="4"/>
      <c r="AE995" s="4"/>
    </row>
    <row r="996" spans="2:31" x14ac:dyDescent="0.3">
      <c r="B996" s="9" t="s">
        <v>81</v>
      </c>
      <c r="C996" s="10"/>
      <c r="D996" s="10"/>
      <c r="E996" s="11">
        <v>1</v>
      </c>
      <c r="F996" s="11">
        <v>2</v>
      </c>
      <c r="G996" s="11">
        <v>3</v>
      </c>
      <c r="H996" s="11">
        <v>4</v>
      </c>
      <c r="I996" s="11">
        <v>5</v>
      </c>
      <c r="J996" s="11">
        <v>6</v>
      </c>
      <c r="K996" s="11">
        <v>7</v>
      </c>
      <c r="L996" s="11">
        <v>8</v>
      </c>
      <c r="M996" s="11">
        <v>9</v>
      </c>
      <c r="N996" s="11">
        <v>10</v>
      </c>
      <c r="O996" s="11">
        <v>11</v>
      </c>
      <c r="P996" s="11">
        <v>12</v>
      </c>
      <c r="Q996" s="11">
        <v>13</v>
      </c>
      <c r="R996" s="11">
        <v>14</v>
      </c>
      <c r="S996" s="11">
        <v>15</v>
      </c>
      <c r="T996" s="11">
        <v>16</v>
      </c>
      <c r="U996" s="11">
        <v>17</v>
      </c>
      <c r="V996" s="11">
        <v>18</v>
      </c>
      <c r="W996" s="11">
        <v>19</v>
      </c>
      <c r="X996" s="11">
        <v>20</v>
      </c>
      <c r="Y996" s="11">
        <v>21</v>
      </c>
      <c r="Z996" s="11">
        <v>22</v>
      </c>
      <c r="AA996" s="11">
        <v>23</v>
      </c>
      <c r="AB996" s="11">
        <v>24</v>
      </c>
      <c r="AC996" s="248" t="s">
        <v>2</v>
      </c>
      <c r="AD996" s="248"/>
      <c r="AE996" s="248"/>
    </row>
    <row r="997" spans="2:31" x14ac:dyDescent="0.3">
      <c r="B997" s="245" t="s">
        <v>4</v>
      </c>
      <c r="C997" s="245"/>
      <c r="D997" s="245"/>
      <c r="E997" s="183">
        <v>0</v>
      </c>
      <c r="F997" s="184">
        <v>0</v>
      </c>
      <c r="G997" s="183">
        <v>0</v>
      </c>
      <c r="H997" s="184">
        <v>0</v>
      </c>
      <c r="I997" s="183">
        <v>0</v>
      </c>
      <c r="J997" s="184">
        <v>0</v>
      </c>
      <c r="K997" s="183">
        <v>0</v>
      </c>
      <c r="L997" s="184">
        <v>0</v>
      </c>
      <c r="M997" s="183">
        <v>0</v>
      </c>
      <c r="N997" s="184">
        <v>0</v>
      </c>
      <c r="O997" s="183">
        <v>0</v>
      </c>
      <c r="P997" s="184">
        <v>0</v>
      </c>
      <c r="Q997" s="183">
        <v>0</v>
      </c>
      <c r="R997" s="184">
        <v>0</v>
      </c>
      <c r="S997" s="183">
        <v>0</v>
      </c>
      <c r="T997" s="184">
        <v>0</v>
      </c>
      <c r="U997" s="183">
        <v>0</v>
      </c>
      <c r="V997" s="184">
        <v>0</v>
      </c>
      <c r="W997" s="183">
        <v>0</v>
      </c>
      <c r="X997" s="184">
        <v>0</v>
      </c>
      <c r="Y997" s="183">
        <v>0</v>
      </c>
      <c r="Z997" s="184">
        <v>0</v>
      </c>
      <c r="AA997" s="183">
        <v>0</v>
      </c>
      <c r="AB997" s="184">
        <v>0</v>
      </c>
      <c r="AC997" s="238">
        <f>SUM(E997:AB997)</f>
        <v>0</v>
      </c>
      <c r="AD997" s="238"/>
      <c r="AE997" s="238"/>
    </row>
    <row r="998" spans="2:31" x14ac:dyDescent="0.3">
      <c r="B998" s="245" t="s">
        <v>5</v>
      </c>
      <c r="C998" s="245"/>
      <c r="D998" s="245"/>
      <c r="E998" s="182">
        <v>0</v>
      </c>
      <c r="F998" s="185">
        <v>0</v>
      </c>
      <c r="G998" s="182">
        <v>0</v>
      </c>
      <c r="H998" s="185">
        <v>0</v>
      </c>
      <c r="I998" s="182">
        <v>0</v>
      </c>
      <c r="J998" s="185">
        <v>0</v>
      </c>
      <c r="K998" s="182">
        <v>0</v>
      </c>
      <c r="L998" s="185">
        <v>0</v>
      </c>
      <c r="M998" s="182">
        <v>0</v>
      </c>
      <c r="N998" s="185">
        <v>0</v>
      </c>
      <c r="O998" s="182">
        <v>0</v>
      </c>
      <c r="P998" s="185">
        <v>0</v>
      </c>
      <c r="Q998" s="182">
        <v>0</v>
      </c>
      <c r="R998" s="185">
        <v>0</v>
      </c>
      <c r="S998" s="182">
        <v>0</v>
      </c>
      <c r="T998" s="185">
        <v>0</v>
      </c>
      <c r="U998" s="182">
        <v>0</v>
      </c>
      <c r="V998" s="185">
        <v>0</v>
      </c>
      <c r="W998" s="182">
        <v>0</v>
      </c>
      <c r="X998" s="185">
        <v>0</v>
      </c>
      <c r="Y998" s="182">
        <v>0</v>
      </c>
      <c r="Z998" s="185">
        <v>0</v>
      </c>
      <c r="AA998" s="182">
        <v>0</v>
      </c>
      <c r="AB998" s="185">
        <v>0</v>
      </c>
      <c r="AC998" s="238">
        <f t="shared" ref="AC998:AC1033" si="531">SUM(E998:AB998)</f>
        <v>0</v>
      </c>
      <c r="AD998" s="238"/>
      <c r="AE998" s="238"/>
    </row>
    <row r="999" spans="2:31" x14ac:dyDescent="0.3">
      <c r="B999" s="245" t="s">
        <v>6</v>
      </c>
      <c r="C999" s="245"/>
      <c r="D999" s="245"/>
      <c r="E999" s="182">
        <v>0</v>
      </c>
      <c r="F999" s="185">
        <v>0</v>
      </c>
      <c r="G999" s="182">
        <v>0</v>
      </c>
      <c r="H999" s="185">
        <v>0</v>
      </c>
      <c r="I999" s="182">
        <v>0</v>
      </c>
      <c r="J999" s="185">
        <v>0</v>
      </c>
      <c r="K999" s="182">
        <v>0</v>
      </c>
      <c r="L999" s="185">
        <v>0</v>
      </c>
      <c r="M999" s="182">
        <v>0</v>
      </c>
      <c r="N999" s="185">
        <v>0</v>
      </c>
      <c r="O999" s="182">
        <v>0</v>
      </c>
      <c r="P999" s="185">
        <v>0</v>
      </c>
      <c r="Q999" s="182">
        <v>0.40550000000000008</v>
      </c>
      <c r="R999" s="185">
        <v>0</v>
      </c>
      <c r="S999" s="182">
        <v>5.7803333333333322</v>
      </c>
      <c r="T999" s="185">
        <v>10.594500000000004</v>
      </c>
      <c r="U999" s="182">
        <v>0</v>
      </c>
      <c r="V999" s="185">
        <v>12.775166666666665</v>
      </c>
      <c r="W999" s="182">
        <v>19.653666666666666</v>
      </c>
      <c r="X999" s="185">
        <v>6.9681666666666668</v>
      </c>
      <c r="Y999" s="182">
        <v>0</v>
      </c>
      <c r="Z999" s="185">
        <v>0</v>
      </c>
      <c r="AA999" s="182">
        <v>0</v>
      </c>
      <c r="AB999" s="185">
        <v>0</v>
      </c>
      <c r="AC999" s="238">
        <f t="shared" si="531"/>
        <v>56.177333333333337</v>
      </c>
      <c r="AD999" s="238"/>
      <c r="AE999" s="238"/>
    </row>
    <row r="1000" spans="2:31" x14ac:dyDescent="0.3">
      <c r="B1000" s="245" t="s">
        <v>91</v>
      </c>
      <c r="C1000" s="245"/>
      <c r="D1000" s="245"/>
      <c r="E1000" s="182">
        <v>0</v>
      </c>
      <c r="F1000" s="185">
        <v>0</v>
      </c>
      <c r="G1000" s="182">
        <v>0</v>
      </c>
      <c r="H1000" s="185">
        <v>0</v>
      </c>
      <c r="I1000" s="182">
        <v>0</v>
      </c>
      <c r="J1000" s="185">
        <v>0</v>
      </c>
      <c r="K1000" s="182">
        <v>0</v>
      </c>
      <c r="L1000" s="185">
        <v>0</v>
      </c>
      <c r="M1000" s="182">
        <v>0</v>
      </c>
      <c r="N1000" s="185">
        <v>0</v>
      </c>
      <c r="O1000" s="182">
        <v>0</v>
      </c>
      <c r="P1000" s="185">
        <v>0</v>
      </c>
      <c r="Q1000" s="182">
        <v>0</v>
      </c>
      <c r="R1000" s="185">
        <v>0</v>
      </c>
      <c r="S1000" s="182">
        <v>0</v>
      </c>
      <c r="T1000" s="185">
        <v>0</v>
      </c>
      <c r="U1000" s="182">
        <v>0</v>
      </c>
      <c r="V1000" s="185">
        <v>0</v>
      </c>
      <c r="W1000" s="182">
        <v>0</v>
      </c>
      <c r="X1000" s="185">
        <v>0</v>
      </c>
      <c r="Y1000" s="182">
        <v>0</v>
      </c>
      <c r="Z1000" s="185">
        <v>0</v>
      </c>
      <c r="AA1000" s="182">
        <v>0</v>
      </c>
      <c r="AB1000" s="185">
        <v>0</v>
      </c>
      <c r="AC1000" s="238">
        <f t="shared" si="531"/>
        <v>0</v>
      </c>
      <c r="AD1000" s="238"/>
      <c r="AE1000" s="238"/>
    </row>
    <row r="1001" spans="2:31" x14ac:dyDescent="0.3">
      <c r="B1001" s="245" t="s">
        <v>7</v>
      </c>
      <c r="C1001" s="245"/>
      <c r="D1001" s="245"/>
      <c r="E1001" s="182">
        <v>0</v>
      </c>
      <c r="F1001" s="185">
        <v>0</v>
      </c>
      <c r="G1001" s="182">
        <v>0</v>
      </c>
      <c r="H1001" s="185">
        <v>0</v>
      </c>
      <c r="I1001" s="182">
        <v>0</v>
      </c>
      <c r="J1001" s="185">
        <v>0</v>
      </c>
      <c r="K1001" s="182">
        <v>0</v>
      </c>
      <c r="L1001" s="185">
        <v>0</v>
      </c>
      <c r="M1001" s="182">
        <v>0</v>
      </c>
      <c r="N1001" s="185">
        <v>0</v>
      </c>
      <c r="O1001" s="182">
        <v>0</v>
      </c>
      <c r="P1001" s="185">
        <v>0</v>
      </c>
      <c r="Q1001" s="182">
        <v>1.379</v>
      </c>
      <c r="R1001" s="185">
        <v>0</v>
      </c>
      <c r="S1001" s="182">
        <v>26.20633333333333</v>
      </c>
      <c r="T1001" s="185">
        <v>0</v>
      </c>
      <c r="U1001" s="182">
        <v>0</v>
      </c>
      <c r="V1001" s="185">
        <v>0</v>
      </c>
      <c r="W1001" s="182">
        <v>0</v>
      </c>
      <c r="X1001" s="185">
        <v>3.1159999999999992</v>
      </c>
      <c r="Y1001" s="182">
        <v>0</v>
      </c>
      <c r="Z1001" s="185">
        <v>0</v>
      </c>
      <c r="AA1001" s="182">
        <v>0</v>
      </c>
      <c r="AB1001" s="185">
        <v>0</v>
      </c>
      <c r="AC1001" s="238">
        <f t="shared" si="531"/>
        <v>30.701333333333331</v>
      </c>
      <c r="AD1001" s="238"/>
      <c r="AE1001" s="238"/>
    </row>
    <row r="1002" spans="2:31" x14ac:dyDescent="0.3">
      <c r="B1002" s="245" t="s">
        <v>8</v>
      </c>
      <c r="C1002" s="245"/>
      <c r="D1002" s="245"/>
      <c r="E1002" s="182">
        <v>0</v>
      </c>
      <c r="F1002" s="185">
        <v>0</v>
      </c>
      <c r="G1002" s="182">
        <v>0</v>
      </c>
      <c r="H1002" s="185">
        <v>0</v>
      </c>
      <c r="I1002" s="182">
        <v>0</v>
      </c>
      <c r="J1002" s="185">
        <v>0</v>
      </c>
      <c r="K1002" s="182">
        <v>0</v>
      </c>
      <c r="L1002" s="185">
        <v>0</v>
      </c>
      <c r="M1002" s="182">
        <v>0</v>
      </c>
      <c r="N1002" s="185">
        <v>0</v>
      </c>
      <c r="O1002" s="182">
        <v>0</v>
      </c>
      <c r="P1002" s="185">
        <v>0</v>
      </c>
      <c r="Q1002" s="182">
        <v>0</v>
      </c>
      <c r="R1002" s="185">
        <v>0</v>
      </c>
      <c r="S1002" s="182">
        <v>0</v>
      </c>
      <c r="T1002" s="185">
        <v>0</v>
      </c>
      <c r="U1002" s="182">
        <v>0</v>
      </c>
      <c r="V1002" s="185">
        <v>0</v>
      </c>
      <c r="W1002" s="182">
        <v>0</v>
      </c>
      <c r="X1002" s="185">
        <v>0</v>
      </c>
      <c r="Y1002" s="182">
        <v>0</v>
      </c>
      <c r="Z1002" s="185">
        <v>0</v>
      </c>
      <c r="AA1002" s="182">
        <v>0</v>
      </c>
      <c r="AB1002" s="185">
        <v>0</v>
      </c>
      <c r="AC1002" s="238">
        <f t="shared" si="531"/>
        <v>0</v>
      </c>
      <c r="AD1002" s="238"/>
      <c r="AE1002" s="238"/>
    </row>
    <row r="1003" spans="2:31" x14ac:dyDescent="0.3">
      <c r="B1003" s="245" t="s">
        <v>9</v>
      </c>
      <c r="C1003" s="245"/>
      <c r="D1003" s="245"/>
      <c r="E1003" s="182">
        <v>0</v>
      </c>
      <c r="F1003" s="185">
        <v>0</v>
      </c>
      <c r="G1003" s="182">
        <v>0</v>
      </c>
      <c r="H1003" s="185">
        <v>0</v>
      </c>
      <c r="I1003" s="182">
        <v>0</v>
      </c>
      <c r="J1003" s="185">
        <v>0</v>
      </c>
      <c r="K1003" s="182">
        <v>0</v>
      </c>
      <c r="L1003" s="185">
        <v>0</v>
      </c>
      <c r="M1003" s="182">
        <v>0</v>
      </c>
      <c r="N1003" s="185">
        <v>0</v>
      </c>
      <c r="O1003" s="182">
        <v>0</v>
      </c>
      <c r="P1003" s="185">
        <v>0</v>
      </c>
      <c r="Q1003" s="182">
        <v>0</v>
      </c>
      <c r="R1003" s="185">
        <v>0</v>
      </c>
      <c r="S1003" s="182">
        <v>0</v>
      </c>
      <c r="T1003" s="185">
        <v>0</v>
      </c>
      <c r="U1003" s="182">
        <v>0</v>
      </c>
      <c r="V1003" s="185">
        <v>0</v>
      </c>
      <c r="W1003" s="182">
        <v>0</v>
      </c>
      <c r="X1003" s="185">
        <v>0</v>
      </c>
      <c r="Y1003" s="182">
        <v>0</v>
      </c>
      <c r="Z1003" s="185">
        <v>0</v>
      </c>
      <c r="AA1003" s="182">
        <v>0</v>
      </c>
      <c r="AB1003" s="185">
        <v>0</v>
      </c>
      <c r="AC1003" s="238">
        <f t="shared" si="531"/>
        <v>0</v>
      </c>
      <c r="AD1003" s="238"/>
      <c r="AE1003" s="238"/>
    </row>
    <row r="1004" spans="2:31" x14ac:dyDescent="0.3">
      <c r="B1004" s="245" t="s">
        <v>10</v>
      </c>
      <c r="C1004" s="245"/>
      <c r="D1004" s="245"/>
      <c r="E1004" s="182">
        <v>0</v>
      </c>
      <c r="F1004" s="185">
        <v>0</v>
      </c>
      <c r="G1004" s="182">
        <v>0</v>
      </c>
      <c r="H1004" s="185">
        <v>0</v>
      </c>
      <c r="I1004" s="182">
        <v>0</v>
      </c>
      <c r="J1004" s="185">
        <v>0</v>
      </c>
      <c r="K1004" s="182">
        <v>0</v>
      </c>
      <c r="L1004" s="185">
        <v>0</v>
      </c>
      <c r="M1004" s="182">
        <v>0</v>
      </c>
      <c r="N1004" s="185">
        <v>0</v>
      </c>
      <c r="O1004" s="182">
        <v>0</v>
      </c>
      <c r="P1004" s="185">
        <v>0</v>
      </c>
      <c r="Q1004" s="182">
        <v>0</v>
      </c>
      <c r="R1004" s="185">
        <v>0</v>
      </c>
      <c r="S1004" s="182">
        <v>0</v>
      </c>
      <c r="T1004" s="185">
        <v>0</v>
      </c>
      <c r="U1004" s="182">
        <v>0</v>
      </c>
      <c r="V1004" s="185">
        <v>0</v>
      </c>
      <c r="W1004" s="182">
        <v>0</v>
      </c>
      <c r="X1004" s="185">
        <v>0</v>
      </c>
      <c r="Y1004" s="182">
        <v>0</v>
      </c>
      <c r="Z1004" s="185">
        <v>0</v>
      </c>
      <c r="AA1004" s="182">
        <v>0</v>
      </c>
      <c r="AB1004" s="185">
        <v>0</v>
      </c>
      <c r="AC1004" s="238">
        <f t="shared" si="531"/>
        <v>0</v>
      </c>
      <c r="AD1004" s="238"/>
      <c r="AE1004" s="238"/>
    </row>
    <row r="1005" spans="2:31" x14ac:dyDescent="0.3">
      <c r="B1005" s="245" t="s">
        <v>11</v>
      </c>
      <c r="C1005" s="245"/>
      <c r="D1005" s="245"/>
      <c r="E1005" s="182">
        <v>0</v>
      </c>
      <c r="F1005" s="185">
        <v>0</v>
      </c>
      <c r="G1005" s="182">
        <v>0</v>
      </c>
      <c r="H1005" s="185">
        <v>0</v>
      </c>
      <c r="I1005" s="182">
        <v>0</v>
      </c>
      <c r="J1005" s="185">
        <v>0</v>
      </c>
      <c r="K1005" s="182">
        <v>0</v>
      </c>
      <c r="L1005" s="185">
        <v>0</v>
      </c>
      <c r="M1005" s="182">
        <v>0</v>
      </c>
      <c r="N1005" s="185">
        <v>0</v>
      </c>
      <c r="O1005" s="182">
        <v>0</v>
      </c>
      <c r="P1005" s="185">
        <v>0</v>
      </c>
      <c r="Q1005" s="182">
        <v>0</v>
      </c>
      <c r="R1005" s="185">
        <v>0</v>
      </c>
      <c r="S1005" s="182">
        <v>0</v>
      </c>
      <c r="T1005" s="185">
        <v>0</v>
      </c>
      <c r="U1005" s="182">
        <v>0</v>
      </c>
      <c r="V1005" s="185">
        <v>0</v>
      </c>
      <c r="W1005" s="182">
        <v>0</v>
      </c>
      <c r="X1005" s="185">
        <v>0</v>
      </c>
      <c r="Y1005" s="182">
        <v>0</v>
      </c>
      <c r="Z1005" s="185">
        <v>0</v>
      </c>
      <c r="AA1005" s="182">
        <v>0</v>
      </c>
      <c r="AB1005" s="185">
        <v>0</v>
      </c>
      <c r="AC1005" s="238">
        <f t="shared" si="531"/>
        <v>0</v>
      </c>
      <c r="AD1005" s="238"/>
      <c r="AE1005" s="238"/>
    </row>
    <row r="1006" spans="2:31" x14ac:dyDescent="0.3">
      <c r="B1006" s="245" t="s">
        <v>12</v>
      </c>
      <c r="C1006" s="245"/>
      <c r="D1006" s="245"/>
      <c r="E1006" s="182">
        <v>0</v>
      </c>
      <c r="F1006" s="185">
        <v>0</v>
      </c>
      <c r="G1006" s="182">
        <v>0</v>
      </c>
      <c r="H1006" s="185">
        <v>0</v>
      </c>
      <c r="I1006" s="182">
        <v>0</v>
      </c>
      <c r="J1006" s="185">
        <v>0</v>
      </c>
      <c r="K1006" s="182">
        <v>0</v>
      </c>
      <c r="L1006" s="185">
        <v>0</v>
      </c>
      <c r="M1006" s="182">
        <v>0</v>
      </c>
      <c r="N1006" s="185">
        <v>0</v>
      </c>
      <c r="O1006" s="182">
        <v>0</v>
      </c>
      <c r="P1006" s="185">
        <v>0</v>
      </c>
      <c r="Q1006" s="182">
        <v>0</v>
      </c>
      <c r="R1006" s="185">
        <v>0</v>
      </c>
      <c r="S1006" s="182">
        <v>0</v>
      </c>
      <c r="T1006" s="185">
        <v>0</v>
      </c>
      <c r="U1006" s="182">
        <v>0</v>
      </c>
      <c r="V1006" s="185">
        <v>0</v>
      </c>
      <c r="W1006" s="182">
        <v>0</v>
      </c>
      <c r="X1006" s="185">
        <v>0</v>
      </c>
      <c r="Y1006" s="182">
        <v>0</v>
      </c>
      <c r="Z1006" s="185">
        <v>0</v>
      </c>
      <c r="AA1006" s="182">
        <v>0</v>
      </c>
      <c r="AB1006" s="185">
        <v>0</v>
      </c>
      <c r="AC1006" s="238">
        <f t="shared" si="531"/>
        <v>0</v>
      </c>
      <c r="AD1006" s="238"/>
      <c r="AE1006" s="238"/>
    </row>
    <row r="1007" spans="2:31" x14ac:dyDescent="0.3">
      <c r="B1007" s="245" t="s">
        <v>13</v>
      </c>
      <c r="C1007" s="245"/>
      <c r="D1007" s="245"/>
      <c r="E1007" s="182">
        <v>0</v>
      </c>
      <c r="F1007" s="185">
        <v>0</v>
      </c>
      <c r="G1007" s="182">
        <v>0</v>
      </c>
      <c r="H1007" s="185">
        <v>0</v>
      </c>
      <c r="I1007" s="182">
        <v>0</v>
      </c>
      <c r="J1007" s="185">
        <v>0</v>
      </c>
      <c r="K1007" s="182">
        <v>0</v>
      </c>
      <c r="L1007" s="185">
        <v>0</v>
      </c>
      <c r="M1007" s="182">
        <v>0</v>
      </c>
      <c r="N1007" s="185">
        <v>0</v>
      </c>
      <c r="O1007" s="182">
        <v>0</v>
      </c>
      <c r="P1007" s="185">
        <v>0</v>
      </c>
      <c r="Q1007" s="182">
        <v>0</v>
      </c>
      <c r="R1007" s="185">
        <v>0</v>
      </c>
      <c r="S1007" s="182">
        <v>0</v>
      </c>
      <c r="T1007" s="185">
        <v>0</v>
      </c>
      <c r="U1007" s="182">
        <v>0</v>
      </c>
      <c r="V1007" s="185">
        <v>0</v>
      </c>
      <c r="W1007" s="182">
        <v>0</v>
      </c>
      <c r="X1007" s="185">
        <v>0</v>
      </c>
      <c r="Y1007" s="182">
        <v>0</v>
      </c>
      <c r="Z1007" s="185">
        <v>0</v>
      </c>
      <c r="AA1007" s="182">
        <v>0</v>
      </c>
      <c r="AB1007" s="185">
        <v>0</v>
      </c>
      <c r="AC1007" s="238">
        <f t="shared" si="531"/>
        <v>0</v>
      </c>
      <c r="AD1007" s="238"/>
      <c r="AE1007" s="238"/>
    </row>
    <row r="1008" spans="2:31" x14ac:dyDescent="0.3">
      <c r="B1008" s="245" t="s">
        <v>14</v>
      </c>
      <c r="C1008" s="245"/>
      <c r="D1008" s="245"/>
      <c r="E1008" s="182">
        <v>0</v>
      </c>
      <c r="F1008" s="185">
        <v>0</v>
      </c>
      <c r="G1008" s="182">
        <v>0</v>
      </c>
      <c r="H1008" s="185">
        <v>0</v>
      </c>
      <c r="I1008" s="182">
        <v>0</v>
      </c>
      <c r="J1008" s="185">
        <v>0</v>
      </c>
      <c r="K1008" s="182">
        <v>0</v>
      </c>
      <c r="L1008" s="185">
        <v>0</v>
      </c>
      <c r="M1008" s="182">
        <v>0</v>
      </c>
      <c r="N1008" s="185">
        <v>0</v>
      </c>
      <c r="O1008" s="182">
        <v>0</v>
      </c>
      <c r="P1008" s="185">
        <v>0</v>
      </c>
      <c r="Q1008" s="182">
        <v>0</v>
      </c>
      <c r="R1008" s="185">
        <v>0</v>
      </c>
      <c r="S1008" s="182">
        <v>0</v>
      </c>
      <c r="T1008" s="185">
        <v>0</v>
      </c>
      <c r="U1008" s="182">
        <v>0</v>
      </c>
      <c r="V1008" s="185">
        <v>0</v>
      </c>
      <c r="W1008" s="182">
        <v>0</v>
      </c>
      <c r="X1008" s="185">
        <v>0</v>
      </c>
      <c r="Y1008" s="182">
        <v>0</v>
      </c>
      <c r="Z1008" s="185">
        <v>0</v>
      </c>
      <c r="AA1008" s="182">
        <v>0</v>
      </c>
      <c r="AB1008" s="185">
        <v>0</v>
      </c>
      <c r="AC1008" s="238">
        <f t="shared" si="531"/>
        <v>0</v>
      </c>
      <c r="AD1008" s="238"/>
      <c r="AE1008" s="238"/>
    </row>
    <row r="1009" spans="2:31" x14ac:dyDescent="0.3">
      <c r="B1009" s="245" t="s">
        <v>15</v>
      </c>
      <c r="C1009" s="245"/>
      <c r="D1009" s="245"/>
      <c r="E1009" s="182">
        <v>0</v>
      </c>
      <c r="F1009" s="185">
        <v>0</v>
      </c>
      <c r="G1009" s="182">
        <v>0</v>
      </c>
      <c r="H1009" s="185">
        <v>0</v>
      </c>
      <c r="I1009" s="182">
        <v>0</v>
      </c>
      <c r="J1009" s="185">
        <v>0</v>
      </c>
      <c r="K1009" s="182">
        <v>0</v>
      </c>
      <c r="L1009" s="185">
        <v>0</v>
      </c>
      <c r="M1009" s="182">
        <v>0</v>
      </c>
      <c r="N1009" s="185">
        <v>0</v>
      </c>
      <c r="O1009" s="182">
        <v>0</v>
      </c>
      <c r="P1009" s="185">
        <v>0</v>
      </c>
      <c r="Q1009" s="182">
        <v>0</v>
      </c>
      <c r="R1009" s="185">
        <v>0</v>
      </c>
      <c r="S1009" s="182">
        <v>0</v>
      </c>
      <c r="T1009" s="185">
        <v>0</v>
      </c>
      <c r="U1009" s="182">
        <v>0</v>
      </c>
      <c r="V1009" s="185">
        <v>0</v>
      </c>
      <c r="W1009" s="182">
        <v>0</v>
      </c>
      <c r="X1009" s="185">
        <v>0</v>
      </c>
      <c r="Y1009" s="182">
        <v>0</v>
      </c>
      <c r="Z1009" s="185">
        <v>0</v>
      </c>
      <c r="AA1009" s="182">
        <v>0</v>
      </c>
      <c r="AB1009" s="185">
        <v>0</v>
      </c>
      <c r="AC1009" s="238">
        <f t="shared" si="531"/>
        <v>0</v>
      </c>
      <c r="AD1009" s="238"/>
      <c r="AE1009" s="238"/>
    </row>
    <row r="1010" spans="2:31" x14ac:dyDescent="0.3">
      <c r="B1010" s="245" t="s">
        <v>16</v>
      </c>
      <c r="C1010" s="245"/>
      <c r="D1010" s="245"/>
      <c r="E1010" s="182">
        <v>0</v>
      </c>
      <c r="F1010" s="185">
        <v>0</v>
      </c>
      <c r="G1010" s="182">
        <v>0</v>
      </c>
      <c r="H1010" s="185">
        <v>0</v>
      </c>
      <c r="I1010" s="182">
        <v>0</v>
      </c>
      <c r="J1010" s="185">
        <v>0</v>
      </c>
      <c r="K1010" s="182">
        <v>0</v>
      </c>
      <c r="L1010" s="185">
        <v>0</v>
      </c>
      <c r="M1010" s="182">
        <v>0</v>
      </c>
      <c r="N1010" s="185">
        <v>0</v>
      </c>
      <c r="O1010" s="182">
        <v>0</v>
      </c>
      <c r="P1010" s="185">
        <v>0</v>
      </c>
      <c r="Q1010" s="182">
        <v>0</v>
      </c>
      <c r="R1010" s="185">
        <v>0</v>
      </c>
      <c r="S1010" s="182">
        <v>0</v>
      </c>
      <c r="T1010" s="185">
        <v>0</v>
      </c>
      <c r="U1010" s="182">
        <v>0</v>
      </c>
      <c r="V1010" s="185">
        <v>0</v>
      </c>
      <c r="W1010" s="182">
        <v>0</v>
      </c>
      <c r="X1010" s="185">
        <v>0</v>
      </c>
      <c r="Y1010" s="182">
        <v>0</v>
      </c>
      <c r="Z1010" s="185">
        <v>0</v>
      </c>
      <c r="AA1010" s="182">
        <v>0</v>
      </c>
      <c r="AB1010" s="185">
        <v>0</v>
      </c>
      <c r="AC1010" s="238">
        <f t="shared" si="531"/>
        <v>0</v>
      </c>
      <c r="AD1010" s="238"/>
      <c r="AE1010" s="238"/>
    </row>
    <row r="1011" spans="2:31" x14ac:dyDescent="0.3">
      <c r="B1011" s="245" t="s">
        <v>17</v>
      </c>
      <c r="C1011" s="245"/>
      <c r="D1011" s="245"/>
      <c r="E1011" s="182">
        <v>0</v>
      </c>
      <c r="F1011" s="185">
        <v>0</v>
      </c>
      <c r="G1011" s="182">
        <v>0</v>
      </c>
      <c r="H1011" s="185">
        <v>0</v>
      </c>
      <c r="I1011" s="182">
        <v>0</v>
      </c>
      <c r="J1011" s="185">
        <v>0</v>
      </c>
      <c r="K1011" s="182">
        <v>0</v>
      </c>
      <c r="L1011" s="185">
        <v>0</v>
      </c>
      <c r="M1011" s="182">
        <v>0</v>
      </c>
      <c r="N1011" s="185">
        <v>0</v>
      </c>
      <c r="O1011" s="182">
        <v>0</v>
      </c>
      <c r="P1011" s="185">
        <v>0</v>
      </c>
      <c r="Q1011" s="182">
        <v>0</v>
      </c>
      <c r="R1011" s="185">
        <v>0</v>
      </c>
      <c r="S1011" s="182">
        <v>0</v>
      </c>
      <c r="T1011" s="185">
        <v>0</v>
      </c>
      <c r="U1011" s="182">
        <v>0</v>
      </c>
      <c r="V1011" s="185">
        <v>0</v>
      </c>
      <c r="W1011" s="182">
        <v>0</v>
      </c>
      <c r="X1011" s="185">
        <v>0</v>
      </c>
      <c r="Y1011" s="182">
        <v>0</v>
      </c>
      <c r="Z1011" s="185">
        <v>0</v>
      </c>
      <c r="AA1011" s="182">
        <v>0</v>
      </c>
      <c r="AB1011" s="185">
        <v>0</v>
      </c>
      <c r="AC1011" s="238">
        <f t="shared" si="531"/>
        <v>0</v>
      </c>
      <c r="AD1011" s="238"/>
      <c r="AE1011" s="238"/>
    </row>
    <row r="1012" spans="2:31" x14ac:dyDescent="0.3">
      <c r="B1012" s="245" t="s">
        <v>18</v>
      </c>
      <c r="C1012" s="245"/>
      <c r="D1012" s="245"/>
      <c r="E1012" s="182">
        <v>0</v>
      </c>
      <c r="F1012" s="185">
        <v>0</v>
      </c>
      <c r="G1012" s="182">
        <v>0</v>
      </c>
      <c r="H1012" s="185">
        <v>0</v>
      </c>
      <c r="I1012" s="182">
        <v>0</v>
      </c>
      <c r="J1012" s="185">
        <v>0</v>
      </c>
      <c r="K1012" s="182">
        <v>0</v>
      </c>
      <c r="L1012" s="185">
        <v>0</v>
      </c>
      <c r="M1012" s="182">
        <v>0</v>
      </c>
      <c r="N1012" s="185">
        <v>0</v>
      </c>
      <c r="O1012" s="182">
        <v>0</v>
      </c>
      <c r="P1012" s="185">
        <v>0</v>
      </c>
      <c r="Q1012" s="182">
        <v>0</v>
      </c>
      <c r="R1012" s="185">
        <v>0</v>
      </c>
      <c r="S1012" s="182">
        <v>0</v>
      </c>
      <c r="T1012" s="185">
        <v>0</v>
      </c>
      <c r="U1012" s="182">
        <v>0</v>
      </c>
      <c r="V1012" s="185">
        <v>0</v>
      </c>
      <c r="W1012" s="182">
        <v>0</v>
      </c>
      <c r="X1012" s="185">
        <v>0</v>
      </c>
      <c r="Y1012" s="182">
        <v>0</v>
      </c>
      <c r="Z1012" s="185">
        <v>0</v>
      </c>
      <c r="AA1012" s="182">
        <v>0</v>
      </c>
      <c r="AB1012" s="185">
        <v>0</v>
      </c>
      <c r="AC1012" s="238">
        <f t="shared" si="531"/>
        <v>0</v>
      </c>
      <c r="AD1012" s="238"/>
      <c r="AE1012" s="238"/>
    </row>
    <row r="1013" spans="2:31" x14ac:dyDescent="0.3">
      <c r="B1013" s="245" t="s">
        <v>19</v>
      </c>
      <c r="C1013" s="245"/>
      <c r="D1013" s="245"/>
      <c r="E1013" s="182">
        <v>0</v>
      </c>
      <c r="F1013" s="185">
        <v>0</v>
      </c>
      <c r="G1013" s="182">
        <v>0</v>
      </c>
      <c r="H1013" s="185">
        <v>0</v>
      </c>
      <c r="I1013" s="182">
        <v>0</v>
      </c>
      <c r="J1013" s="185">
        <v>0</v>
      </c>
      <c r="K1013" s="182">
        <v>0</v>
      </c>
      <c r="L1013" s="185">
        <v>0</v>
      </c>
      <c r="M1013" s="182">
        <v>0</v>
      </c>
      <c r="N1013" s="185">
        <v>0</v>
      </c>
      <c r="O1013" s="182">
        <v>0</v>
      </c>
      <c r="P1013" s="185">
        <v>0</v>
      </c>
      <c r="Q1013" s="182">
        <v>0</v>
      </c>
      <c r="R1013" s="185">
        <v>0</v>
      </c>
      <c r="S1013" s="182">
        <v>0</v>
      </c>
      <c r="T1013" s="185">
        <v>0</v>
      </c>
      <c r="U1013" s="182">
        <v>0</v>
      </c>
      <c r="V1013" s="185">
        <v>0</v>
      </c>
      <c r="W1013" s="182">
        <v>0</v>
      </c>
      <c r="X1013" s="185">
        <v>0</v>
      </c>
      <c r="Y1013" s="182">
        <v>0</v>
      </c>
      <c r="Z1013" s="185">
        <v>0</v>
      </c>
      <c r="AA1013" s="182">
        <v>0</v>
      </c>
      <c r="AB1013" s="185">
        <v>0</v>
      </c>
      <c r="AC1013" s="238">
        <f t="shared" si="531"/>
        <v>0</v>
      </c>
      <c r="AD1013" s="238"/>
      <c r="AE1013" s="238"/>
    </row>
    <row r="1014" spans="2:31" x14ac:dyDescent="0.3">
      <c r="B1014" s="245" t="s">
        <v>20</v>
      </c>
      <c r="C1014" s="245"/>
      <c r="D1014" s="245"/>
      <c r="E1014" s="182">
        <v>0</v>
      </c>
      <c r="F1014" s="185">
        <v>0</v>
      </c>
      <c r="G1014" s="182">
        <v>0</v>
      </c>
      <c r="H1014" s="185">
        <v>0</v>
      </c>
      <c r="I1014" s="182">
        <v>0</v>
      </c>
      <c r="J1014" s="185">
        <v>0</v>
      </c>
      <c r="K1014" s="182">
        <v>0</v>
      </c>
      <c r="L1014" s="185">
        <v>0</v>
      </c>
      <c r="M1014" s="182">
        <v>0</v>
      </c>
      <c r="N1014" s="185">
        <v>0</v>
      </c>
      <c r="O1014" s="182">
        <v>0</v>
      </c>
      <c r="P1014" s="185">
        <v>0</v>
      </c>
      <c r="Q1014" s="182">
        <v>0</v>
      </c>
      <c r="R1014" s="185">
        <v>0</v>
      </c>
      <c r="S1014" s="182">
        <v>0</v>
      </c>
      <c r="T1014" s="185">
        <v>0</v>
      </c>
      <c r="U1014" s="182">
        <v>0</v>
      </c>
      <c r="V1014" s="185">
        <v>0</v>
      </c>
      <c r="W1014" s="182">
        <v>0</v>
      </c>
      <c r="X1014" s="185">
        <v>0</v>
      </c>
      <c r="Y1014" s="182">
        <v>0</v>
      </c>
      <c r="Z1014" s="185">
        <v>0</v>
      </c>
      <c r="AA1014" s="182">
        <v>0</v>
      </c>
      <c r="AB1014" s="185">
        <v>0</v>
      </c>
      <c r="AC1014" s="238">
        <f t="shared" si="531"/>
        <v>0</v>
      </c>
      <c r="AD1014" s="238"/>
      <c r="AE1014" s="238"/>
    </row>
    <row r="1015" spans="2:31" x14ac:dyDescent="0.3">
      <c r="B1015" s="245" t="s">
        <v>21</v>
      </c>
      <c r="C1015" s="245"/>
      <c r="D1015" s="245"/>
      <c r="E1015" s="182">
        <v>0</v>
      </c>
      <c r="F1015" s="185">
        <v>0</v>
      </c>
      <c r="G1015" s="182">
        <v>0</v>
      </c>
      <c r="H1015" s="185">
        <v>0</v>
      </c>
      <c r="I1015" s="182">
        <v>0</v>
      </c>
      <c r="J1015" s="185">
        <v>0</v>
      </c>
      <c r="K1015" s="182">
        <v>0</v>
      </c>
      <c r="L1015" s="185">
        <v>0</v>
      </c>
      <c r="M1015" s="182">
        <v>0</v>
      </c>
      <c r="N1015" s="185">
        <v>0</v>
      </c>
      <c r="O1015" s="182">
        <v>0</v>
      </c>
      <c r="P1015" s="185">
        <v>0</v>
      </c>
      <c r="Q1015" s="182">
        <v>0</v>
      </c>
      <c r="R1015" s="185">
        <v>0</v>
      </c>
      <c r="S1015" s="182">
        <v>0</v>
      </c>
      <c r="T1015" s="185">
        <v>0</v>
      </c>
      <c r="U1015" s="182">
        <v>0</v>
      </c>
      <c r="V1015" s="185">
        <v>0</v>
      </c>
      <c r="W1015" s="182">
        <v>0</v>
      </c>
      <c r="X1015" s="185">
        <v>0</v>
      </c>
      <c r="Y1015" s="182">
        <v>0</v>
      </c>
      <c r="Z1015" s="185">
        <v>0</v>
      </c>
      <c r="AA1015" s="182">
        <v>0</v>
      </c>
      <c r="AB1015" s="185">
        <v>0</v>
      </c>
      <c r="AC1015" s="238">
        <f t="shared" si="531"/>
        <v>0</v>
      </c>
      <c r="AD1015" s="238"/>
      <c r="AE1015" s="238"/>
    </row>
    <row r="1016" spans="2:31" x14ac:dyDescent="0.3">
      <c r="B1016" s="245" t="s">
        <v>22</v>
      </c>
      <c r="C1016" s="245"/>
      <c r="D1016" s="245"/>
      <c r="E1016" s="182">
        <v>0</v>
      </c>
      <c r="F1016" s="185">
        <v>0</v>
      </c>
      <c r="G1016" s="182">
        <v>0</v>
      </c>
      <c r="H1016" s="185">
        <v>0</v>
      </c>
      <c r="I1016" s="182">
        <v>0</v>
      </c>
      <c r="J1016" s="185">
        <v>0</v>
      </c>
      <c r="K1016" s="182">
        <v>0</v>
      </c>
      <c r="L1016" s="185">
        <v>0</v>
      </c>
      <c r="M1016" s="182">
        <v>0</v>
      </c>
      <c r="N1016" s="185">
        <v>0</v>
      </c>
      <c r="O1016" s="182">
        <v>0</v>
      </c>
      <c r="P1016" s="185">
        <v>0</v>
      </c>
      <c r="Q1016" s="182">
        <v>0</v>
      </c>
      <c r="R1016" s="185">
        <v>0</v>
      </c>
      <c r="S1016" s="182">
        <v>0</v>
      </c>
      <c r="T1016" s="185">
        <v>0</v>
      </c>
      <c r="U1016" s="182">
        <v>0</v>
      </c>
      <c r="V1016" s="185">
        <v>0</v>
      </c>
      <c r="W1016" s="182">
        <v>0</v>
      </c>
      <c r="X1016" s="185">
        <v>0</v>
      </c>
      <c r="Y1016" s="182">
        <v>0</v>
      </c>
      <c r="Z1016" s="185">
        <v>0</v>
      </c>
      <c r="AA1016" s="182">
        <v>0</v>
      </c>
      <c r="AB1016" s="185">
        <v>0</v>
      </c>
      <c r="AC1016" s="238">
        <f t="shared" si="531"/>
        <v>0</v>
      </c>
      <c r="AD1016" s="238"/>
      <c r="AE1016" s="238"/>
    </row>
    <row r="1017" spans="2:31" x14ac:dyDescent="0.3">
      <c r="B1017" s="245" t="s">
        <v>23</v>
      </c>
      <c r="C1017" s="245"/>
      <c r="D1017" s="245"/>
      <c r="E1017" s="182">
        <v>0</v>
      </c>
      <c r="F1017" s="185">
        <v>0</v>
      </c>
      <c r="G1017" s="182">
        <v>0</v>
      </c>
      <c r="H1017" s="185">
        <v>0</v>
      </c>
      <c r="I1017" s="182">
        <v>0</v>
      </c>
      <c r="J1017" s="185">
        <v>0</v>
      </c>
      <c r="K1017" s="182">
        <v>0</v>
      </c>
      <c r="L1017" s="185">
        <v>0</v>
      </c>
      <c r="M1017" s="182">
        <v>0</v>
      </c>
      <c r="N1017" s="185">
        <v>0</v>
      </c>
      <c r="O1017" s="182">
        <v>0</v>
      </c>
      <c r="P1017" s="185">
        <v>0</v>
      </c>
      <c r="Q1017" s="182">
        <v>0</v>
      </c>
      <c r="R1017" s="185">
        <v>0</v>
      </c>
      <c r="S1017" s="182">
        <v>0</v>
      </c>
      <c r="T1017" s="185">
        <v>0</v>
      </c>
      <c r="U1017" s="182">
        <v>0</v>
      </c>
      <c r="V1017" s="185">
        <v>0</v>
      </c>
      <c r="W1017" s="182">
        <v>0</v>
      </c>
      <c r="X1017" s="185">
        <v>0</v>
      </c>
      <c r="Y1017" s="182">
        <v>0</v>
      </c>
      <c r="Z1017" s="185">
        <v>0</v>
      </c>
      <c r="AA1017" s="182">
        <v>0</v>
      </c>
      <c r="AB1017" s="185">
        <v>0</v>
      </c>
      <c r="AC1017" s="238">
        <f t="shared" si="531"/>
        <v>0</v>
      </c>
      <c r="AD1017" s="238"/>
      <c r="AE1017" s="238"/>
    </row>
    <row r="1018" spans="2:31" x14ac:dyDescent="0.3">
      <c r="B1018" s="245" t="s">
        <v>24</v>
      </c>
      <c r="C1018" s="245"/>
      <c r="D1018" s="245"/>
      <c r="E1018" s="182">
        <v>0</v>
      </c>
      <c r="F1018" s="185">
        <v>0</v>
      </c>
      <c r="G1018" s="182">
        <v>0</v>
      </c>
      <c r="H1018" s="185">
        <v>0</v>
      </c>
      <c r="I1018" s="182">
        <v>0</v>
      </c>
      <c r="J1018" s="185">
        <v>0</v>
      </c>
      <c r="K1018" s="182">
        <v>0</v>
      </c>
      <c r="L1018" s="185">
        <v>0</v>
      </c>
      <c r="M1018" s="182">
        <v>0</v>
      </c>
      <c r="N1018" s="185">
        <v>0</v>
      </c>
      <c r="O1018" s="182">
        <v>0</v>
      </c>
      <c r="P1018" s="185">
        <v>0</v>
      </c>
      <c r="Q1018" s="182">
        <v>0</v>
      </c>
      <c r="R1018" s="185">
        <v>0</v>
      </c>
      <c r="S1018" s="182">
        <v>0</v>
      </c>
      <c r="T1018" s="185">
        <v>0</v>
      </c>
      <c r="U1018" s="182">
        <v>0</v>
      </c>
      <c r="V1018" s="185">
        <v>0</v>
      </c>
      <c r="W1018" s="182">
        <v>0</v>
      </c>
      <c r="X1018" s="185">
        <v>0</v>
      </c>
      <c r="Y1018" s="182">
        <v>0</v>
      </c>
      <c r="Z1018" s="185">
        <v>0</v>
      </c>
      <c r="AA1018" s="182">
        <v>0</v>
      </c>
      <c r="AB1018" s="185">
        <v>0</v>
      </c>
      <c r="AC1018" s="238">
        <f t="shared" si="531"/>
        <v>0</v>
      </c>
      <c r="AD1018" s="238"/>
      <c r="AE1018" s="238"/>
    </row>
    <row r="1019" spans="2:31" x14ac:dyDescent="0.3">
      <c r="B1019" s="245" t="s">
        <v>25</v>
      </c>
      <c r="C1019" s="245"/>
      <c r="D1019" s="245"/>
      <c r="E1019" s="182">
        <v>0</v>
      </c>
      <c r="F1019" s="185">
        <v>0</v>
      </c>
      <c r="G1019" s="182">
        <v>0</v>
      </c>
      <c r="H1019" s="185">
        <v>0</v>
      </c>
      <c r="I1019" s="182">
        <v>0</v>
      </c>
      <c r="J1019" s="185">
        <v>0</v>
      </c>
      <c r="K1019" s="182">
        <v>0</v>
      </c>
      <c r="L1019" s="185">
        <v>0</v>
      </c>
      <c r="M1019" s="182">
        <v>0</v>
      </c>
      <c r="N1019" s="185">
        <v>0</v>
      </c>
      <c r="O1019" s="182">
        <v>0</v>
      </c>
      <c r="P1019" s="185">
        <v>0</v>
      </c>
      <c r="Q1019" s="182">
        <v>0</v>
      </c>
      <c r="R1019" s="185">
        <v>0</v>
      </c>
      <c r="S1019" s="182">
        <v>0</v>
      </c>
      <c r="T1019" s="185">
        <v>0</v>
      </c>
      <c r="U1019" s="182">
        <v>0</v>
      </c>
      <c r="V1019" s="185">
        <v>0</v>
      </c>
      <c r="W1019" s="182">
        <v>0</v>
      </c>
      <c r="X1019" s="185">
        <v>0</v>
      </c>
      <c r="Y1019" s="182">
        <v>0</v>
      </c>
      <c r="Z1019" s="185">
        <v>0</v>
      </c>
      <c r="AA1019" s="182">
        <v>0</v>
      </c>
      <c r="AB1019" s="185">
        <v>0</v>
      </c>
      <c r="AC1019" s="238">
        <f t="shared" si="531"/>
        <v>0</v>
      </c>
      <c r="AD1019" s="238"/>
      <c r="AE1019" s="238"/>
    </row>
    <row r="1020" spans="2:31" x14ac:dyDescent="0.3">
      <c r="B1020" s="245" t="s">
        <v>26</v>
      </c>
      <c r="C1020" s="245"/>
      <c r="D1020" s="245"/>
      <c r="E1020" s="182">
        <v>0</v>
      </c>
      <c r="F1020" s="185">
        <v>0</v>
      </c>
      <c r="G1020" s="182">
        <v>0</v>
      </c>
      <c r="H1020" s="185">
        <v>0</v>
      </c>
      <c r="I1020" s="182">
        <v>0</v>
      </c>
      <c r="J1020" s="185">
        <v>0</v>
      </c>
      <c r="K1020" s="182">
        <v>0</v>
      </c>
      <c r="L1020" s="185">
        <v>0</v>
      </c>
      <c r="M1020" s="182">
        <v>0</v>
      </c>
      <c r="N1020" s="185">
        <v>0</v>
      </c>
      <c r="O1020" s="182">
        <v>0</v>
      </c>
      <c r="P1020" s="185">
        <v>0</v>
      </c>
      <c r="Q1020" s="182">
        <v>0</v>
      </c>
      <c r="R1020" s="185">
        <v>0</v>
      </c>
      <c r="S1020" s="182">
        <v>0</v>
      </c>
      <c r="T1020" s="185">
        <v>0</v>
      </c>
      <c r="U1020" s="182">
        <v>0</v>
      </c>
      <c r="V1020" s="185">
        <v>0</v>
      </c>
      <c r="W1020" s="182">
        <v>0</v>
      </c>
      <c r="X1020" s="185">
        <v>0</v>
      </c>
      <c r="Y1020" s="182">
        <v>0</v>
      </c>
      <c r="Z1020" s="185">
        <v>0</v>
      </c>
      <c r="AA1020" s="182">
        <v>0</v>
      </c>
      <c r="AB1020" s="185">
        <v>0</v>
      </c>
      <c r="AC1020" s="238">
        <f t="shared" si="531"/>
        <v>0</v>
      </c>
      <c r="AD1020" s="238"/>
      <c r="AE1020" s="238"/>
    </row>
    <row r="1021" spans="2:31" x14ac:dyDescent="0.3">
      <c r="B1021" s="245" t="s">
        <v>27</v>
      </c>
      <c r="C1021" s="245"/>
      <c r="D1021" s="245"/>
      <c r="E1021" s="182">
        <v>0</v>
      </c>
      <c r="F1021" s="185">
        <v>0</v>
      </c>
      <c r="G1021" s="182">
        <v>0</v>
      </c>
      <c r="H1021" s="185">
        <v>0</v>
      </c>
      <c r="I1021" s="182">
        <v>0</v>
      </c>
      <c r="J1021" s="185">
        <v>0</v>
      </c>
      <c r="K1021" s="182">
        <v>0</v>
      </c>
      <c r="L1021" s="185">
        <v>0</v>
      </c>
      <c r="M1021" s="182">
        <v>0</v>
      </c>
      <c r="N1021" s="185">
        <v>0</v>
      </c>
      <c r="O1021" s="182">
        <v>0</v>
      </c>
      <c r="P1021" s="185">
        <v>0</v>
      </c>
      <c r="Q1021" s="182">
        <v>0</v>
      </c>
      <c r="R1021" s="185">
        <v>0</v>
      </c>
      <c r="S1021" s="182">
        <v>0</v>
      </c>
      <c r="T1021" s="185">
        <v>0</v>
      </c>
      <c r="U1021" s="182">
        <v>0</v>
      </c>
      <c r="V1021" s="185">
        <v>0</v>
      </c>
      <c r="W1021" s="182">
        <v>0</v>
      </c>
      <c r="X1021" s="185">
        <v>0</v>
      </c>
      <c r="Y1021" s="182">
        <v>0</v>
      </c>
      <c r="Z1021" s="185">
        <v>0</v>
      </c>
      <c r="AA1021" s="182">
        <v>0</v>
      </c>
      <c r="AB1021" s="185">
        <v>0</v>
      </c>
      <c r="AC1021" s="238">
        <f t="shared" si="531"/>
        <v>0</v>
      </c>
      <c r="AD1021" s="238"/>
      <c r="AE1021" s="238"/>
    </row>
    <row r="1022" spans="2:31" x14ac:dyDescent="0.3">
      <c r="B1022" s="245" t="s">
        <v>28</v>
      </c>
      <c r="C1022" s="245"/>
      <c r="D1022" s="245"/>
      <c r="E1022" s="182">
        <v>0</v>
      </c>
      <c r="F1022" s="185">
        <v>0</v>
      </c>
      <c r="G1022" s="182">
        <v>0</v>
      </c>
      <c r="H1022" s="185">
        <v>0</v>
      </c>
      <c r="I1022" s="182">
        <v>0</v>
      </c>
      <c r="J1022" s="185">
        <v>0</v>
      </c>
      <c r="K1022" s="182">
        <v>0</v>
      </c>
      <c r="L1022" s="185">
        <v>0</v>
      </c>
      <c r="M1022" s="182">
        <v>0</v>
      </c>
      <c r="N1022" s="185">
        <v>0</v>
      </c>
      <c r="O1022" s="182">
        <v>0</v>
      </c>
      <c r="P1022" s="185">
        <v>0</v>
      </c>
      <c r="Q1022" s="182">
        <v>0</v>
      </c>
      <c r="R1022" s="185">
        <v>0</v>
      </c>
      <c r="S1022" s="182">
        <v>0</v>
      </c>
      <c r="T1022" s="185">
        <v>0</v>
      </c>
      <c r="U1022" s="182">
        <v>0</v>
      </c>
      <c r="V1022" s="185">
        <v>0</v>
      </c>
      <c r="W1022" s="182">
        <v>0</v>
      </c>
      <c r="X1022" s="185">
        <v>0</v>
      </c>
      <c r="Y1022" s="182">
        <v>0</v>
      </c>
      <c r="Z1022" s="185">
        <v>0</v>
      </c>
      <c r="AA1022" s="182">
        <v>0</v>
      </c>
      <c r="AB1022" s="185">
        <v>0</v>
      </c>
      <c r="AC1022" s="238">
        <f t="shared" si="531"/>
        <v>0</v>
      </c>
      <c r="AD1022" s="238"/>
      <c r="AE1022" s="238"/>
    </row>
    <row r="1023" spans="2:31" x14ac:dyDescent="0.3">
      <c r="B1023" s="245" t="s">
        <v>92</v>
      </c>
      <c r="C1023" s="245"/>
      <c r="D1023" s="245"/>
      <c r="E1023" s="182">
        <v>0</v>
      </c>
      <c r="F1023" s="185">
        <v>0</v>
      </c>
      <c r="G1023" s="182">
        <v>0</v>
      </c>
      <c r="H1023" s="185">
        <v>0</v>
      </c>
      <c r="I1023" s="182">
        <v>0</v>
      </c>
      <c r="J1023" s="185">
        <v>0</v>
      </c>
      <c r="K1023" s="182">
        <v>0</v>
      </c>
      <c r="L1023" s="185">
        <v>0</v>
      </c>
      <c r="M1023" s="182">
        <v>0</v>
      </c>
      <c r="N1023" s="185">
        <v>0</v>
      </c>
      <c r="O1023" s="182">
        <v>0</v>
      </c>
      <c r="P1023" s="185">
        <v>0</v>
      </c>
      <c r="Q1023" s="182">
        <v>0</v>
      </c>
      <c r="R1023" s="185">
        <v>0</v>
      </c>
      <c r="S1023" s="182">
        <v>0</v>
      </c>
      <c r="T1023" s="185">
        <v>0</v>
      </c>
      <c r="U1023" s="182">
        <v>0</v>
      </c>
      <c r="V1023" s="185">
        <v>0</v>
      </c>
      <c r="W1023" s="182">
        <v>0</v>
      </c>
      <c r="X1023" s="185">
        <v>0</v>
      </c>
      <c r="Y1023" s="182">
        <v>0</v>
      </c>
      <c r="Z1023" s="185">
        <v>0</v>
      </c>
      <c r="AA1023" s="182">
        <v>0</v>
      </c>
      <c r="AB1023" s="185">
        <v>0</v>
      </c>
      <c r="AC1023" s="238">
        <f t="shared" si="531"/>
        <v>0</v>
      </c>
      <c r="AD1023" s="238"/>
      <c r="AE1023" s="238"/>
    </row>
    <row r="1024" spans="2:31" x14ac:dyDescent="0.3">
      <c r="B1024" s="245" t="s">
        <v>29</v>
      </c>
      <c r="C1024" s="245"/>
      <c r="D1024" s="245"/>
      <c r="E1024" s="182">
        <v>0</v>
      </c>
      <c r="F1024" s="185">
        <v>0</v>
      </c>
      <c r="G1024" s="182">
        <v>0</v>
      </c>
      <c r="H1024" s="185">
        <v>0</v>
      </c>
      <c r="I1024" s="182">
        <v>0</v>
      </c>
      <c r="J1024" s="185">
        <v>0</v>
      </c>
      <c r="K1024" s="182">
        <v>0</v>
      </c>
      <c r="L1024" s="185">
        <v>0</v>
      </c>
      <c r="M1024" s="182">
        <v>0</v>
      </c>
      <c r="N1024" s="185">
        <v>0</v>
      </c>
      <c r="O1024" s="182">
        <v>0</v>
      </c>
      <c r="P1024" s="185">
        <v>0</v>
      </c>
      <c r="Q1024" s="182">
        <v>0</v>
      </c>
      <c r="R1024" s="185">
        <v>0</v>
      </c>
      <c r="S1024" s="182">
        <v>0</v>
      </c>
      <c r="T1024" s="185">
        <v>0</v>
      </c>
      <c r="U1024" s="182">
        <v>0</v>
      </c>
      <c r="V1024" s="185">
        <v>0</v>
      </c>
      <c r="W1024" s="182">
        <v>0</v>
      </c>
      <c r="X1024" s="185">
        <v>0</v>
      </c>
      <c r="Y1024" s="182">
        <v>0</v>
      </c>
      <c r="Z1024" s="185">
        <v>0</v>
      </c>
      <c r="AA1024" s="182">
        <v>0</v>
      </c>
      <c r="AB1024" s="185">
        <v>0</v>
      </c>
      <c r="AC1024" s="238">
        <f t="shared" si="531"/>
        <v>0</v>
      </c>
      <c r="AD1024" s="238"/>
      <c r="AE1024" s="238"/>
    </row>
    <row r="1025" spans="2:31" x14ac:dyDescent="0.3">
      <c r="B1025" s="245" t="s">
        <v>30</v>
      </c>
      <c r="C1025" s="245"/>
      <c r="D1025" s="245"/>
      <c r="E1025" s="182">
        <v>0</v>
      </c>
      <c r="F1025" s="185">
        <v>0</v>
      </c>
      <c r="G1025" s="182">
        <v>0</v>
      </c>
      <c r="H1025" s="185">
        <v>0</v>
      </c>
      <c r="I1025" s="182">
        <v>0</v>
      </c>
      <c r="J1025" s="185">
        <v>0</v>
      </c>
      <c r="K1025" s="182">
        <v>0</v>
      </c>
      <c r="L1025" s="185">
        <v>0</v>
      </c>
      <c r="M1025" s="182">
        <v>0</v>
      </c>
      <c r="N1025" s="185">
        <v>0</v>
      </c>
      <c r="O1025" s="182">
        <v>0</v>
      </c>
      <c r="P1025" s="185">
        <v>0</v>
      </c>
      <c r="Q1025" s="182">
        <v>0</v>
      </c>
      <c r="R1025" s="185">
        <v>0</v>
      </c>
      <c r="S1025" s="182">
        <v>0</v>
      </c>
      <c r="T1025" s="185">
        <v>0</v>
      </c>
      <c r="U1025" s="182">
        <v>0</v>
      </c>
      <c r="V1025" s="185">
        <v>0</v>
      </c>
      <c r="W1025" s="182">
        <v>0</v>
      </c>
      <c r="X1025" s="185">
        <v>0</v>
      </c>
      <c r="Y1025" s="182">
        <v>0</v>
      </c>
      <c r="Z1025" s="185">
        <v>0</v>
      </c>
      <c r="AA1025" s="182">
        <v>0</v>
      </c>
      <c r="AB1025" s="185">
        <v>0</v>
      </c>
      <c r="AC1025" s="238">
        <f t="shared" si="531"/>
        <v>0</v>
      </c>
      <c r="AD1025" s="238"/>
      <c r="AE1025" s="238"/>
    </row>
    <row r="1026" spans="2:31" x14ac:dyDescent="0.3">
      <c r="B1026" s="245" t="s">
        <v>31</v>
      </c>
      <c r="C1026" s="245"/>
      <c r="D1026" s="245"/>
      <c r="E1026" s="182">
        <v>0</v>
      </c>
      <c r="F1026" s="185">
        <v>0</v>
      </c>
      <c r="G1026" s="182">
        <v>0</v>
      </c>
      <c r="H1026" s="185">
        <v>0</v>
      </c>
      <c r="I1026" s="182">
        <v>0</v>
      </c>
      <c r="J1026" s="185">
        <v>0</v>
      </c>
      <c r="K1026" s="182">
        <v>0</v>
      </c>
      <c r="L1026" s="185">
        <v>0</v>
      </c>
      <c r="M1026" s="182">
        <v>0</v>
      </c>
      <c r="N1026" s="185">
        <v>0</v>
      </c>
      <c r="O1026" s="182">
        <v>0</v>
      </c>
      <c r="P1026" s="185">
        <v>0</v>
      </c>
      <c r="Q1026" s="182">
        <v>0</v>
      </c>
      <c r="R1026" s="185">
        <v>0</v>
      </c>
      <c r="S1026" s="182">
        <v>0</v>
      </c>
      <c r="T1026" s="185">
        <v>0</v>
      </c>
      <c r="U1026" s="182">
        <v>0</v>
      </c>
      <c r="V1026" s="185">
        <v>0</v>
      </c>
      <c r="W1026" s="182">
        <v>0</v>
      </c>
      <c r="X1026" s="185">
        <v>0</v>
      </c>
      <c r="Y1026" s="182">
        <v>0</v>
      </c>
      <c r="Z1026" s="185">
        <v>0</v>
      </c>
      <c r="AA1026" s="182">
        <v>0</v>
      </c>
      <c r="AB1026" s="185">
        <v>0</v>
      </c>
      <c r="AC1026" s="238">
        <f t="shared" si="531"/>
        <v>0</v>
      </c>
      <c r="AD1026" s="238"/>
      <c r="AE1026" s="238"/>
    </row>
    <row r="1027" spans="2:31" x14ac:dyDescent="0.3">
      <c r="B1027" s="245" t="s">
        <v>32</v>
      </c>
      <c r="C1027" s="245"/>
      <c r="D1027" s="245"/>
      <c r="E1027" s="182">
        <v>0</v>
      </c>
      <c r="F1027" s="185">
        <v>0</v>
      </c>
      <c r="G1027" s="182">
        <v>0</v>
      </c>
      <c r="H1027" s="185">
        <v>0</v>
      </c>
      <c r="I1027" s="182">
        <v>0</v>
      </c>
      <c r="J1027" s="185">
        <v>0</v>
      </c>
      <c r="K1027" s="182">
        <v>0</v>
      </c>
      <c r="L1027" s="185">
        <v>0</v>
      </c>
      <c r="M1027" s="182">
        <v>0</v>
      </c>
      <c r="N1027" s="185">
        <v>0</v>
      </c>
      <c r="O1027" s="182">
        <v>0</v>
      </c>
      <c r="P1027" s="185">
        <v>0</v>
      </c>
      <c r="Q1027" s="182">
        <v>0</v>
      </c>
      <c r="R1027" s="185">
        <v>0</v>
      </c>
      <c r="S1027" s="182">
        <v>0</v>
      </c>
      <c r="T1027" s="185">
        <v>0</v>
      </c>
      <c r="U1027" s="182">
        <v>0</v>
      </c>
      <c r="V1027" s="185">
        <v>0</v>
      </c>
      <c r="W1027" s="182">
        <v>0</v>
      </c>
      <c r="X1027" s="185">
        <v>0</v>
      </c>
      <c r="Y1027" s="182">
        <v>0</v>
      </c>
      <c r="Z1027" s="185">
        <v>0</v>
      </c>
      <c r="AA1027" s="182">
        <v>0</v>
      </c>
      <c r="AB1027" s="185">
        <v>0</v>
      </c>
      <c r="AC1027" s="238">
        <f t="shared" si="531"/>
        <v>0</v>
      </c>
      <c r="AD1027" s="238"/>
      <c r="AE1027" s="238"/>
    </row>
    <row r="1028" spans="2:31" x14ac:dyDescent="0.3">
      <c r="B1028" s="245" t="s">
        <v>33</v>
      </c>
      <c r="C1028" s="245"/>
      <c r="D1028" s="245"/>
      <c r="E1028" s="182">
        <v>0</v>
      </c>
      <c r="F1028" s="185">
        <v>0</v>
      </c>
      <c r="G1028" s="182">
        <v>0</v>
      </c>
      <c r="H1028" s="185">
        <v>0</v>
      </c>
      <c r="I1028" s="182">
        <v>0</v>
      </c>
      <c r="J1028" s="185">
        <v>0</v>
      </c>
      <c r="K1028" s="182">
        <v>0</v>
      </c>
      <c r="L1028" s="185">
        <v>0</v>
      </c>
      <c r="M1028" s="182">
        <v>0</v>
      </c>
      <c r="N1028" s="185">
        <v>0</v>
      </c>
      <c r="O1028" s="182">
        <v>0</v>
      </c>
      <c r="P1028" s="185">
        <v>0</v>
      </c>
      <c r="Q1028" s="182">
        <v>0</v>
      </c>
      <c r="R1028" s="185">
        <v>0</v>
      </c>
      <c r="S1028" s="182">
        <v>0</v>
      </c>
      <c r="T1028" s="185">
        <v>0</v>
      </c>
      <c r="U1028" s="182">
        <v>0</v>
      </c>
      <c r="V1028" s="185">
        <v>0</v>
      </c>
      <c r="W1028" s="182">
        <v>0</v>
      </c>
      <c r="X1028" s="185">
        <v>0</v>
      </c>
      <c r="Y1028" s="182">
        <v>0</v>
      </c>
      <c r="Z1028" s="185">
        <v>0</v>
      </c>
      <c r="AA1028" s="182">
        <v>0</v>
      </c>
      <c r="AB1028" s="185">
        <v>0</v>
      </c>
      <c r="AC1028" s="238">
        <f t="shared" si="531"/>
        <v>0</v>
      </c>
      <c r="AD1028" s="238"/>
      <c r="AE1028" s="238"/>
    </row>
    <row r="1029" spans="2:31" x14ac:dyDescent="0.3">
      <c r="B1029" s="245" t="s">
        <v>34</v>
      </c>
      <c r="C1029" s="245"/>
      <c r="D1029" s="245"/>
      <c r="E1029" s="182">
        <v>0</v>
      </c>
      <c r="F1029" s="185">
        <v>0</v>
      </c>
      <c r="G1029" s="182">
        <v>0</v>
      </c>
      <c r="H1029" s="185">
        <v>0</v>
      </c>
      <c r="I1029" s="182">
        <v>0</v>
      </c>
      <c r="J1029" s="185">
        <v>0</v>
      </c>
      <c r="K1029" s="182">
        <v>0</v>
      </c>
      <c r="L1029" s="185">
        <v>0</v>
      </c>
      <c r="M1029" s="182">
        <v>0</v>
      </c>
      <c r="N1029" s="185">
        <v>0</v>
      </c>
      <c r="O1029" s="182">
        <v>0</v>
      </c>
      <c r="P1029" s="185">
        <v>0</v>
      </c>
      <c r="Q1029" s="182">
        <v>0</v>
      </c>
      <c r="R1029" s="185">
        <v>0</v>
      </c>
      <c r="S1029" s="182">
        <v>0</v>
      </c>
      <c r="T1029" s="185">
        <v>0</v>
      </c>
      <c r="U1029" s="182">
        <v>0</v>
      </c>
      <c r="V1029" s="185">
        <v>0</v>
      </c>
      <c r="W1029" s="182">
        <v>0</v>
      </c>
      <c r="X1029" s="185">
        <v>0</v>
      </c>
      <c r="Y1029" s="182">
        <v>0</v>
      </c>
      <c r="Z1029" s="185">
        <v>0</v>
      </c>
      <c r="AA1029" s="182">
        <v>0</v>
      </c>
      <c r="AB1029" s="185">
        <v>0</v>
      </c>
      <c r="AC1029" s="238">
        <f t="shared" si="531"/>
        <v>0</v>
      </c>
      <c r="AD1029" s="238"/>
      <c r="AE1029" s="238"/>
    </row>
    <row r="1030" spans="2:31" x14ac:dyDescent="0.3">
      <c r="B1030" s="245" t="s">
        <v>35</v>
      </c>
      <c r="C1030" s="245"/>
      <c r="D1030" s="245"/>
      <c r="E1030" s="182">
        <v>0</v>
      </c>
      <c r="F1030" s="185">
        <v>0</v>
      </c>
      <c r="G1030" s="182">
        <v>0</v>
      </c>
      <c r="H1030" s="185">
        <v>0</v>
      </c>
      <c r="I1030" s="182">
        <v>0</v>
      </c>
      <c r="J1030" s="185">
        <v>0</v>
      </c>
      <c r="K1030" s="182">
        <v>0</v>
      </c>
      <c r="L1030" s="185">
        <v>0</v>
      </c>
      <c r="M1030" s="182">
        <v>0</v>
      </c>
      <c r="N1030" s="185">
        <v>0</v>
      </c>
      <c r="O1030" s="182">
        <v>0</v>
      </c>
      <c r="P1030" s="185">
        <v>0</v>
      </c>
      <c r="Q1030" s="182">
        <v>0</v>
      </c>
      <c r="R1030" s="185">
        <v>0</v>
      </c>
      <c r="S1030" s="182">
        <v>0</v>
      </c>
      <c r="T1030" s="185">
        <v>0</v>
      </c>
      <c r="U1030" s="182">
        <v>0</v>
      </c>
      <c r="V1030" s="185">
        <v>0</v>
      </c>
      <c r="W1030" s="182">
        <v>0</v>
      </c>
      <c r="X1030" s="185">
        <v>0</v>
      </c>
      <c r="Y1030" s="182">
        <v>0</v>
      </c>
      <c r="Z1030" s="185">
        <v>0</v>
      </c>
      <c r="AA1030" s="182">
        <v>0</v>
      </c>
      <c r="AB1030" s="185">
        <v>0</v>
      </c>
      <c r="AC1030" s="238">
        <f t="shared" si="531"/>
        <v>0</v>
      </c>
      <c r="AD1030" s="238"/>
      <c r="AE1030" s="238"/>
    </row>
    <row r="1031" spans="2:31" x14ac:dyDescent="0.3">
      <c r="B1031" s="245" t="s">
        <v>36</v>
      </c>
      <c r="C1031" s="245"/>
      <c r="D1031" s="245"/>
      <c r="E1031" s="182">
        <v>0</v>
      </c>
      <c r="F1031" s="185">
        <v>0</v>
      </c>
      <c r="G1031" s="182">
        <v>0</v>
      </c>
      <c r="H1031" s="185">
        <v>0</v>
      </c>
      <c r="I1031" s="182">
        <v>0</v>
      </c>
      <c r="J1031" s="185">
        <v>0</v>
      </c>
      <c r="K1031" s="182">
        <v>0</v>
      </c>
      <c r="L1031" s="185">
        <v>0</v>
      </c>
      <c r="M1031" s="182">
        <v>0</v>
      </c>
      <c r="N1031" s="185">
        <v>0</v>
      </c>
      <c r="O1031" s="182">
        <v>0</v>
      </c>
      <c r="P1031" s="185">
        <v>0</v>
      </c>
      <c r="Q1031" s="182">
        <v>0</v>
      </c>
      <c r="R1031" s="185">
        <v>0</v>
      </c>
      <c r="S1031" s="182">
        <v>0</v>
      </c>
      <c r="T1031" s="185">
        <v>0</v>
      </c>
      <c r="U1031" s="182">
        <v>0</v>
      </c>
      <c r="V1031" s="185">
        <v>0</v>
      </c>
      <c r="W1031" s="182">
        <v>0</v>
      </c>
      <c r="X1031" s="185">
        <v>0</v>
      </c>
      <c r="Y1031" s="182">
        <v>0</v>
      </c>
      <c r="Z1031" s="185">
        <v>0</v>
      </c>
      <c r="AA1031" s="182">
        <v>0</v>
      </c>
      <c r="AB1031" s="185">
        <v>0</v>
      </c>
      <c r="AC1031" s="238">
        <f t="shared" si="531"/>
        <v>0</v>
      </c>
      <c r="AD1031" s="238"/>
      <c r="AE1031" s="238"/>
    </row>
    <row r="1032" spans="2:31" x14ac:dyDescent="0.3">
      <c r="B1032" s="13" t="s">
        <v>89</v>
      </c>
      <c r="C1032" s="13"/>
      <c r="D1032" s="13"/>
      <c r="E1032" s="182">
        <v>0</v>
      </c>
      <c r="F1032" s="185">
        <v>0</v>
      </c>
      <c r="G1032" s="182">
        <v>0</v>
      </c>
      <c r="H1032" s="185">
        <v>0</v>
      </c>
      <c r="I1032" s="182">
        <v>0</v>
      </c>
      <c r="J1032" s="185">
        <v>0</v>
      </c>
      <c r="K1032" s="182">
        <v>0</v>
      </c>
      <c r="L1032" s="185">
        <v>0</v>
      </c>
      <c r="M1032" s="182">
        <v>0</v>
      </c>
      <c r="N1032" s="185">
        <v>0</v>
      </c>
      <c r="O1032" s="182">
        <v>0</v>
      </c>
      <c r="P1032" s="185">
        <v>0</v>
      </c>
      <c r="Q1032" s="182">
        <v>0</v>
      </c>
      <c r="R1032" s="185">
        <v>0</v>
      </c>
      <c r="S1032" s="182">
        <v>0</v>
      </c>
      <c r="T1032" s="185">
        <v>0</v>
      </c>
      <c r="U1032" s="182">
        <v>0</v>
      </c>
      <c r="V1032" s="185">
        <v>0</v>
      </c>
      <c r="W1032" s="182">
        <v>0</v>
      </c>
      <c r="X1032" s="185">
        <v>0</v>
      </c>
      <c r="Y1032" s="182">
        <v>0</v>
      </c>
      <c r="Z1032" s="185">
        <v>0</v>
      </c>
      <c r="AA1032" s="182">
        <v>0</v>
      </c>
      <c r="AB1032" s="185">
        <v>0</v>
      </c>
      <c r="AC1032" s="238">
        <f t="shared" si="531"/>
        <v>0</v>
      </c>
      <c r="AD1032" s="238"/>
      <c r="AE1032" s="238"/>
    </row>
    <row r="1033" spans="2:31" x14ac:dyDescent="0.3">
      <c r="B1033" s="13" t="s">
        <v>90</v>
      </c>
      <c r="C1033" s="13"/>
      <c r="D1033" s="13"/>
      <c r="E1033" s="182">
        <v>0</v>
      </c>
      <c r="F1033" s="185">
        <v>0</v>
      </c>
      <c r="G1033" s="182">
        <v>0</v>
      </c>
      <c r="H1033" s="185">
        <v>0</v>
      </c>
      <c r="I1033" s="182">
        <v>0</v>
      </c>
      <c r="J1033" s="185">
        <v>0</v>
      </c>
      <c r="K1033" s="182">
        <v>0</v>
      </c>
      <c r="L1033" s="185">
        <v>0</v>
      </c>
      <c r="M1033" s="182">
        <v>0</v>
      </c>
      <c r="N1033" s="185">
        <v>0</v>
      </c>
      <c r="O1033" s="182">
        <v>0</v>
      </c>
      <c r="P1033" s="185">
        <v>0</v>
      </c>
      <c r="Q1033" s="182">
        <v>0</v>
      </c>
      <c r="R1033" s="185">
        <v>0</v>
      </c>
      <c r="S1033" s="182">
        <v>0</v>
      </c>
      <c r="T1033" s="185">
        <v>0</v>
      </c>
      <c r="U1033" s="182">
        <v>0</v>
      </c>
      <c r="V1033" s="185">
        <v>0</v>
      </c>
      <c r="W1033" s="182">
        <v>0</v>
      </c>
      <c r="X1033" s="185">
        <v>0</v>
      </c>
      <c r="Y1033" s="182">
        <v>0</v>
      </c>
      <c r="Z1033" s="185">
        <v>0</v>
      </c>
      <c r="AA1033" s="182">
        <v>0</v>
      </c>
      <c r="AB1033" s="185">
        <v>0</v>
      </c>
      <c r="AC1033" s="238">
        <f t="shared" si="531"/>
        <v>0</v>
      </c>
      <c r="AD1033" s="238"/>
      <c r="AE1033" s="238"/>
    </row>
    <row r="1034" spans="2:31" x14ac:dyDescent="0.3">
      <c r="B1034" s="14" t="s">
        <v>2</v>
      </c>
      <c r="C1034" s="14"/>
      <c r="D1034" s="14"/>
      <c r="E1034" s="15">
        <f>SUM(E997:E1033)</f>
        <v>0</v>
      </c>
      <c r="F1034" s="15">
        <f t="shared" ref="F1034" si="532">SUM(F997:F1033)</f>
        <v>0</v>
      </c>
      <c r="G1034" s="15">
        <f t="shared" ref="G1034" si="533">SUM(G997:G1033)</f>
        <v>0</v>
      </c>
      <c r="H1034" s="15">
        <f t="shared" ref="H1034" si="534">SUM(H997:H1033)</f>
        <v>0</v>
      </c>
      <c r="I1034" s="15">
        <f t="shared" ref="I1034" si="535">SUM(I997:I1033)</f>
        <v>0</v>
      </c>
      <c r="J1034" s="15">
        <f t="shared" ref="J1034" si="536">SUM(J997:J1033)</f>
        <v>0</v>
      </c>
      <c r="K1034" s="15">
        <f t="shared" ref="K1034" si="537">SUM(K997:K1033)</f>
        <v>0</v>
      </c>
      <c r="L1034" s="15">
        <f t="shared" ref="L1034" si="538">SUM(L997:L1033)</f>
        <v>0</v>
      </c>
      <c r="M1034" s="15">
        <f t="shared" ref="M1034" si="539">SUM(M997:M1033)</f>
        <v>0</v>
      </c>
      <c r="N1034" s="15">
        <f t="shared" ref="N1034" si="540">SUM(N997:N1033)</f>
        <v>0</v>
      </c>
      <c r="O1034" s="15">
        <f t="shared" ref="O1034" si="541">SUM(O997:O1033)</f>
        <v>0</v>
      </c>
      <c r="P1034" s="15">
        <f t="shared" ref="P1034" si="542">SUM(P997:P1033)</f>
        <v>0</v>
      </c>
      <c r="Q1034" s="15">
        <f t="shared" ref="Q1034" si="543">SUM(Q997:Q1033)</f>
        <v>1.7845</v>
      </c>
      <c r="R1034" s="15">
        <f t="shared" ref="R1034" si="544">SUM(R997:R1033)</f>
        <v>0</v>
      </c>
      <c r="S1034" s="15">
        <f t="shared" ref="S1034" si="545">SUM(S997:S1033)</f>
        <v>31.986666666666661</v>
      </c>
      <c r="T1034" s="15">
        <f t="shared" ref="T1034" si="546">SUM(T997:T1033)</f>
        <v>10.594500000000004</v>
      </c>
      <c r="U1034" s="15">
        <f t="shared" ref="U1034" si="547">SUM(U997:U1033)</f>
        <v>0</v>
      </c>
      <c r="V1034" s="15">
        <f t="shared" ref="V1034" si="548">SUM(V997:V1033)</f>
        <v>12.775166666666665</v>
      </c>
      <c r="W1034" s="15">
        <f t="shared" ref="W1034" si="549">SUM(W997:W1033)</f>
        <v>19.653666666666666</v>
      </c>
      <c r="X1034" s="15">
        <f t="shared" ref="X1034" si="550">SUM(X997:X1033)</f>
        <v>10.084166666666667</v>
      </c>
      <c r="Y1034" s="15">
        <f t="shared" ref="Y1034" si="551">SUM(Y997:Y1033)</f>
        <v>0</v>
      </c>
      <c r="Z1034" s="15">
        <f t="shared" ref="Z1034" si="552">SUM(Z997:Z1033)</f>
        <v>0</v>
      </c>
      <c r="AA1034" s="15">
        <f t="shared" ref="AA1034" si="553">SUM(AA997:AA1033)</f>
        <v>0</v>
      </c>
      <c r="AB1034" s="15">
        <f t="shared" ref="AB1034" si="554">SUM(AB997:AB1033)</f>
        <v>0</v>
      </c>
      <c r="AC1034" s="249">
        <f>SUM(AC997:AE1033)</f>
        <v>86.878666666666675</v>
      </c>
      <c r="AD1034" s="249"/>
      <c r="AE1034" s="249"/>
    </row>
    <row r="1037" spans="2:31" x14ac:dyDescent="0.3">
      <c r="B1037" s="8">
        <f>'Resumen-Mensual'!$AC$22</f>
        <v>44586</v>
      </c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4"/>
      <c r="AD1037" s="4"/>
      <c r="AE1037" s="4"/>
    </row>
    <row r="1038" spans="2:31" x14ac:dyDescent="0.3">
      <c r="B1038" s="8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4"/>
      <c r="AD1038" s="4"/>
      <c r="AE1038" s="4"/>
    </row>
    <row r="1039" spans="2:31" x14ac:dyDescent="0.3">
      <c r="B1039" s="9" t="s">
        <v>81</v>
      </c>
      <c r="C1039" s="10"/>
      <c r="D1039" s="10"/>
      <c r="E1039" s="11">
        <v>1</v>
      </c>
      <c r="F1039" s="11">
        <v>2</v>
      </c>
      <c r="G1039" s="11">
        <v>3</v>
      </c>
      <c r="H1039" s="11">
        <v>4</v>
      </c>
      <c r="I1039" s="11">
        <v>5</v>
      </c>
      <c r="J1039" s="11">
        <v>6</v>
      </c>
      <c r="K1039" s="11">
        <v>7</v>
      </c>
      <c r="L1039" s="11">
        <v>8</v>
      </c>
      <c r="M1039" s="11">
        <v>9</v>
      </c>
      <c r="N1039" s="11">
        <v>10</v>
      </c>
      <c r="O1039" s="11">
        <v>11</v>
      </c>
      <c r="P1039" s="11">
        <v>12</v>
      </c>
      <c r="Q1039" s="11">
        <v>13</v>
      </c>
      <c r="R1039" s="11">
        <v>14</v>
      </c>
      <c r="S1039" s="11">
        <v>15</v>
      </c>
      <c r="T1039" s="11">
        <v>16</v>
      </c>
      <c r="U1039" s="11">
        <v>17</v>
      </c>
      <c r="V1039" s="11">
        <v>18</v>
      </c>
      <c r="W1039" s="11">
        <v>19</v>
      </c>
      <c r="X1039" s="11">
        <v>20</v>
      </c>
      <c r="Y1039" s="11">
        <v>21</v>
      </c>
      <c r="Z1039" s="11">
        <v>22</v>
      </c>
      <c r="AA1039" s="11">
        <v>23</v>
      </c>
      <c r="AB1039" s="11">
        <v>24</v>
      </c>
      <c r="AC1039" s="248" t="s">
        <v>2</v>
      </c>
      <c r="AD1039" s="248"/>
      <c r="AE1039" s="248"/>
    </row>
    <row r="1040" spans="2:31" x14ac:dyDescent="0.3">
      <c r="B1040" s="245" t="s">
        <v>4</v>
      </c>
      <c r="C1040" s="245"/>
      <c r="D1040" s="245"/>
      <c r="E1040" s="190">
        <v>0</v>
      </c>
      <c r="F1040" s="191">
        <v>0</v>
      </c>
      <c r="G1040" s="190">
        <v>0</v>
      </c>
      <c r="H1040" s="191">
        <v>0</v>
      </c>
      <c r="I1040" s="190">
        <v>0</v>
      </c>
      <c r="J1040" s="191">
        <v>0</v>
      </c>
      <c r="K1040" s="190">
        <v>0</v>
      </c>
      <c r="L1040" s="191">
        <v>0</v>
      </c>
      <c r="M1040" s="190">
        <v>0</v>
      </c>
      <c r="N1040" s="191">
        <v>0</v>
      </c>
      <c r="O1040" s="190">
        <v>0</v>
      </c>
      <c r="P1040" s="191">
        <v>0</v>
      </c>
      <c r="Q1040" s="190">
        <v>0</v>
      </c>
      <c r="R1040" s="191">
        <v>0</v>
      </c>
      <c r="S1040" s="190">
        <v>0</v>
      </c>
      <c r="T1040" s="191">
        <v>0</v>
      </c>
      <c r="U1040" s="190">
        <v>0</v>
      </c>
      <c r="V1040" s="191">
        <v>0</v>
      </c>
      <c r="W1040" s="190">
        <v>0</v>
      </c>
      <c r="X1040" s="191">
        <v>0</v>
      </c>
      <c r="Y1040" s="190">
        <v>0</v>
      </c>
      <c r="Z1040" s="191">
        <v>0</v>
      </c>
      <c r="AA1040" s="190">
        <v>0</v>
      </c>
      <c r="AB1040" s="191">
        <v>0</v>
      </c>
      <c r="AC1040" s="238">
        <f>SUM(E1040:AB1040)</f>
        <v>0</v>
      </c>
      <c r="AD1040" s="238"/>
      <c r="AE1040" s="238"/>
    </row>
    <row r="1041" spans="2:31" x14ac:dyDescent="0.3">
      <c r="B1041" s="245" t="s">
        <v>5</v>
      </c>
      <c r="C1041" s="245"/>
      <c r="D1041" s="245"/>
      <c r="E1041" s="189">
        <v>0</v>
      </c>
      <c r="F1041" s="192">
        <v>0</v>
      </c>
      <c r="G1041" s="189">
        <v>0</v>
      </c>
      <c r="H1041" s="192">
        <v>0</v>
      </c>
      <c r="I1041" s="189">
        <v>0</v>
      </c>
      <c r="J1041" s="192">
        <v>0</v>
      </c>
      <c r="K1041" s="189">
        <v>0</v>
      </c>
      <c r="L1041" s="192">
        <v>0</v>
      </c>
      <c r="M1041" s="189">
        <v>0</v>
      </c>
      <c r="N1041" s="192">
        <v>0</v>
      </c>
      <c r="O1041" s="189">
        <v>0</v>
      </c>
      <c r="P1041" s="192">
        <v>0</v>
      </c>
      <c r="Q1041" s="189">
        <v>0</v>
      </c>
      <c r="R1041" s="192">
        <v>0</v>
      </c>
      <c r="S1041" s="189">
        <v>0</v>
      </c>
      <c r="T1041" s="192">
        <v>0</v>
      </c>
      <c r="U1041" s="189">
        <v>0</v>
      </c>
      <c r="V1041" s="192">
        <v>0</v>
      </c>
      <c r="W1041" s="189">
        <v>0</v>
      </c>
      <c r="X1041" s="192">
        <v>0</v>
      </c>
      <c r="Y1041" s="189">
        <v>0</v>
      </c>
      <c r="Z1041" s="192">
        <v>0</v>
      </c>
      <c r="AA1041" s="189">
        <v>0</v>
      </c>
      <c r="AB1041" s="192">
        <v>0</v>
      </c>
      <c r="AC1041" s="238">
        <f t="shared" ref="AC1041:AC1076" si="555">SUM(E1041:AB1041)</f>
        <v>0</v>
      </c>
      <c r="AD1041" s="238"/>
      <c r="AE1041" s="238"/>
    </row>
    <row r="1042" spans="2:31" x14ac:dyDescent="0.3">
      <c r="B1042" s="245" t="s">
        <v>6</v>
      </c>
      <c r="C1042" s="245"/>
      <c r="D1042" s="245"/>
      <c r="E1042" s="189">
        <v>0</v>
      </c>
      <c r="F1042" s="192">
        <v>0</v>
      </c>
      <c r="G1042" s="189">
        <v>0</v>
      </c>
      <c r="H1042" s="192">
        <v>0</v>
      </c>
      <c r="I1042" s="189">
        <v>0</v>
      </c>
      <c r="J1042" s="192">
        <v>0</v>
      </c>
      <c r="K1042" s="189">
        <v>0</v>
      </c>
      <c r="L1042" s="192">
        <v>0</v>
      </c>
      <c r="M1042" s="189">
        <v>0</v>
      </c>
      <c r="N1042" s="192">
        <v>0</v>
      </c>
      <c r="O1042" s="189">
        <v>0</v>
      </c>
      <c r="P1042" s="192">
        <v>0</v>
      </c>
      <c r="Q1042" s="189">
        <v>0</v>
      </c>
      <c r="R1042" s="192">
        <v>8.4319999999999986</v>
      </c>
      <c r="S1042" s="189">
        <v>7.8998333333333326</v>
      </c>
      <c r="T1042" s="192">
        <v>11.728999999999996</v>
      </c>
      <c r="U1042" s="189">
        <v>0</v>
      </c>
      <c r="V1042" s="192">
        <v>15.944666666666659</v>
      </c>
      <c r="W1042" s="189">
        <v>17.922333333333334</v>
      </c>
      <c r="X1042" s="192">
        <v>7.4650000000000007</v>
      </c>
      <c r="Y1042" s="189">
        <v>0</v>
      </c>
      <c r="Z1042" s="192">
        <v>0</v>
      </c>
      <c r="AA1042" s="189">
        <v>0</v>
      </c>
      <c r="AB1042" s="192">
        <v>0</v>
      </c>
      <c r="AC1042" s="238">
        <f t="shared" si="555"/>
        <v>69.392833333333314</v>
      </c>
      <c r="AD1042" s="238"/>
      <c r="AE1042" s="238"/>
    </row>
    <row r="1043" spans="2:31" x14ac:dyDescent="0.3">
      <c r="B1043" s="245" t="s">
        <v>91</v>
      </c>
      <c r="C1043" s="245"/>
      <c r="D1043" s="245"/>
      <c r="E1043" s="189">
        <v>0</v>
      </c>
      <c r="F1043" s="192">
        <v>0</v>
      </c>
      <c r="G1043" s="189">
        <v>0</v>
      </c>
      <c r="H1043" s="192">
        <v>0</v>
      </c>
      <c r="I1043" s="189">
        <v>0</v>
      </c>
      <c r="J1043" s="192">
        <v>0</v>
      </c>
      <c r="K1043" s="189">
        <v>0</v>
      </c>
      <c r="L1043" s="192">
        <v>0</v>
      </c>
      <c r="M1043" s="189">
        <v>0</v>
      </c>
      <c r="N1043" s="192">
        <v>0</v>
      </c>
      <c r="O1043" s="189">
        <v>0</v>
      </c>
      <c r="P1043" s="192">
        <v>0</v>
      </c>
      <c r="Q1043" s="189">
        <v>0</v>
      </c>
      <c r="R1043" s="192">
        <v>0</v>
      </c>
      <c r="S1043" s="189">
        <v>0</v>
      </c>
      <c r="T1043" s="192">
        <v>0</v>
      </c>
      <c r="U1043" s="189">
        <v>0</v>
      </c>
      <c r="V1043" s="192">
        <v>0</v>
      </c>
      <c r="W1043" s="189">
        <v>0</v>
      </c>
      <c r="X1043" s="192">
        <v>0</v>
      </c>
      <c r="Y1043" s="189">
        <v>0</v>
      </c>
      <c r="Z1043" s="192">
        <v>0</v>
      </c>
      <c r="AA1043" s="189">
        <v>0</v>
      </c>
      <c r="AB1043" s="192">
        <v>0</v>
      </c>
      <c r="AC1043" s="238">
        <f t="shared" si="555"/>
        <v>0</v>
      </c>
      <c r="AD1043" s="238"/>
      <c r="AE1043" s="238"/>
    </row>
    <row r="1044" spans="2:31" x14ac:dyDescent="0.3">
      <c r="B1044" s="245" t="s">
        <v>7</v>
      </c>
      <c r="C1044" s="245"/>
      <c r="D1044" s="245"/>
      <c r="E1044" s="189">
        <v>0</v>
      </c>
      <c r="F1044" s="192">
        <v>0</v>
      </c>
      <c r="G1044" s="189">
        <v>0</v>
      </c>
      <c r="H1044" s="192">
        <v>0</v>
      </c>
      <c r="I1044" s="189">
        <v>0</v>
      </c>
      <c r="J1044" s="192">
        <v>0</v>
      </c>
      <c r="K1044" s="189">
        <v>0</v>
      </c>
      <c r="L1044" s="192">
        <v>0</v>
      </c>
      <c r="M1044" s="189">
        <v>0</v>
      </c>
      <c r="N1044" s="192">
        <v>0</v>
      </c>
      <c r="O1044" s="189">
        <v>0</v>
      </c>
      <c r="P1044" s="192">
        <v>0</v>
      </c>
      <c r="Q1044" s="189">
        <v>10.281333333333331</v>
      </c>
      <c r="R1044" s="192">
        <v>8.0153333333333343</v>
      </c>
      <c r="S1044" s="189">
        <v>0</v>
      </c>
      <c r="T1044" s="192">
        <v>0</v>
      </c>
      <c r="U1044" s="189">
        <v>0</v>
      </c>
      <c r="V1044" s="192">
        <v>0.37133333333333929</v>
      </c>
      <c r="W1044" s="189">
        <v>0</v>
      </c>
      <c r="X1044" s="192">
        <v>0</v>
      </c>
      <c r="Y1044" s="189">
        <v>0</v>
      </c>
      <c r="Z1044" s="192">
        <v>0</v>
      </c>
      <c r="AA1044" s="189">
        <v>0</v>
      </c>
      <c r="AB1044" s="192">
        <v>0</v>
      </c>
      <c r="AC1044" s="238">
        <f t="shared" si="555"/>
        <v>18.668000000000006</v>
      </c>
      <c r="AD1044" s="238"/>
      <c r="AE1044" s="238"/>
    </row>
    <row r="1045" spans="2:31" x14ac:dyDescent="0.3">
      <c r="B1045" s="245" t="s">
        <v>8</v>
      </c>
      <c r="C1045" s="245"/>
      <c r="D1045" s="245"/>
      <c r="E1045" s="189">
        <v>0</v>
      </c>
      <c r="F1045" s="192">
        <v>0</v>
      </c>
      <c r="G1045" s="189">
        <v>0</v>
      </c>
      <c r="H1045" s="192">
        <v>0</v>
      </c>
      <c r="I1045" s="189">
        <v>0</v>
      </c>
      <c r="J1045" s="192">
        <v>0</v>
      </c>
      <c r="K1045" s="189">
        <v>0</v>
      </c>
      <c r="L1045" s="192">
        <v>0</v>
      </c>
      <c r="M1045" s="189">
        <v>0</v>
      </c>
      <c r="N1045" s="192">
        <v>0</v>
      </c>
      <c r="O1045" s="189">
        <v>0</v>
      </c>
      <c r="P1045" s="192">
        <v>0</v>
      </c>
      <c r="Q1045" s="189">
        <v>0</v>
      </c>
      <c r="R1045" s="192">
        <v>0</v>
      </c>
      <c r="S1045" s="189">
        <v>5.3833333333333164E-2</v>
      </c>
      <c r="T1045" s="192">
        <v>2.2281666666666697</v>
      </c>
      <c r="U1045" s="189">
        <v>4.2581666666666687</v>
      </c>
      <c r="V1045" s="192">
        <v>8.4751666666666647</v>
      </c>
      <c r="W1045" s="189">
        <v>1.0806666666666664</v>
      </c>
      <c r="X1045" s="192">
        <v>0</v>
      </c>
      <c r="Y1045" s="189">
        <v>0</v>
      </c>
      <c r="Z1045" s="192">
        <v>0</v>
      </c>
      <c r="AA1045" s="189">
        <v>0</v>
      </c>
      <c r="AB1045" s="192">
        <v>0</v>
      </c>
      <c r="AC1045" s="238">
        <f t="shared" si="555"/>
        <v>16.096000000000004</v>
      </c>
      <c r="AD1045" s="238"/>
      <c r="AE1045" s="238"/>
    </row>
    <row r="1046" spans="2:31" x14ac:dyDescent="0.3">
      <c r="B1046" s="245" t="s">
        <v>9</v>
      </c>
      <c r="C1046" s="245"/>
      <c r="D1046" s="245"/>
      <c r="E1046" s="189">
        <v>0</v>
      </c>
      <c r="F1046" s="192">
        <v>0</v>
      </c>
      <c r="G1046" s="189">
        <v>0</v>
      </c>
      <c r="H1046" s="192">
        <v>0</v>
      </c>
      <c r="I1046" s="189">
        <v>0</v>
      </c>
      <c r="J1046" s="192">
        <v>0</v>
      </c>
      <c r="K1046" s="189">
        <v>0</v>
      </c>
      <c r="L1046" s="192">
        <v>0</v>
      </c>
      <c r="M1046" s="189">
        <v>0</v>
      </c>
      <c r="N1046" s="192">
        <v>0</v>
      </c>
      <c r="O1046" s="189">
        <v>0</v>
      </c>
      <c r="P1046" s="192">
        <v>0</v>
      </c>
      <c r="Q1046" s="189">
        <v>0</v>
      </c>
      <c r="R1046" s="192">
        <v>0</v>
      </c>
      <c r="S1046" s="189">
        <v>0</v>
      </c>
      <c r="T1046" s="192">
        <v>0</v>
      </c>
      <c r="U1046" s="189">
        <v>0</v>
      </c>
      <c r="V1046" s="192">
        <v>0</v>
      </c>
      <c r="W1046" s="189">
        <v>0</v>
      </c>
      <c r="X1046" s="192">
        <v>0</v>
      </c>
      <c r="Y1046" s="189">
        <v>0</v>
      </c>
      <c r="Z1046" s="192">
        <v>0</v>
      </c>
      <c r="AA1046" s="189">
        <v>0</v>
      </c>
      <c r="AB1046" s="192">
        <v>0</v>
      </c>
      <c r="AC1046" s="238">
        <f t="shared" si="555"/>
        <v>0</v>
      </c>
      <c r="AD1046" s="238"/>
      <c r="AE1046" s="238"/>
    </row>
    <row r="1047" spans="2:31" x14ac:dyDescent="0.3">
      <c r="B1047" s="245" t="s">
        <v>10</v>
      </c>
      <c r="C1047" s="245"/>
      <c r="D1047" s="245"/>
      <c r="E1047" s="189">
        <v>0</v>
      </c>
      <c r="F1047" s="192">
        <v>0</v>
      </c>
      <c r="G1047" s="189">
        <v>0</v>
      </c>
      <c r="H1047" s="192">
        <v>0</v>
      </c>
      <c r="I1047" s="189">
        <v>0</v>
      </c>
      <c r="J1047" s="192">
        <v>0</v>
      </c>
      <c r="K1047" s="189">
        <v>0</v>
      </c>
      <c r="L1047" s="192">
        <v>0</v>
      </c>
      <c r="M1047" s="189">
        <v>0</v>
      </c>
      <c r="N1047" s="192">
        <v>0</v>
      </c>
      <c r="O1047" s="189">
        <v>0</v>
      </c>
      <c r="P1047" s="192">
        <v>0</v>
      </c>
      <c r="Q1047" s="189">
        <v>0</v>
      </c>
      <c r="R1047" s="192">
        <v>0</v>
      </c>
      <c r="S1047" s="189">
        <v>0</v>
      </c>
      <c r="T1047" s="192">
        <v>0</v>
      </c>
      <c r="U1047" s="189">
        <v>0</v>
      </c>
      <c r="V1047" s="192">
        <v>0</v>
      </c>
      <c r="W1047" s="189">
        <v>0</v>
      </c>
      <c r="X1047" s="192">
        <v>0</v>
      </c>
      <c r="Y1047" s="189">
        <v>0</v>
      </c>
      <c r="Z1047" s="192">
        <v>0</v>
      </c>
      <c r="AA1047" s="189">
        <v>0</v>
      </c>
      <c r="AB1047" s="192">
        <v>0</v>
      </c>
      <c r="AC1047" s="238">
        <f t="shared" si="555"/>
        <v>0</v>
      </c>
      <c r="AD1047" s="238"/>
      <c r="AE1047" s="238"/>
    </row>
    <row r="1048" spans="2:31" x14ac:dyDescent="0.3">
      <c r="B1048" s="245" t="s">
        <v>11</v>
      </c>
      <c r="C1048" s="245"/>
      <c r="D1048" s="245"/>
      <c r="E1048" s="189">
        <v>0</v>
      </c>
      <c r="F1048" s="192">
        <v>0</v>
      </c>
      <c r="G1048" s="189">
        <v>0</v>
      </c>
      <c r="H1048" s="192">
        <v>0</v>
      </c>
      <c r="I1048" s="189">
        <v>0</v>
      </c>
      <c r="J1048" s="192">
        <v>0</v>
      </c>
      <c r="K1048" s="189">
        <v>0</v>
      </c>
      <c r="L1048" s="192">
        <v>0</v>
      </c>
      <c r="M1048" s="189">
        <v>0</v>
      </c>
      <c r="N1048" s="192">
        <v>0</v>
      </c>
      <c r="O1048" s="189">
        <v>0</v>
      </c>
      <c r="P1048" s="192">
        <v>0</v>
      </c>
      <c r="Q1048" s="189">
        <v>0</v>
      </c>
      <c r="R1048" s="192">
        <v>0</v>
      </c>
      <c r="S1048" s="189">
        <v>0</v>
      </c>
      <c r="T1048" s="192">
        <v>0</v>
      </c>
      <c r="U1048" s="189">
        <v>0</v>
      </c>
      <c r="V1048" s="192">
        <v>0</v>
      </c>
      <c r="W1048" s="189">
        <v>0</v>
      </c>
      <c r="X1048" s="192">
        <v>0</v>
      </c>
      <c r="Y1048" s="189">
        <v>0</v>
      </c>
      <c r="Z1048" s="192">
        <v>0</v>
      </c>
      <c r="AA1048" s="189">
        <v>0</v>
      </c>
      <c r="AB1048" s="192">
        <v>0</v>
      </c>
      <c r="AC1048" s="238">
        <f t="shared" si="555"/>
        <v>0</v>
      </c>
      <c r="AD1048" s="238"/>
      <c r="AE1048" s="238"/>
    </row>
    <row r="1049" spans="2:31" x14ac:dyDescent="0.3">
      <c r="B1049" s="245" t="s">
        <v>12</v>
      </c>
      <c r="C1049" s="245"/>
      <c r="D1049" s="245"/>
      <c r="E1049" s="189">
        <v>0</v>
      </c>
      <c r="F1049" s="192">
        <v>0</v>
      </c>
      <c r="G1049" s="189">
        <v>0</v>
      </c>
      <c r="H1049" s="192">
        <v>0</v>
      </c>
      <c r="I1049" s="189">
        <v>0</v>
      </c>
      <c r="J1049" s="192">
        <v>0</v>
      </c>
      <c r="K1049" s="189">
        <v>0</v>
      </c>
      <c r="L1049" s="192">
        <v>0</v>
      </c>
      <c r="M1049" s="189">
        <v>0</v>
      </c>
      <c r="N1049" s="192">
        <v>0</v>
      </c>
      <c r="O1049" s="189">
        <v>0</v>
      </c>
      <c r="P1049" s="192">
        <v>0</v>
      </c>
      <c r="Q1049" s="189">
        <v>0</v>
      </c>
      <c r="R1049" s="192">
        <v>0</v>
      </c>
      <c r="S1049" s="189">
        <v>0</v>
      </c>
      <c r="T1049" s="192">
        <v>0</v>
      </c>
      <c r="U1049" s="189">
        <v>0</v>
      </c>
      <c r="V1049" s="192">
        <v>0</v>
      </c>
      <c r="W1049" s="189">
        <v>0</v>
      </c>
      <c r="X1049" s="192">
        <v>0</v>
      </c>
      <c r="Y1049" s="189">
        <v>0</v>
      </c>
      <c r="Z1049" s="192">
        <v>0</v>
      </c>
      <c r="AA1049" s="189">
        <v>0</v>
      </c>
      <c r="AB1049" s="192">
        <v>0</v>
      </c>
      <c r="AC1049" s="238">
        <f t="shared" si="555"/>
        <v>0</v>
      </c>
      <c r="AD1049" s="238"/>
      <c r="AE1049" s="238"/>
    </row>
    <row r="1050" spans="2:31" x14ac:dyDescent="0.3">
      <c r="B1050" s="245" t="s">
        <v>13</v>
      </c>
      <c r="C1050" s="245"/>
      <c r="D1050" s="245"/>
      <c r="E1050" s="189">
        <v>0</v>
      </c>
      <c r="F1050" s="192">
        <v>0</v>
      </c>
      <c r="G1050" s="189">
        <v>0</v>
      </c>
      <c r="H1050" s="192">
        <v>0</v>
      </c>
      <c r="I1050" s="189">
        <v>0</v>
      </c>
      <c r="J1050" s="192">
        <v>0</v>
      </c>
      <c r="K1050" s="189">
        <v>0</v>
      </c>
      <c r="L1050" s="192">
        <v>0</v>
      </c>
      <c r="M1050" s="189">
        <v>0</v>
      </c>
      <c r="N1050" s="192">
        <v>0</v>
      </c>
      <c r="O1050" s="189">
        <v>0</v>
      </c>
      <c r="P1050" s="192">
        <v>0</v>
      </c>
      <c r="Q1050" s="189">
        <v>0</v>
      </c>
      <c r="R1050" s="192">
        <v>0</v>
      </c>
      <c r="S1050" s="189">
        <v>0</v>
      </c>
      <c r="T1050" s="192">
        <v>0</v>
      </c>
      <c r="U1050" s="189">
        <v>0</v>
      </c>
      <c r="V1050" s="192">
        <v>0</v>
      </c>
      <c r="W1050" s="189">
        <v>0</v>
      </c>
      <c r="X1050" s="192">
        <v>0</v>
      </c>
      <c r="Y1050" s="189">
        <v>0</v>
      </c>
      <c r="Z1050" s="192">
        <v>0</v>
      </c>
      <c r="AA1050" s="189">
        <v>0</v>
      </c>
      <c r="AB1050" s="192">
        <v>0</v>
      </c>
      <c r="AC1050" s="238">
        <f t="shared" si="555"/>
        <v>0</v>
      </c>
      <c r="AD1050" s="238"/>
      <c r="AE1050" s="238"/>
    </row>
    <row r="1051" spans="2:31" x14ac:dyDescent="0.3">
      <c r="B1051" s="245" t="s">
        <v>14</v>
      </c>
      <c r="C1051" s="245"/>
      <c r="D1051" s="245"/>
      <c r="E1051" s="189">
        <v>0</v>
      </c>
      <c r="F1051" s="192">
        <v>0</v>
      </c>
      <c r="G1051" s="189">
        <v>0</v>
      </c>
      <c r="H1051" s="192">
        <v>0</v>
      </c>
      <c r="I1051" s="189">
        <v>0</v>
      </c>
      <c r="J1051" s="192">
        <v>0</v>
      </c>
      <c r="K1051" s="189">
        <v>0</v>
      </c>
      <c r="L1051" s="192">
        <v>0</v>
      </c>
      <c r="M1051" s="189">
        <v>0</v>
      </c>
      <c r="N1051" s="192">
        <v>0</v>
      </c>
      <c r="O1051" s="189">
        <v>0</v>
      </c>
      <c r="P1051" s="192">
        <v>0</v>
      </c>
      <c r="Q1051" s="189">
        <v>0</v>
      </c>
      <c r="R1051" s="192">
        <v>0</v>
      </c>
      <c r="S1051" s="189">
        <v>0</v>
      </c>
      <c r="T1051" s="192">
        <v>0</v>
      </c>
      <c r="U1051" s="189">
        <v>0</v>
      </c>
      <c r="V1051" s="192">
        <v>0</v>
      </c>
      <c r="W1051" s="189">
        <v>0</v>
      </c>
      <c r="X1051" s="192">
        <v>0</v>
      </c>
      <c r="Y1051" s="189">
        <v>0</v>
      </c>
      <c r="Z1051" s="192">
        <v>0</v>
      </c>
      <c r="AA1051" s="189">
        <v>0</v>
      </c>
      <c r="AB1051" s="192">
        <v>0</v>
      </c>
      <c r="AC1051" s="238">
        <f t="shared" si="555"/>
        <v>0</v>
      </c>
      <c r="AD1051" s="238"/>
      <c r="AE1051" s="238"/>
    </row>
    <row r="1052" spans="2:31" x14ac:dyDescent="0.3">
      <c r="B1052" s="245" t="s">
        <v>15</v>
      </c>
      <c r="C1052" s="245"/>
      <c r="D1052" s="245"/>
      <c r="E1052" s="189">
        <v>0</v>
      </c>
      <c r="F1052" s="192">
        <v>0</v>
      </c>
      <c r="G1052" s="189">
        <v>0</v>
      </c>
      <c r="H1052" s="192">
        <v>0</v>
      </c>
      <c r="I1052" s="189">
        <v>0</v>
      </c>
      <c r="J1052" s="192">
        <v>0</v>
      </c>
      <c r="K1052" s="189">
        <v>0</v>
      </c>
      <c r="L1052" s="192">
        <v>0</v>
      </c>
      <c r="M1052" s="189">
        <v>0</v>
      </c>
      <c r="N1052" s="192">
        <v>0</v>
      </c>
      <c r="O1052" s="189">
        <v>0</v>
      </c>
      <c r="P1052" s="192">
        <v>0</v>
      </c>
      <c r="Q1052" s="189">
        <v>0</v>
      </c>
      <c r="R1052" s="192">
        <v>0</v>
      </c>
      <c r="S1052" s="189">
        <v>0</v>
      </c>
      <c r="T1052" s="192">
        <v>0</v>
      </c>
      <c r="U1052" s="189">
        <v>0</v>
      </c>
      <c r="V1052" s="192">
        <v>0</v>
      </c>
      <c r="W1052" s="189">
        <v>0</v>
      </c>
      <c r="X1052" s="192">
        <v>0</v>
      </c>
      <c r="Y1052" s="189">
        <v>0</v>
      </c>
      <c r="Z1052" s="192">
        <v>0</v>
      </c>
      <c r="AA1052" s="189">
        <v>0</v>
      </c>
      <c r="AB1052" s="192">
        <v>0</v>
      </c>
      <c r="AC1052" s="238">
        <f t="shared" si="555"/>
        <v>0</v>
      </c>
      <c r="AD1052" s="238"/>
      <c r="AE1052" s="238"/>
    </row>
    <row r="1053" spans="2:31" x14ac:dyDescent="0.3">
      <c r="B1053" s="245" t="s">
        <v>16</v>
      </c>
      <c r="C1053" s="245"/>
      <c r="D1053" s="245"/>
      <c r="E1053" s="189">
        <v>0</v>
      </c>
      <c r="F1053" s="192">
        <v>0</v>
      </c>
      <c r="G1053" s="189">
        <v>0</v>
      </c>
      <c r="H1053" s="192">
        <v>0</v>
      </c>
      <c r="I1053" s="189">
        <v>0</v>
      </c>
      <c r="J1053" s="192">
        <v>0</v>
      </c>
      <c r="K1053" s="189">
        <v>0</v>
      </c>
      <c r="L1053" s="192">
        <v>0</v>
      </c>
      <c r="M1053" s="189">
        <v>0</v>
      </c>
      <c r="N1053" s="192">
        <v>0</v>
      </c>
      <c r="O1053" s="189">
        <v>0</v>
      </c>
      <c r="P1053" s="192">
        <v>0</v>
      </c>
      <c r="Q1053" s="189">
        <v>0</v>
      </c>
      <c r="R1053" s="192">
        <v>0</v>
      </c>
      <c r="S1053" s="189">
        <v>0</v>
      </c>
      <c r="T1053" s="192">
        <v>0</v>
      </c>
      <c r="U1053" s="189">
        <v>0</v>
      </c>
      <c r="V1053" s="192">
        <v>0</v>
      </c>
      <c r="W1053" s="189">
        <v>0</v>
      </c>
      <c r="X1053" s="192">
        <v>0</v>
      </c>
      <c r="Y1053" s="189">
        <v>0</v>
      </c>
      <c r="Z1053" s="192">
        <v>0</v>
      </c>
      <c r="AA1053" s="189">
        <v>0</v>
      </c>
      <c r="AB1053" s="192">
        <v>0</v>
      </c>
      <c r="AC1053" s="238">
        <f t="shared" si="555"/>
        <v>0</v>
      </c>
      <c r="AD1053" s="238"/>
      <c r="AE1053" s="238"/>
    </row>
    <row r="1054" spans="2:31" x14ac:dyDescent="0.3">
      <c r="B1054" s="245" t="s">
        <v>17</v>
      </c>
      <c r="C1054" s="245"/>
      <c r="D1054" s="245"/>
      <c r="E1054" s="189">
        <v>0</v>
      </c>
      <c r="F1054" s="192">
        <v>0</v>
      </c>
      <c r="G1054" s="189">
        <v>0</v>
      </c>
      <c r="H1054" s="192">
        <v>0</v>
      </c>
      <c r="I1054" s="189">
        <v>0</v>
      </c>
      <c r="J1054" s="192">
        <v>0</v>
      </c>
      <c r="K1054" s="189">
        <v>0</v>
      </c>
      <c r="L1054" s="192">
        <v>0</v>
      </c>
      <c r="M1054" s="189">
        <v>0</v>
      </c>
      <c r="N1054" s="192">
        <v>0</v>
      </c>
      <c r="O1054" s="189">
        <v>0</v>
      </c>
      <c r="P1054" s="192">
        <v>0</v>
      </c>
      <c r="Q1054" s="189">
        <v>0</v>
      </c>
      <c r="R1054" s="192">
        <v>0</v>
      </c>
      <c r="S1054" s="189">
        <v>0</v>
      </c>
      <c r="T1054" s="192">
        <v>0</v>
      </c>
      <c r="U1054" s="189">
        <v>0</v>
      </c>
      <c r="V1054" s="192">
        <v>0</v>
      </c>
      <c r="W1054" s="189">
        <v>0</v>
      </c>
      <c r="X1054" s="192">
        <v>0</v>
      </c>
      <c r="Y1054" s="189">
        <v>0</v>
      </c>
      <c r="Z1054" s="192">
        <v>0</v>
      </c>
      <c r="AA1054" s="189">
        <v>0</v>
      </c>
      <c r="AB1054" s="192">
        <v>0</v>
      </c>
      <c r="AC1054" s="238">
        <f t="shared" si="555"/>
        <v>0</v>
      </c>
      <c r="AD1054" s="238"/>
      <c r="AE1054" s="238"/>
    </row>
    <row r="1055" spans="2:31" x14ac:dyDescent="0.3">
      <c r="B1055" s="245" t="s">
        <v>18</v>
      </c>
      <c r="C1055" s="245"/>
      <c r="D1055" s="245"/>
      <c r="E1055" s="189">
        <v>0</v>
      </c>
      <c r="F1055" s="192">
        <v>0</v>
      </c>
      <c r="G1055" s="189">
        <v>0</v>
      </c>
      <c r="H1055" s="192">
        <v>0</v>
      </c>
      <c r="I1055" s="189">
        <v>0</v>
      </c>
      <c r="J1055" s="192">
        <v>0</v>
      </c>
      <c r="K1055" s="189">
        <v>0</v>
      </c>
      <c r="L1055" s="192">
        <v>0</v>
      </c>
      <c r="M1055" s="189">
        <v>0</v>
      </c>
      <c r="N1055" s="192">
        <v>0</v>
      </c>
      <c r="O1055" s="189">
        <v>0</v>
      </c>
      <c r="P1055" s="192">
        <v>0</v>
      </c>
      <c r="Q1055" s="189">
        <v>0</v>
      </c>
      <c r="R1055" s="192">
        <v>0</v>
      </c>
      <c r="S1055" s="189">
        <v>0</v>
      </c>
      <c r="T1055" s="192">
        <v>0</v>
      </c>
      <c r="U1055" s="189">
        <v>0</v>
      </c>
      <c r="V1055" s="192">
        <v>0</v>
      </c>
      <c r="W1055" s="189">
        <v>0</v>
      </c>
      <c r="X1055" s="192">
        <v>0</v>
      </c>
      <c r="Y1055" s="189">
        <v>0</v>
      </c>
      <c r="Z1055" s="192">
        <v>0</v>
      </c>
      <c r="AA1055" s="189">
        <v>0</v>
      </c>
      <c r="AB1055" s="192">
        <v>0</v>
      </c>
      <c r="AC1055" s="238">
        <f t="shared" si="555"/>
        <v>0</v>
      </c>
      <c r="AD1055" s="238"/>
      <c r="AE1055" s="238"/>
    </row>
    <row r="1056" spans="2:31" x14ac:dyDescent="0.3">
      <c r="B1056" s="245" t="s">
        <v>19</v>
      </c>
      <c r="C1056" s="245"/>
      <c r="D1056" s="245"/>
      <c r="E1056" s="189">
        <v>0</v>
      </c>
      <c r="F1056" s="192">
        <v>0</v>
      </c>
      <c r="G1056" s="189">
        <v>0</v>
      </c>
      <c r="H1056" s="192">
        <v>0</v>
      </c>
      <c r="I1056" s="189">
        <v>0</v>
      </c>
      <c r="J1056" s="192">
        <v>0</v>
      </c>
      <c r="K1056" s="189">
        <v>0</v>
      </c>
      <c r="L1056" s="192">
        <v>0</v>
      </c>
      <c r="M1056" s="189">
        <v>0</v>
      </c>
      <c r="N1056" s="192">
        <v>0</v>
      </c>
      <c r="O1056" s="189">
        <v>0</v>
      </c>
      <c r="P1056" s="192">
        <v>0</v>
      </c>
      <c r="Q1056" s="189">
        <v>0</v>
      </c>
      <c r="R1056" s="192">
        <v>0</v>
      </c>
      <c r="S1056" s="189">
        <v>0</v>
      </c>
      <c r="T1056" s="192">
        <v>0</v>
      </c>
      <c r="U1056" s="189">
        <v>0</v>
      </c>
      <c r="V1056" s="192">
        <v>0</v>
      </c>
      <c r="W1056" s="189">
        <v>0</v>
      </c>
      <c r="X1056" s="192">
        <v>0</v>
      </c>
      <c r="Y1056" s="189">
        <v>0</v>
      </c>
      <c r="Z1056" s="192">
        <v>0</v>
      </c>
      <c r="AA1056" s="189">
        <v>0</v>
      </c>
      <c r="AB1056" s="192">
        <v>0</v>
      </c>
      <c r="AC1056" s="238">
        <f t="shared" si="555"/>
        <v>0</v>
      </c>
      <c r="AD1056" s="238"/>
      <c r="AE1056" s="238"/>
    </row>
    <row r="1057" spans="2:31" x14ac:dyDescent="0.3">
      <c r="B1057" s="245" t="s">
        <v>20</v>
      </c>
      <c r="C1057" s="245"/>
      <c r="D1057" s="245"/>
      <c r="E1057" s="189">
        <v>0</v>
      </c>
      <c r="F1057" s="192">
        <v>0</v>
      </c>
      <c r="G1057" s="189">
        <v>0</v>
      </c>
      <c r="H1057" s="192">
        <v>0</v>
      </c>
      <c r="I1057" s="189">
        <v>0</v>
      </c>
      <c r="J1057" s="192">
        <v>0</v>
      </c>
      <c r="K1057" s="189">
        <v>0</v>
      </c>
      <c r="L1057" s="192">
        <v>0</v>
      </c>
      <c r="M1057" s="189">
        <v>0</v>
      </c>
      <c r="N1057" s="192">
        <v>0</v>
      </c>
      <c r="O1057" s="189">
        <v>0</v>
      </c>
      <c r="P1057" s="192">
        <v>0</v>
      </c>
      <c r="Q1057" s="189">
        <v>0</v>
      </c>
      <c r="R1057" s="192">
        <v>0</v>
      </c>
      <c r="S1057" s="189">
        <v>0</v>
      </c>
      <c r="T1057" s="192">
        <v>0</v>
      </c>
      <c r="U1057" s="189">
        <v>0</v>
      </c>
      <c r="V1057" s="192">
        <v>0</v>
      </c>
      <c r="W1057" s="189">
        <v>0</v>
      </c>
      <c r="X1057" s="192">
        <v>0</v>
      </c>
      <c r="Y1057" s="189">
        <v>0</v>
      </c>
      <c r="Z1057" s="192">
        <v>0</v>
      </c>
      <c r="AA1057" s="189">
        <v>0</v>
      </c>
      <c r="AB1057" s="192">
        <v>0</v>
      </c>
      <c r="AC1057" s="238">
        <f t="shared" si="555"/>
        <v>0</v>
      </c>
      <c r="AD1057" s="238"/>
      <c r="AE1057" s="238"/>
    </row>
    <row r="1058" spans="2:31" x14ac:dyDescent="0.3">
      <c r="B1058" s="245" t="s">
        <v>21</v>
      </c>
      <c r="C1058" s="245"/>
      <c r="D1058" s="245"/>
      <c r="E1058" s="189">
        <v>0</v>
      </c>
      <c r="F1058" s="192">
        <v>0</v>
      </c>
      <c r="G1058" s="189">
        <v>0</v>
      </c>
      <c r="H1058" s="192">
        <v>0</v>
      </c>
      <c r="I1058" s="189">
        <v>0</v>
      </c>
      <c r="J1058" s="192">
        <v>0</v>
      </c>
      <c r="K1058" s="189">
        <v>0</v>
      </c>
      <c r="L1058" s="192">
        <v>0</v>
      </c>
      <c r="M1058" s="189">
        <v>0</v>
      </c>
      <c r="N1058" s="192">
        <v>0</v>
      </c>
      <c r="O1058" s="189">
        <v>0</v>
      </c>
      <c r="P1058" s="192">
        <v>0</v>
      </c>
      <c r="Q1058" s="189">
        <v>0</v>
      </c>
      <c r="R1058" s="192">
        <v>0</v>
      </c>
      <c r="S1058" s="189">
        <v>0</v>
      </c>
      <c r="T1058" s="192">
        <v>0</v>
      </c>
      <c r="U1058" s="189">
        <v>0</v>
      </c>
      <c r="V1058" s="192">
        <v>0</v>
      </c>
      <c r="W1058" s="189">
        <v>0</v>
      </c>
      <c r="X1058" s="192">
        <v>0</v>
      </c>
      <c r="Y1058" s="189">
        <v>0</v>
      </c>
      <c r="Z1058" s="192">
        <v>0</v>
      </c>
      <c r="AA1058" s="189">
        <v>0</v>
      </c>
      <c r="AB1058" s="192">
        <v>0</v>
      </c>
      <c r="AC1058" s="238">
        <f t="shared" si="555"/>
        <v>0</v>
      </c>
      <c r="AD1058" s="238"/>
      <c r="AE1058" s="238"/>
    </row>
    <row r="1059" spans="2:31" x14ac:dyDescent="0.3">
      <c r="B1059" s="245" t="s">
        <v>22</v>
      </c>
      <c r="C1059" s="245"/>
      <c r="D1059" s="245"/>
      <c r="E1059" s="189">
        <v>0</v>
      </c>
      <c r="F1059" s="192">
        <v>0</v>
      </c>
      <c r="G1059" s="189">
        <v>0</v>
      </c>
      <c r="H1059" s="192">
        <v>0</v>
      </c>
      <c r="I1059" s="189">
        <v>0</v>
      </c>
      <c r="J1059" s="192">
        <v>0</v>
      </c>
      <c r="K1059" s="189">
        <v>0</v>
      </c>
      <c r="L1059" s="192">
        <v>0</v>
      </c>
      <c r="M1059" s="189">
        <v>0</v>
      </c>
      <c r="N1059" s="192">
        <v>0</v>
      </c>
      <c r="O1059" s="189">
        <v>0</v>
      </c>
      <c r="P1059" s="192">
        <v>0</v>
      </c>
      <c r="Q1059" s="189">
        <v>0</v>
      </c>
      <c r="R1059" s="192">
        <v>0</v>
      </c>
      <c r="S1059" s="189">
        <v>0</v>
      </c>
      <c r="T1059" s="192">
        <v>0</v>
      </c>
      <c r="U1059" s="189">
        <v>0</v>
      </c>
      <c r="V1059" s="192">
        <v>0</v>
      </c>
      <c r="W1059" s="189">
        <v>0</v>
      </c>
      <c r="X1059" s="192">
        <v>0</v>
      </c>
      <c r="Y1059" s="189">
        <v>0</v>
      </c>
      <c r="Z1059" s="192">
        <v>0</v>
      </c>
      <c r="AA1059" s="189">
        <v>0</v>
      </c>
      <c r="AB1059" s="192">
        <v>0</v>
      </c>
      <c r="AC1059" s="238">
        <f t="shared" si="555"/>
        <v>0</v>
      </c>
      <c r="AD1059" s="238"/>
      <c r="AE1059" s="238"/>
    </row>
    <row r="1060" spans="2:31" x14ac:dyDescent="0.3">
      <c r="B1060" s="245" t="s">
        <v>23</v>
      </c>
      <c r="C1060" s="245"/>
      <c r="D1060" s="245"/>
      <c r="E1060" s="189">
        <v>0</v>
      </c>
      <c r="F1060" s="192">
        <v>0</v>
      </c>
      <c r="G1060" s="189">
        <v>0</v>
      </c>
      <c r="H1060" s="192">
        <v>0</v>
      </c>
      <c r="I1060" s="189">
        <v>0</v>
      </c>
      <c r="J1060" s="192">
        <v>0</v>
      </c>
      <c r="K1060" s="189">
        <v>0</v>
      </c>
      <c r="L1060" s="192">
        <v>0</v>
      </c>
      <c r="M1060" s="189">
        <v>0</v>
      </c>
      <c r="N1060" s="192">
        <v>0</v>
      </c>
      <c r="O1060" s="189">
        <v>0</v>
      </c>
      <c r="P1060" s="192">
        <v>0</v>
      </c>
      <c r="Q1060" s="189">
        <v>0</v>
      </c>
      <c r="R1060" s="192">
        <v>0</v>
      </c>
      <c r="S1060" s="189">
        <v>0</v>
      </c>
      <c r="T1060" s="192">
        <v>0</v>
      </c>
      <c r="U1060" s="189">
        <v>0</v>
      </c>
      <c r="V1060" s="192">
        <v>0</v>
      </c>
      <c r="W1060" s="189">
        <v>0</v>
      </c>
      <c r="X1060" s="192">
        <v>0</v>
      </c>
      <c r="Y1060" s="189">
        <v>0</v>
      </c>
      <c r="Z1060" s="192">
        <v>0</v>
      </c>
      <c r="AA1060" s="189">
        <v>0</v>
      </c>
      <c r="AB1060" s="192">
        <v>0</v>
      </c>
      <c r="AC1060" s="238">
        <f t="shared" si="555"/>
        <v>0</v>
      </c>
      <c r="AD1060" s="238"/>
      <c r="AE1060" s="238"/>
    </row>
    <row r="1061" spans="2:31" x14ac:dyDescent="0.3">
      <c r="B1061" s="245" t="s">
        <v>24</v>
      </c>
      <c r="C1061" s="245"/>
      <c r="D1061" s="245"/>
      <c r="E1061" s="189">
        <v>0</v>
      </c>
      <c r="F1061" s="192">
        <v>0</v>
      </c>
      <c r="G1061" s="189">
        <v>0</v>
      </c>
      <c r="H1061" s="192">
        <v>0</v>
      </c>
      <c r="I1061" s="189">
        <v>0</v>
      </c>
      <c r="J1061" s="192">
        <v>0</v>
      </c>
      <c r="K1061" s="189">
        <v>0</v>
      </c>
      <c r="L1061" s="192">
        <v>0</v>
      </c>
      <c r="M1061" s="189">
        <v>0</v>
      </c>
      <c r="N1061" s="192">
        <v>0</v>
      </c>
      <c r="O1061" s="189">
        <v>0</v>
      </c>
      <c r="P1061" s="192">
        <v>0</v>
      </c>
      <c r="Q1061" s="189">
        <v>0</v>
      </c>
      <c r="R1061" s="192">
        <v>0</v>
      </c>
      <c r="S1061" s="189">
        <v>0</v>
      </c>
      <c r="T1061" s="192">
        <v>0</v>
      </c>
      <c r="U1061" s="189">
        <v>0</v>
      </c>
      <c r="V1061" s="192">
        <v>0</v>
      </c>
      <c r="W1061" s="189">
        <v>0</v>
      </c>
      <c r="X1061" s="192">
        <v>0</v>
      </c>
      <c r="Y1061" s="189">
        <v>0</v>
      </c>
      <c r="Z1061" s="192">
        <v>0</v>
      </c>
      <c r="AA1061" s="189">
        <v>0</v>
      </c>
      <c r="AB1061" s="192">
        <v>0</v>
      </c>
      <c r="AC1061" s="238">
        <f t="shared" si="555"/>
        <v>0</v>
      </c>
      <c r="AD1061" s="238"/>
      <c r="AE1061" s="238"/>
    </row>
    <row r="1062" spans="2:31" x14ac:dyDescent="0.3">
      <c r="B1062" s="245" t="s">
        <v>25</v>
      </c>
      <c r="C1062" s="245"/>
      <c r="D1062" s="245"/>
      <c r="E1062" s="189">
        <v>0</v>
      </c>
      <c r="F1062" s="192">
        <v>0</v>
      </c>
      <c r="G1062" s="189">
        <v>0</v>
      </c>
      <c r="H1062" s="192">
        <v>0</v>
      </c>
      <c r="I1062" s="189">
        <v>0</v>
      </c>
      <c r="J1062" s="192">
        <v>0</v>
      </c>
      <c r="K1062" s="189">
        <v>0</v>
      </c>
      <c r="L1062" s="192">
        <v>0</v>
      </c>
      <c r="M1062" s="189">
        <v>0</v>
      </c>
      <c r="N1062" s="192">
        <v>0</v>
      </c>
      <c r="O1062" s="189">
        <v>0</v>
      </c>
      <c r="P1062" s="192">
        <v>0</v>
      </c>
      <c r="Q1062" s="189">
        <v>0</v>
      </c>
      <c r="R1062" s="192">
        <v>0</v>
      </c>
      <c r="S1062" s="189">
        <v>0</v>
      </c>
      <c r="T1062" s="192">
        <v>0</v>
      </c>
      <c r="U1062" s="189">
        <v>0</v>
      </c>
      <c r="V1062" s="192">
        <v>0</v>
      </c>
      <c r="W1062" s="189">
        <v>0</v>
      </c>
      <c r="X1062" s="192">
        <v>0</v>
      </c>
      <c r="Y1062" s="189">
        <v>0</v>
      </c>
      <c r="Z1062" s="192">
        <v>0</v>
      </c>
      <c r="AA1062" s="189">
        <v>0</v>
      </c>
      <c r="AB1062" s="192">
        <v>0</v>
      </c>
      <c r="AC1062" s="238">
        <f t="shared" si="555"/>
        <v>0</v>
      </c>
      <c r="AD1062" s="238"/>
      <c r="AE1062" s="238"/>
    </row>
    <row r="1063" spans="2:31" x14ac:dyDescent="0.3">
      <c r="B1063" s="245" t="s">
        <v>26</v>
      </c>
      <c r="C1063" s="245"/>
      <c r="D1063" s="245"/>
      <c r="E1063" s="189">
        <v>0</v>
      </c>
      <c r="F1063" s="192">
        <v>0</v>
      </c>
      <c r="G1063" s="189">
        <v>0</v>
      </c>
      <c r="H1063" s="192">
        <v>0</v>
      </c>
      <c r="I1063" s="189">
        <v>0</v>
      </c>
      <c r="J1063" s="192">
        <v>0</v>
      </c>
      <c r="K1063" s="189">
        <v>0</v>
      </c>
      <c r="L1063" s="192">
        <v>0</v>
      </c>
      <c r="M1063" s="189">
        <v>0</v>
      </c>
      <c r="N1063" s="192">
        <v>0</v>
      </c>
      <c r="O1063" s="189">
        <v>0</v>
      </c>
      <c r="P1063" s="192">
        <v>0</v>
      </c>
      <c r="Q1063" s="189">
        <v>0</v>
      </c>
      <c r="R1063" s="192">
        <v>0</v>
      </c>
      <c r="S1063" s="189">
        <v>0</v>
      </c>
      <c r="T1063" s="192">
        <v>0</v>
      </c>
      <c r="U1063" s="189">
        <v>0</v>
      </c>
      <c r="V1063" s="192">
        <v>0</v>
      </c>
      <c r="W1063" s="189">
        <v>0</v>
      </c>
      <c r="X1063" s="192">
        <v>0</v>
      </c>
      <c r="Y1063" s="189">
        <v>0</v>
      </c>
      <c r="Z1063" s="192">
        <v>0</v>
      </c>
      <c r="AA1063" s="189">
        <v>0</v>
      </c>
      <c r="AB1063" s="192">
        <v>0</v>
      </c>
      <c r="AC1063" s="238">
        <f t="shared" si="555"/>
        <v>0</v>
      </c>
      <c r="AD1063" s="238"/>
      <c r="AE1063" s="238"/>
    </row>
    <row r="1064" spans="2:31" x14ac:dyDescent="0.3">
      <c r="B1064" s="245" t="s">
        <v>27</v>
      </c>
      <c r="C1064" s="245"/>
      <c r="D1064" s="245"/>
      <c r="E1064" s="189">
        <v>0</v>
      </c>
      <c r="F1064" s="192">
        <v>0</v>
      </c>
      <c r="G1064" s="189">
        <v>0</v>
      </c>
      <c r="H1064" s="192">
        <v>0</v>
      </c>
      <c r="I1064" s="189">
        <v>0</v>
      </c>
      <c r="J1064" s="192">
        <v>0</v>
      </c>
      <c r="K1064" s="189">
        <v>0</v>
      </c>
      <c r="L1064" s="192">
        <v>0</v>
      </c>
      <c r="M1064" s="189">
        <v>0</v>
      </c>
      <c r="N1064" s="192">
        <v>0</v>
      </c>
      <c r="O1064" s="189">
        <v>0</v>
      </c>
      <c r="P1064" s="192">
        <v>0</v>
      </c>
      <c r="Q1064" s="189">
        <v>0</v>
      </c>
      <c r="R1064" s="192">
        <v>0</v>
      </c>
      <c r="S1064" s="189">
        <v>0</v>
      </c>
      <c r="T1064" s="192">
        <v>0</v>
      </c>
      <c r="U1064" s="189">
        <v>0</v>
      </c>
      <c r="V1064" s="192">
        <v>0</v>
      </c>
      <c r="W1064" s="189">
        <v>0</v>
      </c>
      <c r="X1064" s="192">
        <v>0</v>
      </c>
      <c r="Y1064" s="189">
        <v>0</v>
      </c>
      <c r="Z1064" s="192">
        <v>0</v>
      </c>
      <c r="AA1064" s="189">
        <v>0</v>
      </c>
      <c r="AB1064" s="192">
        <v>0</v>
      </c>
      <c r="AC1064" s="238">
        <f t="shared" si="555"/>
        <v>0</v>
      </c>
      <c r="AD1064" s="238"/>
      <c r="AE1064" s="238"/>
    </row>
    <row r="1065" spans="2:31" x14ac:dyDescent="0.3">
      <c r="B1065" s="245" t="s">
        <v>28</v>
      </c>
      <c r="C1065" s="245"/>
      <c r="D1065" s="245"/>
      <c r="E1065" s="189">
        <v>0</v>
      </c>
      <c r="F1065" s="192">
        <v>0</v>
      </c>
      <c r="G1065" s="189">
        <v>0</v>
      </c>
      <c r="H1065" s="192">
        <v>0</v>
      </c>
      <c r="I1065" s="189">
        <v>0</v>
      </c>
      <c r="J1065" s="192">
        <v>0</v>
      </c>
      <c r="K1065" s="189">
        <v>0</v>
      </c>
      <c r="L1065" s="192">
        <v>0</v>
      </c>
      <c r="M1065" s="189">
        <v>0</v>
      </c>
      <c r="N1065" s="192">
        <v>0</v>
      </c>
      <c r="O1065" s="189">
        <v>0</v>
      </c>
      <c r="P1065" s="192">
        <v>0</v>
      </c>
      <c r="Q1065" s="189">
        <v>0</v>
      </c>
      <c r="R1065" s="192">
        <v>0</v>
      </c>
      <c r="S1065" s="189">
        <v>0</v>
      </c>
      <c r="T1065" s="192">
        <v>0</v>
      </c>
      <c r="U1065" s="189">
        <v>0</v>
      </c>
      <c r="V1065" s="192">
        <v>0</v>
      </c>
      <c r="W1065" s="189">
        <v>0</v>
      </c>
      <c r="X1065" s="192">
        <v>0</v>
      </c>
      <c r="Y1065" s="189">
        <v>0</v>
      </c>
      <c r="Z1065" s="192">
        <v>0</v>
      </c>
      <c r="AA1065" s="189">
        <v>0</v>
      </c>
      <c r="AB1065" s="192">
        <v>0</v>
      </c>
      <c r="AC1065" s="238">
        <f t="shared" si="555"/>
        <v>0</v>
      </c>
      <c r="AD1065" s="238"/>
      <c r="AE1065" s="238"/>
    </row>
    <row r="1066" spans="2:31" x14ac:dyDescent="0.3">
      <c r="B1066" s="245" t="s">
        <v>92</v>
      </c>
      <c r="C1066" s="245"/>
      <c r="D1066" s="245"/>
      <c r="E1066" s="189">
        <v>0</v>
      </c>
      <c r="F1066" s="192">
        <v>0</v>
      </c>
      <c r="G1066" s="189">
        <v>0</v>
      </c>
      <c r="H1066" s="192">
        <v>0</v>
      </c>
      <c r="I1066" s="189">
        <v>0</v>
      </c>
      <c r="J1066" s="192">
        <v>0</v>
      </c>
      <c r="K1066" s="189">
        <v>0</v>
      </c>
      <c r="L1066" s="192">
        <v>0</v>
      </c>
      <c r="M1066" s="189">
        <v>0</v>
      </c>
      <c r="N1066" s="192">
        <v>0</v>
      </c>
      <c r="O1066" s="189">
        <v>0</v>
      </c>
      <c r="P1066" s="192">
        <v>0</v>
      </c>
      <c r="Q1066" s="189">
        <v>0</v>
      </c>
      <c r="R1066" s="192">
        <v>0</v>
      </c>
      <c r="S1066" s="189">
        <v>0</v>
      </c>
      <c r="T1066" s="192">
        <v>0</v>
      </c>
      <c r="U1066" s="189">
        <v>0</v>
      </c>
      <c r="V1066" s="192">
        <v>0</v>
      </c>
      <c r="W1066" s="189">
        <v>0</v>
      </c>
      <c r="X1066" s="192">
        <v>0</v>
      </c>
      <c r="Y1066" s="189">
        <v>0</v>
      </c>
      <c r="Z1066" s="192">
        <v>0</v>
      </c>
      <c r="AA1066" s="189">
        <v>0</v>
      </c>
      <c r="AB1066" s="192">
        <v>0</v>
      </c>
      <c r="AC1066" s="238">
        <f t="shared" si="555"/>
        <v>0</v>
      </c>
      <c r="AD1066" s="238"/>
      <c r="AE1066" s="238"/>
    </row>
    <row r="1067" spans="2:31" x14ac:dyDescent="0.3">
      <c r="B1067" s="245" t="s">
        <v>29</v>
      </c>
      <c r="C1067" s="245"/>
      <c r="D1067" s="245"/>
      <c r="E1067" s="189">
        <v>0</v>
      </c>
      <c r="F1067" s="192">
        <v>0</v>
      </c>
      <c r="G1067" s="189">
        <v>0</v>
      </c>
      <c r="H1067" s="192">
        <v>0</v>
      </c>
      <c r="I1067" s="189">
        <v>0</v>
      </c>
      <c r="J1067" s="192">
        <v>0</v>
      </c>
      <c r="K1067" s="189">
        <v>0</v>
      </c>
      <c r="L1067" s="192">
        <v>0</v>
      </c>
      <c r="M1067" s="189">
        <v>0</v>
      </c>
      <c r="N1067" s="192">
        <v>0</v>
      </c>
      <c r="O1067" s="189">
        <v>0</v>
      </c>
      <c r="P1067" s="192">
        <v>0</v>
      </c>
      <c r="Q1067" s="189">
        <v>0</v>
      </c>
      <c r="R1067" s="192">
        <v>0</v>
      </c>
      <c r="S1067" s="189">
        <v>0</v>
      </c>
      <c r="T1067" s="192">
        <v>0</v>
      </c>
      <c r="U1067" s="189">
        <v>0</v>
      </c>
      <c r="V1067" s="192">
        <v>0</v>
      </c>
      <c r="W1067" s="189">
        <v>0</v>
      </c>
      <c r="X1067" s="192">
        <v>0</v>
      </c>
      <c r="Y1067" s="189">
        <v>0</v>
      </c>
      <c r="Z1067" s="192">
        <v>0</v>
      </c>
      <c r="AA1067" s="189">
        <v>0</v>
      </c>
      <c r="AB1067" s="192">
        <v>0</v>
      </c>
      <c r="AC1067" s="238">
        <f t="shared" si="555"/>
        <v>0</v>
      </c>
      <c r="AD1067" s="238"/>
      <c r="AE1067" s="238"/>
    </row>
    <row r="1068" spans="2:31" x14ac:dyDescent="0.3">
      <c r="B1068" s="245" t="s">
        <v>30</v>
      </c>
      <c r="C1068" s="245"/>
      <c r="D1068" s="245"/>
      <c r="E1068" s="189">
        <v>0</v>
      </c>
      <c r="F1068" s="192">
        <v>0</v>
      </c>
      <c r="G1068" s="189">
        <v>0</v>
      </c>
      <c r="H1068" s="192">
        <v>0</v>
      </c>
      <c r="I1068" s="189">
        <v>0</v>
      </c>
      <c r="J1068" s="192">
        <v>0</v>
      </c>
      <c r="K1068" s="189">
        <v>0</v>
      </c>
      <c r="L1068" s="192">
        <v>0</v>
      </c>
      <c r="M1068" s="189">
        <v>0</v>
      </c>
      <c r="N1068" s="192">
        <v>0</v>
      </c>
      <c r="O1068" s="189">
        <v>0</v>
      </c>
      <c r="P1068" s="192">
        <v>0</v>
      </c>
      <c r="Q1068" s="189">
        <v>0</v>
      </c>
      <c r="R1068" s="192">
        <v>0</v>
      </c>
      <c r="S1068" s="189">
        <v>0</v>
      </c>
      <c r="T1068" s="192">
        <v>0</v>
      </c>
      <c r="U1068" s="189">
        <v>0</v>
      </c>
      <c r="V1068" s="192">
        <v>0</v>
      </c>
      <c r="W1068" s="189">
        <v>0</v>
      </c>
      <c r="X1068" s="192">
        <v>0</v>
      </c>
      <c r="Y1068" s="189">
        <v>0</v>
      </c>
      <c r="Z1068" s="192">
        <v>0</v>
      </c>
      <c r="AA1068" s="189">
        <v>0</v>
      </c>
      <c r="AB1068" s="192">
        <v>0</v>
      </c>
      <c r="AC1068" s="238">
        <f t="shared" si="555"/>
        <v>0</v>
      </c>
      <c r="AD1068" s="238"/>
      <c r="AE1068" s="238"/>
    </row>
    <row r="1069" spans="2:31" x14ac:dyDescent="0.3">
      <c r="B1069" s="245" t="s">
        <v>31</v>
      </c>
      <c r="C1069" s="245"/>
      <c r="D1069" s="245"/>
      <c r="E1069" s="189">
        <v>0</v>
      </c>
      <c r="F1069" s="192">
        <v>0</v>
      </c>
      <c r="G1069" s="189">
        <v>0</v>
      </c>
      <c r="H1069" s="192">
        <v>0</v>
      </c>
      <c r="I1069" s="189">
        <v>0</v>
      </c>
      <c r="J1069" s="192">
        <v>0</v>
      </c>
      <c r="K1069" s="189">
        <v>0</v>
      </c>
      <c r="L1069" s="192">
        <v>0</v>
      </c>
      <c r="M1069" s="189">
        <v>0</v>
      </c>
      <c r="N1069" s="192">
        <v>0</v>
      </c>
      <c r="O1069" s="189">
        <v>0</v>
      </c>
      <c r="P1069" s="192">
        <v>0</v>
      </c>
      <c r="Q1069" s="189">
        <v>0</v>
      </c>
      <c r="R1069" s="192">
        <v>0</v>
      </c>
      <c r="S1069" s="189">
        <v>0</v>
      </c>
      <c r="T1069" s="192">
        <v>0</v>
      </c>
      <c r="U1069" s="189">
        <v>0</v>
      </c>
      <c r="V1069" s="192">
        <v>0</v>
      </c>
      <c r="W1069" s="189">
        <v>0</v>
      </c>
      <c r="X1069" s="192">
        <v>0</v>
      </c>
      <c r="Y1069" s="189">
        <v>0</v>
      </c>
      <c r="Z1069" s="192">
        <v>0</v>
      </c>
      <c r="AA1069" s="189">
        <v>0</v>
      </c>
      <c r="AB1069" s="192">
        <v>0</v>
      </c>
      <c r="AC1069" s="238">
        <f t="shared" si="555"/>
        <v>0</v>
      </c>
      <c r="AD1069" s="238"/>
      <c r="AE1069" s="238"/>
    </row>
    <row r="1070" spans="2:31" x14ac:dyDescent="0.3">
      <c r="B1070" s="245" t="s">
        <v>32</v>
      </c>
      <c r="C1070" s="245"/>
      <c r="D1070" s="245"/>
      <c r="E1070" s="189">
        <v>0</v>
      </c>
      <c r="F1070" s="192">
        <v>0</v>
      </c>
      <c r="G1070" s="189">
        <v>0</v>
      </c>
      <c r="H1070" s="192">
        <v>0</v>
      </c>
      <c r="I1070" s="189">
        <v>0</v>
      </c>
      <c r="J1070" s="192">
        <v>0</v>
      </c>
      <c r="K1070" s="189">
        <v>0</v>
      </c>
      <c r="L1070" s="192">
        <v>0</v>
      </c>
      <c r="M1070" s="189">
        <v>0</v>
      </c>
      <c r="N1070" s="192">
        <v>0</v>
      </c>
      <c r="O1070" s="189">
        <v>0</v>
      </c>
      <c r="P1070" s="192">
        <v>0</v>
      </c>
      <c r="Q1070" s="189">
        <v>0</v>
      </c>
      <c r="R1070" s="192">
        <v>0</v>
      </c>
      <c r="S1070" s="189">
        <v>0</v>
      </c>
      <c r="T1070" s="192">
        <v>0</v>
      </c>
      <c r="U1070" s="189">
        <v>0</v>
      </c>
      <c r="V1070" s="192">
        <v>0</v>
      </c>
      <c r="W1070" s="189">
        <v>0</v>
      </c>
      <c r="X1070" s="192">
        <v>0</v>
      </c>
      <c r="Y1070" s="189">
        <v>0</v>
      </c>
      <c r="Z1070" s="192">
        <v>0</v>
      </c>
      <c r="AA1070" s="189">
        <v>0</v>
      </c>
      <c r="AB1070" s="192">
        <v>0</v>
      </c>
      <c r="AC1070" s="238">
        <f t="shared" si="555"/>
        <v>0</v>
      </c>
      <c r="AD1070" s="238"/>
      <c r="AE1070" s="238"/>
    </row>
    <row r="1071" spans="2:31" x14ac:dyDescent="0.3">
      <c r="B1071" s="245" t="s">
        <v>33</v>
      </c>
      <c r="C1071" s="245"/>
      <c r="D1071" s="245"/>
      <c r="E1071" s="189">
        <v>0</v>
      </c>
      <c r="F1071" s="192">
        <v>0</v>
      </c>
      <c r="G1071" s="189">
        <v>0</v>
      </c>
      <c r="H1071" s="192">
        <v>0</v>
      </c>
      <c r="I1071" s="189">
        <v>0</v>
      </c>
      <c r="J1071" s="192">
        <v>0</v>
      </c>
      <c r="K1071" s="189">
        <v>0</v>
      </c>
      <c r="L1071" s="192">
        <v>0</v>
      </c>
      <c r="M1071" s="189">
        <v>0</v>
      </c>
      <c r="N1071" s="192">
        <v>0</v>
      </c>
      <c r="O1071" s="189">
        <v>0</v>
      </c>
      <c r="P1071" s="192">
        <v>0</v>
      </c>
      <c r="Q1071" s="189">
        <v>0</v>
      </c>
      <c r="R1071" s="192">
        <v>0</v>
      </c>
      <c r="S1071" s="189">
        <v>0</v>
      </c>
      <c r="T1071" s="192">
        <v>0</v>
      </c>
      <c r="U1071" s="189">
        <v>0</v>
      </c>
      <c r="V1071" s="192">
        <v>0</v>
      </c>
      <c r="W1071" s="189">
        <v>0</v>
      </c>
      <c r="X1071" s="192">
        <v>0</v>
      </c>
      <c r="Y1071" s="189">
        <v>0</v>
      </c>
      <c r="Z1071" s="192">
        <v>0</v>
      </c>
      <c r="AA1071" s="189">
        <v>0</v>
      </c>
      <c r="AB1071" s="192">
        <v>0</v>
      </c>
      <c r="AC1071" s="238">
        <f t="shared" si="555"/>
        <v>0</v>
      </c>
      <c r="AD1071" s="238"/>
      <c r="AE1071" s="238"/>
    </row>
    <row r="1072" spans="2:31" x14ac:dyDescent="0.3">
      <c r="B1072" s="245" t="s">
        <v>34</v>
      </c>
      <c r="C1072" s="245"/>
      <c r="D1072" s="245"/>
      <c r="E1072" s="189">
        <v>0</v>
      </c>
      <c r="F1072" s="192">
        <v>0</v>
      </c>
      <c r="G1072" s="189">
        <v>0</v>
      </c>
      <c r="H1072" s="192">
        <v>0</v>
      </c>
      <c r="I1072" s="189">
        <v>0</v>
      </c>
      <c r="J1072" s="192">
        <v>0</v>
      </c>
      <c r="K1072" s="189">
        <v>0</v>
      </c>
      <c r="L1072" s="192">
        <v>0</v>
      </c>
      <c r="M1072" s="189">
        <v>0</v>
      </c>
      <c r="N1072" s="192">
        <v>0</v>
      </c>
      <c r="O1072" s="189">
        <v>0</v>
      </c>
      <c r="P1072" s="192">
        <v>0</v>
      </c>
      <c r="Q1072" s="189">
        <v>0</v>
      </c>
      <c r="R1072" s="192">
        <v>0</v>
      </c>
      <c r="S1072" s="189">
        <v>0</v>
      </c>
      <c r="T1072" s="192">
        <v>0</v>
      </c>
      <c r="U1072" s="189">
        <v>0</v>
      </c>
      <c r="V1072" s="192">
        <v>0</v>
      </c>
      <c r="W1072" s="189">
        <v>0</v>
      </c>
      <c r="X1072" s="192">
        <v>0</v>
      </c>
      <c r="Y1072" s="189">
        <v>0</v>
      </c>
      <c r="Z1072" s="192">
        <v>0</v>
      </c>
      <c r="AA1072" s="189">
        <v>0</v>
      </c>
      <c r="AB1072" s="192">
        <v>0</v>
      </c>
      <c r="AC1072" s="238">
        <f t="shared" si="555"/>
        <v>0</v>
      </c>
      <c r="AD1072" s="238"/>
      <c r="AE1072" s="238"/>
    </row>
    <row r="1073" spans="2:31" x14ac:dyDescent="0.3">
      <c r="B1073" s="245" t="s">
        <v>35</v>
      </c>
      <c r="C1073" s="245"/>
      <c r="D1073" s="245"/>
      <c r="E1073" s="189">
        <v>0</v>
      </c>
      <c r="F1073" s="192">
        <v>0</v>
      </c>
      <c r="G1073" s="189">
        <v>0</v>
      </c>
      <c r="H1073" s="192">
        <v>0</v>
      </c>
      <c r="I1073" s="189">
        <v>0</v>
      </c>
      <c r="J1073" s="192">
        <v>0</v>
      </c>
      <c r="K1073" s="189">
        <v>0</v>
      </c>
      <c r="L1073" s="192">
        <v>0</v>
      </c>
      <c r="M1073" s="189">
        <v>0</v>
      </c>
      <c r="N1073" s="192">
        <v>0</v>
      </c>
      <c r="O1073" s="189">
        <v>0</v>
      </c>
      <c r="P1073" s="192">
        <v>0</v>
      </c>
      <c r="Q1073" s="189">
        <v>0</v>
      </c>
      <c r="R1073" s="192">
        <v>0</v>
      </c>
      <c r="S1073" s="189">
        <v>0</v>
      </c>
      <c r="T1073" s="192">
        <v>0</v>
      </c>
      <c r="U1073" s="189">
        <v>0</v>
      </c>
      <c r="V1073" s="192">
        <v>0</v>
      </c>
      <c r="W1073" s="189">
        <v>0</v>
      </c>
      <c r="X1073" s="192">
        <v>0</v>
      </c>
      <c r="Y1073" s="189">
        <v>0</v>
      </c>
      <c r="Z1073" s="192">
        <v>0</v>
      </c>
      <c r="AA1073" s="189">
        <v>0</v>
      </c>
      <c r="AB1073" s="192">
        <v>0</v>
      </c>
      <c r="AC1073" s="238">
        <f t="shared" si="555"/>
        <v>0</v>
      </c>
      <c r="AD1073" s="238"/>
      <c r="AE1073" s="238"/>
    </row>
    <row r="1074" spans="2:31" x14ac:dyDescent="0.3">
      <c r="B1074" s="245" t="s">
        <v>36</v>
      </c>
      <c r="C1074" s="245"/>
      <c r="D1074" s="245"/>
      <c r="E1074" s="189">
        <v>0</v>
      </c>
      <c r="F1074" s="192">
        <v>0</v>
      </c>
      <c r="G1074" s="189">
        <v>0</v>
      </c>
      <c r="H1074" s="192">
        <v>0</v>
      </c>
      <c r="I1074" s="189">
        <v>0</v>
      </c>
      <c r="J1074" s="192">
        <v>0</v>
      </c>
      <c r="K1074" s="189">
        <v>0</v>
      </c>
      <c r="L1074" s="192">
        <v>0</v>
      </c>
      <c r="M1074" s="189">
        <v>0</v>
      </c>
      <c r="N1074" s="192">
        <v>0</v>
      </c>
      <c r="O1074" s="189">
        <v>0</v>
      </c>
      <c r="P1074" s="192">
        <v>0</v>
      </c>
      <c r="Q1074" s="189">
        <v>0</v>
      </c>
      <c r="R1074" s="192">
        <v>0</v>
      </c>
      <c r="S1074" s="189">
        <v>0</v>
      </c>
      <c r="T1074" s="192">
        <v>0</v>
      </c>
      <c r="U1074" s="189">
        <v>0</v>
      </c>
      <c r="V1074" s="192">
        <v>0</v>
      </c>
      <c r="W1074" s="189">
        <v>0</v>
      </c>
      <c r="X1074" s="192">
        <v>0</v>
      </c>
      <c r="Y1074" s="189">
        <v>0</v>
      </c>
      <c r="Z1074" s="192">
        <v>0</v>
      </c>
      <c r="AA1074" s="189">
        <v>0</v>
      </c>
      <c r="AB1074" s="192">
        <v>0</v>
      </c>
      <c r="AC1074" s="238">
        <f t="shared" si="555"/>
        <v>0</v>
      </c>
      <c r="AD1074" s="238"/>
      <c r="AE1074" s="238"/>
    </row>
    <row r="1075" spans="2:31" x14ac:dyDescent="0.3">
      <c r="B1075" s="13" t="s">
        <v>89</v>
      </c>
      <c r="C1075" s="13"/>
      <c r="D1075" s="13"/>
      <c r="E1075" s="189">
        <v>0</v>
      </c>
      <c r="F1075" s="192">
        <v>0</v>
      </c>
      <c r="G1075" s="189">
        <v>0</v>
      </c>
      <c r="H1075" s="192">
        <v>0</v>
      </c>
      <c r="I1075" s="189">
        <v>0</v>
      </c>
      <c r="J1075" s="192">
        <v>0</v>
      </c>
      <c r="K1075" s="189">
        <v>0</v>
      </c>
      <c r="L1075" s="192">
        <v>0</v>
      </c>
      <c r="M1075" s="189">
        <v>0</v>
      </c>
      <c r="N1075" s="192">
        <v>0</v>
      </c>
      <c r="O1075" s="189">
        <v>0</v>
      </c>
      <c r="P1075" s="192">
        <v>0</v>
      </c>
      <c r="Q1075" s="189">
        <v>0</v>
      </c>
      <c r="R1075" s="192">
        <v>0</v>
      </c>
      <c r="S1075" s="189">
        <v>0</v>
      </c>
      <c r="T1075" s="192">
        <v>0</v>
      </c>
      <c r="U1075" s="189">
        <v>0</v>
      </c>
      <c r="V1075" s="192">
        <v>0</v>
      </c>
      <c r="W1075" s="189">
        <v>0</v>
      </c>
      <c r="X1075" s="192">
        <v>0</v>
      </c>
      <c r="Y1075" s="189">
        <v>0</v>
      </c>
      <c r="Z1075" s="192">
        <v>0</v>
      </c>
      <c r="AA1075" s="189">
        <v>0</v>
      </c>
      <c r="AB1075" s="192">
        <v>0</v>
      </c>
      <c r="AC1075" s="238">
        <f t="shared" si="555"/>
        <v>0</v>
      </c>
      <c r="AD1075" s="238"/>
      <c r="AE1075" s="238"/>
    </row>
    <row r="1076" spans="2:31" x14ac:dyDescent="0.3">
      <c r="B1076" s="13" t="s">
        <v>90</v>
      </c>
      <c r="C1076" s="13"/>
      <c r="D1076" s="13"/>
      <c r="E1076" s="189">
        <v>0</v>
      </c>
      <c r="F1076" s="192">
        <v>0</v>
      </c>
      <c r="G1076" s="189">
        <v>0</v>
      </c>
      <c r="H1076" s="192">
        <v>0</v>
      </c>
      <c r="I1076" s="189">
        <v>0</v>
      </c>
      <c r="J1076" s="192">
        <v>0</v>
      </c>
      <c r="K1076" s="189">
        <v>0</v>
      </c>
      <c r="L1076" s="192">
        <v>0</v>
      </c>
      <c r="M1076" s="189">
        <v>0</v>
      </c>
      <c r="N1076" s="192">
        <v>0</v>
      </c>
      <c r="O1076" s="189">
        <v>0</v>
      </c>
      <c r="P1076" s="192">
        <v>0</v>
      </c>
      <c r="Q1076" s="189">
        <v>0</v>
      </c>
      <c r="R1076" s="192">
        <v>0</v>
      </c>
      <c r="S1076" s="189">
        <v>0</v>
      </c>
      <c r="T1076" s="192">
        <v>0</v>
      </c>
      <c r="U1076" s="189">
        <v>0</v>
      </c>
      <c r="V1076" s="192">
        <v>0</v>
      </c>
      <c r="W1076" s="189">
        <v>0</v>
      </c>
      <c r="X1076" s="192">
        <v>0</v>
      </c>
      <c r="Y1076" s="189">
        <v>0</v>
      </c>
      <c r="Z1076" s="192">
        <v>0</v>
      </c>
      <c r="AA1076" s="189">
        <v>0</v>
      </c>
      <c r="AB1076" s="192">
        <v>0</v>
      </c>
      <c r="AC1076" s="238">
        <f t="shared" si="555"/>
        <v>0</v>
      </c>
      <c r="AD1076" s="238"/>
      <c r="AE1076" s="238"/>
    </row>
    <row r="1077" spans="2:31" x14ac:dyDescent="0.3">
      <c r="B1077" s="14" t="s">
        <v>2</v>
      </c>
      <c r="C1077" s="14"/>
      <c r="D1077" s="14"/>
      <c r="E1077" s="15">
        <f>SUM(E1040:E1076)</f>
        <v>0</v>
      </c>
      <c r="F1077" s="15">
        <f t="shared" ref="F1077" si="556">SUM(F1040:F1076)</f>
        <v>0</v>
      </c>
      <c r="G1077" s="15">
        <f t="shared" ref="G1077" si="557">SUM(G1040:G1076)</f>
        <v>0</v>
      </c>
      <c r="H1077" s="15">
        <f t="shared" ref="H1077" si="558">SUM(H1040:H1076)</f>
        <v>0</v>
      </c>
      <c r="I1077" s="15">
        <f t="shared" ref="I1077" si="559">SUM(I1040:I1076)</f>
        <v>0</v>
      </c>
      <c r="J1077" s="15">
        <f t="shared" ref="J1077" si="560">SUM(J1040:J1076)</f>
        <v>0</v>
      </c>
      <c r="K1077" s="15">
        <f t="shared" ref="K1077" si="561">SUM(K1040:K1076)</f>
        <v>0</v>
      </c>
      <c r="L1077" s="15">
        <f t="shared" ref="L1077" si="562">SUM(L1040:L1076)</f>
        <v>0</v>
      </c>
      <c r="M1077" s="15">
        <f t="shared" ref="M1077" si="563">SUM(M1040:M1076)</f>
        <v>0</v>
      </c>
      <c r="N1077" s="15">
        <f t="shared" ref="N1077" si="564">SUM(N1040:N1076)</f>
        <v>0</v>
      </c>
      <c r="O1077" s="15">
        <f t="shared" ref="O1077" si="565">SUM(O1040:O1076)</f>
        <v>0</v>
      </c>
      <c r="P1077" s="15">
        <f t="shared" ref="P1077" si="566">SUM(P1040:P1076)</f>
        <v>0</v>
      </c>
      <c r="Q1077" s="15">
        <f t="shared" ref="Q1077" si="567">SUM(Q1040:Q1076)</f>
        <v>10.281333333333331</v>
      </c>
      <c r="R1077" s="15">
        <f t="shared" ref="R1077" si="568">SUM(R1040:R1076)</f>
        <v>16.447333333333333</v>
      </c>
      <c r="S1077" s="15">
        <f t="shared" ref="S1077" si="569">SUM(S1040:S1076)</f>
        <v>7.953666666666666</v>
      </c>
      <c r="T1077" s="15">
        <f t="shared" ref="T1077" si="570">SUM(T1040:T1076)</f>
        <v>13.957166666666666</v>
      </c>
      <c r="U1077" s="15">
        <f t="shared" ref="U1077" si="571">SUM(U1040:U1076)</f>
        <v>4.2581666666666687</v>
      </c>
      <c r="V1077" s="15">
        <f t="shared" ref="V1077" si="572">SUM(V1040:V1076)</f>
        <v>24.791166666666662</v>
      </c>
      <c r="W1077" s="15">
        <f t="shared" ref="W1077" si="573">SUM(W1040:W1076)</f>
        <v>19.003</v>
      </c>
      <c r="X1077" s="15">
        <f t="shared" ref="X1077" si="574">SUM(X1040:X1076)</f>
        <v>7.4650000000000007</v>
      </c>
      <c r="Y1077" s="15">
        <f t="shared" ref="Y1077" si="575">SUM(Y1040:Y1076)</f>
        <v>0</v>
      </c>
      <c r="Z1077" s="15">
        <f t="shared" ref="Z1077" si="576">SUM(Z1040:Z1076)</f>
        <v>0</v>
      </c>
      <c r="AA1077" s="15">
        <f t="shared" ref="AA1077" si="577">SUM(AA1040:AA1076)</f>
        <v>0</v>
      </c>
      <c r="AB1077" s="15">
        <f t="shared" ref="AB1077" si="578">SUM(AB1040:AB1076)</f>
        <v>0</v>
      </c>
      <c r="AC1077" s="249">
        <f>SUM(AC1040:AE1076)</f>
        <v>104.15683333333332</v>
      </c>
      <c r="AD1077" s="249"/>
      <c r="AE1077" s="249"/>
    </row>
    <row r="1080" spans="2:31" x14ac:dyDescent="0.3">
      <c r="B1080" s="8">
        <f>'Resumen-Mensual'!$AD$22</f>
        <v>44587</v>
      </c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4"/>
      <c r="AD1080" s="4"/>
      <c r="AE1080" s="4"/>
    </row>
    <row r="1081" spans="2:31" x14ac:dyDescent="0.3">
      <c r="B1081" s="8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4"/>
      <c r="AD1081" s="4"/>
      <c r="AE1081" s="4"/>
    </row>
    <row r="1082" spans="2:31" x14ac:dyDescent="0.3">
      <c r="B1082" s="9" t="s">
        <v>81</v>
      </c>
      <c r="C1082" s="10"/>
      <c r="D1082" s="10"/>
      <c r="E1082" s="11">
        <v>1</v>
      </c>
      <c r="F1082" s="11">
        <v>2</v>
      </c>
      <c r="G1082" s="11">
        <v>3</v>
      </c>
      <c r="H1082" s="11">
        <v>4</v>
      </c>
      <c r="I1082" s="11">
        <v>5</v>
      </c>
      <c r="J1082" s="11">
        <v>6</v>
      </c>
      <c r="K1082" s="11">
        <v>7</v>
      </c>
      <c r="L1082" s="11">
        <v>8</v>
      </c>
      <c r="M1082" s="11">
        <v>9</v>
      </c>
      <c r="N1082" s="11">
        <v>10</v>
      </c>
      <c r="O1082" s="11">
        <v>11</v>
      </c>
      <c r="P1082" s="11">
        <v>12</v>
      </c>
      <c r="Q1082" s="11">
        <v>13</v>
      </c>
      <c r="R1082" s="11">
        <v>14</v>
      </c>
      <c r="S1082" s="11">
        <v>15</v>
      </c>
      <c r="T1082" s="11">
        <v>16</v>
      </c>
      <c r="U1082" s="11">
        <v>17</v>
      </c>
      <c r="V1082" s="11">
        <v>18</v>
      </c>
      <c r="W1082" s="11">
        <v>19</v>
      </c>
      <c r="X1082" s="11">
        <v>20</v>
      </c>
      <c r="Y1082" s="11">
        <v>21</v>
      </c>
      <c r="Z1082" s="11">
        <v>22</v>
      </c>
      <c r="AA1082" s="11">
        <v>23</v>
      </c>
      <c r="AB1082" s="11">
        <v>24</v>
      </c>
      <c r="AC1082" s="248" t="s">
        <v>2</v>
      </c>
      <c r="AD1082" s="248"/>
      <c r="AE1082" s="248"/>
    </row>
    <row r="1083" spans="2:31" x14ac:dyDescent="0.3">
      <c r="B1083" s="245" t="s">
        <v>4</v>
      </c>
      <c r="C1083" s="245"/>
      <c r="D1083" s="245"/>
      <c r="E1083" s="197">
        <v>0</v>
      </c>
      <c r="F1083" s="198">
        <v>0</v>
      </c>
      <c r="G1083" s="197">
        <v>0</v>
      </c>
      <c r="H1083" s="198">
        <v>0</v>
      </c>
      <c r="I1083" s="197">
        <v>0</v>
      </c>
      <c r="J1083" s="198">
        <v>0</v>
      </c>
      <c r="K1083" s="197">
        <v>0</v>
      </c>
      <c r="L1083" s="198">
        <v>0</v>
      </c>
      <c r="M1083" s="197">
        <v>0</v>
      </c>
      <c r="N1083" s="198">
        <v>0</v>
      </c>
      <c r="O1083" s="197">
        <v>0</v>
      </c>
      <c r="P1083" s="198">
        <v>0</v>
      </c>
      <c r="Q1083" s="197">
        <v>0</v>
      </c>
      <c r="R1083" s="198">
        <v>0</v>
      </c>
      <c r="S1083" s="197">
        <v>0</v>
      </c>
      <c r="T1083" s="198">
        <v>0</v>
      </c>
      <c r="U1083" s="197">
        <v>0</v>
      </c>
      <c r="V1083" s="198">
        <v>0</v>
      </c>
      <c r="W1083" s="197">
        <v>0</v>
      </c>
      <c r="X1083" s="198">
        <v>0</v>
      </c>
      <c r="Y1083" s="197">
        <v>0</v>
      </c>
      <c r="Z1083" s="198">
        <v>0</v>
      </c>
      <c r="AA1083" s="197">
        <v>0</v>
      </c>
      <c r="AB1083" s="198">
        <v>0</v>
      </c>
      <c r="AC1083" s="238">
        <f>SUM(E1083:AB1083)</f>
        <v>0</v>
      </c>
      <c r="AD1083" s="238"/>
      <c r="AE1083" s="238"/>
    </row>
    <row r="1084" spans="2:31" x14ac:dyDescent="0.3">
      <c r="B1084" s="245" t="s">
        <v>5</v>
      </c>
      <c r="C1084" s="245"/>
      <c r="D1084" s="245"/>
      <c r="E1084" s="196">
        <v>0</v>
      </c>
      <c r="F1084" s="199">
        <v>0</v>
      </c>
      <c r="G1084" s="196">
        <v>0</v>
      </c>
      <c r="H1084" s="199">
        <v>0</v>
      </c>
      <c r="I1084" s="196">
        <v>0</v>
      </c>
      <c r="J1084" s="199">
        <v>0</v>
      </c>
      <c r="K1084" s="196">
        <v>0</v>
      </c>
      <c r="L1084" s="199">
        <v>0</v>
      </c>
      <c r="M1084" s="196">
        <v>0</v>
      </c>
      <c r="N1084" s="199">
        <v>0</v>
      </c>
      <c r="O1084" s="196">
        <v>0</v>
      </c>
      <c r="P1084" s="199">
        <v>0</v>
      </c>
      <c r="Q1084" s="196">
        <v>0</v>
      </c>
      <c r="R1084" s="199">
        <v>0</v>
      </c>
      <c r="S1084" s="196">
        <v>0</v>
      </c>
      <c r="T1084" s="199">
        <v>16.542999999999999</v>
      </c>
      <c r="U1084" s="196">
        <v>54.675499999999992</v>
      </c>
      <c r="V1084" s="199">
        <v>61.874833333333349</v>
      </c>
      <c r="W1084" s="196">
        <v>34.128500000000003</v>
      </c>
      <c r="X1084" s="199">
        <v>0</v>
      </c>
      <c r="Y1084" s="196">
        <v>0</v>
      </c>
      <c r="Z1084" s="199">
        <v>0</v>
      </c>
      <c r="AA1084" s="196">
        <v>0</v>
      </c>
      <c r="AB1084" s="199">
        <v>0</v>
      </c>
      <c r="AC1084" s="238">
        <f t="shared" ref="AC1084:AC1119" si="579">SUM(E1084:AB1084)</f>
        <v>167.22183333333334</v>
      </c>
      <c r="AD1084" s="238"/>
      <c r="AE1084" s="238"/>
    </row>
    <row r="1085" spans="2:31" x14ac:dyDescent="0.3">
      <c r="B1085" s="245" t="s">
        <v>6</v>
      </c>
      <c r="C1085" s="245"/>
      <c r="D1085" s="245"/>
      <c r="E1085" s="196">
        <v>0</v>
      </c>
      <c r="F1085" s="199">
        <v>0</v>
      </c>
      <c r="G1085" s="196">
        <v>0</v>
      </c>
      <c r="H1085" s="199">
        <v>0</v>
      </c>
      <c r="I1085" s="196">
        <v>0</v>
      </c>
      <c r="J1085" s="199">
        <v>0</v>
      </c>
      <c r="K1085" s="196">
        <v>0</v>
      </c>
      <c r="L1085" s="199">
        <v>0</v>
      </c>
      <c r="M1085" s="196">
        <v>0</v>
      </c>
      <c r="N1085" s="199">
        <v>0</v>
      </c>
      <c r="O1085" s="196">
        <v>0</v>
      </c>
      <c r="P1085" s="199">
        <v>0</v>
      </c>
      <c r="Q1085" s="196">
        <v>0</v>
      </c>
      <c r="R1085" s="199">
        <v>13.885166666666661</v>
      </c>
      <c r="S1085" s="196">
        <v>37.48266666666666</v>
      </c>
      <c r="T1085" s="199">
        <v>0</v>
      </c>
      <c r="U1085" s="196">
        <v>0</v>
      </c>
      <c r="V1085" s="199">
        <v>0</v>
      </c>
      <c r="W1085" s="196">
        <v>0</v>
      </c>
      <c r="X1085" s="199">
        <v>0</v>
      </c>
      <c r="Y1085" s="196">
        <v>0</v>
      </c>
      <c r="Z1085" s="199">
        <v>0</v>
      </c>
      <c r="AA1085" s="196">
        <v>0</v>
      </c>
      <c r="AB1085" s="199">
        <v>0</v>
      </c>
      <c r="AC1085" s="238">
        <f t="shared" si="579"/>
        <v>51.367833333333323</v>
      </c>
      <c r="AD1085" s="238"/>
      <c r="AE1085" s="238"/>
    </row>
    <row r="1086" spans="2:31" x14ac:dyDescent="0.3">
      <c r="B1086" s="245" t="s">
        <v>91</v>
      </c>
      <c r="C1086" s="245"/>
      <c r="D1086" s="245"/>
      <c r="E1086" s="196">
        <v>0</v>
      </c>
      <c r="F1086" s="199">
        <v>0</v>
      </c>
      <c r="G1086" s="196">
        <v>0</v>
      </c>
      <c r="H1086" s="199">
        <v>0</v>
      </c>
      <c r="I1086" s="196">
        <v>0</v>
      </c>
      <c r="J1086" s="199">
        <v>0</v>
      </c>
      <c r="K1086" s="196">
        <v>0</v>
      </c>
      <c r="L1086" s="199">
        <v>0</v>
      </c>
      <c r="M1086" s="196">
        <v>0</v>
      </c>
      <c r="N1086" s="199">
        <v>0</v>
      </c>
      <c r="O1086" s="196">
        <v>0</v>
      </c>
      <c r="P1086" s="199">
        <v>0</v>
      </c>
      <c r="Q1086" s="196">
        <v>0</v>
      </c>
      <c r="R1086" s="199">
        <v>0</v>
      </c>
      <c r="S1086" s="196">
        <v>0</v>
      </c>
      <c r="T1086" s="199">
        <v>0</v>
      </c>
      <c r="U1086" s="196">
        <v>0</v>
      </c>
      <c r="V1086" s="199">
        <v>0</v>
      </c>
      <c r="W1086" s="196">
        <v>0</v>
      </c>
      <c r="X1086" s="199">
        <v>0</v>
      </c>
      <c r="Y1086" s="196">
        <v>0</v>
      </c>
      <c r="Z1086" s="199">
        <v>0</v>
      </c>
      <c r="AA1086" s="196">
        <v>0</v>
      </c>
      <c r="AB1086" s="199">
        <v>0</v>
      </c>
      <c r="AC1086" s="238">
        <f t="shared" si="579"/>
        <v>0</v>
      </c>
      <c r="AD1086" s="238"/>
      <c r="AE1086" s="238"/>
    </row>
    <row r="1087" spans="2:31" x14ac:dyDescent="0.3">
      <c r="B1087" s="245" t="s">
        <v>7</v>
      </c>
      <c r="C1087" s="245"/>
      <c r="D1087" s="245"/>
      <c r="E1087" s="196">
        <v>0</v>
      </c>
      <c r="F1087" s="199">
        <v>0</v>
      </c>
      <c r="G1087" s="196">
        <v>0</v>
      </c>
      <c r="H1087" s="199">
        <v>0</v>
      </c>
      <c r="I1087" s="196">
        <v>0</v>
      </c>
      <c r="J1087" s="199">
        <v>0</v>
      </c>
      <c r="K1087" s="196">
        <v>0</v>
      </c>
      <c r="L1087" s="199">
        <v>0</v>
      </c>
      <c r="M1087" s="196">
        <v>0</v>
      </c>
      <c r="N1087" s="199">
        <v>0</v>
      </c>
      <c r="O1087" s="196">
        <v>0</v>
      </c>
      <c r="P1087" s="199">
        <v>0</v>
      </c>
      <c r="Q1087" s="196">
        <v>0</v>
      </c>
      <c r="R1087" s="199">
        <v>0.74399999999999933</v>
      </c>
      <c r="S1087" s="196">
        <v>0</v>
      </c>
      <c r="T1087" s="199">
        <v>0</v>
      </c>
      <c r="U1087" s="196">
        <v>0</v>
      </c>
      <c r="V1087" s="199">
        <v>0</v>
      </c>
      <c r="W1087" s="196">
        <v>7.7476666666666647</v>
      </c>
      <c r="X1087" s="199">
        <v>0</v>
      </c>
      <c r="Y1087" s="196">
        <v>0</v>
      </c>
      <c r="Z1087" s="199">
        <v>0</v>
      </c>
      <c r="AA1087" s="196">
        <v>0</v>
      </c>
      <c r="AB1087" s="199">
        <v>0</v>
      </c>
      <c r="AC1087" s="238">
        <f t="shared" si="579"/>
        <v>8.4916666666666636</v>
      </c>
      <c r="AD1087" s="238"/>
      <c r="AE1087" s="238"/>
    </row>
    <row r="1088" spans="2:31" x14ac:dyDescent="0.3">
      <c r="B1088" s="245" t="s">
        <v>8</v>
      </c>
      <c r="C1088" s="245"/>
      <c r="D1088" s="245"/>
      <c r="E1088" s="196">
        <v>0</v>
      </c>
      <c r="F1088" s="199">
        <v>0</v>
      </c>
      <c r="G1088" s="196">
        <v>0</v>
      </c>
      <c r="H1088" s="199">
        <v>0</v>
      </c>
      <c r="I1088" s="196">
        <v>0</v>
      </c>
      <c r="J1088" s="199">
        <v>0</v>
      </c>
      <c r="K1088" s="196">
        <v>0</v>
      </c>
      <c r="L1088" s="199">
        <v>0</v>
      </c>
      <c r="M1088" s="196">
        <v>0</v>
      </c>
      <c r="N1088" s="199">
        <v>0</v>
      </c>
      <c r="O1088" s="196">
        <v>0</v>
      </c>
      <c r="P1088" s="199">
        <v>0</v>
      </c>
      <c r="Q1088" s="196">
        <v>0</v>
      </c>
      <c r="R1088" s="199">
        <v>0</v>
      </c>
      <c r="S1088" s="196">
        <v>0</v>
      </c>
      <c r="T1088" s="199">
        <v>4.9693333333333349</v>
      </c>
      <c r="U1088" s="196">
        <v>18.564500000000006</v>
      </c>
      <c r="V1088" s="199">
        <v>18.223999999999993</v>
      </c>
      <c r="W1088" s="196">
        <v>6.618833333333332</v>
      </c>
      <c r="X1088" s="199">
        <v>0</v>
      </c>
      <c r="Y1088" s="196">
        <v>0</v>
      </c>
      <c r="Z1088" s="199">
        <v>0</v>
      </c>
      <c r="AA1088" s="196">
        <v>0</v>
      </c>
      <c r="AB1088" s="199">
        <v>0</v>
      </c>
      <c r="AC1088" s="238">
        <f t="shared" si="579"/>
        <v>48.376666666666672</v>
      </c>
      <c r="AD1088" s="238"/>
      <c r="AE1088" s="238"/>
    </row>
    <row r="1089" spans="2:31" x14ac:dyDescent="0.3">
      <c r="B1089" s="245" t="s">
        <v>9</v>
      </c>
      <c r="C1089" s="245"/>
      <c r="D1089" s="245"/>
      <c r="E1089" s="196">
        <v>0</v>
      </c>
      <c r="F1089" s="199">
        <v>0</v>
      </c>
      <c r="G1089" s="196">
        <v>0</v>
      </c>
      <c r="H1089" s="199">
        <v>0</v>
      </c>
      <c r="I1089" s="196">
        <v>0</v>
      </c>
      <c r="J1089" s="199">
        <v>0</v>
      </c>
      <c r="K1089" s="196">
        <v>0</v>
      </c>
      <c r="L1089" s="199">
        <v>0</v>
      </c>
      <c r="M1089" s="196">
        <v>0</v>
      </c>
      <c r="N1089" s="199">
        <v>0</v>
      </c>
      <c r="O1089" s="196">
        <v>0</v>
      </c>
      <c r="P1089" s="199">
        <v>0</v>
      </c>
      <c r="Q1089" s="196">
        <v>0</v>
      </c>
      <c r="R1089" s="199">
        <v>0</v>
      </c>
      <c r="S1089" s="196">
        <v>0</v>
      </c>
      <c r="T1089" s="199">
        <v>6.1000000000000179E-2</v>
      </c>
      <c r="U1089" s="196">
        <v>19.295333333333328</v>
      </c>
      <c r="V1089" s="199">
        <v>37.738500000000002</v>
      </c>
      <c r="W1089" s="196">
        <v>31.58133333333334</v>
      </c>
      <c r="X1089" s="199">
        <v>0</v>
      </c>
      <c r="Y1089" s="196">
        <v>0</v>
      </c>
      <c r="Z1089" s="199">
        <v>0</v>
      </c>
      <c r="AA1089" s="196">
        <v>0</v>
      </c>
      <c r="AB1089" s="199">
        <v>0</v>
      </c>
      <c r="AC1089" s="238">
        <f t="shared" si="579"/>
        <v>88.67616666666666</v>
      </c>
      <c r="AD1089" s="238"/>
      <c r="AE1089" s="238"/>
    </row>
    <row r="1090" spans="2:31" x14ac:dyDescent="0.3">
      <c r="B1090" s="245" t="s">
        <v>10</v>
      </c>
      <c r="C1090" s="245"/>
      <c r="D1090" s="245"/>
      <c r="E1090" s="196">
        <v>0</v>
      </c>
      <c r="F1090" s="199">
        <v>0</v>
      </c>
      <c r="G1090" s="196">
        <v>0</v>
      </c>
      <c r="H1090" s="199">
        <v>0</v>
      </c>
      <c r="I1090" s="196">
        <v>0</v>
      </c>
      <c r="J1090" s="199">
        <v>0</v>
      </c>
      <c r="K1090" s="196">
        <v>0</v>
      </c>
      <c r="L1090" s="199">
        <v>0</v>
      </c>
      <c r="M1090" s="196">
        <v>0</v>
      </c>
      <c r="N1090" s="199">
        <v>0</v>
      </c>
      <c r="O1090" s="196">
        <v>0</v>
      </c>
      <c r="P1090" s="199">
        <v>0</v>
      </c>
      <c r="Q1090" s="196">
        <v>0</v>
      </c>
      <c r="R1090" s="199">
        <v>0</v>
      </c>
      <c r="S1090" s="196">
        <v>0</v>
      </c>
      <c r="T1090" s="199">
        <v>1.309666666666669</v>
      </c>
      <c r="U1090" s="196">
        <v>13.148500000000004</v>
      </c>
      <c r="V1090" s="199">
        <v>20.725000000000009</v>
      </c>
      <c r="W1090" s="196">
        <v>17.161833333333334</v>
      </c>
      <c r="X1090" s="199">
        <v>0</v>
      </c>
      <c r="Y1090" s="196">
        <v>0</v>
      </c>
      <c r="Z1090" s="199">
        <v>0</v>
      </c>
      <c r="AA1090" s="196">
        <v>0</v>
      </c>
      <c r="AB1090" s="199">
        <v>0</v>
      </c>
      <c r="AC1090" s="238">
        <f t="shared" si="579"/>
        <v>52.345000000000013</v>
      </c>
      <c r="AD1090" s="238"/>
      <c r="AE1090" s="238"/>
    </row>
    <row r="1091" spans="2:31" x14ac:dyDescent="0.3">
      <c r="B1091" s="245" t="s">
        <v>11</v>
      </c>
      <c r="C1091" s="245"/>
      <c r="D1091" s="245"/>
      <c r="E1091" s="196">
        <v>0</v>
      </c>
      <c r="F1091" s="199">
        <v>0</v>
      </c>
      <c r="G1091" s="196">
        <v>0</v>
      </c>
      <c r="H1091" s="199">
        <v>0</v>
      </c>
      <c r="I1091" s="196">
        <v>0</v>
      </c>
      <c r="J1091" s="199">
        <v>0</v>
      </c>
      <c r="K1091" s="196">
        <v>0</v>
      </c>
      <c r="L1091" s="199">
        <v>0</v>
      </c>
      <c r="M1091" s="196">
        <v>0</v>
      </c>
      <c r="N1091" s="199">
        <v>0</v>
      </c>
      <c r="O1091" s="196">
        <v>0</v>
      </c>
      <c r="P1091" s="199">
        <v>0</v>
      </c>
      <c r="Q1091" s="196">
        <v>0</v>
      </c>
      <c r="R1091" s="199">
        <v>0</v>
      </c>
      <c r="S1091" s="196">
        <v>0</v>
      </c>
      <c r="T1091" s="199">
        <v>0.70866666666666778</v>
      </c>
      <c r="U1091" s="196">
        <v>14.843666666666667</v>
      </c>
      <c r="V1091" s="199">
        <v>27.593166666666665</v>
      </c>
      <c r="W1091" s="196">
        <v>26.291999999999973</v>
      </c>
      <c r="X1091" s="199">
        <v>0</v>
      </c>
      <c r="Y1091" s="196">
        <v>0</v>
      </c>
      <c r="Z1091" s="199">
        <v>0</v>
      </c>
      <c r="AA1091" s="196">
        <v>0</v>
      </c>
      <c r="AB1091" s="199">
        <v>0</v>
      </c>
      <c r="AC1091" s="238">
        <f t="shared" si="579"/>
        <v>69.437499999999972</v>
      </c>
      <c r="AD1091" s="238"/>
      <c r="AE1091" s="238"/>
    </row>
    <row r="1092" spans="2:31" x14ac:dyDescent="0.3">
      <c r="B1092" s="245" t="s">
        <v>12</v>
      </c>
      <c r="C1092" s="245"/>
      <c r="D1092" s="245"/>
      <c r="E1092" s="196">
        <v>0</v>
      </c>
      <c r="F1092" s="199">
        <v>0</v>
      </c>
      <c r="G1092" s="196">
        <v>0</v>
      </c>
      <c r="H1092" s="199">
        <v>0</v>
      </c>
      <c r="I1092" s="196">
        <v>0</v>
      </c>
      <c r="J1092" s="199">
        <v>0</v>
      </c>
      <c r="K1092" s="196">
        <v>0</v>
      </c>
      <c r="L1092" s="199">
        <v>0</v>
      </c>
      <c r="M1092" s="196">
        <v>0</v>
      </c>
      <c r="N1092" s="199">
        <v>0</v>
      </c>
      <c r="O1092" s="196">
        <v>0</v>
      </c>
      <c r="P1092" s="199">
        <v>0</v>
      </c>
      <c r="Q1092" s="196">
        <v>0</v>
      </c>
      <c r="R1092" s="199">
        <v>0</v>
      </c>
      <c r="S1092" s="196">
        <v>0</v>
      </c>
      <c r="T1092" s="199">
        <v>2.9434999999999985</v>
      </c>
      <c r="U1092" s="196">
        <v>36.990500000000004</v>
      </c>
      <c r="V1092" s="199">
        <v>57.289333333333325</v>
      </c>
      <c r="W1092" s="196">
        <v>47.086333333333343</v>
      </c>
      <c r="X1092" s="199">
        <v>0</v>
      </c>
      <c r="Y1092" s="196">
        <v>0</v>
      </c>
      <c r="Z1092" s="199">
        <v>0</v>
      </c>
      <c r="AA1092" s="196">
        <v>0</v>
      </c>
      <c r="AB1092" s="199">
        <v>0</v>
      </c>
      <c r="AC1092" s="238">
        <f t="shared" si="579"/>
        <v>144.30966666666666</v>
      </c>
      <c r="AD1092" s="238"/>
      <c r="AE1092" s="238"/>
    </row>
    <row r="1093" spans="2:31" x14ac:dyDescent="0.3">
      <c r="B1093" s="245" t="s">
        <v>13</v>
      </c>
      <c r="C1093" s="245"/>
      <c r="D1093" s="245"/>
      <c r="E1093" s="196">
        <v>0</v>
      </c>
      <c r="F1093" s="199">
        <v>0</v>
      </c>
      <c r="G1093" s="196">
        <v>0</v>
      </c>
      <c r="H1093" s="199">
        <v>0</v>
      </c>
      <c r="I1093" s="196">
        <v>0</v>
      </c>
      <c r="J1093" s="199">
        <v>0</v>
      </c>
      <c r="K1093" s="196">
        <v>0</v>
      </c>
      <c r="L1093" s="199">
        <v>0</v>
      </c>
      <c r="M1093" s="196">
        <v>0</v>
      </c>
      <c r="N1093" s="199">
        <v>0</v>
      </c>
      <c r="O1093" s="196">
        <v>0</v>
      </c>
      <c r="P1093" s="199">
        <v>0</v>
      </c>
      <c r="Q1093" s="196">
        <v>0</v>
      </c>
      <c r="R1093" s="199">
        <v>0</v>
      </c>
      <c r="S1093" s="196">
        <v>0</v>
      </c>
      <c r="T1093" s="199">
        <v>3.3251666666666684</v>
      </c>
      <c r="U1093" s="196">
        <v>29.81600000000001</v>
      </c>
      <c r="V1093" s="199">
        <v>43.908166666666666</v>
      </c>
      <c r="W1093" s="196">
        <v>33.109333333333353</v>
      </c>
      <c r="X1093" s="199">
        <v>0</v>
      </c>
      <c r="Y1093" s="196">
        <v>0</v>
      </c>
      <c r="Z1093" s="199">
        <v>0</v>
      </c>
      <c r="AA1093" s="196">
        <v>0</v>
      </c>
      <c r="AB1093" s="199">
        <v>0</v>
      </c>
      <c r="AC1093" s="238">
        <f t="shared" si="579"/>
        <v>110.1586666666667</v>
      </c>
      <c r="AD1093" s="238"/>
      <c r="AE1093" s="238"/>
    </row>
    <row r="1094" spans="2:31" x14ac:dyDescent="0.3">
      <c r="B1094" s="245" t="s">
        <v>14</v>
      </c>
      <c r="C1094" s="245"/>
      <c r="D1094" s="245"/>
      <c r="E1094" s="196">
        <v>0</v>
      </c>
      <c r="F1094" s="199">
        <v>0</v>
      </c>
      <c r="G1094" s="196">
        <v>0</v>
      </c>
      <c r="H1094" s="199">
        <v>0</v>
      </c>
      <c r="I1094" s="196">
        <v>0</v>
      </c>
      <c r="J1094" s="199">
        <v>0</v>
      </c>
      <c r="K1094" s="196">
        <v>0</v>
      </c>
      <c r="L1094" s="199">
        <v>0</v>
      </c>
      <c r="M1094" s="196">
        <v>0</v>
      </c>
      <c r="N1094" s="199">
        <v>0</v>
      </c>
      <c r="O1094" s="196">
        <v>0</v>
      </c>
      <c r="P1094" s="199">
        <v>0</v>
      </c>
      <c r="Q1094" s="196">
        <v>0</v>
      </c>
      <c r="R1094" s="199">
        <v>0</v>
      </c>
      <c r="S1094" s="196">
        <v>0</v>
      </c>
      <c r="T1094" s="199">
        <v>0</v>
      </c>
      <c r="U1094" s="196">
        <v>3.9646666666666692</v>
      </c>
      <c r="V1094" s="199">
        <v>3.8600000000000061</v>
      </c>
      <c r="W1094" s="196">
        <v>2.2560000000000007</v>
      </c>
      <c r="X1094" s="199">
        <v>0</v>
      </c>
      <c r="Y1094" s="196">
        <v>0</v>
      </c>
      <c r="Z1094" s="199">
        <v>0</v>
      </c>
      <c r="AA1094" s="196">
        <v>0</v>
      </c>
      <c r="AB1094" s="199">
        <v>0</v>
      </c>
      <c r="AC1094" s="238">
        <f t="shared" si="579"/>
        <v>10.080666666666676</v>
      </c>
      <c r="AD1094" s="238"/>
      <c r="AE1094" s="238"/>
    </row>
    <row r="1095" spans="2:31" x14ac:dyDescent="0.3">
      <c r="B1095" s="245" t="s">
        <v>15</v>
      </c>
      <c r="C1095" s="245"/>
      <c r="D1095" s="245"/>
      <c r="E1095" s="196">
        <v>0</v>
      </c>
      <c r="F1095" s="199">
        <v>0</v>
      </c>
      <c r="G1095" s="196">
        <v>0</v>
      </c>
      <c r="H1095" s="199">
        <v>0</v>
      </c>
      <c r="I1095" s="196">
        <v>0</v>
      </c>
      <c r="J1095" s="199">
        <v>0</v>
      </c>
      <c r="K1095" s="196">
        <v>0</v>
      </c>
      <c r="L1095" s="199">
        <v>0</v>
      </c>
      <c r="M1095" s="196">
        <v>0</v>
      </c>
      <c r="N1095" s="199">
        <v>0</v>
      </c>
      <c r="O1095" s="196">
        <v>0</v>
      </c>
      <c r="P1095" s="199">
        <v>0</v>
      </c>
      <c r="Q1095" s="196">
        <v>0</v>
      </c>
      <c r="R1095" s="199">
        <v>0</v>
      </c>
      <c r="S1095" s="196">
        <v>0</v>
      </c>
      <c r="T1095" s="199">
        <v>0</v>
      </c>
      <c r="U1095" s="196">
        <v>0</v>
      </c>
      <c r="V1095" s="199">
        <v>0</v>
      </c>
      <c r="W1095" s="196">
        <v>0</v>
      </c>
      <c r="X1095" s="199">
        <v>0</v>
      </c>
      <c r="Y1095" s="196">
        <v>0</v>
      </c>
      <c r="Z1095" s="199">
        <v>0</v>
      </c>
      <c r="AA1095" s="196">
        <v>0</v>
      </c>
      <c r="AB1095" s="199">
        <v>0</v>
      </c>
      <c r="AC1095" s="238">
        <f t="shared" si="579"/>
        <v>0</v>
      </c>
      <c r="AD1095" s="238"/>
      <c r="AE1095" s="238"/>
    </row>
    <row r="1096" spans="2:31" x14ac:dyDescent="0.3">
      <c r="B1096" s="245" t="s">
        <v>16</v>
      </c>
      <c r="C1096" s="245"/>
      <c r="D1096" s="245"/>
      <c r="E1096" s="196">
        <v>0</v>
      </c>
      <c r="F1096" s="199">
        <v>0</v>
      </c>
      <c r="G1096" s="196">
        <v>0</v>
      </c>
      <c r="H1096" s="199">
        <v>0</v>
      </c>
      <c r="I1096" s="196">
        <v>0</v>
      </c>
      <c r="J1096" s="199">
        <v>0</v>
      </c>
      <c r="K1096" s="196">
        <v>0</v>
      </c>
      <c r="L1096" s="199">
        <v>0</v>
      </c>
      <c r="M1096" s="196">
        <v>0</v>
      </c>
      <c r="N1096" s="199">
        <v>0</v>
      </c>
      <c r="O1096" s="196">
        <v>0</v>
      </c>
      <c r="P1096" s="199">
        <v>0</v>
      </c>
      <c r="Q1096" s="196">
        <v>0</v>
      </c>
      <c r="R1096" s="199">
        <v>0</v>
      </c>
      <c r="S1096" s="196">
        <v>0</v>
      </c>
      <c r="T1096" s="199">
        <v>0</v>
      </c>
      <c r="U1096" s="196">
        <v>0</v>
      </c>
      <c r="V1096" s="199">
        <v>0</v>
      </c>
      <c r="W1096" s="196">
        <v>0</v>
      </c>
      <c r="X1096" s="199">
        <v>0</v>
      </c>
      <c r="Y1096" s="196">
        <v>0</v>
      </c>
      <c r="Z1096" s="199">
        <v>0</v>
      </c>
      <c r="AA1096" s="196">
        <v>0</v>
      </c>
      <c r="AB1096" s="199">
        <v>0</v>
      </c>
      <c r="AC1096" s="238">
        <f t="shared" si="579"/>
        <v>0</v>
      </c>
      <c r="AD1096" s="238"/>
      <c r="AE1096" s="238"/>
    </row>
    <row r="1097" spans="2:31" x14ac:dyDescent="0.3">
      <c r="B1097" s="245" t="s">
        <v>17</v>
      </c>
      <c r="C1097" s="245"/>
      <c r="D1097" s="245"/>
      <c r="E1097" s="196">
        <v>0</v>
      </c>
      <c r="F1097" s="199">
        <v>0</v>
      </c>
      <c r="G1097" s="196">
        <v>0</v>
      </c>
      <c r="H1097" s="199">
        <v>0</v>
      </c>
      <c r="I1097" s="196">
        <v>0</v>
      </c>
      <c r="J1097" s="199">
        <v>0</v>
      </c>
      <c r="K1097" s="196">
        <v>0</v>
      </c>
      <c r="L1097" s="199">
        <v>0</v>
      </c>
      <c r="M1097" s="196">
        <v>0</v>
      </c>
      <c r="N1097" s="199">
        <v>0</v>
      </c>
      <c r="O1097" s="196">
        <v>0</v>
      </c>
      <c r="P1097" s="199">
        <v>0</v>
      </c>
      <c r="Q1097" s="196">
        <v>0</v>
      </c>
      <c r="R1097" s="199">
        <v>0</v>
      </c>
      <c r="S1097" s="196">
        <v>0</v>
      </c>
      <c r="T1097" s="199">
        <v>0</v>
      </c>
      <c r="U1097" s="196">
        <v>1.1115000000000024</v>
      </c>
      <c r="V1097" s="199">
        <v>0</v>
      </c>
      <c r="W1097" s="196">
        <v>18.461833333333342</v>
      </c>
      <c r="X1097" s="199">
        <v>0</v>
      </c>
      <c r="Y1097" s="196">
        <v>0</v>
      </c>
      <c r="Z1097" s="199">
        <v>0</v>
      </c>
      <c r="AA1097" s="196">
        <v>0</v>
      </c>
      <c r="AB1097" s="199">
        <v>0</v>
      </c>
      <c r="AC1097" s="238">
        <f t="shared" si="579"/>
        <v>19.573333333333345</v>
      </c>
      <c r="AD1097" s="238"/>
      <c r="AE1097" s="238"/>
    </row>
    <row r="1098" spans="2:31" x14ac:dyDescent="0.3">
      <c r="B1098" s="245" t="s">
        <v>18</v>
      </c>
      <c r="C1098" s="245"/>
      <c r="D1098" s="245"/>
      <c r="E1098" s="196">
        <v>0</v>
      </c>
      <c r="F1098" s="199">
        <v>0</v>
      </c>
      <c r="G1098" s="196">
        <v>0</v>
      </c>
      <c r="H1098" s="199">
        <v>0</v>
      </c>
      <c r="I1098" s="196">
        <v>0</v>
      </c>
      <c r="J1098" s="199">
        <v>0</v>
      </c>
      <c r="K1098" s="196">
        <v>0</v>
      </c>
      <c r="L1098" s="199">
        <v>0</v>
      </c>
      <c r="M1098" s="196">
        <v>0</v>
      </c>
      <c r="N1098" s="199">
        <v>0</v>
      </c>
      <c r="O1098" s="196">
        <v>0</v>
      </c>
      <c r="P1098" s="199">
        <v>0</v>
      </c>
      <c r="Q1098" s="196">
        <v>0</v>
      </c>
      <c r="R1098" s="199">
        <v>0</v>
      </c>
      <c r="S1098" s="196">
        <v>0</v>
      </c>
      <c r="T1098" s="199">
        <v>0</v>
      </c>
      <c r="U1098" s="196">
        <v>0</v>
      </c>
      <c r="V1098" s="199">
        <v>0</v>
      </c>
      <c r="W1098" s="196">
        <v>0</v>
      </c>
      <c r="X1098" s="199">
        <v>0</v>
      </c>
      <c r="Y1098" s="196">
        <v>0</v>
      </c>
      <c r="Z1098" s="199">
        <v>0</v>
      </c>
      <c r="AA1098" s="196">
        <v>0</v>
      </c>
      <c r="AB1098" s="199">
        <v>0</v>
      </c>
      <c r="AC1098" s="238">
        <f t="shared" si="579"/>
        <v>0</v>
      </c>
      <c r="AD1098" s="238"/>
      <c r="AE1098" s="238"/>
    </row>
    <row r="1099" spans="2:31" x14ac:dyDescent="0.3">
      <c r="B1099" s="245" t="s">
        <v>19</v>
      </c>
      <c r="C1099" s="245"/>
      <c r="D1099" s="245"/>
      <c r="E1099" s="196">
        <v>0</v>
      </c>
      <c r="F1099" s="199">
        <v>0</v>
      </c>
      <c r="G1099" s="196">
        <v>0</v>
      </c>
      <c r="H1099" s="199">
        <v>0</v>
      </c>
      <c r="I1099" s="196">
        <v>0</v>
      </c>
      <c r="J1099" s="199">
        <v>0</v>
      </c>
      <c r="K1099" s="196">
        <v>0</v>
      </c>
      <c r="L1099" s="199">
        <v>0</v>
      </c>
      <c r="M1099" s="196">
        <v>0</v>
      </c>
      <c r="N1099" s="199">
        <v>0</v>
      </c>
      <c r="O1099" s="196">
        <v>0</v>
      </c>
      <c r="P1099" s="199">
        <v>0</v>
      </c>
      <c r="Q1099" s="196">
        <v>0</v>
      </c>
      <c r="R1099" s="199">
        <v>0</v>
      </c>
      <c r="S1099" s="196">
        <v>0</v>
      </c>
      <c r="T1099" s="199">
        <v>0</v>
      </c>
      <c r="U1099" s="196">
        <v>0</v>
      </c>
      <c r="V1099" s="199">
        <v>0</v>
      </c>
      <c r="W1099" s="196">
        <v>0</v>
      </c>
      <c r="X1099" s="199">
        <v>0</v>
      </c>
      <c r="Y1099" s="196">
        <v>0</v>
      </c>
      <c r="Z1099" s="199">
        <v>0</v>
      </c>
      <c r="AA1099" s="196">
        <v>0</v>
      </c>
      <c r="AB1099" s="199">
        <v>0</v>
      </c>
      <c r="AC1099" s="238">
        <f t="shared" si="579"/>
        <v>0</v>
      </c>
      <c r="AD1099" s="238"/>
      <c r="AE1099" s="238"/>
    </row>
    <row r="1100" spans="2:31" x14ac:dyDescent="0.3">
      <c r="B1100" s="245" t="s">
        <v>20</v>
      </c>
      <c r="C1100" s="245"/>
      <c r="D1100" s="245"/>
      <c r="E1100" s="196">
        <v>0</v>
      </c>
      <c r="F1100" s="199">
        <v>0</v>
      </c>
      <c r="G1100" s="196">
        <v>0</v>
      </c>
      <c r="H1100" s="199">
        <v>0</v>
      </c>
      <c r="I1100" s="196">
        <v>0</v>
      </c>
      <c r="J1100" s="199">
        <v>0</v>
      </c>
      <c r="K1100" s="196">
        <v>0</v>
      </c>
      <c r="L1100" s="199">
        <v>0</v>
      </c>
      <c r="M1100" s="196">
        <v>0</v>
      </c>
      <c r="N1100" s="199">
        <v>0</v>
      </c>
      <c r="O1100" s="196">
        <v>0</v>
      </c>
      <c r="P1100" s="199">
        <v>0</v>
      </c>
      <c r="Q1100" s="196">
        <v>0</v>
      </c>
      <c r="R1100" s="199">
        <v>0</v>
      </c>
      <c r="S1100" s="196">
        <v>0</v>
      </c>
      <c r="T1100" s="199">
        <v>0</v>
      </c>
      <c r="U1100" s="196">
        <v>2.1678333333333346</v>
      </c>
      <c r="V1100" s="199">
        <v>4.1796666666666713</v>
      </c>
      <c r="W1100" s="196">
        <v>2.9940000000000007</v>
      </c>
      <c r="X1100" s="199">
        <v>0</v>
      </c>
      <c r="Y1100" s="196">
        <v>0</v>
      </c>
      <c r="Z1100" s="199">
        <v>0</v>
      </c>
      <c r="AA1100" s="196">
        <v>0</v>
      </c>
      <c r="AB1100" s="199">
        <v>0</v>
      </c>
      <c r="AC1100" s="238">
        <f t="shared" si="579"/>
        <v>9.341500000000007</v>
      </c>
      <c r="AD1100" s="238"/>
      <c r="AE1100" s="238"/>
    </row>
    <row r="1101" spans="2:31" x14ac:dyDescent="0.3">
      <c r="B1101" s="245" t="s">
        <v>21</v>
      </c>
      <c r="C1101" s="245"/>
      <c r="D1101" s="245"/>
      <c r="E1101" s="196">
        <v>0</v>
      </c>
      <c r="F1101" s="199">
        <v>0</v>
      </c>
      <c r="G1101" s="196">
        <v>0</v>
      </c>
      <c r="H1101" s="199">
        <v>0</v>
      </c>
      <c r="I1101" s="196">
        <v>0</v>
      </c>
      <c r="J1101" s="199">
        <v>0</v>
      </c>
      <c r="K1101" s="196">
        <v>0</v>
      </c>
      <c r="L1101" s="199">
        <v>0</v>
      </c>
      <c r="M1101" s="196">
        <v>0</v>
      </c>
      <c r="N1101" s="199">
        <v>0</v>
      </c>
      <c r="O1101" s="196">
        <v>0</v>
      </c>
      <c r="P1101" s="199">
        <v>0</v>
      </c>
      <c r="Q1101" s="196">
        <v>0</v>
      </c>
      <c r="R1101" s="199">
        <v>0</v>
      </c>
      <c r="S1101" s="196">
        <v>0</v>
      </c>
      <c r="T1101" s="199">
        <v>0</v>
      </c>
      <c r="U1101" s="196">
        <v>0</v>
      </c>
      <c r="V1101" s="199">
        <v>0</v>
      </c>
      <c r="W1101" s="196">
        <v>0</v>
      </c>
      <c r="X1101" s="199">
        <v>0</v>
      </c>
      <c r="Y1101" s="196">
        <v>0</v>
      </c>
      <c r="Z1101" s="199">
        <v>0</v>
      </c>
      <c r="AA1101" s="196">
        <v>0</v>
      </c>
      <c r="AB1101" s="199">
        <v>0</v>
      </c>
      <c r="AC1101" s="238">
        <f t="shared" si="579"/>
        <v>0</v>
      </c>
      <c r="AD1101" s="238"/>
      <c r="AE1101" s="238"/>
    </row>
    <row r="1102" spans="2:31" x14ac:dyDescent="0.3">
      <c r="B1102" s="245" t="s">
        <v>22</v>
      </c>
      <c r="C1102" s="245"/>
      <c r="D1102" s="245"/>
      <c r="E1102" s="196">
        <v>0</v>
      </c>
      <c r="F1102" s="199">
        <v>0</v>
      </c>
      <c r="G1102" s="196">
        <v>0</v>
      </c>
      <c r="H1102" s="199">
        <v>0</v>
      </c>
      <c r="I1102" s="196">
        <v>0</v>
      </c>
      <c r="J1102" s="199">
        <v>0</v>
      </c>
      <c r="K1102" s="196">
        <v>0</v>
      </c>
      <c r="L1102" s="199">
        <v>0</v>
      </c>
      <c r="M1102" s="196">
        <v>0</v>
      </c>
      <c r="N1102" s="199">
        <v>0</v>
      </c>
      <c r="O1102" s="196">
        <v>0</v>
      </c>
      <c r="P1102" s="199">
        <v>0</v>
      </c>
      <c r="Q1102" s="196">
        <v>0</v>
      </c>
      <c r="R1102" s="199">
        <v>0</v>
      </c>
      <c r="S1102" s="196">
        <v>0</v>
      </c>
      <c r="T1102" s="199">
        <v>0</v>
      </c>
      <c r="U1102" s="196">
        <v>0</v>
      </c>
      <c r="V1102" s="199">
        <v>0</v>
      </c>
      <c r="W1102" s="196">
        <v>0</v>
      </c>
      <c r="X1102" s="199">
        <v>0</v>
      </c>
      <c r="Y1102" s="196">
        <v>0</v>
      </c>
      <c r="Z1102" s="199">
        <v>0</v>
      </c>
      <c r="AA1102" s="196">
        <v>0</v>
      </c>
      <c r="AB1102" s="199">
        <v>0</v>
      </c>
      <c r="AC1102" s="238">
        <f t="shared" si="579"/>
        <v>0</v>
      </c>
      <c r="AD1102" s="238"/>
      <c r="AE1102" s="238"/>
    </row>
    <row r="1103" spans="2:31" x14ac:dyDescent="0.3">
      <c r="B1103" s="245" t="s">
        <v>23</v>
      </c>
      <c r="C1103" s="245"/>
      <c r="D1103" s="245"/>
      <c r="E1103" s="196">
        <v>0</v>
      </c>
      <c r="F1103" s="199">
        <v>0</v>
      </c>
      <c r="G1103" s="196">
        <v>0</v>
      </c>
      <c r="H1103" s="199">
        <v>0</v>
      </c>
      <c r="I1103" s="196">
        <v>0</v>
      </c>
      <c r="J1103" s="199">
        <v>0</v>
      </c>
      <c r="K1103" s="196">
        <v>0</v>
      </c>
      <c r="L1103" s="199">
        <v>0</v>
      </c>
      <c r="M1103" s="196">
        <v>0</v>
      </c>
      <c r="N1103" s="199">
        <v>0</v>
      </c>
      <c r="O1103" s="196">
        <v>0</v>
      </c>
      <c r="P1103" s="199">
        <v>0</v>
      </c>
      <c r="Q1103" s="196">
        <v>0</v>
      </c>
      <c r="R1103" s="199">
        <v>0</v>
      </c>
      <c r="S1103" s="196">
        <v>0</v>
      </c>
      <c r="T1103" s="199">
        <v>0</v>
      </c>
      <c r="U1103" s="196">
        <v>0</v>
      </c>
      <c r="V1103" s="199">
        <v>0</v>
      </c>
      <c r="W1103" s="196">
        <v>0</v>
      </c>
      <c r="X1103" s="199">
        <v>0</v>
      </c>
      <c r="Y1103" s="196">
        <v>0</v>
      </c>
      <c r="Z1103" s="199">
        <v>0</v>
      </c>
      <c r="AA1103" s="196">
        <v>0</v>
      </c>
      <c r="AB1103" s="199">
        <v>0</v>
      </c>
      <c r="AC1103" s="238">
        <f t="shared" si="579"/>
        <v>0</v>
      </c>
      <c r="AD1103" s="238"/>
      <c r="AE1103" s="238"/>
    </row>
    <row r="1104" spans="2:31" x14ac:dyDescent="0.3">
      <c r="B1104" s="245" t="s">
        <v>24</v>
      </c>
      <c r="C1104" s="245"/>
      <c r="D1104" s="245"/>
      <c r="E1104" s="196">
        <v>0</v>
      </c>
      <c r="F1104" s="199">
        <v>0</v>
      </c>
      <c r="G1104" s="196">
        <v>0</v>
      </c>
      <c r="H1104" s="199">
        <v>0</v>
      </c>
      <c r="I1104" s="196">
        <v>0</v>
      </c>
      <c r="J1104" s="199">
        <v>0</v>
      </c>
      <c r="K1104" s="196">
        <v>0</v>
      </c>
      <c r="L1104" s="199">
        <v>0</v>
      </c>
      <c r="M1104" s="196">
        <v>0</v>
      </c>
      <c r="N1104" s="199">
        <v>0</v>
      </c>
      <c r="O1104" s="196">
        <v>0</v>
      </c>
      <c r="P1104" s="199">
        <v>0</v>
      </c>
      <c r="Q1104" s="196">
        <v>0</v>
      </c>
      <c r="R1104" s="199">
        <v>0</v>
      </c>
      <c r="S1104" s="196">
        <v>0</v>
      </c>
      <c r="T1104" s="199">
        <v>0</v>
      </c>
      <c r="U1104" s="196">
        <v>0</v>
      </c>
      <c r="V1104" s="199">
        <v>0</v>
      </c>
      <c r="W1104" s="196">
        <v>0</v>
      </c>
      <c r="X1104" s="199">
        <v>0</v>
      </c>
      <c r="Y1104" s="196">
        <v>0</v>
      </c>
      <c r="Z1104" s="199">
        <v>0</v>
      </c>
      <c r="AA1104" s="196">
        <v>0</v>
      </c>
      <c r="AB1104" s="199">
        <v>0</v>
      </c>
      <c r="AC1104" s="238">
        <f t="shared" si="579"/>
        <v>0</v>
      </c>
      <c r="AD1104" s="238"/>
      <c r="AE1104" s="238"/>
    </row>
    <row r="1105" spans="2:31" x14ac:dyDescent="0.3">
      <c r="B1105" s="245" t="s">
        <v>25</v>
      </c>
      <c r="C1105" s="245"/>
      <c r="D1105" s="245"/>
      <c r="E1105" s="196">
        <v>0</v>
      </c>
      <c r="F1105" s="199">
        <v>0</v>
      </c>
      <c r="G1105" s="196">
        <v>0</v>
      </c>
      <c r="H1105" s="199">
        <v>0</v>
      </c>
      <c r="I1105" s="196">
        <v>0</v>
      </c>
      <c r="J1105" s="199">
        <v>0</v>
      </c>
      <c r="K1105" s="196">
        <v>0</v>
      </c>
      <c r="L1105" s="199">
        <v>0</v>
      </c>
      <c r="M1105" s="196">
        <v>0</v>
      </c>
      <c r="N1105" s="199">
        <v>0</v>
      </c>
      <c r="O1105" s="196">
        <v>0</v>
      </c>
      <c r="P1105" s="199">
        <v>0</v>
      </c>
      <c r="Q1105" s="196">
        <v>0</v>
      </c>
      <c r="R1105" s="199">
        <v>0</v>
      </c>
      <c r="S1105" s="196">
        <v>0</v>
      </c>
      <c r="T1105" s="199">
        <v>0</v>
      </c>
      <c r="U1105" s="196">
        <v>0</v>
      </c>
      <c r="V1105" s="199">
        <v>2.425333333333334</v>
      </c>
      <c r="W1105" s="196">
        <v>0.37683333333333346</v>
      </c>
      <c r="X1105" s="199">
        <v>0</v>
      </c>
      <c r="Y1105" s="196">
        <v>0</v>
      </c>
      <c r="Z1105" s="199">
        <v>0</v>
      </c>
      <c r="AA1105" s="196">
        <v>0</v>
      </c>
      <c r="AB1105" s="199">
        <v>0</v>
      </c>
      <c r="AC1105" s="238">
        <f t="shared" si="579"/>
        <v>2.8021666666666674</v>
      </c>
      <c r="AD1105" s="238"/>
      <c r="AE1105" s="238"/>
    </row>
    <row r="1106" spans="2:31" x14ac:dyDescent="0.3">
      <c r="B1106" s="245" t="s">
        <v>26</v>
      </c>
      <c r="C1106" s="245"/>
      <c r="D1106" s="245"/>
      <c r="E1106" s="196">
        <v>0</v>
      </c>
      <c r="F1106" s="199">
        <v>0</v>
      </c>
      <c r="G1106" s="196">
        <v>0</v>
      </c>
      <c r="H1106" s="199">
        <v>0</v>
      </c>
      <c r="I1106" s="196">
        <v>0</v>
      </c>
      <c r="J1106" s="199">
        <v>0</v>
      </c>
      <c r="K1106" s="196">
        <v>0</v>
      </c>
      <c r="L1106" s="199">
        <v>0</v>
      </c>
      <c r="M1106" s="196">
        <v>0</v>
      </c>
      <c r="N1106" s="199">
        <v>0</v>
      </c>
      <c r="O1106" s="196">
        <v>0</v>
      </c>
      <c r="P1106" s="199">
        <v>0</v>
      </c>
      <c r="Q1106" s="196">
        <v>0</v>
      </c>
      <c r="R1106" s="199">
        <v>0</v>
      </c>
      <c r="S1106" s="196">
        <v>0</v>
      </c>
      <c r="T1106" s="199">
        <v>0</v>
      </c>
      <c r="U1106" s="196">
        <v>0</v>
      </c>
      <c r="V1106" s="199">
        <v>0</v>
      </c>
      <c r="W1106" s="196">
        <v>0</v>
      </c>
      <c r="X1106" s="199">
        <v>0</v>
      </c>
      <c r="Y1106" s="196">
        <v>0</v>
      </c>
      <c r="Z1106" s="199">
        <v>0</v>
      </c>
      <c r="AA1106" s="196">
        <v>0</v>
      </c>
      <c r="AB1106" s="199">
        <v>0</v>
      </c>
      <c r="AC1106" s="238">
        <f t="shared" si="579"/>
        <v>0</v>
      </c>
      <c r="AD1106" s="238"/>
      <c r="AE1106" s="238"/>
    </row>
    <row r="1107" spans="2:31" x14ac:dyDescent="0.3">
      <c r="B1107" s="245" t="s">
        <v>27</v>
      </c>
      <c r="C1107" s="245"/>
      <c r="D1107" s="245"/>
      <c r="E1107" s="196">
        <v>0</v>
      </c>
      <c r="F1107" s="199">
        <v>0</v>
      </c>
      <c r="G1107" s="196">
        <v>0</v>
      </c>
      <c r="H1107" s="199">
        <v>0</v>
      </c>
      <c r="I1107" s="196">
        <v>0</v>
      </c>
      <c r="J1107" s="199">
        <v>0</v>
      </c>
      <c r="K1107" s="196">
        <v>0</v>
      </c>
      <c r="L1107" s="199">
        <v>0</v>
      </c>
      <c r="M1107" s="196">
        <v>0</v>
      </c>
      <c r="N1107" s="199">
        <v>0</v>
      </c>
      <c r="O1107" s="196">
        <v>0</v>
      </c>
      <c r="P1107" s="199">
        <v>0</v>
      </c>
      <c r="Q1107" s="196">
        <v>0</v>
      </c>
      <c r="R1107" s="199">
        <v>0</v>
      </c>
      <c r="S1107" s="196">
        <v>0</v>
      </c>
      <c r="T1107" s="199">
        <v>0</v>
      </c>
      <c r="U1107" s="196">
        <v>0</v>
      </c>
      <c r="V1107" s="199">
        <v>2.7569999999999997</v>
      </c>
      <c r="W1107" s="196">
        <v>5.7271666666666636</v>
      </c>
      <c r="X1107" s="199">
        <v>0</v>
      </c>
      <c r="Y1107" s="196">
        <v>0</v>
      </c>
      <c r="Z1107" s="199">
        <v>0</v>
      </c>
      <c r="AA1107" s="196">
        <v>0</v>
      </c>
      <c r="AB1107" s="199">
        <v>0</v>
      </c>
      <c r="AC1107" s="238">
        <f t="shared" si="579"/>
        <v>8.4841666666666633</v>
      </c>
      <c r="AD1107" s="238"/>
      <c r="AE1107" s="238"/>
    </row>
    <row r="1108" spans="2:31" x14ac:dyDescent="0.3">
      <c r="B1108" s="245" t="s">
        <v>28</v>
      </c>
      <c r="C1108" s="245"/>
      <c r="D1108" s="245"/>
      <c r="E1108" s="196">
        <v>0</v>
      </c>
      <c r="F1108" s="199">
        <v>0</v>
      </c>
      <c r="G1108" s="196">
        <v>0</v>
      </c>
      <c r="H1108" s="199">
        <v>0</v>
      </c>
      <c r="I1108" s="196">
        <v>0</v>
      </c>
      <c r="J1108" s="199">
        <v>0</v>
      </c>
      <c r="K1108" s="196">
        <v>0</v>
      </c>
      <c r="L1108" s="199">
        <v>0</v>
      </c>
      <c r="M1108" s="196">
        <v>0</v>
      </c>
      <c r="N1108" s="199">
        <v>0</v>
      </c>
      <c r="O1108" s="196">
        <v>0</v>
      </c>
      <c r="P1108" s="199">
        <v>0</v>
      </c>
      <c r="Q1108" s="196">
        <v>0</v>
      </c>
      <c r="R1108" s="199">
        <v>0</v>
      </c>
      <c r="S1108" s="196">
        <v>0</v>
      </c>
      <c r="T1108" s="199">
        <v>0</v>
      </c>
      <c r="U1108" s="196">
        <v>0</v>
      </c>
      <c r="V1108" s="199">
        <v>3.2135000000000002</v>
      </c>
      <c r="W1108" s="196">
        <v>2.8180000000000005</v>
      </c>
      <c r="X1108" s="199">
        <v>0</v>
      </c>
      <c r="Y1108" s="196">
        <v>0</v>
      </c>
      <c r="Z1108" s="199">
        <v>0</v>
      </c>
      <c r="AA1108" s="196">
        <v>0</v>
      </c>
      <c r="AB1108" s="199">
        <v>0</v>
      </c>
      <c r="AC1108" s="238">
        <f t="shared" si="579"/>
        <v>6.0315000000000012</v>
      </c>
      <c r="AD1108" s="238"/>
      <c r="AE1108" s="238"/>
    </row>
    <row r="1109" spans="2:31" x14ac:dyDescent="0.3">
      <c r="B1109" s="245" t="s">
        <v>92</v>
      </c>
      <c r="C1109" s="245"/>
      <c r="D1109" s="245"/>
      <c r="E1109" s="196">
        <v>0</v>
      </c>
      <c r="F1109" s="199">
        <v>0</v>
      </c>
      <c r="G1109" s="196">
        <v>0</v>
      </c>
      <c r="H1109" s="199">
        <v>0</v>
      </c>
      <c r="I1109" s="196">
        <v>0</v>
      </c>
      <c r="J1109" s="199">
        <v>0</v>
      </c>
      <c r="K1109" s="196">
        <v>0</v>
      </c>
      <c r="L1109" s="199">
        <v>0</v>
      </c>
      <c r="M1109" s="196">
        <v>0</v>
      </c>
      <c r="N1109" s="199">
        <v>0</v>
      </c>
      <c r="O1109" s="196">
        <v>0</v>
      </c>
      <c r="P1109" s="199">
        <v>0</v>
      </c>
      <c r="Q1109" s="196">
        <v>0</v>
      </c>
      <c r="R1109" s="199">
        <v>0</v>
      </c>
      <c r="S1109" s="196">
        <v>0</v>
      </c>
      <c r="T1109" s="199">
        <v>0</v>
      </c>
      <c r="U1109" s="196">
        <v>0</v>
      </c>
      <c r="V1109" s="199">
        <v>0</v>
      </c>
      <c r="W1109" s="196">
        <v>0</v>
      </c>
      <c r="X1109" s="199">
        <v>0</v>
      </c>
      <c r="Y1109" s="196">
        <v>0</v>
      </c>
      <c r="Z1109" s="199">
        <v>0</v>
      </c>
      <c r="AA1109" s="196">
        <v>0</v>
      </c>
      <c r="AB1109" s="199">
        <v>0</v>
      </c>
      <c r="AC1109" s="238">
        <f t="shared" si="579"/>
        <v>0</v>
      </c>
      <c r="AD1109" s="238"/>
      <c r="AE1109" s="238"/>
    </row>
    <row r="1110" spans="2:31" x14ac:dyDescent="0.3">
      <c r="B1110" s="245" t="s">
        <v>29</v>
      </c>
      <c r="C1110" s="245"/>
      <c r="D1110" s="245"/>
      <c r="E1110" s="196">
        <v>0</v>
      </c>
      <c r="F1110" s="199">
        <v>0</v>
      </c>
      <c r="G1110" s="196">
        <v>0</v>
      </c>
      <c r="H1110" s="199">
        <v>0</v>
      </c>
      <c r="I1110" s="196">
        <v>0</v>
      </c>
      <c r="J1110" s="199">
        <v>0</v>
      </c>
      <c r="K1110" s="196">
        <v>0</v>
      </c>
      <c r="L1110" s="199">
        <v>0</v>
      </c>
      <c r="M1110" s="196">
        <v>0</v>
      </c>
      <c r="N1110" s="199">
        <v>0</v>
      </c>
      <c r="O1110" s="196">
        <v>0</v>
      </c>
      <c r="P1110" s="199">
        <v>0</v>
      </c>
      <c r="Q1110" s="196">
        <v>0</v>
      </c>
      <c r="R1110" s="199">
        <v>0</v>
      </c>
      <c r="S1110" s="196">
        <v>0</v>
      </c>
      <c r="T1110" s="199">
        <v>0</v>
      </c>
      <c r="U1110" s="196">
        <v>0</v>
      </c>
      <c r="V1110" s="199">
        <v>6.2869999999999981</v>
      </c>
      <c r="W1110" s="196">
        <v>2.9421666666666657</v>
      </c>
      <c r="X1110" s="199">
        <v>0</v>
      </c>
      <c r="Y1110" s="196">
        <v>0</v>
      </c>
      <c r="Z1110" s="199">
        <v>0</v>
      </c>
      <c r="AA1110" s="196">
        <v>0</v>
      </c>
      <c r="AB1110" s="199">
        <v>0</v>
      </c>
      <c r="AC1110" s="238">
        <f t="shared" si="579"/>
        <v>9.2291666666666643</v>
      </c>
      <c r="AD1110" s="238"/>
      <c r="AE1110" s="238"/>
    </row>
    <row r="1111" spans="2:31" x14ac:dyDescent="0.3">
      <c r="B1111" s="245" t="s">
        <v>30</v>
      </c>
      <c r="C1111" s="245"/>
      <c r="D1111" s="245"/>
      <c r="E1111" s="196">
        <v>0</v>
      </c>
      <c r="F1111" s="199">
        <v>0</v>
      </c>
      <c r="G1111" s="196">
        <v>0</v>
      </c>
      <c r="H1111" s="199">
        <v>0</v>
      </c>
      <c r="I1111" s="196">
        <v>0</v>
      </c>
      <c r="J1111" s="199">
        <v>0</v>
      </c>
      <c r="K1111" s="196">
        <v>0</v>
      </c>
      <c r="L1111" s="199">
        <v>0</v>
      </c>
      <c r="M1111" s="196">
        <v>0</v>
      </c>
      <c r="N1111" s="199">
        <v>0</v>
      </c>
      <c r="O1111" s="196">
        <v>0</v>
      </c>
      <c r="P1111" s="199">
        <v>0</v>
      </c>
      <c r="Q1111" s="196">
        <v>0</v>
      </c>
      <c r="R1111" s="199">
        <v>0</v>
      </c>
      <c r="S1111" s="196">
        <v>0</v>
      </c>
      <c r="T1111" s="199">
        <v>0</v>
      </c>
      <c r="U1111" s="196">
        <v>0</v>
      </c>
      <c r="V1111" s="199">
        <v>0</v>
      </c>
      <c r="W1111" s="196">
        <v>0</v>
      </c>
      <c r="X1111" s="199">
        <v>0</v>
      </c>
      <c r="Y1111" s="196">
        <v>0</v>
      </c>
      <c r="Z1111" s="199">
        <v>0</v>
      </c>
      <c r="AA1111" s="196">
        <v>0</v>
      </c>
      <c r="AB1111" s="199">
        <v>0</v>
      </c>
      <c r="AC1111" s="238">
        <f t="shared" si="579"/>
        <v>0</v>
      </c>
      <c r="AD1111" s="238"/>
      <c r="AE1111" s="238"/>
    </row>
    <row r="1112" spans="2:31" x14ac:dyDescent="0.3">
      <c r="B1112" s="245" t="s">
        <v>31</v>
      </c>
      <c r="C1112" s="245"/>
      <c r="D1112" s="245"/>
      <c r="E1112" s="196">
        <v>0</v>
      </c>
      <c r="F1112" s="199">
        <v>0</v>
      </c>
      <c r="G1112" s="196">
        <v>0</v>
      </c>
      <c r="H1112" s="199">
        <v>0</v>
      </c>
      <c r="I1112" s="196">
        <v>0</v>
      </c>
      <c r="J1112" s="199">
        <v>0</v>
      </c>
      <c r="K1112" s="196">
        <v>0</v>
      </c>
      <c r="L1112" s="199">
        <v>0</v>
      </c>
      <c r="M1112" s="196">
        <v>0</v>
      </c>
      <c r="N1112" s="199">
        <v>0</v>
      </c>
      <c r="O1112" s="196">
        <v>0</v>
      </c>
      <c r="P1112" s="199">
        <v>0</v>
      </c>
      <c r="Q1112" s="196">
        <v>0</v>
      </c>
      <c r="R1112" s="199">
        <v>0</v>
      </c>
      <c r="S1112" s="196">
        <v>0</v>
      </c>
      <c r="T1112" s="199">
        <v>0</v>
      </c>
      <c r="U1112" s="196">
        <v>0</v>
      </c>
      <c r="V1112" s="199">
        <v>1.9380000000000017</v>
      </c>
      <c r="W1112" s="196">
        <v>3.137999999999999</v>
      </c>
      <c r="X1112" s="199">
        <v>0</v>
      </c>
      <c r="Y1112" s="196">
        <v>0</v>
      </c>
      <c r="Z1112" s="199">
        <v>0</v>
      </c>
      <c r="AA1112" s="196">
        <v>0</v>
      </c>
      <c r="AB1112" s="199">
        <v>0</v>
      </c>
      <c r="AC1112" s="238">
        <f t="shared" si="579"/>
        <v>5.0760000000000005</v>
      </c>
      <c r="AD1112" s="238"/>
      <c r="AE1112" s="238"/>
    </row>
    <row r="1113" spans="2:31" x14ac:dyDescent="0.3">
      <c r="B1113" s="245" t="s">
        <v>32</v>
      </c>
      <c r="C1113" s="245"/>
      <c r="D1113" s="245"/>
      <c r="E1113" s="196">
        <v>0</v>
      </c>
      <c r="F1113" s="199">
        <v>0</v>
      </c>
      <c r="G1113" s="196">
        <v>0</v>
      </c>
      <c r="H1113" s="199">
        <v>0</v>
      </c>
      <c r="I1113" s="196">
        <v>0</v>
      </c>
      <c r="J1113" s="199">
        <v>0</v>
      </c>
      <c r="K1113" s="196">
        <v>0</v>
      </c>
      <c r="L1113" s="199">
        <v>0</v>
      </c>
      <c r="M1113" s="196">
        <v>0</v>
      </c>
      <c r="N1113" s="199">
        <v>0</v>
      </c>
      <c r="O1113" s="196">
        <v>0</v>
      </c>
      <c r="P1113" s="199">
        <v>0</v>
      </c>
      <c r="Q1113" s="196">
        <v>0</v>
      </c>
      <c r="R1113" s="199">
        <v>0</v>
      </c>
      <c r="S1113" s="196">
        <v>0</v>
      </c>
      <c r="T1113" s="199">
        <v>0</v>
      </c>
      <c r="U1113" s="196">
        <v>0</v>
      </c>
      <c r="V1113" s="199">
        <v>2.5196666666666667</v>
      </c>
      <c r="W1113" s="196">
        <v>1.5196666666666667</v>
      </c>
      <c r="X1113" s="199">
        <v>0</v>
      </c>
      <c r="Y1113" s="196">
        <v>0</v>
      </c>
      <c r="Z1113" s="199">
        <v>0</v>
      </c>
      <c r="AA1113" s="196">
        <v>0</v>
      </c>
      <c r="AB1113" s="199">
        <v>0</v>
      </c>
      <c r="AC1113" s="238">
        <f t="shared" si="579"/>
        <v>4.0393333333333334</v>
      </c>
      <c r="AD1113" s="238"/>
      <c r="AE1113" s="238"/>
    </row>
    <row r="1114" spans="2:31" x14ac:dyDescent="0.3">
      <c r="B1114" s="245" t="s">
        <v>33</v>
      </c>
      <c r="C1114" s="245"/>
      <c r="D1114" s="245"/>
      <c r="E1114" s="196">
        <v>0</v>
      </c>
      <c r="F1114" s="199">
        <v>0</v>
      </c>
      <c r="G1114" s="196">
        <v>0</v>
      </c>
      <c r="H1114" s="199">
        <v>0</v>
      </c>
      <c r="I1114" s="196">
        <v>0</v>
      </c>
      <c r="J1114" s="199">
        <v>0</v>
      </c>
      <c r="K1114" s="196">
        <v>0</v>
      </c>
      <c r="L1114" s="199">
        <v>0</v>
      </c>
      <c r="M1114" s="196">
        <v>0</v>
      </c>
      <c r="N1114" s="199">
        <v>0</v>
      </c>
      <c r="O1114" s="196">
        <v>0</v>
      </c>
      <c r="P1114" s="199">
        <v>0</v>
      </c>
      <c r="Q1114" s="196">
        <v>0</v>
      </c>
      <c r="R1114" s="199">
        <v>0</v>
      </c>
      <c r="S1114" s="196">
        <v>0</v>
      </c>
      <c r="T1114" s="199">
        <v>0</v>
      </c>
      <c r="U1114" s="196">
        <v>0</v>
      </c>
      <c r="V1114" s="199">
        <v>0.15549999999999992</v>
      </c>
      <c r="W1114" s="196">
        <v>0.41999999999999976</v>
      </c>
      <c r="X1114" s="199">
        <v>0</v>
      </c>
      <c r="Y1114" s="196">
        <v>0</v>
      </c>
      <c r="Z1114" s="199">
        <v>0</v>
      </c>
      <c r="AA1114" s="196">
        <v>0</v>
      </c>
      <c r="AB1114" s="199">
        <v>0</v>
      </c>
      <c r="AC1114" s="238">
        <f t="shared" si="579"/>
        <v>0.57549999999999968</v>
      </c>
      <c r="AD1114" s="238"/>
      <c r="AE1114" s="238"/>
    </row>
    <row r="1115" spans="2:31" x14ac:dyDescent="0.3">
      <c r="B1115" s="245" t="s">
        <v>34</v>
      </c>
      <c r="C1115" s="245"/>
      <c r="D1115" s="245"/>
      <c r="E1115" s="196">
        <v>0</v>
      </c>
      <c r="F1115" s="199">
        <v>0</v>
      </c>
      <c r="G1115" s="196">
        <v>0</v>
      </c>
      <c r="H1115" s="199">
        <v>0</v>
      </c>
      <c r="I1115" s="196">
        <v>0</v>
      </c>
      <c r="J1115" s="199">
        <v>0</v>
      </c>
      <c r="K1115" s="196">
        <v>0</v>
      </c>
      <c r="L1115" s="199">
        <v>0</v>
      </c>
      <c r="M1115" s="196">
        <v>0</v>
      </c>
      <c r="N1115" s="199">
        <v>0</v>
      </c>
      <c r="O1115" s="196">
        <v>0</v>
      </c>
      <c r="P1115" s="199">
        <v>0</v>
      </c>
      <c r="Q1115" s="196">
        <v>0</v>
      </c>
      <c r="R1115" s="199">
        <v>0</v>
      </c>
      <c r="S1115" s="196">
        <v>0</v>
      </c>
      <c r="T1115" s="199">
        <v>0</v>
      </c>
      <c r="U1115" s="196">
        <v>0</v>
      </c>
      <c r="V1115" s="199">
        <v>0.15599999999999989</v>
      </c>
      <c r="W1115" s="196">
        <v>0.2760000000000003</v>
      </c>
      <c r="X1115" s="199">
        <v>0</v>
      </c>
      <c r="Y1115" s="196">
        <v>0</v>
      </c>
      <c r="Z1115" s="199">
        <v>0</v>
      </c>
      <c r="AA1115" s="196">
        <v>0</v>
      </c>
      <c r="AB1115" s="199">
        <v>0</v>
      </c>
      <c r="AC1115" s="238">
        <f t="shared" si="579"/>
        <v>0.43200000000000016</v>
      </c>
      <c r="AD1115" s="238"/>
      <c r="AE1115" s="238"/>
    </row>
    <row r="1116" spans="2:31" x14ac:dyDescent="0.3">
      <c r="B1116" s="245" t="s">
        <v>35</v>
      </c>
      <c r="C1116" s="245"/>
      <c r="D1116" s="245"/>
      <c r="E1116" s="196">
        <v>0</v>
      </c>
      <c r="F1116" s="199">
        <v>0</v>
      </c>
      <c r="G1116" s="196">
        <v>0</v>
      </c>
      <c r="H1116" s="199">
        <v>0</v>
      </c>
      <c r="I1116" s="196">
        <v>0</v>
      </c>
      <c r="J1116" s="199">
        <v>0</v>
      </c>
      <c r="K1116" s="196">
        <v>0</v>
      </c>
      <c r="L1116" s="199">
        <v>0</v>
      </c>
      <c r="M1116" s="196">
        <v>0</v>
      </c>
      <c r="N1116" s="199">
        <v>0</v>
      </c>
      <c r="O1116" s="196">
        <v>0</v>
      </c>
      <c r="P1116" s="199">
        <v>0</v>
      </c>
      <c r="Q1116" s="196">
        <v>0</v>
      </c>
      <c r="R1116" s="199">
        <v>0</v>
      </c>
      <c r="S1116" s="196">
        <v>0</v>
      </c>
      <c r="T1116" s="199">
        <v>0</v>
      </c>
      <c r="U1116" s="196">
        <v>0</v>
      </c>
      <c r="V1116" s="199">
        <v>0</v>
      </c>
      <c r="W1116" s="196">
        <v>0</v>
      </c>
      <c r="X1116" s="199">
        <v>0</v>
      </c>
      <c r="Y1116" s="196">
        <v>0</v>
      </c>
      <c r="Z1116" s="199">
        <v>0</v>
      </c>
      <c r="AA1116" s="196">
        <v>0</v>
      </c>
      <c r="AB1116" s="199">
        <v>0</v>
      </c>
      <c r="AC1116" s="238">
        <f t="shared" si="579"/>
        <v>0</v>
      </c>
      <c r="AD1116" s="238"/>
      <c r="AE1116" s="238"/>
    </row>
    <row r="1117" spans="2:31" x14ac:dyDescent="0.3">
      <c r="B1117" s="245" t="s">
        <v>36</v>
      </c>
      <c r="C1117" s="245"/>
      <c r="D1117" s="245"/>
      <c r="E1117" s="196">
        <v>0</v>
      </c>
      <c r="F1117" s="199">
        <v>0</v>
      </c>
      <c r="G1117" s="196">
        <v>0</v>
      </c>
      <c r="H1117" s="199">
        <v>0</v>
      </c>
      <c r="I1117" s="196">
        <v>0</v>
      </c>
      <c r="J1117" s="199">
        <v>0</v>
      </c>
      <c r="K1117" s="196">
        <v>0</v>
      </c>
      <c r="L1117" s="199">
        <v>0</v>
      </c>
      <c r="M1117" s="196">
        <v>0</v>
      </c>
      <c r="N1117" s="199">
        <v>0</v>
      </c>
      <c r="O1117" s="196">
        <v>0</v>
      </c>
      <c r="P1117" s="199">
        <v>0</v>
      </c>
      <c r="Q1117" s="196">
        <v>0</v>
      </c>
      <c r="R1117" s="199">
        <v>0</v>
      </c>
      <c r="S1117" s="196">
        <v>0</v>
      </c>
      <c r="T1117" s="199">
        <v>0</v>
      </c>
      <c r="U1117" s="196">
        <v>0</v>
      </c>
      <c r="V1117" s="199">
        <v>1.0146666666666664</v>
      </c>
      <c r="W1117" s="196">
        <v>0.61833333333333307</v>
      </c>
      <c r="X1117" s="199">
        <v>0</v>
      </c>
      <c r="Y1117" s="196">
        <v>0</v>
      </c>
      <c r="Z1117" s="199">
        <v>0</v>
      </c>
      <c r="AA1117" s="196">
        <v>0</v>
      </c>
      <c r="AB1117" s="199">
        <v>0</v>
      </c>
      <c r="AC1117" s="238">
        <f t="shared" si="579"/>
        <v>1.6329999999999996</v>
      </c>
      <c r="AD1117" s="238"/>
      <c r="AE1117" s="238"/>
    </row>
    <row r="1118" spans="2:31" x14ac:dyDescent="0.3">
      <c r="B1118" s="13" t="s">
        <v>89</v>
      </c>
      <c r="C1118" s="13"/>
      <c r="D1118" s="13"/>
      <c r="E1118" s="196">
        <v>0</v>
      </c>
      <c r="F1118" s="199">
        <v>0</v>
      </c>
      <c r="G1118" s="196">
        <v>0</v>
      </c>
      <c r="H1118" s="199">
        <v>0</v>
      </c>
      <c r="I1118" s="196">
        <v>0</v>
      </c>
      <c r="J1118" s="199">
        <v>0</v>
      </c>
      <c r="K1118" s="196">
        <v>0</v>
      </c>
      <c r="L1118" s="199">
        <v>0</v>
      </c>
      <c r="M1118" s="196">
        <v>0</v>
      </c>
      <c r="N1118" s="199">
        <v>0</v>
      </c>
      <c r="O1118" s="196">
        <v>0</v>
      </c>
      <c r="P1118" s="199">
        <v>0</v>
      </c>
      <c r="Q1118" s="196">
        <v>0</v>
      </c>
      <c r="R1118" s="199">
        <v>0</v>
      </c>
      <c r="S1118" s="196">
        <v>0</v>
      </c>
      <c r="T1118" s="199">
        <v>0</v>
      </c>
      <c r="U1118" s="196">
        <v>0</v>
      </c>
      <c r="V1118" s="199">
        <v>0</v>
      </c>
      <c r="W1118" s="196">
        <v>0</v>
      </c>
      <c r="X1118" s="199">
        <v>0</v>
      </c>
      <c r="Y1118" s="196">
        <v>0</v>
      </c>
      <c r="Z1118" s="199">
        <v>0</v>
      </c>
      <c r="AA1118" s="196">
        <v>0</v>
      </c>
      <c r="AB1118" s="199">
        <v>0</v>
      </c>
      <c r="AC1118" s="238">
        <f t="shared" si="579"/>
        <v>0</v>
      </c>
      <c r="AD1118" s="238"/>
      <c r="AE1118" s="238"/>
    </row>
    <row r="1119" spans="2:31" x14ac:dyDescent="0.3">
      <c r="B1119" s="13" t="s">
        <v>90</v>
      </c>
      <c r="C1119" s="13"/>
      <c r="D1119" s="13"/>
      <c r="E1119" s="196">
        <v>0</v>
      </c>
      <c r="F1119" s="199">
        <v>0</v>
      </c>
      <c r="G1119" s="196">
        <v>0</v>
      </c>
      <c r="H1119" s="199">
        <v>0</v>
      </c>
      <c r="I1119" s="196">
        <v>0</v>
      </c>
      <c r="J1119" s="199">
        <v>0</v>
      </c>
      <c r="K1119" s="196">
        <v>0</v>
      </c>
      <c r="L1119" s="199">
        <v>0</v>
      </c>
      <c r="M1119" s="196">
        <v>0</v>
      </c>
      <c r="N1119" s="199">
        <v>0</v>
      </c>
      <c r="O1119" s="196">
        <v>0</v>
      </c>
      <c r="P1119" s="199">
        <v>0</v>
      </c>
      <c r="Q1119" s="196">
        <v>0</v>
      </c>
      <c r="R1119" s="199">
        <v>0</v>
      </c>
      <c r="S1119" s="196">
        <v>0</v>
      </c>
      <c r="T1119" s="199">
        <v>0</v>
      </c>
      <c r="U1119" s="196">
        <v>0</v>
      </c>
      <c r="V1119" s="199">
        <v>0</v>
      </c>
      <c r="W1119" s="196">
        <v>0</v>
      </c>
      <c r="X1119" s="199">
        <v>0</v>
      </c>
      <c r="Y1119" s="196">
        <v>0</v>
      </c>
      <c r="Z1119" s="199">
        <v>0</v>
      </c>
      <c r="AA1119" s="196">
        <v>0</v>
      </c>
      <c r="AB1119" s="199">
        <v>0</v>
      </c>
      <c r="AC1119" s="238">
        <f t="shared" si="579"/>
        <v>0</v>
      </c>
      <c r="AD1119" s="238"/>
      <c r="AE1119" s="238"/>
    </row>
    <row r="1120" spans="2:31" x14ac:dyDescent="0.3">
      <c r="B1120" s="14" t="s">
        <v>2</v>
      </c>
      <c r="C1120" s="14"/>
      <c r="D1120" s="14"/>
      <c r="E1120" s="15">
        <f>SUM(E1083:E1119)</f>
        <v>0</v>
      </c>
      <c r="F1120" s="15">
        <f t="shared" ref="F1120" si="580">SUM(F1083:F1119)</f>
        <v>0</v>
      </c>
      <c r="G1120" s="15">
        <f t="shared" ref="G1120" si="581">SUM(G1083:G1119)</f>
        <v>0</v>
      </c>
      <c r="H1120" s="15">
        <f t="shared" ref="H1120" si="582">SUM(H1083:H1119)</f>
        <v>0</v>
      </c>
      <c r="I1120" s="15">
        <f t="shared" ref="I1120" si="583">SUM(I1083:I1119)</f>
        <v>0</v>
      </c>
      <c r="J1120" s="15">
        <f t="shared" ref="J1120" si="584">SUM(J1083:J1119)</f>
        <v>0</v>
      </c>
      <c r="K1120" s="15">
        <f t="shared" ref="K1120" si="585">SUM(K1083:K1119)</f>
        <v>0</v>
      </c>
      <c r="L1120" s="15">
        <f t="shared" ref="L1120" si="586">SUM(L1083:L1119)</f>
        <v>0</v>
      </c>
      <c r="M1120" s="15">
        <f t="shared" ref="M1120" si="587">SUM(M1083:M1119)</f>
        <v>0</v>
      </c>
      <c r="N1120" s="15">
        <f t="shared" ref="N1120" si="588">SUM(N1083:N1119)</f>
        <v>0</v>
      </c>
      <c r="O1120" s="15">
        <f t="shared" ref="O1120" si="589">SUM(O1083:O1119)</f>
        <v>0</v>
      </c>
      <c r="P1120" s="15">
        <f t="shared" ref="P1120" si="590">SUM(P1083:P1119)</f>
        <v>0</v>
      </c>
      <c r="Q1120" s="15">
        <f t="shared" ref="Q1120" si="591">SUM(Q1083:Q1119)</f>
        <v>0</v>
      </c>
      <c r="R1120" s="15">
        <f t="shared" ref="R1120" si="592">SUM(R1083:R1119)</f>
        <v>14.629166666666661</v>
      </c>
      <c r="S1120" s="15">
        <f t="shared" ref="S1120" si="593">SUM(S1083:S1119)</f>
        <v>37.48266666666666</v>
      </c>
      <c r="T1120" s="15">
        <f t="shared" ref="T1120" si="594">SUM(T1083:T1119)</f>
        <v>29.860333333333337</v>
      </c>
      <c r="U1120" s="15">
        <f t="shared" ref="U1120" si="595">SUM(U1083:U1119)</f>
        <v>194.578</v>
      </c>
      <c r="V1120" s="15">
        <f t="shared" ref="V1120" si="596">SUM(V1083:V1119)</f>
        <v>295.85933333333338</v>
      </c>
      <c r="W1120" s="15">
        <f t="shared" ref="W1120" si="597">SUM(W1083:W1119)</f>
        <v>245.27383333333339</v>
      </c>
      <c r="X1120" s="15">
        <f t="shared" ref="X1120" si="598">SUM(X1083:X1119)</f>
        <v>0</v>
      </c>
      <c r="Y1120" s="15">
        <f t="shared" ref="Y1120" si="599">SUM(Y1083:Y1119)</f>
        <v>0</v>
      </c>
      <c r="Z1120" s="15">
        <f t="shared" ref="Z1120" si="600">SUM(Z1083:Z1119)</f>
        <v>0</v>
      </c>
      <c r="AA1120" s="15">
        <f t="shared" ref="AA1120" si="601">SUM(AA1083:AA1119)</f>
        <v>0</v>
      </c>
      <c r="AB1120" s="15">
        <f t="shared" ref="AB1120" si="602">SUM(AB1083:AB1119)</f>
        <v>0</v>
      </c>
      <c r="AC1120" s="249">
        <f>SUM(AC1083:AE1119)</f>
        <v>817.68333333333374</v>
      </c>
      <c r="AD1120" s="249"/>
      <c r="AE1120" s="249"/>
    </row>
    <row r="1123" spans="2:31" x14ac:dyDescent="0.3">
      <c r="B1123" s="8">
        <f>'Resumen-Mensual'!$AE$22</f>
        <v>44588</v>
      </c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4"/>
      <c r="AD1123" s="4"/>
      <c r="AE1123" s="4"/>
    </row>
    <row r="1124" spans="2:31" x14ac:dyDescent="0.3">
      <c r="B1124" s="8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4"/>
      <c r="AD1124" s="4"/>
      <c r="AE1124" s="4"/>
    </row>
    <row r="1125" spans="2:31" x14ac:dyDescent="0.3">
      <c r="B1125" s="9" t="s">
        <v>81</v>
      </c>
      <c r="C1125" s="10"/>
      <c r="D1125" s="10"/>
      <c r="E1125" s="11">
        <v>1</v>
      </c>
      <c r="F1125" s="11">
        <v>2</v>
      </c>
      <c r="G1125" s="11">
        <v>3</v>
      </c>
      <c r="H1125" s="11">
        <v>4</v>
      </c>
      <c r="I1125" s="11">
        <v>5</v>
      </c>
      <c r="J1125" s="11">
        <v>6</v>
      </c>
      <c r="K1125" s="11">
        <v>7</v>
      </c>
      <c r="L1125" s="11">
        <v>8</v>
      </c>
      <c r="M1125" s="11">
        <v>9</v>
      </c>
      <c r="N1125" s="11">
        <v>10</v>
      </c>
      <c r="O1125" s="11">
        <v>11</v>
      </c>
      <c r="P1125" s="11">
        <v>12</v>
      </c>
      <c r="Q1125" s="11">
        <v>13</v>
      </c>
      <c r="R1125" s="11">
        <v>14</v>
      </c>
      <c r="S1125" s="11">
        <v>15</v>
      </c>
      <c r="T1125" s="11">
        <v>16</v>
      </c>
      <c r="U1125" s="11">
        <v>17</v>
      </c>
      <c r="V1125" s="11">
        <v>18</v>
      </c>
      <c r="W1125" s="11">
        <v>19</v>
      </c>
      <c r="X1125" s="11">
        <v>20</v>
      </c>
      <c r="Y1125" s="11">
        <v>21</v>
      </c>
      <c r="Z1125" s="11">
        <v>22</v>
      </c>
      <c r="AA1125" s="11">
        <v>23</v>
      </c>
      <c r="AB1125" s="11">
        <v>24</v>
      </c>
      <c r="AC1125" s="248" t="s">
        <v>2</v>
      </c>
      <c r="AD1125" s="248"/>
      <c r="AE1125" s="248"/>
    </row>
    <row r="1126" spans="2:31" x14ac:dyDescent="0.3">
      <c r="B1126" s="245" t="s">
        <v>4</v>
      </c>
      <c r="C1126" s="245"/>
      <c r="D1126" s="245"/>
      <c r="E1126" s="204">
        <v>0</v>
      </c>
      <c r="F1126" s="205">
        <v>0</v>
      </c>
      <c r="G1126" s="204">
        <v>0</v>
      </c>
      <c r="H1126" s="205">
        <v>0</v>
      </c>
      <c r="I1126" s="204">
        <v>0</v>
      </c>
      <c r="J1126" s="205">
        <v>0</v>
      </c>
      <c r="K1126" s="204">
        <v>0</v>
      </c>
      <c r="L1126" s="205">
        <v>0</v>
      </c>
      <c r="M1126" s="204">
        <v>0</v>
      </c>
      <c r="N1126" s="205">
        <v>0</v>
      </c>
      <c r="O1126" s="204">
        <v>0</v>
      </c>
      <c r="P1126" s="205">
        <v>0</v>
      </c>
      <c r="Q1126" s="204">
        <v>0</v>
      </c>
      <c r="R1126" s="205">
        <v>0</v>
      </c>
      <c r="S1126" s="204">
        <v>0</v>
      </c>
      <c r="T1126" s="205">
        <v>0</v>
      </c>
      <c r="U1126" s="204">
        <v>0</v>
      </c>
      <c r="V1126" s="205">
        <v>0</v>
      </c>
      <c r="W1126" s="204">
        <v>0</v>
      </c>
      <c r="X1126" s="205">
        <v>0</v>
      </c>
      <c r="Y1126" s="204">
        <v>0</v>
      </c>
      <c r="Z1126" s="205">
        <v>0</v>
      </c>
      <c r="AA1126" s="204">
        <v>0</v>
      </c>
      <c r="AB1126" s="205">
        <v>0</v>
      </c>
      <c r="AC1126" s="238">
        <f>SUM(E1126:AB1126)</f>
        <v>0</v>
      </c>
      <c r="AD1126" s="238"/>
      <c r="AE1126" s="238"/>
    </row>
    <row r="1127" spans="2:31" x14ac:dyDescent="0.3">
      <c r="B1127" s="245" t="s">
        <v>5</v>
      </c>
      <c r="C1127" s="245"/>
      <c r="D1127" s="245"/>
      <c r="E1127" s="203">
        <v>0</v>
      </c>
      <c r="F1127" s="206">
        <v>0</v>
      </c>
      <c r="G1127" s="203">
        <v>0</v>
      </c>
      <c r="H1127" s="206">
        <v>0</v>
      </c>
      <c r="I1127" s="203">
        <v>0</v>
      </c>
      <c r="J1127" s="206">
        <v>0</v>
      </c>
      <c r="K1127" s="203">
        <v>0</v>
      </c>
      <c r="L1127" s="206">
        <v>0</v>
      </c>
      <c r="M1127" s="203">
        <v>0</v>
      </c>
      <c r="N1127" s="206">
        <v>0</v>
      </c>
      <c r="O1127" s="203">
        <v>0</v>
      </c>
      <c r="P1127" s="206">
        <v>0</v>
      </c>
      <c r="Q1127" s="203">
        <v>0</v>
      </c>
      <c r="R1127" s="206">
        <v>11.648500000000002</v>
      </c>
      <c r="S1127" s="203">
        <v>49.013666666666694</v>
      </c>
      <c r="T1127" s="206">
        <v>58.631666666666653</v>
      </c>
      <c r="U1127" s="203">
        <v>49.170666666666669</v>
      </c>
      <c r="V1127" s="206">
        <v>33.804499999999997</v>
      </c>
      <c r="W1127" s="203">
        <v>0</v>
      </c>
      <c r="X1127" s="206">
        <v>0</v>
      </c>
      <c r="Y1127" s="203">
        <v>0</v>
      </c>
      <c r="Z1127" s="206">
        <v>0</v>
      </c>
      <c r="AA1127" s="203">
        <v>0</v>
      </c>
      <c r="AB1127" s="206">
        <v>0</v>
      </c>
      <c r="AC1127" s="238">
        <f t="shared" ref="AC1127:AC1162" si="603">SUM(E1127:AB1127)</f>
        <v>202.26900000000001</v>
      </c>
      <c r="AD1127" s="238"/>
      <c r="AE1127" s="238"/>
    </row>
    <row r="1128" spans="2:31" x14ac:dyDescent="0.3">
      <c r="B1128" s="245" t="s">
        <v>6</v>
      </c>
      <c r="C1128" s="245"/>
      <c r="D1128" s="245"/>
      <c r="E1128" s="203">
        <v>0</v>
      </c>
      <c r="F1128" s="206">
        <v>0</v>
      </c>
      <c r="G1128" s="203">
        <v>0</v>
      </c>
      <c r="H1128" s="206">
        <v>0</v>
      </c>
      <c r="I1128" s="203">
        <v>0</v>
      </c>
      <c r="J1128" s="206">
        <v>0</v>
      </c>
      <c r="K1128" s="203">
        <v>0</v>
      </c>
      <c r="L1128" s="206">
        <v>0</v>
      </c>
      <c r="M1128" s="203">
        <v>0</v>
      </c>
      <c r="N1128" s="206">
        <v>0</v>
      </c>
      <c r="O1128" s="203">
        <v>0</v>
      </c>
      <c r="P1128" s="206">
        <v>0</v>
      </c>
      <c r="Q1128" s="203">
        <v>0</v>
      </c>
      <c r="R1128" s="206">
        <v>0</v>
      </c>
      <c r="S1128" s="203">
        <v>0</v>
      </c>
      <c r="T1128" s="206">
        <v>6.2936666666666676</v>
      </c>
      <c r="U1128" s="203">
        <v>16.862500000000001</v>
      </c>
      <c r="V1128" s="206">
        <v>2.378166666666667</v>
      </c>
      <c r="W1128" s="203">
        <v>13.305833333333329</v>
      </c>
      <c r="X1128" s="206">
        <v>7.8509999999999991</v>
      </c>
      <c r="Y1128" s="203">
        <v>0</v>
      </c>
      <c r="Z1128" s="206">
        <v>0</v>
      </c>
      <c r="AA1128" s="203">
        <v>0</v>
      </c>
      <c r="AB1128" s="206">
        <v>0</v>
      </c>
      <c r="AC1128" s="238">
        <f t="shared" si="603"/>
        <v>46.69116666666666</v>
      </c>
      <c r="AD1128" s="238"/>
      <c r="AE1128" s="238"/>
    </row>
    <row r="1129" spans="2:31" x14ac:dyDescent="0.3">
      <c r="B1129" s="245" t="s">
        <v>91</v>
      </c>
      <c r="C1129" s="245"/>
      <c r="D1129" s="245"/>
      <c r="E1129" s="203">
        <v>0</v>
      </c>
      <c r="F1129" s="206">
        <v>0</v>
      </c>
      <c r="G1129" s="203">
        <v>0</v>
      </c>
      <c r="H1129" s="206">
        <v>0</v>
      </c>
      <c r="I1129" s="203">
        <v>0</v>
      </c>
      <c r="J1129" s="206">
        <v>0</v>
      </c>
      <c r="K1129" s="203">
        <v>0</v>
      </c>
      <c r="L1129" s="206">
        <v>0</v>
      </c>
      <c r="M1129" s="203">
        <v>0</v>
      </c>
      <c r="N1129" s="206">
        <v>0</v>
      </c>
      <c r="O1129" s="203">
        <v>0</v>
      </c>
      <c r="P1129" s="206">
        <v>0</v>
      </c>
      <c r="Q1129" s="203">
        <v>0</v>
      </c>
      <c r="R1129" s="206">
        <v>0</v>
      </c>
      <c r="S1129" s="203">
        <v>0</v>
      </c>
      <c r="T1129" s="206">
        <v>0</v>
      </c>
      <c r="U1129" s="203">
        <v>0</v>
      </c>
      <c r="V1129" s="206">
        <v>0</v>
      </c>
      <c r="W1129" s="203">
        <v>0</v>
      </c>
      <c r="X1129" s="206">
        <v>0</v>
      </c>
      <c r="Y1129" s="203">
        <v>0</v>
      </c>
      <c r="Z1129" s="206">
        <v>0</v>
      </c>
      <c r="AA1129" s="203">
        <v>0</v>
      </c>
      <c r="AB1129" s="206">
        <v>0</v>
      </c>
      <c r="AC1129" s="238">
        <f t="shared" si="603"/>
        <v>0</v>
      </c>
      <c r="AD1129" s="238"/>
      <c r="AE1129" s="238"/>
    </row>
    <row r="1130" spans="2:31" x14ac:dyDescent="0.3">
      <c r="B1130" s="245" t="s">
        <v>7</v>
      </c>
      <c r="C1130" s="245"/>
      <c r="D1130" s="245"/>
      <c r="E1130" s="203">
        <v>0</v>
      </c>
      <c r="F1130" s="206">
        <v>0</v>
      </c>
      <c r="G1130" s="203">
        <v>0</v>
      </c>
      <c r="H1130" s="206">
        <v>0</v>
      </c>
      <c r="I1130" s="203">
        <v>0</v>
      </c>
      <c r="J1130" s="206">
        <v>0</v>
      </c>
      <c r="K1130" s="203">
        <v>0</v>
      </c>
      <c r="L1130" s="206">
        <v>0</v>
      </c>
      <c r="M1130" s="203">
        <v>0</v>
      </c>
      <c r="N1130" s="206">
        <v>0</v>
      </c>
      <c r="O1130" s="203">
        <v>0</v>
      </c>
      <c r="P1130" s="206">
        <v>0</v>
      </c>
      <c r="Q1130" s="203">
        <v>0</v>
      </c>
      <c r="R1130" s="206">
        <v>0</v>
      </c>
      <c r="S1130" s="203">
        <v>0</v>
      </c>
      <c r="T1130" s="206">
        <v>0</v>
      </c>
      <c r="U1130" s="203">
        <v>0</v>
      </c>
      <c r="V1130" s="206">
        <v>0</v>
      </c>
      <c r="W1130" s="203">
        <v>0</v>
      </c>
      <c r="X1130" s="206">
        <v>2.434833333333335</v>
      </c>
      <c r="Y1130" s="203">
        <v>0</v>
      </c>
      <c r="Z1130" s="206">
        <v>0</v>
      </c>
      <c r="AA1130" s="203">
        <v>0</v>
      </c>
      <c r="AB1130" s="206">
        <v>0</v>
      </c>
      <c r="AC1130" s="238">
        <f t="shared" si="603"/>
        <v>2.434833333333335</v>
      </c>
      <c r="AD1130" s="238"/>
      <c r="AE1130" s="238"/>
    </row>
    <row r="1131" spans="2:31" x14ac:dyDescent="0.3">
      <c r="B1131" s="245" t="s">
        <v>8</v>
      </c>
      <c r="C1131" s="245"/>
      <c r="D1131" s="245"/>
      <c r="E1131" s="203">
        <v>0</v>
      </c>
      <c r="F1131" s="206">
        <v>0</v>
      </c>
      <c r="G1131" s="203">
        <v>0</v>
      </c>
      <c r="H1131" s="206">
        <v>0</v>
      </c>
      <c r="I1131" s="203">
        <v>0</v>
      </c>
      <c r="J1131" s="206">
        <v>0</v>
      </c>
      <c r="K1131" s="203">
        <v>0</v>
      </c>
      <c r="L1131" s="206">
        <v>0</v>
      </c>
      <c r="M1131" s="203">
        <v>0</v>
      </c>
      <c r="N1131" s="206">
        <v>0</v>
      </c>
      <c r="O1131" s="203">
        <v>0</v>
      </c>
      <c r="P1131" s="206">
        <v>0</v>
      </c>
      <c r="Q1131" s="203">
        <v>0</v>
      </c>
      <c r="R1131" s="206">
        <v>0</v>
      </c>
      <c r="S1131" s="203">
        <v>8.8306666666666711</v>
      </c>
      <c r="T1131" s="206">
        <v>14.287333333333342</v>
      </c>
      <c r="U1131" s="203">
        <v>17.457166666666669</v>
      </c>
      <c r="V1131" s="206">
        <v>9.8111666666666686</v>
      </c>
      <c r="W1131" s="203">
        <v>0</v>
      </c>
      <c r="X1131" s="206">
        <v>0</v>
      </c>
      <c r="Y1131" s="203">
        <v>0</v>
      </c>
      <c r="Z1131" s="206">
        <v>0</v>
      </c>
      <c r="AA1131" s="203">
        <v>0</v>
      </c>
      <c r="AB1131" s="206">
        <v>0</v>
      </c>
      <c r="AC1131" s="238">
        <f t="shared" si="603"/>
        <v>50.386333333333354</v>
      </c>
      <c r="AD1131" s="238"/>
      <c r="AE1131" s="238"/>
    </row>
    <row r="1132" spans="2:31" x14ac:dyDescent="0.3">
      <c r="B1132" s="245" t="s">
        <v>9</v>
      </c>
      <c r="C1132" s="245"/>
      <c r="D1132" s="245"/>
      <c r="E1132" s="203">
        <v>0</v>
      </c>
      <c r="F1132" s="206">
        <v>0</v>
      </c>
      <c r="G1132" s="203">
        <v>0</v>
      </c>
      <c r="H1132" s="206">
        <v>0</v>
      </c>
      <c r="I1132" s="203">
        <v>0</v>
      </c>
      <c r="J1132" s="206">
        <v>0</v>
      </c>
      <c r="K1132" s="203">
        <v>0</v>
      </c>
      <c r="L1132" s="206">
        <v>0</v>
      </c>
      <c r="M1132" s="203">
        <v>0</v>
      </c>
      <c r="N1132" s="206">
        <v>0</v>
      </c>
      <c r="O1132" s="203">
        <v>0</v>
      </c>
      <c r="P1132" s="206">
        <v>0</v>
      </c>
      <c r="Q1132" s="203">
        <v>0</v>
      </c>
      <c r="R1132" s="206">
        <v>0</v>
      </c>
      <c r="S1132" s="203">
        <v>2.3805000000000001</v>
      </c>
      <c r="T1132" s="206">
        <v>13.578666666666667</v>
      </c>
      <c r="U1132" s="203">
        <v>0</v>
      </c>
      <c r="V1132" s="206">
        <v>11.813833333333326</v>
      </c>
      <c r="W1132" s="203">
        <v>0</v>
      </c>
      <c r="X1132" s="206">
        <v>0</v>
      </c>
      <c r="Y1132" s="203">
        <v>0</v>
      </c>
      <c r="Z1132" s="206">
        <v>0</v>
      </c>
      <c r="AA1132" s="203">
        <v>0</v>
      </c>
      <c r="AB1132" s="206">
        <v>0</v>
      </c>
      <c r="AC1132" s="238">
        <f t="shared" si="603"/>
        <v>27.772999999999993</v>
      </c>
      <c r="AD1132" s="238"/>
      <c r="AE1132" s="238"/>
    </row>
    <row r="1133" spans="2:31" x14ac:dyDescent="0.3">
      <c r="B1133" s="245" t="s">
        <v>10</v>
      </c>
      <c r="C1133" s="245"/>
      <c r="D1133" s="245"/>
      <c r="E1133" s="203">
        <v>0</v>
      </c>
      <c r="F1133" s="206">
        <v>0</v>
      </c>
      <c r="G1133" s="203">
        <v>0</v>
      </c>
      <c r="H1133" s="206">
        <v>0</v>
      </c>
      <c r="I1133" s="203">
        <v>0</v>
      </c>
      <c r="J1133" s="206">
        <v>0</v>
      </c>
      <c r="K1133" s="203">
        <v>0</v>
      </c>
      <c r="L1133" s="206">
        <v>0</v>
      </c>
      <c r="M1133" s="203">
        <v>0</v>
      </c>
      <c r="N1133" s="206">
        <v>0</v>
      </c>
      <c r="O1133" s="203">
        <v>0</v>
      </c>
      <c r="P1133" s="206">
        <v>0</v>
      </c>
      <c r="Q1133" s="203">
        <v>0</v>
      </c>
      <c r="R1133" s="206">
        <v>2.8610000000000002</v>
      </c>
      <c r="S1133" s="203">
        <v>18.490166666666664</v>
      </c>
      <c r="T1133" s="206">
        <v>23.296333333333326</v>
      </c>
      <c r="U1133" s="203">
        <v>13.433833333333329</v>
      </c>
      <c r="V1133" s="206">
        <v>4.0541666666666663</v>
      </c>
      <c r="W1133" s="203">
        <v>0</v>
      </c>
      <c r="X1133" s="206">
        <v>0</v>
      </c>
      <c r="Y1133" s="203">
        <v>0</v>
      </c>
      <c r="Z1133" s="206">
        <v>0</v>
      </c>
      <c r="AA1133" s="203">
        <v>0</v>
      </c>
      <c r="AB1133" s="206">
        <v>0</v>
      </c>
      <c r="AC1133" s="238">
        <f t="shared" si="603"/>
        <v>62.135499999999986</v>
      </c>
      <c r="AD1133" s="238"/>
      <c r="AE1133" s="238"/>
    </row>
    <row r="1134" spans="2:31" x14ac:dyDescent="0.3">
      <c r="B1134" s="245" t="s">
        <v>11</v>
      </c>
      <c r="C1134" s="245"/>
      <c r="D1134" s="245"/>
      <c r="E1134" s="203">
        <v>0</v>
      </c>
      <c r="F1134" s="206">
        <v>0</v>
      </c>
      <c r="G1134" s="203">
        <v>0</v>
      </c>
      <c r="H1134" s="206">
        <v>0</v>
      </c>
      <c r="I1134" s="203">
        <v>0</v>
      </c>
      <c r="J1134" s="206">
        <v>0</v>
      </c>
      <c r="K1134" s="203">
        <v>0</v>
      </c>
      <c r="L1134" s="206">
        <v>0</v>
      </c>
      <c r="M1134" s="203">
        <v>0</v>
      </c>
      <c r="N1134" s="206">
        <v>0</v>
      </c>
      <c r="O1134" s="203">
        <v>0</v>
      </c>
      <c r="P1134" s="206">
        <v>0</v>
      </c>
      <c r="Q1134" s="203">
        <v>0</v>
      </c>
      <c r="R1134" s="206">
        <v>1.5535000000000005</v>
      </c>
      <c r="S1134" s="203">
        <v>18.424666666666671</v>
      </c>
      <c r="T1134" s="206">
        <v>22.92116666666664</v>
      </c>
      <c r="U1134" s="203">
        <v>19.74283333333333</v>
      </c>
      <c r="V1134" s="206">
        <v>13.020166666666663</v>
      </c>
      <c r="W1134" s="203">
        <v>0</v>
      </c>
      <c r="X1134" s="206">
        <v>0</v>
      </c>
      <c r="Y1134" s="203">
        <v>0</v>
      </c>
      <c r="Z1134" s="206">
        <v>0</v>
      </c>
      <c r="AA1134" s="203">
        <v>0</v>
      </c>
      <c r="AB1134" s="206">
        <v>0</v>
      </c>
      <c r="AC1134" s="238">
        <f t="shared" si="603"/>
        <v>75.662333333333308</v>
      </c>
      <c r="AD1134" s="238"/>
      <c r="AE1134" s="238"/>
    </row>
    <row r="1135" spans="2:31" x14ac:dyDescent="0.3">
      <c r="B1135" s="245" t="s">
        <v>12</v>
      </c>
      <c r="C1135" s="245"/>
      <c r="D1135" s="245"/>
      <c r="E1135" s="203">
        <v>0</v>
      </c>
      <c r="F1135" s="206">
        <v>0</v>
      </c>
      <c r="G1135" s="203">
        <v>0</v>
      </c>
      <c r="H1135" s="206">
        <v>0</v>
      </c>
      <c r="I1135" s="203">
        <v>0</v>
      </c>
      <c r="J1135" s="206">
        <v>0</v>
      </c>
      <c r="K1135" s="203">
        <v>0</v>
      </c>
      <c r="L1135" s="206">
        <v>0</v>
      </c>
      <c r="M1135" s="203">
        <v>0</v>
      </c>
      <c r="N1135" s="206">
        <v>0</v>
      </c>
      <c r="O1135" s="203">
        <v>0</v>
      </c>
      <c r="P1135" s="206">
        <v>0</v>
      </c>
      <c r="Q1135" s="203">
        <v>0</v>
      </c>
      <c r="R1135" s="206">
        <v>18.156666666666659</v>
      </c>
      <c r="S1135" s="203">
        <v>45.783666666666669</v>
      </c>
      <c r="T1135" s="206">
        <v>56.139666666666656</v>
      </c>
      <c r="U1135" s="203">
        <v>65.257333333333321</v>
      </c>
      <c r="V1135" s="206">
        <v>37.093166666666669</v>
      </c>
      <c r="W1135" s="203">
        <v>0</v>
      </c>
      <c r="X1135" s="206">
        <v>0</v>
      </c>
      <c r="Y1135" s="203">
        <v>0</v>
      </c>
      <c r="Z1135" s="206">
        <v>0</v>
      </c>
      <c r="AA1135" s="203">
        <v>0</v>
      </c>
      <c r="AB1135" s="206">
        <v>0</v>
      </c>
      <c r="AC1135" s="238">
        <f t="shared" si="603"/>
        <v>222.43049999999997</v>
      </c>
      <c r="AD1135" s="238"/>
      <c r="AE1135" s="238"/>
    </row>
    <row r="1136" spans="2:31" x14ac:dyDescent="0.3">
      <c r="B1136" s="245" t="s">
        <v>13</v>
      </c>
      <c r="C1136" s="245"/>
      <c r="D1136" s="245"/>
      <c r="E1136" s="203">
        <v>0</v>
      </c>
      <c r="F1136" s="206">
        <v>0</v>
      </c>
      <c r="G1136" s="203">
        <v>0</v>
      </c>
      <c r="H1136" s="206">
        <v>0</v>
      </c>
      <c r="I1136" s="203">
        <v>0</v>
      </c>
      <c r="J1136" s="206">
        <v>0</v>
      </c>
      <c r="K1136" s="203">
        <v>0</v>
      </c>
      <c r="L1136" s="206">
        <v>0</v>
      </c>
      <c r="M1136" s="203">
        <v>0</v>
      </c>
      <c r="N1136" s="206">
        <v>0</v>
      </c>
      <c r="O1136" s="203">
        <v>0</v>
      </c>
      <c r="P1136" s="206">
        <v>0</v>
      </c>
      <c r="Q1136" s="203">
        <v>0</v>
      </c>
      <c r="R1136" s="206">
        <v>1.0275000000000003</v>
      </c>
      <c r="S1136" s="203">
        <v>16.290166666666678</v>
      </c>
      <c r="T1136" s="206">
        <v>23.12183333333336</v>
      </c>
      <c r="U1136" s="203">
        <v>13.656833333333331</v>
      </c>
      <c r="V1136" s="206">
        <v>0</v>
      </c>
      <c r="W1136" s="203">
        <v>0</v>
      </c>
      <c r="X1136" s="206">
        <v>0</v>
      </c>
      <c r="Y1136" s="203">
        <v>0</v>
      </c>
      <c r="Z1136" s="206">
        <v>0</v>
      </c>
      <c r="AA1136" s="203">
        <v>0</v>
      </c>
      <c r="AB1136" s="206">
        <v>0</v>
      </c>
      <c r="AC1136" s="238">
        <f t="shared" si="603"/>
        <v>54.096333333333369</v>
      </c>
      <c r="AD1136" s="238"/>
      <c r="AE1136" s="238"/>
    </row>
    <row r="1137" spans="2:31" x14ac:dyDescent="0.3">
      <c r="B1137" s="245" t="s">
        <v>14</v>
      </c>
      <c r="C1137" s="245"/>
      <c r="D1137" s="245"/>
      <c r="E1137" s="203">
        <v>0</v>
      </c>
      <c r="F1137" s="206">
        <v>0</v>
      </c>
      <c r="G1137" s="203">
        <v>0</v>
      </c>
      <c r="H1137" s="206">
        <v>0</v>
      </c>
      <c r="I1137" s="203">
        <v>0</v>
      </c>
      <c r="J1137" s="206">
        <v>0</v>
      </c>
      <c r="K1137" s="203">
        <v>0</v>
      </c>
      <c r="L1137" s="206">
        <v>0</v>
      </c>
      <c r="M1137" s="203">
        <v>0</v>
      </c>
      <c r="N1137" s="206">
        <v>0</v>
      </c>
      <c r="O1137" s="203">
        <v>0</v>
      </c>
      <c r="P1137" s="206">
        <v>0</v>
      </c>
      <c r="Q1137" s="203">
        <v>0</v>
      </c>
      <c r="R1137" s="206">
        <v>0</v>
      </c>
      <c r="S1137" s="203">
        <v>0</v>
      </c>
      <c r="T1137" s="206">
        <v>1.1666666666666639E-3</v>
      </c>
      <c r="U1137" s="203">
        <v>1.4856666666666669</v>
      </c>
      <c r="V1137" s="206">
        <v>2.5738333333333334</v>
      </c>
      <c r="W1137" s="203">
        <v>0</v>
      </c>
      <c r="X1137" s="206">
        <v>0</v>
      </c>
      <c r="Y1137" s="203">
        <v>0</v>
      </c>
      <c r="Z1137" s="206">
        <v>0</v>
      </c>
      <c r="AA1137" s="203">
        <v>0</v>
      </c>
      <c r="AB1137" s="206">
        <v>0</v>
      </c>
      <c r="AC1137" s="238">
        <f t="shared" si="603"/>
        <v>4.0606666666666671</v>
      </c>
      <c r="AD1137" s="238"/>
      <c r="AE1137" s="238"/>
    </row>
    <row r="1138" spans="2:31" x14ac:dyDescent="0.3">
      <c r="B1138" s="245" t="s">
        <v>15</v>
      </c>
      <c r="C1138" s="245"/>
      <c r="D1138" s="245"/>
      <c r="E1138" s="203">
        <v>0</v>
      </c>
      <c r="F1138" s="206">
        <v>0</v>
      </c>
      <c r="G1138" s="203">
        <v>0</v>
      </c>
      <c r="H1138" s="206">
        <v>0</v>
      </c>
      <c r="I1138" s="203">
        <v>0</v>
      </c>
      <c r="J1138" s="206">
        <v>0</v>
      </c>
      <c r="K1138" s="203">
        <v>0</v>
      </c>
      <c r="L1138" s="206">
        <v>0</v>
      </c>
      <c r="M1138" s="203">
        <v>0</v>
      </c>
      <c r="N1138" s="206">
        <v>0</v>
      </c>
      <c r="O1138" s="203">
        <v>0</v>
      </c>
      <c r="P1138" s="206">
        <v>0</v>
      </c>
      <c r="Q1138" s="203">
        <v>0</v>
      </c>
      <c r="R1138" s="206">
        <v>4.9166666666666685E-2</v>
      </c>
      <c r="S1138" s="203">
        <v>5.8606666666666678</v>
      </c>
      <c r="T1138" s="206">
        <v>8.6228333333333307</v>
      </c>
      <c r="U1138" s="203">
        <v>3.0316666666666658</v>
      </c>
      <c r="V1138" s="206">
        <v>0.28366666666666707</v>
      </c>
      <c r="W1138" s="203">
        <v>0</v>
      </c>
      <c r="X1138" s="206">
        <v>0</v>
      </c>
      <c r="Y1138" s="203">
        <v>0</v>
      </c>
      <c r="Z1138" s="206">
        <v>0</v>
      </c>
      <c r="AA1138" s="203">
        <v>0</v>
      </c>
      <c r="AB1138" s="206">
        <v>0</v>
      </c>
      <c r="AC1138" s="238">
        <f t="shared" si="603"/>
        <v>17.847999999999999</v>
      </c>
      <c r="AD1138" s="238"/>
      <c r="AE1138" s="238"/>
    </row>
    <row r="1139" spans="2:31" x14ac:dyDescent="0.3">
      <c r="B1139" s="245" t="s">
        <v>16</v>
      </c>
      <c r="C1139" s="245"/>
      <c r="D1139" s="245"/>
      <c r="E1139" s="203">
        <v>0</v>
      </c>
      <c r="F1139" s="206">
        <v>0</v>
      </c>
      <c r="G1139" s="203">
        <v>0</v>
      </c>
      <c r="H1139" s="206">
        <v>0</v>
      </c>
      <c r="I1139" s="203">
        <v>0</v>
      </c>
      <c r="J1139" s="206">
        <v>0</v>
      </c>
      <c r="K1139" s="203">
        <v>0</v>
      </c>
      <c r="L1139" s="206">
        <v>0</v>
      </c>
      <c r="M1139" s="203">
        <v>0</v>
      </c>
      <c r="N1139" s="206">
        <v>0</v>
      </c>
      <c r="O1139" s="203">
        <v>0</v>
      </c>
      <c r="P1139" s="206">
        <v>0</v>
      </c>
      <c r="Q1139" s="203">
        <v>0</v>
      </c>
      <c r="R1139" s="206">
        <v>0</v>
      </c>
      <c r="S1139" s="203">
        <v>0</v>
      </c>
      <c r="T1139" s="206">
        <v>0</v>
      </c>
      <c r="U1139" s="203">
        <v>0</v>
      </c>
      <c r="V1139" s="206">
        <v>0</v>
      </c>
      <c r="W1139" s="203">
        <v>0</v>
      </c>
      <c r="X1139" s="206">
        <v>0</v>
      </c>
      <c r="Y1139" s="203">
        <v>0</v>
      </c>
      <c r="Z1139" s="206">
        <v>0</v>
      </c>
      <c r="AA1139" s="203">
        <v>0</v>
      </c>
      <c r="AB1139" s="206">
        <v>0</v>
      </c>
      <c r="AC1139" s="238">
        <f t="shared" si="603"/>
        <v>0</v>
      </c>
      <c r="AD1139" s="238"/>
      <c r="AE1139" s="238"/>
    </row>
    <row r="1140" spans="2:31" x14ac:dyDescent="0.3">
      <c r="B1140" s="245" t="s">
        <v>17</v>
      </c>
      <c r="C1140" s="245"/>
      <c r="D1140" s="245"/>
      <c r="E1140" s="203">
        <v>0</v>
      </c>
      <c r="F1140" s="206">
        <v>0</v>
      </c>
      <c r="G1140" s="203">
        <v>0</v>
      </c>
      <c r="H1140" s="206">
        <v>0</v>
      </c>
      <c r="I1140" s="203">
        <v>0</v>
      </c>
      <c r="J1140" s="206">
        <v>0</v>
      </c>
      <c r="K1140" s="203">
        <v>0</v>
      </c>
      <c r="L1140" s="206">
        <v>0</v>
      </c>
      <c r="M1140" s="203">
        <v>0</v>
      </c>
      <c r="N1140" s="206">
        <v>0</v>
      </c>
      <c r="O1140" s="203">
        <v>0</v>
      </c>
      <c r="P1140" s="206">
        <v>0</v>
      </c>
      <c r="Q1140" s="203">
        <v>0</v>
      </c>
      <c r="R1140" s="206">
        <v>9.1816666666666684</v>
      </c>
      <c r="S1140" s="203">
        <v>35.259999999999991</v>
      </c>
      <c r="T1140" s="206">
        <v>46.091499999999996</v>
      </c>
      <c r="U1140" s="203">
        <v>45.672833333333323</v>
      </c>
      <c r="V1140" s="206">
        <v>29.795333333333325</v>
      </c>
      <c r="W1140" s="203">
        <v>0</v>
      </c>
      <c r="X1140" s="206">
        <v>0</v>
      </c>
      <c r="Y1140" s="203">
        <v>0</v>
      </c>
      <c r="Z1140" s="206">
        <v>0</v>
      </c>
      <c r="AA1140" s="203">
        <v>0</v>
      </c>
      <c r="AB1140" s="206">
        <v>0</v>
      </c>
      <c r="AC1140" s="238">
        <f t="shared" si="603"/>
        <v>166.00133333333332</v>
      </c>
      <c r="AD1140" s="238"/>
      <c r="AE1140" s="238"/>
    </row>
    <row r="1141" spans="2:31" x14ac:dyDescent="0.3">
      <c r="B1141" s="245" t="s">
        <v>18</v>
      </c>
      <c r="C1141" s="245"/>
      <c r="D1141" s="245"/>
      <c r="E1141" s="203">
        <v>0</v>
      </c>
      <c r="F1141" s="206">
        <v>0</v>
      </c>
      <c r="G1141" s="203">
        <v>0</v>
      </c>
      <c r="H1141" s="206">
        <v>0</v>
      </c>
      <c r="I1141" s="203">
        <v>0</v>
      </c>
      <c r="J1141" s="206">
        <v>0</v>
      </c>
      <c r="K1141" s="203">
        <v>0</v>
      </c>
      <c r="L1141" s="206">
        <v>0</v>
      </c>
      <c r="M1141" s="203">
        <v>0</v>
      </c>
      <c r="N1141" s="206">
        <v>0</v>
      </c>
      <c r="O1141" s="203">
        <v>0</v>
      </c>
      <c r="P1141" s="206">
        <v>0</v>
      </c>
      <c r="Q1141" s="203">
        <v>0</v>
      </c>
      <c r="R1141" s="206">
        <v>3.2554999999999996</v>
      </c>
      <c r="S1141" s="203">
        <v>11.346833333333338</v>
      </c>
      <c r="T1141" s="206">
        <v>15.448333333333332</v>
      </c>
      <c r="U1141" s="203">
        <v>20.799333333333337</v>
      </c>
      <c r="V1141" s="206">
        <v>17.567500000000003</v>
      </c>
      <c r="W1141" s="203">
        <v>0</v>
      </c>
      <c r="X1141" s="206">
        <v>0</v>
      </c>
      <c r="Y1141" s="203">
        <v>0</v>
      </c>
      <c r="Z1141" s="206">
        <v>0</v>
      </c>
      <c r="AA1141" s="203">
        <v>0</v>
      </c>
      <c r="AB1141" s="206">
        <v>0</v>
      </c>
      <c r="AC1141" s="238">
        <f t="shared" si="603"/>
        <v>68.417500000000018</v>
      </c>
      <c r="AD1141" s="238"/>
      <c r="AE1141" s="238"/>
    </row>
    <row r="1142" spans="2:31" x14ac:dyDescent="0.3">
      <c r="B1142" s="245" t="s">
        <v>19</v>
      </c>
      <c r="C1142" s="245"/>
      <c r="D1142" s="245"/>
      <c r="E1142" s="203">
        <v>0</v>
      </c>
      <c r="F1142" s="206">
        <v>0</v>
      </c>
      <c r="G1142" s="203">
        <v>0</v>
      </c>
      <c r="H1142" s="206">
        <v>0</v>
      </c>
      <c r="I1142" s="203">
        <v>0</v>
      </c>
      <c r="J1142" s="206">
        <v>0</v>
      </c>
      <c r="K1142" s="203">
        <v>0</v>
      </c>
      <c r="L1142" s="206">
        <v>0</v>
      </c>
      <c r="M1142" s="203">
        <v>0</v>
      </c>
      <c r="N1142" s="206">
        <v>0</v>
      </c>
      <c r="O1142" s="203">
        <v>0</v>
      </c>
      <c r="P1142" s="206">
        <v>0</v>
      </c>
      <c r="Q1142" s="203">
        <v>0</v>
      </c>
      <c r="R1142" s="206">
        <v>0</v>
      </c>
      <c r="S1142" s="203">
        <v>0</v>
      </c>
      <c r="T1142" s="206">
        <v>0</v>
      </c>
      <c r="U1142" s="203">
        <v>0</v>
      </c>
      <c r="V1142" s="206">
        <v>0</v>
      </c>
      <c r="W1142" s="203">
        <v>0</v>
      </c>
      <c r="X1142" s="206">
        <v>0</v>
      </c>
      <c r="Y1142" s="203">
        <v>0</v>
      </c>
      <c r="Z1142" s="206">
        <v>0</v>
      </c>
      <c r="AA1142" s="203">
        <v>0</v>
      </c>
      <c r="AB1142" s="206">
        <v>0</v>
      </c>
      <c r="AC1142" s="238">
        <f t="shared" si="603"/>
        <v>0</v>
      </c>
      <c r="AD1142" s="238"/>
      <c r="AE1142" s="238"/>
    </row>
    <row r="1143" spans="2:31" x14ac:dyDescent="0.3">
      <c r="B1143" s="245" t="s">
        <v>20</v>
      </c>
      <c r="C1143" s="245"/>
      <c r="D1143" s="245"/>
      <c r="E1143" s="203">
        <v>0</v>
      </c>
      <c r="F1143" s="206">
        <v>0</v>
      </c>
      <c r="G1143" s="203">
        <v>0</v>
      </c>
      <c r="H1143" s="206">
        <v>0</v>
      </c>
      <c r="I1143" s="203">
        <v>0</v>
      </c>
      <c r="J1143" s="206">
        <v>0</v>
      </c>
      <c r="K1143" s="203">
        <v>0</v>
      </c>
      <c r="L1143" s="206">
        <v>0</v>
      </c>
      <c r="M1143" s="203">
        <v>0</v>
      </c>
      <c r="N1143" s="206">
        <v>0</v>
      </c>
      <c r="O1143" s="203">
        <v>0</v>
      </c>
      <c r="P1143" s="206">
        <v>0</v>
      </c>
      <c r="Q1143" s="203">
        <v>0</v>
      </c>
      <c r="R1143" s="206">
        <v>1.2333333333333307E-2</v>
      </c>
      <c r="S1143" s="203">
        <v>0.37499999999999967</v>
      </c>
      <c r="T1143" s="206">
        <v>1.3711666666666669</v>
      </c>
      <c r="U1143" s="203">
        <v>3.1695000000000015</v>
      </c>
      <c r="V1143" s="206">
        <v>4.2770000000000046</v>
      </c>
      <c r="W1143" s="203">
        <v>0</v>
      </c>
      <c r="X1143" s="206">
        <v>0</v>
      </c>
      <c r="Y1143" s="203">
        <v>0</v>
      </c>
      <c r="Z1143" s="206">
        <v>0</v>
      </c>
      <c r="AA1143" s="203">
        <v>0</v>
      </c>
      <c r="AB1143" s="206">
        <v>0</v>
      </c>
      <c r="AC1143" s="238">
        <f t="shared" si="603"/>
        <v>9.2050000000000054</v>
      </c>
      <c r="AD1143" s="238"/>
      <c r="AE1143" s="238"/>
    </row>
    <row r="1144" spans="2:31" x14ac:dyDescent="0.3">
      <c r="B1144" s="245" t="s">
        <v>21</v>
      </c>
      <c r="C1144" s="245"/>
      <c r="D1144" s="245"/>
      <c r="E1144" s="203">
        <v>0</v>
      </c>
      <c r="F1144" s="206">
        <v>0</v>
      </c>
      <c r="G1144" s="203">
        <v>0</v>
      </c>
      <c r="H1144" s="206">
        <v>0</v>
      </c>
      <c r="I1144" s="203">
        <v>0</v>
      </c>
      <c r="J1144" s="206">
        <v>0</v>
      </c>
      <c r="K1144" s="203">
        <v>0</v>
      </c>
      <c r="L1144" s="206">
        <v>0</v>
      </c>
      <c r="M1144" s="203">
        <v>0</v>
      </c>
      <c r="N1144" s="206">
        <v>0</v>
      </c>
      <c r="O1144" s="203">
        <v>0</v>
      </c>
      <c r="P1144" s="206">
        <v>0</v>
      </c>
      <c r="Q1144" s="203">
        <v>0</v>
      </c>
      <c r="R1144" s="206">
        <v>2.1341666666666672</v>
      </c>
      <c r="S1144" s="203">
        <v>6.2735000000000021</v>
      </c>
      <c r="T1144" s="206">
        <v>5.314333333333332</v>
      </c>
      <c r="U1144" s="203">
        <v>7.1753333333333327</v>
      </c>
      <c r="V1144" s="206">
        <v>6.573666666666667</v>
      </c>
      <c r="W1144" s="203">
        <v>0</v>
      </c>
      <c r="X1144" s="206">
        <v>0</v>
      </c>
      <c r="Y1144" s="203">
        <v>0</v>
      </c>
      <c r="Z1144" s="206">
        <v>0</v>
      </c>
      <c r="AA1144" s="203">
        <v>0</v>
      </c>
      <c r="AB1144" s="206">
        <v>0</v>
      </c>
      <c r="AC1144" s="238">
        <f t="shared" si="603"/>
        <v>27.471000000000004</v>
      </c>
      <c r="AD1144" s="238"/>
      <c r="AE1144" s="238"/>
    </row>
    <row r="1145" spans="2:31" x14ac:dyDescent="0.3">
      <c r="B1145" s="245" t="s">
        <v>22</v>
      </c>
      <c r="C1145" s="245"/>
      <c r="D1145" s="245"/>
      <c r="E1145" s="203">
        <v>0</v>
      </c>
      <c r="F1145" s="206">
        <v>0</v>
      </c>
      <c r="G1145" s="203">
        <v>0</v>
      </c>
      <c r="H1145" s="206">
        <v>0</v>
      </c>
      <c r="I1145" s="203">
        <v>0</v>
      </c>
      <c r="J1145" s="206">
        <v>0</v>
      </c>
      <c r="K1145" s="203">
        <v>0</v>
      </c>
      <c r="L1145" s="206">
        <v>0</v>
      </c>
      <c r="M1145" s="203">
        <v>0</v>
      </c>
      <c r="N1145" s="206">
        <v>0</v>
      </c>
      <c r="O1145" s="203">
        <v>0</v>
      </c>
      <c r="P1145" s="206">
        <v>0</v>
      </c>
      <c r="Q1145" s="203">
        <v>0</v>
      </c>
      <c r="R1145" s="206">
        <v>0.81166666666666643</v>
      </c>
      <c r="S1145" s="203">
        <v>1.8418333333333334</v>
      </c>
      <c r="T1145" s="206">
        <v>1.4379999999999999</v>
      </c>
      <c r="U1145" s="203">
        <v>2.5776666666666657</v>
      </c>
      <c r="V1145" s="206">
        <v>1.94</v>
      </c>
      <c r="W1145" s="203">
        <v>0</v>
      </c>
      <c r="X1145" s="206">
        <v>0</v>
      </c>
      <c r="Y1145" s="203">
        <v>0</v>
      </c>
      <c r="Z1145" s="206">
        <v>0</v>
      </c>
      <c r="AA1145" s="203">
        <v>0</v>
      </c>
      <c r="AB1145" s="206">
        <v>0</v>
      </c>
      <c r="AC1145" s="238">
        <f t="shared" si="603"/>
        <v>8.6091666666666651</v>
      </c>
      <c r="AD1145" s="238"/>
      <c r="AE1145" s="238"/>
    </row>
    <row r="1146" spans="2:31" x14ac:dyDescent="0.3">
      <c r="B1146" s="245" t="s">
        <v>23</v>
      </c>
      <c r="C1146" s="245"/>
      <c r="D1146" s="245"/>
      <c r="E1146" s="203">
        <v>0</v>
      </c>
      <c r="F1146" s="206">
        <v>0</v>
      </c>
      <c r="G1146" s="203">
        <v>0</v>
      </c>
      <c r="H1146" s="206">
        <v>0</v>
      </c>
      <c r="I1146" s="203">
        <v>0</v>
      </c>
      <c r="J1146" s="206">
        <v>0</v>
      </c>
      <c r="K1146" s="203">
        <v>0</v>
      </c>
      <c r="L1146" s="206">
        <v>0</v>
      </c>
      <c r="M1146" s="203">
        <v>0</v>
      </c>
      <c r="N1146" s="206">
        <v>0</v>
      </c>
      <c r="O1146" s="203">
        <v>0</v>
      </c>
      <c r="P1146" s="206">
        <v>0</v>
      </c>
      <c r="Q1146" s="203">
        <v>0</v>
      </c>
      <c r="R1146" s="206">
        <v>2.6861666666666664</v>
      </c>
      <c r="S1146" s="203">
        <v>7.0056666666666638</v>
      </c>
      <c r="T1146" s="206">
        <v>5.9501666666666688</v>
      </c>
      <c r="U1146" s="203">
        <v>8.2783333333333307</v>
      </c>
      <c r="V1146" s="206">
        <v>7.1749999999999989</v>
      </c>
      <c r="W1146" s="203">
        <v>0</v>
      </c>
      <c r="X1146" s="206">
        <v>0</v>
      </c>
      <c r="Y1146" s="203">
        <v>0</v>
      </c>
      <c r="Z1146" s="206">
        <v>0</v>
      </c>
      <c r="AA1146" s="203">
        <v>0</v>
      </c>
      <c r="AB1146" s="206">
        <v>0</v>
      </c>
      <c r="AC1146" s="238">
        <f t="shared" si="603"/>
        <v>31.095333333333329</v>
      </c>
      <c r="AD1146" s="238"/>
      <c r="AE1146" s="238"/>
    </row>
    <row r="1147" spans="2:31" x14ac:dyDescent="0.3">
      <c r="B1147" s="245" t="s">
        <v>24</v>
      </c>
      <c r="C1147" s="245"/>
      <c r="D1147" s="245"/>
      <c r="E1147" s="203">
        <v>0</v>
      </c>
      <c r="F1147" s="206">
        <v>0</v>
      </c>
      <c r="G1147" s="203">
        <v>0</v>
      </c>
      <c r="H1147" s="206">
        <v>0</v>
      </c>
      <c r="I1147" s="203">
        <v>0</v>
      </c>
      <c r="J1147" s="206">
        <v>0</v>
      </c>
      <c r="K1147" s="203">
        <v>0</v>
      </c>
      <c r="L1147" s="206">
        <v>0</v>
      </c>
      <c r="M1147" s="203">
        <v>0</v>
      </c>
      <c r="N1147" s="206">
        <v>0</v>
      </c>
      <c r="O1147" s="203">
        <v>0</v>
      </c>
      <c r="P1147" s="206">
        <v>0</v>
      </c>
      <c r="Q1147" s="203">
        <v>0</v>
      </c>
      <c r="R1147" s="206">
        <v>1.0791666666666666</v>
      </c>
      <c r="S1147" s="203">
        <v>3.2426666666666657</v>
      </c>
      <c r="T1147" s="206">
        <v>1.5029999999999994</v>
      </c>
      <c r="U1147" s="203">
        <v>2.187666666666666</v>
      </c>
      <c r="V1147" s="206">
        <v>2.8416666666666668</v>
      </c>
      <c r="W1147" s="203">
        <v>0</v>
      </c>
      <c r="X1147" s="206">
        <v>0</v>
      </c>
      <c r="Y1147" s="203">
        <v>0</v>
      </c>
      <c r="Z1147" s="206">
        <v>0</v>
      </c>
      <c r="AA1147" s="203">
        <v>0</v>
      </c>
      <c r="AB1147" s="206">
        <v>0</v>
      </c>
      <c r="AC1147" s="238">
        <f t="shared" si="603"/>
        <v>10.854166666666664</v>
      </c>
      <c r="AD1147" s="238"/>
      <c r="AE1147" s="238"/>
    </row>
    <row r="1148" spans="2:31" x14ac:dyDescent="0.3">
      <c r="B1148" s="245" t="s">
        <v>25</v>
      </c>
      <c r="C1148" s="245"/>
      <c r="D1148" s="245"/>
      <c r="E1148" s="203">
        <v>0</v>
      </c>
      <c r="F1148" s="206">
        <v>0</v>
      </c>
      <c r="G1148" s="203">
        <v>0</v>
      </c>
      <c r="H1148" s="206">
        <v>0</v>
      </c>
      <c r="I1148" s="203">
        <v>0</v>
      </c>
      <c r="J1148" s="206">
        <v>0</v>
      </c>
      <c r="K1148" s="203">
        <v>0</v>
      </c>
      <c r="L1148" s="206">
        <v>0</v>
      </c>
      <c r="M1148" s="203">
        <v>0</v>
      </c>
      <c r="N1148" s="206">
        <v>0</v>
      </c>
      <c r="O1148" s="203">
        <v>0</v>
      </c>
      <c r="P1148" s="206">
        <v>0</v>
      </c>
      <c r="Q1148" s="203">
        <v>0</v>
      </c>
      <c r="R1148" s="206">
        <v>0</v>
      </c>
      <c r="S1148" s="203">
        <v>0</v>
      </c>
      <c r="T1148" s="206">
        <v>0</v>
      </c>
      <c r="U1148" s="203">
        <v>0</v>
      </c>
      <c r="V1148" s="206">
        <v>0</v>
      </c>
      <c r="W1148" s="203">
        <v>0</v>
      </c>
      <c r="X1148" s="206">
        <v>0</v>
      </c>
      <c r="Y1148" s="203">
        <v>0</v>
      </c>
      <c r="Z1148" s="206">
        <v>0</v>
      </c>
      <c r="AA1148" s="203">
        <v>0</v>
      </c>
      <c r="AB1148" s="206">
        <v>0</v>
      </c>
      <c r="AC1148" s="238">
        <f t="shared" si="603"/>
        <v>0</v>
      </c>
      <c r="AD1148" s="238"/>
      <c r="AE1148" s="238"/>
    </row>
    <row r="1149" spans="2:31" x14ac:dyDescent="0.3">
      <c r="B1149" s="245" t="s">
        <v>26</v>
      </c>
      <c r="C1149" s="245"/>
      <c r="D1149" s="245"/>
      <c r="E1149" s="203">
        <v>0</v>
      </c>
      <c r="F1149" s="206">
        <v>0</v>
      </c>
      <c r="G1149" s="203">
        <v>0</v>
      </c>
      <c r="H1149" s="206">
        <v>0</v>
      </c>
      <c r="I1149" s="203">
        <v>0</v>
      </c>
      <c r="J1149" s="206">
        <v>0</v>
      </c>
      <c r="K1149" s="203">
        <v>0</v>
      </c>
      <c r="L1149" s="206">
        <v>0</v>
      </c>
      <c r="M1149" s="203">
        <v>0</v>
      </c>
      <c r="N1149" s="206">
        <v>0</v>
      </c>
      <c r="O1149" s="203">
        <v>0</v>
      </c>
      <c r="P1149" s="206">
        <v>0</v>
      </c>
      <c r="Q1149" s="203">
        <v>0</v>
      </c>
      <c r="R1149" s="206">
        <v>0</v>
      </c>
      <c r="S1149" s="203">
        <v>0</v>
      </c>
      <c r="T1149" s="206">
        <v>0</v>
      </c>
      <c r="U1149" s="203">
        <v>0</v>
      </c>
      <c r="V1149" s="206">
        <v>0</v>
      </c>
      <c r="W1149" s="203">
        <v>0</v>
      </c>
      <c r="X1149" s="206">
        <v>0</v>
      </c>
      <c r="Y1149" s="203">
        <v>0</v>
      </c>
      <c r="Z1149" s="206">
        <v>0</v>
      </c>
      <c r="AA1149" s="203">
        <v>0</v>
      </c>
      <c r="AB1149" s="206">
        <v>0</v>
      </c>
      <c r="AC1149" s="238">
        <f t="shared" si="603"/>
        <v>0</v>
      </c>
      <c r="AD1149" s="238"/>
      <c r="AE1149" s="238"/>
    </row>
    <row r="1150" spans="2:31" x14ac:dyDescent="0.3">
      <c r="B1150" s="245" t="s">
        <v>27</v>
      </c>
      <c r="C1150" s="245"/>
      <c r="D1150" s="245"/>
      <c r="E1150" s="203">
        <v>0</v>
      </c>
      <c r="F1150" s="206">
        <v>0</v>
      </c>
      <c r="G1150" s="203">
        <v>0</v>
      </c>
      <c r="H1150" s="206">
        <v>0</v>
      </c>
      <c r="I1150" s="203">
        <v>0</v>
      </c>
      <c r="J1150" s="206">
        <v>0</v>
      </c>
      <c r="K1150" s="203">
        <v>0</v>
      </c>
      <c r="L1150" s="206">
        <v>0</v>
      </c>
      <c r="M1150" s="203">
        <v>0</v>
      </c>
      <c r="N1150" s="206">
        <v>0</v>
      </c>
      <c r="O1150" s="203">
        <v>0</v>
      </c>
      <c r="P1150" s="206">
        <v>0</v>
      </c>
      <c r="Q1150" s="203">
        <v>0</v>
      </c>
      <c r="R1150" s="206">
        <v>0</v>
      </c>
      <c r="S1150" s="203">
        <v>0</v>
      </c>
      <c r="T1150" s="206">
        <v>0</v>
      </c>
      <c r="U1150" s="203">
        <v>0</v>
      </c>
      <c r="V1150" s="206">
        <v>0</v>
      </c>
      <c r="W1150" s="203">
        <v>0</v>
      </c>
      <c r="X1150" s="206">
        <v>0</v>
      </c>
      <c r="Y1150" s="203">
        <v>0</v>
      </c>
      <c r="Z1150" s="206">
        <v>0</v>
      </c>
      <c r="AA1150" s="203">
        <v>0</v>
      </c>
      <c r="AB1150" s="206">
        <v>0</v>
      </c>
      <c r="AC1150" s="238">
        <f t="shared" si="603"/>
        <v>0</v>
      </c>
      <c r="AD1150" s="238"/>
      <c r="AE1150" s="238"/>
    </row>
    <row r="1151" spans="2:31" x14ac:dyDescent="0.3">
      <c r="B1151" s="245" t="s">
        <v>28</v>
      </c>
      <c r="C1151" s="245"/>
      <c r="D1151" s="245"/>
      <c r="E1151" s="203">
        <v>0</v>
      </c>
      <c r="F1151" s="206">
        <v>0</v>
      </c>
      <c r="G1151" s="203">
        <v>0</v>
      </c>
      <c r="H1151" s="206">
        <v>0</v>
      </c>
      <c r="I1151" s="203">
        <v>0</v>
      </c>
      <c r="J1151" s="206">
        <v>0</v>
      </c>
      <c r="K1151" s="203">
        <v>0</v>
      </c>
      <c r="L1151" s="206">
        <v>0</v>
      </c>
      <c r="M1151" s="203">
        <v>0</v>
      </c>
      <c r="N1151" s="206">
        <v>0</v>
      </c>
      <c r="O1151" s="203">
        <v>0</v>
      </c>
      <c r="P1151" s="206">
        <v>0</v>
      </c>
      <c r="Q1151" s="203">
        <v>0</v>
      </c>
      <c r="R1151" s="206">
        <v>0</v>
      </c>
      <c r="S1151" s="203">
        <v>0</v>
      </c>
      <c r="T1151" s="206">
        <v>0</v>
      </c>
      <c r="U1151" s="203">
        <v>0</v>
      </c>
      <c r="V1151" s="206">
        <v>0</v>
      </c>
      <c r="W1151" s="203">
        <v>0</v>
      </c>
      <c r="X1151" s="206">
        <v>0</v>
      </c>
      <c r="Y1151" s="203">
        <v>0</v>
      </c>
      <c r="Z1151" s="206">
        <v>0</v>
      </c>
      <c r="AA1151" s="203">
        <v>0</v>
      </c>
      <c r="AB1151" s="206">
        <v>0</v>
      </c>
      <c r="AC1151" s="238">
        <f t="shared" si="603"/>
        <v>0</v>
      </c>
      <c r="AD1151" s="238"/>
      <c r="AE1151" s="238"/>
    </row>
    <row r="1152" spans="2:31" x14ac:dyDescent="0.3">
      <c r="B1152" s="245" t="s">
        <v>92</v>
      </c>
      <c r="C1152" s="245"/>
      <c r="D1152" s="245"/>
      <c r="E1152" s="203">
        <v>0</v>
      </c>
      <c r="F1152" s="206">
        <v>0</v>
      </c>
      <c r="G1152" s="203">
        <v>0</v>
      </c>
      <c r="H1152" s="206">
        <v>0</v>
      </c>
      <c r="I1152" s="203">
        <v>0</v>
      </c>
      <c r="J1152" s="206">
        <v>0</v>
      </c>
      <c r="K1152" s="203">
        <v>0</v>
      </c>
      <c r="L1152" s="206">
        <v>0</v>
      </c>
      <c r="M1152" s="203">
        <v>0</v>
      </c>
      <c r="N1152" s="206">
        <v>0</v>
      </c>
      <c r="O1152" s="203">
        <v>0</v>
      </c>
      <c r="P1152" s="206">
        <v>0</v>
      </c>
      <c r="Q1152" s="203">
        <v>0</v>
      </c>
      <c r="R1152" s="206">
        <v>0</v>
      </c>
      <c r="S1152" s="203">
        <v>0</v>
      </c>
      <c r="T1152" s="206">
        <v>0</v>
      </c>
      <c r="U1152" s="203">
        <v>0</v>
      </c>
      <c r="V1152" s="206">
        <v>0</v>
      </c>
      <c r="W1152" s="203">
        <v>0</v>
      </c>
      <c r="X1152" s="206">
        <v>0</v>
      </c>
      <c r="Y1152" s="203">
        <v>0</v>
      </c>
      <c r="Z1152" s="206">
        <v>0</v>
      </c>
      <c r="AA1152" s="203">
        <v>0</v>
      </c>
      <c r="AB1152" s="206">
        <v>0</v>
      </c>
      <c r="AC1152" s="238">
        <f t="shared" si="603"/>
        <v>0</v>
      </c>
      <c r="AD1152" s="238"/>
      <c r="AE1152" s="238"/>
    </row>
    <row r="1153" spans="2:31" x14ac:dyDescent="0.3">
      <c r="B1153" s="245" t="s">
        <v>29</v>
      </c>
      <c r="C1153" s="245"/>
      <c r="D1153" s="245"/>
      <c r="E1153" s="203">
        <v>0</v>
      </c>
      <c r="F1153" s="206">
        <v>0</v>
      </c>
      <c r="G1153" s="203">
        <v>0</v>
      </c>
      <c r="H1153" s="206">
        <v>0</v>
      </c>
      <c r="I1153" s="203">
        <v>0</v>
      </c>
      <c r="J1153" s="206">
        <v>0</v>
      </c>
      <c r="K1153" s="203">
        <v>0</v>
      </c>
      <c r="L1153" s="206">
        <v>0</v>
      </c>
      <c r="M1153" s="203">
        <v>0</v>
      </c>
      <c r="N1153" s="206">
        <v>0</v>
      </c>
      <c r="O1153" s="203">
        <v>0</v>
      </c>
      <c r="P1153" s="206">
        <v>0</v>
      </c>
      <c r="Q1153" s="203">
        <v>0</v>
      </c>
      <c r="R1153" s="206">
        <v>0</v>
      </c>
      <c r="S1153" s="203">
        <v>0</v>
      </c>
      <c r="T1153" s="206">
        <v>0</v>
      </c>
      <c r="U1153" s="203">
        <v>0</v>
      </c>
      <c r="V1153" s="206">
        <v>0</v>
      </c>
      <c r="W1153" s="203">
        <v>0</v>
      </c>
      <c r="X1153" s="206">
        <v>0</v>
      </c>
      <c r="Y1153" s="203">
        <v>0</v>
      </c>
      <c r="Z1153" s="206">
        <v>0</v>
      </c>
      <c r="AA1153" s="203">
        <v>0</v>
      </c>
      <c r="AB1153" s="206">
        <v>0</v>
      </c>
      <c r="AC1153" s="238">
        <f t="shared" si="603"/>
        <v>0</v>
      </c>
      <c r="AD1153" s="238"/>
      <c r="AE1153" s="238"/>
    </row>
    <row r="1154" spans="2:31" x14ac:dyDescent="0.3">
      <c r="B1154" s="245" t="s">
        <v>30</v>
      </c>
      <c r="C1154" s="245"/>
      <c r="D1154" s="245"/>
      <c r="E1154" s="203">
        <v>0</v>
      </c>
      <c r="F1154" s="206">
        <v>0</v>
      </c>
      <c r="G1154" s="203">
        <v>0</v>
      </c>
      <c r="H1154" s="206">
        <v>0</v>
      </c>
      <c r="I1154" s="203">
        <v>0</v>
      </c>
      <c r="J1154" s="206">
        <v>0</v>
      </c>
      <c r="K1154" s="203">
        <v>0</v>
      </c>
      <c r="L1154" s="206">
        <v>0</v>
      </c>
      <c r="M1154" s="203">
        <v>0</v>
      </c>
      <c r="N1154" s="206">
        <v>0</v>
      </c>
      <c r="O1154" s="203">
        <v>0</v>
      </c>
      <c r="P1154" s="206">
        <v>0</v>
      </c>
      <c r="Q1154" s="203">
        <v>0</v>
      </c>
      <c r="R1154" s="206">
        <v>0</v>
      </c>
      <c r="S1154" s="203">
        <v>0</v>
      </c>
      <c r="T1154" s="206">
        <v>0</v>
      </c>
      <c r="U1154" s="203">
        <v>0</v>
      </c>
      <c r="V1154" s="206">
        <v>0</v>
      </c>
      <c r="W1154" s="203">
        <v>0</v>
      </c>
      <c r="X1154" s="206">
        <v>0</v>
      </c>
      <c r="Y1154" s="203">
        <v>0</v>
      </c>
      <c r="Z1154" s="206">
        <v>0</v>
      </c>
      <c r="AA1154" s="203">
        <v>0</v>
      </c>
      <c r="AB1154" s="206">
        <v>0</v>
      </c>
      <c r="AC1154" s="238">
        <f t="shared" si="603"/>
        <v>0</v>
      </c>
      <c r="AD1154" s="238"/>
      <c r="AE1154" s="238"/>
    </row>
    <row r="1155" spans="2:31" x14ac:dyDescent="0.3">
      <c r="B1155" s="245" t="s">
        <v>31</v>
      </c>
      <c r="C1155" s="245"/>
      <c r="D1155" s="245"/>
      <c r="E1155" s="203">
        <v>0</v>
      </c>
      <c r="F1155" s="206">
        <v>0</v>
      </c>
      <c r="G1155" s="203">
        <v>0</v>
      </c>
      <c r="H1155" s="206">
        <v>0</v>
      </c>
      <c r="I1155" s="203">
        <v>0</v>
      </c>
      <c r="J1155" s="206">
        <v>0</v>
      </c>
      <c r="K1155" s="203">
        <v>0</v>
      </c>
      <c r="L1155" s="206">
        <v>0</v>
      </c>
      <c r="M1155" s="203">
        <v>0</v>
      </c>
      <c r="N1155" s="206">
        <v>0</v>
      </c>
      <c r="O1155" s="203">
        <v>0</v>
      </c>
      <c r="P1155" s="206">
        <v>0</v>
      </c>
      <c r="Q1155" s="203">
        <v>0</v>
      </c>
      <c r="R1155" s="206">
        <v>0</v>
      </c>
      <c r="S1155" s="203">
        <v>0</v>
      </c>
      <c r="T1155" s="206">
        <v>0</v>
      </c>
      <c r="U1155" s="203">
        <v>0</v>
      </c>
      <c r="V1155" s="206">
        <v>0</v>
      </c>
      <c r="W1155" s="203">
        <v>0</v>
      </c>
      <c r="X1155" s="206">
        <v>0</v>
      </c>
      <c r="Y1155" s="203">
        <v>0</v>
      </c>
      <c r="Z1155" s="206">
        <v>0</v>
      </c>
      <c r="AA1155" s="203">
        <v>0</v>
      </c>
      <c r="AB1155" s="206">
        <v>0</v>
      </c>
      <c r="AC1155" s="238">
        <f t="shared" si="603"/>
        <v>0</v>
      </c>
      <c r="AD1155" s="238"/>
      <c r="AE1155" s="238"/>
    </row>
    <row r="1156" spans="2:31" x14ac:dyDescent="0.3">
      <c r="B1156" s="245" t="s">
        <v>32</v>
      </c>
      <c r="C1156" s="245"/>
      <c r="D1156" s="245"/>
      <c r="E1156" s="203">
        <v>0</v>
      </c>
      <c r="F1156" s="206">
        <v>0</v>
      </c>
      <c r="G1156" s="203">
        <v>0</v>
      </c>
      <c r="H1156" s="206">
        <v>0</v>
      </c>
      <c r="I1156" s="203">
        <v>0</v>
      </c>
      <c r="J1156" s="206">
        <v>0</v>
      </c>
      <c r="K1156" s="203">
        <v>0</v>
      </c>
      <c r="L1156" s="206">
        <v>0</v>
      </c>
      <c r="M1156" s="203">
        <v>0</v>
      </c>
      <c r="N1156" s="206">
        <v>0</v>
      </c>
      <c r="O1156" s="203">
        <v>0</v>
      </c>
      <c r="P1156" s="206">
        <v>0</v>
      </c>
      <c r="Q1156" s="203">
        <v>0</v>
      </c>
      <c r="R1156" s="206">
        <v>0</v>
      </c>
      <c r="S1156" s="203">
        <v>0</v>
      </c>
      <c r="T1156" s="206">
        <v>0</v>
      </c>
      <c r="U1156" s="203">
        <v>0</v>
      </c>
      <c r="V1156" s="206">
        <v>0</v>
      </c>
      <c r="W1156" s="203">
        <v>0</v>
      </c>
      <c r="X1156" s="206">
        <v>0</v>
      </c>
      <c r="Y1156" s="203">
        <v>0</v>
      </c>
      <c r="Z1156" s="206">
        <v>0</v>
      </c>
      <c r="AA1156" s="203">
        <v>0</v>
      </c>
      <c r="AB1156" s="206">
        <v>0</v>
      </c>
      <c r="AC1156" s="238">
        <f t="shared" si="603"/>
        <v>0</v>
      </c>
      <c r="AD1156" s="238"/>
      <c r="AE1156" s="238"/>
    </row>
    <row r="1157" spans="2:31" x14ac:dyDescent="0.3">
      <c r="B1157" s="245" t="s">
        <v>33</v>
      </c>
      <c r="C1157" s="245"/>
      <c r="D1157" s="245"/>
      <c r="E1157" s="203">
        <v>0</v>
      </c>
      <c r="F1157" s="206">
        <v>0</v>
      </c>
      <c r="G1157" s="203">
        <v>0</v>
      </c>
      <c r="H1157" s="206">
        <v>0</v>
      </c>
      <c r="I1157" s="203">
        <v>0</v>
      </c>
      <c r="J1157" s="206">
        <v>0</v>
      </c>
      <c r="K1157" s="203">
        <v>0</v>
      </c>
      <c r="L1157" s="206">
        <v>0</v>
      </c>
      <c r="M1157" s="203">
        <v>0</v>
      </c>
      <c r="N1157" s="206">
        <v>0</v>
      </c>
      <c r="O1157" s="203">
        <v>0</v>
      </c>
      <c r="P1157" s="206">
        <v>0</v>
      </c>
      <c r="Q1157" s="203">
        <v>0</v>
      </c>
      <c r="R1157" s="206">
        <v>0</v>
      </c>
      <c r="S1157" s="203">
        <v>0</v>
      </c>
      <c r="T1157" s="206">
        <v>0</v>
      </c>
      <c r="U1157" s="203">
        <v>0</v>
      </c>
      <c r="V1157" s="206">
        <v>0</v>
      </c>
      <c r="W1157" s="203">
        <v>0</v>
      </c>
      <c r="X1157" s="206">
        <v>0</v>
      </c>
      <c r="Y1157" s="203">
        <v>0</v>
      </c>
      <c r="Z1157" s="206">
        <v>0</v>
      </c>
      <c r="AA1157" s="203">
        <v>0</v>
      </c>
      <c r="AB1157" s="206">
        <v>0</v>
      </c>
      <c r="AC1157" s="238">
        <f t="shared" si="603"/>
        <v>0</v>
      </c>
      <c r="AD1157" s="238"/>
      <c r="AE1157" s="238"/>
    </row>
    <row r="1158" spans="2:31" x14ac:dyDescent="0.3">
      <c r="B1158" s="245" t="s">
        <v>34</v>
      </c>
      <c r="C1158" s="245"/>
      <c r="D1158" s="245"/>
      <c r="E1158" s="203">
        <v>0</v>
      </c>
      <c r="F1158" s="206">
        <v>0</v>
      </c>
      <c r="G1158" s="203">
        <v>0</v>
      </c>
      <c r="H1158" s="206">
        <v>0</v>
      </c>
      <c r="I1158" s="203">
        <v>0</v>
      </c>
      <c r="J1158" s="206">
        <v>0</v>
      </c>
      <c r="K1158" s="203">
        <v>0</v>
      </c>
      <c r="L1158" s="206">
        <v>0</v>
      </c>
      <c r="M1158" s="203">
        <v>0</v>
      </c>
      <c r="N1158" s="206">
        <v>0</v>
      </c>
      <c r="O1158" s="203">
        <v>0</v>
      </c>
      <c r="P1158" s="206">
        <v>0</v>
      </c>
      <c r="Q1158" s="203">
        <v>0</v>
      </c>
      <c r="R1158" s="206">
        <v>0</v>
      </c>
      <c r="S1158" s="203">
        <v>0</v>
      </c>
      <c r="T1158" s="206">
        <v>0</v>
      </c>
      <c r="U1158" s="203">
        <v>0</v>
      </c>
      <c r="V1158" s="206">
        <v>0</v>
      </c>
      <c r="W1158" s="203">
        <v>0</v>
      </c>
      <c r="X1158" s="206">
        <v>0</v>
      </c>
      <c r="Y1158" s="203">
        <v>0</v>
      </c>
      <c r="Z1158" s="206">
        <v>0</v>
      </c>
      <c r="AA1158" s="203">
        <v>0</v>
      </c>
      <c r="AB1158" s="206">
        <v>0</v>
      </c>
      <c r="AC1158" s="238">
        <f t="shared" si="603"/>
        <v>0</v>
      </c>
      <c r="AD1158" s="238"/>
      <c r="AE1158" s="238"/>
    </row>
    <row r="1159" spans="2:31" x14ac:dyDescent="0.3">
      <c r="B1159" s="245" t="s">
        <v>35</v>
      </c>
      <c r="C1159" s="245"/>
      <c r="D1159" s="245"/>
      <c r="E1159" s="203">
        <v>0</v>
      </c>
      <c r="F1159" s="206">
        <v>0</v>
      </c>
      <c r="G1159" s="203">
        <v>0</v>
      </c>
      <c r="H1159" s="206">
        <v>0</v>
      </c>
      <c r="I1159" s="203">
        <v>0</v>
      </c>
      <c r="J1159" s="206">
        <v>0</v>
      </c>
      <c r="K1159" s="203">
        <v>0</v>
      </c>
      <c r="L1159" s="206">
        <v>0</v>
      </c>
      <c r="M1159" s="203">
        <v>0</v>
      </c>
      <c r="N1159" s="206">
        <v>0</v>
      </c>
      <c r="O1159" s="203">
        <v>0</v>
      </c>
      <c r="P1159" s="206">
        <v>0</v>
      </c>
      <c r="Q1159" s="203">
        <v>0</v>
      </c>
      <c r="R1159" s="206">
        <v>0</v>
      </c>
      <c r="S1159" s="203">
        <v>0</v>
      </c>
      <c r="T1159" s="206">
        <v>0</v>
      </c>
      <c r="U1159" s="203">
        <v>0</v>
      </c>
      <c r="V1159" s="206">
        <v>0</v>
      </c>
      <c r="W1159" s="203">
        <v>0</v>
      </c>
      <c r="X1159" s="206">
        <v>0</v>
      </c>
      <c r="Y1159" s="203">
        <v>0</v>
      </c>
      <c r="Z1159" s="206">
        <v>0</v>
      </c>
      <c r="AA1159" s="203">
        <v>0</v>
      </c>
      <c r="AB1159" s="206">
        <v>0</v>
      </c>
      <c r="AC1159" s="238">
        <f t="shared" si="603"/>
        <v>0</v>
      </c>
      <c r="AD1159" s="238"/>
      <c r="AE1159" s="238"/>
    </row>
    <row r="1160" spans="2:31" x14ac:dyDescent="0.3">
      <c r="B1160" s="245" t="s">
        <v>36</v>
      </c>
      <c r="C1160" s="245"/>
      <c r="D1160" s="245"/>
      <c r="E1160" s="203">
        <v>0</v>
      </c>
      <c r="F1160" s="206">
        <v>0</v>
      </c>
      <c r="G1160" s="203">
        <v>0</v>
      </c>
      <c r="H1160" s="206">
        <v>0</v>
      </c>
      <c r="I1160" s="203">
        <v>0</v>
      </c>
      <c r="J1160" s="206">
        <v>0</v>
      </c>
      <c r="K1160" s="203">
        <v>0</v>
      </c>
      <c r="L1160" s="206">
        <v>0</v>
      </c>
      <c r="M1160" s="203">
        <v>0</v>
      </c>
      <c r="N1160" s="206">
        <v>0</v>
      </c>
      <c r="O1160" s="203">
        <v>0</v>
      </c>
      <c r="P1160" s="206">
        <v>0</v>
      </c>
      <c r="Q1160" s="203">
        <v>0</v>
      </c>
      <c r="R1160" s="206">
        <v>0</v>
      </c>
      <c r="S1160" s="203">
        <v>0</v>
      </c>
      <c r="T1160" s="206">
        <v>0</v>
      </c>
      <c r="U1160" s="203">
        <v>0</v>
      </c>
      <c r="V1160" s="206">
        <v>0</v>
      </c>
      <c r="W1160" s="203">
        <v>0</v>
      </c>
      <c r="X1160" s="206">
        <v>0</v>
      </c>
      <c r="Y1160" s="203">
        <v>0</v>
      </c>
      <c r="Z1160" s="206">
        <v>0</v>
      </c>
      <c r="AA1160" s="203">
        <v>0</v>
      </c>
      <c r="AB1160" s="206">
        <v>0</v>
      </c>
      <c r="AC1160" s="238">
        <f t="shared" si="603"/>
        <v>0</v>
      </c>
      <c r="AD1160" s="238"/>
      <c r="AE1160" s="238"/>
    </row>
    <row r="1161" spans="2:31" x14ac:dyDescent="0.3">
      <c r="B1161" s="13" t="s">
        <v>89</v>
      </c>
      <c r="C1161" s="13"/>
      <c r="D1161" s="13"/>
      <c r="E1161" s="203">
        <v>0</v>
      </c>
      <c r="F1161" s="206">
        <v>0</v>
      </c>
      <c r="G1161" s="203">
        <v>0</v>
      </c>
      <c r="H1161" s="206">
        <v>0</v>
      </c>
      <c r="I1161" s="203">
        <v>0</v>
      </c>
      <c r="J1161" s="206">
        <v>0</v>
      </c>
      <c r="K1161" s="203">
        <v>0</v>
      </c>
      <c r="L1161" s="206">
        <v>0</v>
      </c>
      <c r="M1161" s="203">
        <v>0</v>
      </c>
      <c r="N1161" s="206">
        <v>0</v>
      </c>
      <c r="O1161" s="203">
        <v>0</v>
      </c>
      <c r="P1161" s="206">
        <v>0</v>
      </c>
      <c r="Q1161" s="203">
        <v>0</v>
      </c>
      <c r="R1161" s="206">
        <v>0</v>
      </c>
      <c r="S1161" s="203">
        <v>0</v>
      </c>
      <c r="T1161" s="206">
        <v>0</v>
      </c>
      <c r="U1161" s="203">
        <v>0</v>
      </c>
      <c r="V1161" s="206">
        <v>0</v>
      </c>
      <c r="W1161" s="203">
        <v>0</v>
      </c>
      <c r="X1161" s="206">
        <v>0</v>
      </c>
      <c r="Y1161" s="203">
        <v>0</v>
      </c>
      <c r="Z1161" s="206">
        <v>0</v>
      </c>
      <c r="AA1161" s="203">
        <v>0</v>
      </c>
      <c r="AB1161" s="206">
        <v>0</v>
      </c>
      <c r="AC1161" s="238">
        <f t="shared" si="603"/>
        <v>0</v>
      </c>
      <c r="AD1161" s="238"/>
      <c r="AE1161" s="238"/>
    </row>
    <row r="1162" spans="2:31" x14ac:dyDescent="0.3">
      <c r="B1162" s="13" t="s">
        <v>90</v>
      </c>
      <c r="C1162" s="13"/>
      <c r="D1162" s="13"/>
      <c r="E1162" s="203">
        <v>0</v>
      </c>
      <c r="F1162" s="206">
        <v>0</v>
      </c>
      <c r="G1162" s="203">
        <v>0</v>
      </c>
      <c r="H1162" s="206">
        <v>0</v>
      </c>
      <c r="I1162" s="203">
        <v>0</v>
      </c>
      <c r="J1162" s="206">
        <v>0</v>
      </c>
      <c r="K1162" s="203">
        <v>0</v>
      </c>
      <c r="L1162" s="206">
        <v>0</v>
      </c>
      <c r="M1162" s="203">
        <v>0</v>
      </c>
      <c r="N1162" s="206">
        <v>0</v>
      </c>
      <c r="O1162" s="203">
        <v>0</v>
      </c>
      <c r="P1162" s="206">
        <v>0</v>
      </c>
      <c r="Q1162" s="203">
        <v>0</v>
      </c>
      <c r="R1162" s="206">
        <v>0</v>
      </c>
      <c r="S1162" s="203">
        <v>0</v>
      </c>
      <c r="T1162" s="206">
        <v>0</v>
      </c>
      <c r="U1162" s="203">
        <v>0</v>
      </c>
      <c r="V1162" s="206">
        <v>0</v>
      </c>
      <c r="W1162" s="203">
        <v>0</v>
      </c>
      <c r="X1162" s="206">
        <v>0</v>
      </c>
      <c r="Y1162" s="203">
        <v>0</v>
      </c>
      <c r="Z1162" s="206">
        <v>0</v>
      </c>
      <c r="AA1162" s="203">
        <v>0</v>
      </c>
      <c r="AB1162" s="206">
        <v>0</v>
      </c>
      <c r="AC1162" s="238">
        <f t="shared" si="603"/>
        <v>0</v>
      </c>
      <c r="AD1162" s="238"/>
      <c r="AE1162" s="238"/>
    </row>
    <row r="1163" spans="2:31" x14ac:dyDescent="0.3">
      <c r="B1163" s="14" t="s">
        <v>2</v>
      </c>
      <c r="C1163" s="14"/>
      <c r="D1163" s="14"/>
      <c r="E1163" s="15">
        <f t="shared" ref="E1163:AB1163" si="604">SUM(E1126:E1162)</f>
        <v>0</v>
      </c>
      <c r="F1163" s="15">
        <f t="shared" si="604"/>
        <v>0</v>
      </c>
      <c r="G1163" s="15">
        <f t="shared" si="604"/>
        <v>0</v>
      </c>
      <c r="H1163" s="15">
        <f t="shared" si="604"/>
        <v>0</v>
      </c>
      <c r="I1163" s="15">
        <f t="shared" si="604"/>
        <v>0</v>
      </c>
      <c r="J1163" s="15">
        <f t="shared" si="604"/>
        <v>0</v>
      </c>
      <c r="K1163" s="15">
        <f t="shared" si="604"/>
        <v>0</v>
      </c>
      <c r="L1163" s="15">
        <f t="shared" si="604"/>
        <v>0</v>
      </c>
      <c r="M1163" s="15">
        <f t="shared" si="604"/>
        <v>0</v>
      </c>
      <c r="N1163" s="15">
        <f t="shared" si="604"/>
        <v>0</v>
      </c>
      <c r="O1163" s="15">
        <f t="shared" si="604"/>
        <v>0</v>
      </c>
      <c r="P1163" s="15">
        <f t="shared" si="604"/>
        <v>0</v>
      </c>
      <c r="Q1163" s="15">
        <f t="shared" si="604"/>
        <v>0</v>
      </c>
      <c r="R1163" s="15">
        <f t="shared" si="604"/>
        <v>54.456999999999987</v>
      </c>
      <c r="S1163" s="15">
        <f t="shared" si="604"/>
        <v>230.41966666666676</v>
      </c>
      <c r="T1163" s="15">
        <f t="shared" si="604"/>
        <v>304.01083333333327</v>
      </c>
      <c r="U1163" s="15">
        <f t="shared" si="604"/>
        <v>289.9591666666667</v>
      </c>
      <c r="V1163" s="15">
        <f t="shared" si="604"/>
        <v>185.00283333333334</v>
      </c>
      <c r="W1163" s="15">
        <f t="shared" si="604"/>
        <v>13.305833333333329</v>
      </c>
      <c r="X1163" s="15">
        <f t="shared" si="604"/>
        <v>10.285833333333334</v>
      </c>
      <c r="Y1163" s="15">
        <f t="shared" si="604"/>
        <v>0</v>
      </c>
      <c r="Z1163" s="15">
        <f t="shared" si="604"/>
        <v>0</v>
      </c>
      <c r="AA1163" s="15">
        <f t="shared" si="604"/>
        <v>0</v>
      </c>
      <c r="AB1163" s="15">
        <f t="shared" si="604"/>
        <v>0</v>
      </c>
      <c r="AC1163" s="249">
        <f>SUM(AC1126:AE1162)</f>
        <v>1087.441166666667</v>
      </c>
      <c r="AD1163" s="249"/>
      <c r="AE1163" s="249"/>
    </row>
    <row r="1165" spans="2:31" x14ac:dyDescent="0.3">
      <c r="B1165" s="8">
        <f>'Resumen-Mensual'!$AF$22</f>
        <v>44589</v>
      </c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4"/>
      <c r="AD1165" s="4"/>
      <c r="AE1165" s="4"/>
    </row>
    <row r="1166" spans="2:31" x14ac:dyDescent="0.3">
      <c r="B1166" s="8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4"/>
      <c r="AD1166" s="4"/>
      <c r="AE1166" s="4"/>
    </row>
    <row r="1167" spans="2:31" x14ac:dyDescent="0.3">
      <c r="B1167" s="9" t="s">
        <v>81</v>
      </c>
      <c r="C1167" s="10"/>
      <c r="D1167" s="10"/>
      <c r="E1167" s="11">
        <v>1</v>
      </c>
      <c r="F1167" s="11">
        <v>2</v>
      </c>
      <c r="G1167" s="11">
        <v>3</v>
      </c>
      <c r="H1167" s="11">
        <v>4</v>
      </c>
      <c r="I1167" s="11">
        <v>5</v>
      </c>
      <c r="J1167" s="11">
        <v>6</v>
      </c>
      <c r="K1167" s="11">
        <v>7</v>
      </c>
      <c r="L1167" s="11">
        <v>8</v>
      </c>
      <c r="M1167" s="11">
        <v>9</v>
      </c>
      <c r="N1167" s="11">
        <v>10</v>
      </c>
      <c r="O1167" s="11">
        <v>11</v>
      </c>
      <c r="P1167" s="11">
        <v>12</v>
      </c>
      <c r="Q1167" s="11">
        <v>13</v>
      </c>
      <c r="R1167" s="11">
        <v>14</v>
      </c>
      <c r="S1167" s="11">
        <v>15</v>
      </c>
      <c r="T1167" s="11">
        <v>16</v>
      </c>
      <c r="U1167" s="11">
        <v>17</v>
      </c>
      <c r="V1167" s="11">
        <v>18</v>
      </c>
      <c r="W1167" s="11">
        <v>19</v>
      </c>
      <c r="X1167" s="11">
        <v>20</v>
      </c>
      <c r="Y1167" s="11">
        <v>21</v>
      </c>
      <c r="Z1167" s="11">
        <v>22</v>
      </c>
      <c r="AA1167" s="11">
        <v>23</v>
      </c>
      <c r="AB1167" s="11">
        <v>24</v>
      </c>
      <c r="AC1167" s="248" t="s">
        <v>2</v>
      </c>
      <c r="AD1167" s="248"/>
      <c r="AE1167" s="248"/>
    </row>
    <row r="1168" spans="2:31" x14ac:dyDescent="0.3">
      <c r="B1168" s="245" t="s">
        <v>4</v>
      </c>
      <c r="C1168" s="245"/>
      <c r="D1168" s="245"/>
      <c r="E1168" s="211">
        <v>0</v>
      </c>
      <c r="F1168" s="212">
        <v>0</v>
      </c>
      <c r="G1168" s="211">
        <v>0</v>
      </c>
      <c r="H1168" s="212">
        <v>0</v>
      </c>
      <c r="I1168" s="211">
        <v>0</v>
      </c>
      <c r="J1168" s="212">
        <v>0</v>
      </c>
      <c r="K1168" s="211">
        <v>0</v>
      </c>
      <c r="L1168" s="212">
        <v>0</v>
      </c>
      <c r="M1168" s="211">
        <v>0</v>
      </c>
      <c r="N1168" s="212">
        <v>0</v>
      </c>
      <c r="O1168" s="211">
        <v>0</v>
      </c>
      <c r="P1168" s="212">
        <v>0</v>
      </c>
      <c r="Q1168" s="211">
        <v>0</v>
      </c>
      <c r="R1168" s="212">
        <v>3.2385000000000002</v>
      </c>
      <c r="S1168" s="211">
        <v>31.19000000000004</v>
      </c>
      <c r="T1168" s="212">
        <v>35.789999999999978</v>
      </c>
      <c r="U1168" s="211">
        <v>26.050500000000021</v>
      </c>
      <c r="V1168" s="212">
        <v>9.6499999999999989E-2</v>
      </c>
      <c r="W1168" s="211">
        <v>0.35666666666666674</v>
      </c>
      <c r="X1168" s="212">
        <v>0</v>
      </c>
      <c r="Y1168" s="211">
        <v>0</v>
      </c>
      <c r="Z1168" s="212">
        <v>0</v>
      </c>
      <c r="AA1168" s="211">
        <v>0</v>
      </c>
      <c r="AB1168" s="212">
        <v>0</v>
      </c>
      <c r="AC1168" s="238">
        <f>SUM(E1168:AB1168)</f>
        <v>96.722166666666709</v>
      </c>
      <c r="AD1168" s="238"/>
      <c r="AE1168" s="238"/>
    </row>
    <row r="1169" spans="2:31" x14ac:dyDescent="0.3">
      <c r="B1169" s="245" t="s">
        <v>5</v>
      </c>
      <c r="C1169" s="245"/>
      <c r="D1169" s="245"/>
      <c r="E1169" s="210">
        <v>0</v>
      </c>
      <c r="F1169" s="213">
        <v>0</v>
      </c>
      <c r="G1169" s="210">
        <v>0</v>
      </c>
      <c r="H1169" s="213">
        <v>0</v>
      </c>
      <c r="I1169" s="210">
        <v>0</v>
      </c>
      <c r="J1169" s="213">
        <v>0</v>
      </c>
      <c r="K1169" s="210">
        <v>0</v>
      </c>
      <c r="L1169" s="213">
        <v>0</v>
      </c>
      <c r="M1169" s="210">
        <v>0</v>
      </c>
      <c r="N1169" s="213">
        <v>0</v>
      </c>
      <c r="O1169" s="210">
        <v>0</v>
      </c>
      <c r="P1169" s="213">
        <v>0</v>
      </c>
      <c r="Q1169" s="210">
        <v>0</v>
      </c>
      <c r="R1169" s="213">
        <v>2.1104999999999996</v>
      </c>
      <c r="S1169" s="210">
        <v>35.791666666666657</v>
      </c>
      <c r="T1169" s="213">
        <v>46.666833333333344</v>
      </c>
      <c r="U1169" s="210">
        <v>56.52</v>
      </c>
      <c r="V1169" s="213">
        <v>66.226166666666671</v>
      </c>
      <c r="W1169" s="210">
        <v>59.260666666666651</v>
      </c>
      <c r="X1169" s="213">
        <v>0</v>
      </c>
      <c r="Y1169" s="210">
        <v>0</v>
      </c>
      <c r="Z1169" s="213">
        <v>0</v>
      </c>
      <c r="AA1169" s="210">
        <v>0</v>
      </c>
      <c r="AB1169" s="213">
        <v>0</v>
      </c>
      <c r="AC1169" s="238">
        <f t="shared" ref="AC1169:AC1204" si="605">SUM(E1169:AB1169)</f>
        <v>266.57583333333332</v>
      </c>
      <c r="AD1169" s="238"/>
      <c r="AE1169" s="238"/>
    </row>
    <row r="1170" spans="2:31" x14ac:dyDescent="0.3">
      <c r="B1170" s="245" t="s">
        <v>6</v>
      </c>
      <c r="C1170" s="245"/>
      <c r="D1170" s="245"/>
      <c r="E1170" s="210">
        <v>0</v>
      </c>
      <c r="F1170" s="213">
        <v>0</v>
      </c>
      <c r="G1170" s="210">
        <v>0</v>
      </c>
      <c r="H1170" s="213">
        <v>0</v>
      </c>
      <c r="I1170" s="210">
        <v>0</v>
      </c>
      <c r="J1170" s="213">
        <v>0</v>
      </c>
      <c r="K1170" s="210">
        <v>0</v>
      </c>
      <c r="L1170" s="213">
        <v>0</v>
      </c>
      <c r="M1170" s="210">
        <v>0</v>
      </c>
      <c r="N1170" s="213">
        <v>0</v>
      </c>
      <c r="O1170" s="210">
        <v>0</v>
      </c>
      <c r="P1170" s="213">
        <v>0</v>
      </c>
      <c r="Q1170" s="210">
        <v>0</v>
      </c>
      <c r="R1170" s="213">
        <v>0</v>
      </c>
      <c r="S1170" s="210">
        <v>0</v>
      </c>
      <c r="T1170" s="213">
        <v>0</v>
      </c>
      <c r="U1170" s="210">
        <v>7.2541666666666638</v>
      </c>
      <c r="V1170" s="213">
        <v>0</v>
      </c>
      <c r="W1170" s="210">
        <v>4.4873333333333338</v>
      </c>
      <c r="X1170" s="213">
        <v>15.64016666666666</v>
      </c>
      <c r="Y1170" s="210">
        <v>0</v>
      </c>
      <c r="Z1170" s="213">
        <v>0</v>
      </c>
      <c r="AA1170" s="210">
        <v>0</v>
      </c>
      <c r="AB1170" s="213">
        <v>0</v>
      </c>
      <c r="AC1170" s="238">
        <f t="shared" si="605"/>
        <v>27.381666666666661</v>
      </c>
      <c r="AD1170" s="238"/>
      <c r="AE1170" s="238"/>
    </row>
    <row r="1171" spans="2:31" x14ac:dyDescent="0.3">
      <c r="B1171" s="245" t="s">
        <v>91</v>
      </c>
      <c r="C1171" s="245"/>
      <c r="D1171" s="245"/>
      <c r="E1171" s="210">
        <v>0</v>
      </c>
      <c r="F1171" s="213">
        <v>0</v>
      </c>
      <c r="G1171" s="210">
        <v>0</v>
      </c>
      <c r="H1171" s="213">
        <v>0</v>
      </c>
      <c r="I1171" s="210">
        <v>0</v>
      </c>
      <c r="J1171" s="213">
        <v>0</v>
      </c>
      <c r="K1171" s="210">
        <v>0</v>
      </c>
      <c r="L1171" s="213">
        <v>0</v>
      </c>
      <c r="M1171" s="210">
        <v>0</v>
      </c>
      <c r="N1171" s="213">
        <v>0</v>
      </c>
      <c r="O1171" s="210">
        <v>0</v>
      </c>
      <c r="P1171" s="213">
        <v>0</v>
      </c>
      <c r="Q1171" s="210">
        <v>0</v>
      </c>
      <c r="R1171" s="213">
        <v>0</v>
      </c>
      <c r="S1171" s="210">
        <v>0</v>
      </c>
      <c r="T1171" s="213">
        <v>0</v>
      </c>
      <c r="U1171" s="210">
        <v>0</v>
      </c>
      <c r="V1171" s="213">
        <v>0</v>
      </c>
      <c r="W1171" s="210">
        <v>0</v>
      </c>
      <c r="X1171" s="213">
        <v>0</v>
      </c>
      <c r="Y1171" s="210">
        <v>0</v>
      </c>
      <c r="Z1171" s="213">
        <v>0</v>
      </c>
      <c r="AA1171" s="210">
        <v>0</v>
      </c>
      <c r="AB1171" s="213">
        <v>0</v>
      </c>
      <c r="AC1171" s="238">
        <f t="shared" si="605"/>
        <v>0</v>
      </c>
      <c r="AD1171" s="238"/>
      <c r="AE1171" s="238"/>
    </row>
    <row r="1172" spans="2:31" x14ac:dyDescent="0.3">
      <c r="B1172" s="245" t="s">
        <v>7</v>
      </c>
      <c r="C1172" s="245"/>
      <c r="D1172" s="245"/>
      <c r="E1172" s="210">
        <v>0</v>
      </c>
      <c r="F1172" s="213">
        <v>0</v>
      </c>
      <c r="G1172" s="210">
        <v>0</v>
      </c>
      <c r="H1172" s="213">
        <v>0</v>
      </c>
      <c r="I1172" s="210">
        <v>0</v>
      </c>
      <c r="J1172" s="213">
        <v>0</v>
      </c>
      <c r="K1172" s="210">
        <v>0</v>
      </c>
      <c r="L1172" s="213">
        <v>0</v>
      </c>
      <c r="M1172" s="210">
        <v>0</v>
      </c>
      <c r="N1172" s="213">
        <v>0</v>
      </c>
      <c r="O1172" s="210">
        <v>0</v>
      </c>
      <c r="P1172" s="213">
        <v>0</v>
      </c>
      <c r="Q1172" s="210">
        <v>0</v>
      </c>
      <c r="R1172" s="213">
        <v>0</v>
      </c>
      <c r="S1172" s="210">
        <v>34.87833333333333</v>
      </c>
      <c r="T1172" s="213">
        <v>34.943666666666651</v>
      </c>
      <c r="U1172" s="210">
        <v>34.963333333333331</v>
      </c>
      <c r="V1172" s="213">
        <v>34.945166666666672</v>
      </c>
      <c r="W1172" s="210">
        <v>27.711999999999982</v>
      </c>
      <c r="X1172" s="213">
        <v>17.364666666666665</v>
      </c>
      <c r="Y1172" s="210">
        <v>0</v>
      </c>
      <c r="Z1172" s="213">
        <v>0</v>
      </c>
      <c r="AA1172" s="210">
        <v>0</v>
      </c>
      <c r="AB1172" s="213">
        <v>0</v>
      </c>
      <c r="AC1172" s="238">
        <f t="shared" si="605"/>
        <v>184.80716666666663</v>
      </c>
      <c r="AD1172" s="238"/>
      <c r="AE1172" s="238"/>
    </row>
    <row r="1173" spans="2:31" x14ac:dyDescent="0.3">
      <c r="B1173" s="245" t="s">
        <v>8</v>
      </c>
      <c r="C1173" s="245"/>
      <c r="D1173" s="245"/>
      <c r="E1173" s="210">
        <v>0</v>
      </c>
      <c r="F1173" s="213">
        <v>0</v>
      </c>
      <c r="G1173" s="210">
        <v>0</v>
      </c>
      <c r="H1173" s="213">
        <v>0</v>
      </c>
      <c r="I1173" s="210">
        <v>0</v>
      </c>
      <c r="J1173" s="213">
        <v>0</v>
      </c>
      <c r="K1173" s="210">
        <v>0</v>
      </c>
      <c r="L1173" s="213">
        <v>0</v>
      </c>
      <c r="M1173" s="210">
        <v>0</v>
      </c>
      <c r="N1173" s="213">
        <v>0</v>
      </c>
      <c r="O1173" s="210">
        <v>0</v>
      </c>
      <c r="P1173" s="213">
        <v>0</v>
      </c>
      <c r="Q1173" s="210">
        <v>0</v>
      </c>
      <c r="R1173" s="213">
        <v>3.7166666666666764E-2</v>
      </c>
      <c r="S1173" s="210">
        <v>14.908499999999997</v>
      </c>
      <c r="T1173" s="213">
        <v>24.442333333333359</v>
      </c>
      <c r="U1173" s="210">
        <v>28.994166666666693</v>
      </c>
      <c r="V1173" s="213">
        <v>28.655166666666709</v>
      </c>
      <c r="W1173" s="210">
        <v>16.672000000000001</v>
      </c>
      <c r="X1173" s="213">
        <v>0</v>
      </c>
      <c r="Y1173" s="210">
        <v>0</v>
      </c>
      <c r="Z1173" s="213">
        <v>0</v>
      </c>
      <c r="AA1173" s="210">
        <v>0</v>
      </c>
      <c r="AB1173" s="213">
        <v>0</v>
      </c>
      <c r="AC1173" s="238">
        <f t="shared" si="605"/>
        <v>113.7093333333334</v>
      </c>
      <c r="AD1173" s="238"/>
      <c r="AE1173" s="238"/>
    </row>
    <row r="1174" spans="2:31" x14ac:dyDescent="0.3">
      <c r="B1174" s="245" t="s">
        <v>9</v>
      </c>
      <c r="C1174" s="245"/>
      <c r="D1174" s="245"/>
      <c r="E1174" s="210">
        <v>0</v>
      </c>
      <c r="F1174" s="213">
        <v>0</v>
      </c>
      <c r="G1174" s="210">
        <v>0</v>
      </c>
      <c r="H1174" s="213">
        <v>0</v>
      </c>
      <c r="I1174" s="210">
        <v>0</v>
      </c>
      <c r="J1174" s="213">
        <v>0</v>
      </c>
      <c r="K1174" s="210">
        <v>0</v>
      </c>
      <c r="L1174" s="213">
        <v>0</v>
      </c>
      <c r="M1174" s="210">
        <v>0</v>
      </c>
      <c r="N1174" s="213">
        <v>0</v>
      </c>
      <c r="O1174" s="210">
        <v>0</v>
      </c>
      <c r="P1174" s="213">
        <v>0</v>
      </c>
      <c r="Q1174" s="210">
        <v>0</v>
      </c>
      <c r="R1174" s="213">
        <v>0</v>
      </c>
      <c r="S1174" s="210">
        <v>0</v>
      </c>
      <c r="T1174" s="213">
        <v>2.4833333333333721E-2</v>
      </c>
      <c r="U1174" s="210">
        <v>14.20683333333333</v>
      </c>
      <c r="V1174" s="213">
        <v>0</v>
      </c>
      <c r="W1174" s="210">
        <v>2.9406666666666643</v>
      </c>
      <c r="X1174" s="213">
        <v>0</v>
      </c>
      <c r="Y1174" s="210">
        <v>0</v>
      </c>
      <c r="Z1174" s="213">
        <v>0</v>
      </c>
      <c r="AA1174" s="210">
        <v>0</v>
      </c>
      <c r="AB1174" s="213">
        <v>0</v>
      </c>
      <c r="AC1174" s="238">
        <f t="shared" si="605"/>
        <v>17.172333333333327</v>
      </c>
      <c r="AD1174" s="238"/>
      <c r="AE1174" s="238"/>
    </row>
    <row r="1175" spans="2:31" x14ac:dyDescent="0.3">
      <c r="B1175" s="245" t="s">
        <v>10</v>
      </c>
      <c r="C1175" s="245"/>
      <c r="D1175" s="245"/>
      <c r="E1175" s="210">
        <v>0</v>
      </c>
      <c r="F1175" s="213">
        <v>0</v>
      </c>
      <c r="G1175" s="210">
        <v>0</v>
      </c>
      <c r="H1175" s="213">
        <v>0</v>
      </c>
      <c r="I1175" s="210">
        <v>0</v>
      </c>
      <c r="J1175" s="213">
        <v>0</v>
      </c>
      <c r="K1175" s="210">
        <v>0</v>
      </c>
      <c r="L1175" s="213">
        <v>0</v>
      </c>
      <c r="M1175" s="210">
        <v>0</v>
      </c>
      <c r="N1175" s="213">
        <v>0</v>
      </c>
      <c r="O1175" s="210">
        <v>0</v>
      </c>
      <c r="P1175" s="213">
        <v>0</v>
      </c>
      <c r="Q1175" s="210">
        <v>0</v>
      </c>
      <c r="R1175" s="213">
        <v>0</v>
      </c>
      <c r="S1175" s="210">
        <v>0</v>
      </c>
      <c r="T1175" s="213">
        <v>1.4568333333333385</v>
      </c>
      <c r="U1175" s="210">
        <v>0</v>
      </c>
      <c r="V1175" s="213">
        <v>4.9459999999999988</v>
      </c>
      <c r="W1175" s="210">
        <v>5.915</v>
      </c>
      <c r="X1175" s="213">
        <v>0</v>
      </c>
      <c r="Y1175" s="210">
        <v>0</v>
      </c>
      <c r="Z1175" s="213">
        <v>0</v>
      </c>
      <c r="AA1175" s="210">
        <v>0</v>
      </c>
      <c r="AB1175" s="213">
        <v>0</v>
      </c>
      <c r="AC1175" s="238">
        <f t="shared" si="605"/>
        <v>12.317833333333336</v>
      </c>
      <c r="AD1175" s="238"/>
      <c r="AE1175" s="238"/>
    </row>
    <row r="1176" spans="2:31" x14ac:dyDescent="0.3">
      <c r="B1176" s="245" t="s">
        <v>11</v>
      </c>
      <c r="C1176" s="245"/>
      <c r="D1176" s="245"/>
      <c r="E1176" s="210">
        <v>0</v>
      </c>
      <c r="F1176" s="213">
        <v>0</v>
      </c>
      <c r="G1176" s="210">
        <v>0</v>
      </c>
      <c r="H1176" s="213">
        <v>0</v>
      </c>
      <c r="I1176" s="210">
        <v>0</v>
      </c>
      <c r="J1176" s="213">
        <v>0</v>
      </c>
      <c r="K1176" s="210">
        <v>0</v>
      </c>
      <c r="L1176" s="213">
        <v>0</v>
      </c>
      <c r="M1176" s="210">
        <v>0</v>
      </c>
      <c r="N1176" s="213">
        <v>0</v>
      </c>
      <c r="O1176" s="210">
        <v>0</v>
      </c>
      <c r="P1176" s="213">
        <v>0</v>
      </c>
      <c r="Q1176" s="210">
        <v>0</v>
      </c>
      <c r="R1176" s="213">
        <v>0</v>
      </c>
      <c r="S1176" s="210">
        <v>17.366333333333348</v>
      </c>
      <c r="T1176" s="213">
        <v>25.569500000000005</v>
      </c>
      <c r="U1176" s="210">
        <v>2.7300000000000066</v>
      </c>
      <c r="V1176" s="213">
        <v>27.13149999999996</v>
      </c>
      <c r="W1176" s="210">
        <v>20.362500000000001</v>
      </c>
      <c r="X1176" s="213">
        <v>0</v>
      </c>
      <c r="Y1176" s="210">
        <v>0</v>
      </c>
      <c r="Z1176" s="213">
        <v>0</v>
      </c>
      <c r="AA1176" s="210">
        <v>0</v>
      </c>
      <c r="AB1176" s="213">
        <v>0</v>
      </c>
      <c r="AC1176" s="238">
        <f t="shared" si="605"/>
        <v>93.15983333333331</v>
      </c>
      <c r="AD1176" s="238"/>
      <c r="AE1176" s="238"/>
    </row>
    <row r="1177" spans="2:31" x14ac:dyDescent="0.3">
      <c r="B1177" s="245" t="s">
        <v>12</v>
      </c>
      <c r="C1177" s="245"/>
      <c r="D1177" s="245"/>
      <c r="E1177" s="210">
        <v>0</v>
      </c>
      <c r="F1177" s="213">
        <v>0</v>
      </c>
      <c r="G1177" s="210">
        <v>0</v>
      </c>
      <c r="H1177" s="213">
        <v>0</v>
      </c>
      <c r="I1177" s="210">
        <v>0</v>
      </c>
      <c r="J1177" s="213">
        <v>0</v>
      </c>
      <c r="K1177" s="210">
        <v>0</v>
      </c>
      <c r="L1177" s="213">
        <v>0</v>
      </c>
      <c r="M1177" s="210">
        <v>0</v>
      </c>
      <c r="N1177" s="213">
        <v>0</v>
      </c>
      <c r="O1177" s="210">
        <v>0</v>
      </c>
      <c r="P1177" s="213">
        <v>0</v>
      </c>
      <c r="Q1177" s="210">
        <v>0</v>
      </c>
      <c r="R1177" s="213">
        <v>2.8178333333333327</v>
      </c>
      <c r="S1177" s="210">
        <v>49.437166666666641</v>
      </c>
      <c r="T1177" s="213">
        <v>71.576499999999982</v>
      </c>
      <c r="U1177" s="210">
        <v>60.277166666666645</v>
      </c>
      <c r="V1177" s="213">
        <v>56.719500000000004</v>
      </c>
      <c r="W1177" s="210">
        <v>50.114166666666669</v>
      </c>
      <c r="X1177" s="213">
        <v>0</v>
      </c>
      <c r="Y1177" s="210">
        <v>0</v>
      </c>
      <c r="Z1177" s="213">
        <v>0</v>
      </c>
      <c r="AA1177" s="210">
        <v>0</v>
      </c>
      <c r="AB1177" s="213">
        <v>0</v>
      </c>
      <c r="AC1177" s="238">
        <f t="shared" si="605"/>
        <v>290.94233333333324</v>
      </c>
      <c r="AD1177" s="238"/>
      <c r="AE1177" s="238"/>
    </row>
    <row r="1178" spans="2:31" x14ac:dyDescent="0.3">
      <c r="B1178" s="245" t="s">
        <v>13</v>
      </c>
      <c r="C1178" s="245"/>
      <c r="D1178" s="245"/>
      <c r="E1178" s="210">
        <v>0</v>
      </c>
      <c r="F1178" s="213">
        <v>0</v>
      </c>
      <c r="G1178" s="210">
        <v>0</v>
      </c>
      <c r="H1178" s="213">
        <v>0</v>
      </c>
      <c r="I1178" s="210">
        <v>0</v>
      </c>
      <c r="J1178" s="213">
        <v>0</v>
      </c>
      <c r="K1178" s="210">
        <v>0</v>
      </c>
      <c r="L1178" s="213">
        <v>0</v>
      </c>
      <c r="M1178" s="210">
        <v>0</v>
      </c>
      <c r="N1178" s="213">
        <v>0</v>
      </c>
      <c r="O1178" s="210">
        <v>0</v>
      </c>
      <c r="P1178" s="213">
        <v>0</v>
      </c>
      <c r="Q1178" s="210">
        <v>0</v>
      </c>
      <c r="R1178" s="213">
        <v>0</v>
      </c>
      <c r="S1178" s="210">
        <v>0</v>
      </c>
      <c r="T1178" s="213">
        <v>11.962166666666667</v>
      </c>
      <c r="U1178" s="210">
        <v>12.521166666666669</v>
      </c>
      <c r="V1178" s="213">
        <v>0</v>
      </c>
      <c r="W1178" s="210">
        <v>0</v>
      </c>
      <c r="X1178" s="213">
        <v>0</v>
      </c>
      <c r="Y1178" s="210">
        <v>0</v>
      </c>
      <c r="Z1178" s="213">
        <v>0</v>
      </c>
      <c r="AA1178" s="210">
        <v>0</v>
      </c>
      <c r="AB1178" s="213">
        <v>0</v>
      </c>
      <c r="AC1178" s="238">
        <f t="shared" si="605"/>
        <v>24.483333333333334</v>
      </c>
      <c r="AD1178" s="238"/>
      <c r="AE1178" s="238"/>
    </row>
    <row r="1179" spans="2:31" x14ac:dyDescent="0.3">
      <c r="B1179" s="245" t="s">
        <v>14</v>
      </c>
      <c r="C1179" s="245"/>
      <c r="D1179" s="245"/>
      <c r="E1179" s="210">
        <v>0</v>
      </c>
      <c r="F1179" s="213">
        <v>0</v>
      </c>
      <c r="G1179" s="210">
        <v>0</v>
      </c>
      <c r="H1179" s="213">
        <v>0</v>
      </c>
      <c r="I1179" s="210">
        <v>0</v>
      </c>
      <c r="J1179" s="213">
        <v>0</v>
      </c>
      <c r="K1179" s="210">
        <v>0</v>
      </c>
      <c r="L1179" s="213">
        <v>0</v>
      </c>
      <c r="M1179" s="210">
        <v>0</v>
      </c>
      <c r="N1179" s="213">
        <v>0</v>
      </c>
      <c r="O1179" s="210">
        <v>0</v>
      </c>
      <c r="P1179" s="213">
        <v>0</v>
      </c>
      <c r="Q1179" s="210">
        <v>0</v>
      </c>
      <c r="R1179" s="213">
        <v>0.52800000000000002</v>
      </c>
      <c r="S1179" s="210">
        <v>3.5300000000000007</v>
      </c>
      <c r="T1179" s="213">
        <v>3.5393333333333321</v>
      </c>
      <c r="U1179" s="210">
        <v>3.3486666666666633</v>
      </c>
      <c r="V1179" s="213">
        <v>3.2579999999999982</v>
      </c>
      <c r="W1179" s="210">
        <v>2.9031666666666642</v>
      </c>
      <c r="X1179" s="213">
        <v>0</v>
      </c>
      <c r="Y1179" s="210">
        <v>0</v>
      </c>
      <c r="Z1179" s="213">
        <v>0</v>
      </c>
      <c r="AA1179" s="210">
        <v>0</v>
      </c>
      <c r="AB1179" s="213">
        <v>0</v>
      </c>
      <c r="AC1179" s="238">
        <f t="shared" si="605"/>
        <v>17.107166666666657</v>
      </c>
      <c r="AD1179" s="238"/>
      <c r="AE1179" s="238"/>
    </row>
    <row r="1180" spans="2:31" x14ac:dyDescent="0.3">
      <c r="B1180" s="245" t="s">
        <v>15</v>
      </c>
      <c r="C1180" s="245"/>
      <c r="D1180" s="245"/>
      <c r="E1180" s="210">
        <v>0</v>
      </c>
      <c r="F1180" s="213">
        <v>0</v>
      </c>
      <c r="G1180" s="210">
        <v>0</v>
      </c>
      <c r="H1180" s="213">
        <v>0</v>
      </c>
      <c r="I1180" s="210">
        <v>0</v>
      </c>
      <c r="J1180" s="213">
        <v>0</v>
      </c>
      <c r="K1180" s="210">
        <v>0</v>
      </c>
      <c r="L1180" s="213">
        <v>0</v>
      </c>
      <c r="M1180" s="210">
        <v>0</v>
      </c>
      <c r="N1180" s="213">
        <v>0</v>
      </c>
      <c r="O1180" s="210">
        <v>0</v>
      </c>
      <c r="P1180" s="213">
        <v>0</v>
      </c>
      <c r="Q1180" s="210">
        <v>0</v>
      </c>
      <c r="R1180" s="213">
        <v>0</v>
      </c>
      <c r="S1180" s="210">
        <v>0</v>
      </c>
      <c r="T1180" s="213">
        <v>4.0221666666666662</v>
      </c>
      <c r="U1180" s="210">
        <v>9.8140000000000036</v>
      </c>
      <c r="V1180" s="213">
        <v>16.783500000000007</v>
      </c>
      <c r="W1180" s="210">
        <v>11.079166666666667</v>
      </c>
      <c r="X1180" s="213">
        <v>0</v>
      </c>
      <c r="Y1180" s="210">
        <v>0</v>
      </c>
      <c r="Z1180" s="213">
        <v>0</v>
      </c>
      <c r="AA1180" s="210">
        <v>0</v>
      </c>
      <c r="AB1180" s="213">
        <v>0</v>
      </c>
      <c r="AC1180" s="238">
        <f t="shared" si="605"/>
        <v>41.698833333333347</v>
      </c>
      <c r="AD1180" s="238"/>
      <c r="AE1180" s="238"/>
    </row>
    <row r="1181" spans="2:31" x14ac:dyDescent="0.3">
      <c r="B1181" s="245" t="s">
        <v>16</v>
      </c>
      <c r="C1181" s="245"/>
      <c r="D1181" s="245"/>
      <c r="E1181" s="210">
        <v>0</v>
      </c>
      <c r="F1181" s="213">
        <v>0</v>
      </c>
      <c r="G1181" s="210">
        <v>0</v>
      </c>
      <c r="H1181" s="213">
        <v>0</v>
      </c>
      <c r="I1181" s="210">
        <v>0</v>
      </c>
      <c r="J1181" s="213">
        <v>0</v>
      </c>
      <c r="K1181" s="210">
        <v>0</v>
      </c>
      <c r="L1181" s="213">
        <v>0</v>
      </c>
      <c r="M1181" s="210">
        <v>0</v>
      </c>
      <c r="N1181" s="213">
        <v>0</v>
      </c>
      <c r="O1181" s="210">
        <v>0</v>
      </c>
      <c r="P1181" s="213">
        <v>0</v>
      </c>
      <c r="Q1181" s="210">
        <v>0</v>
      </c>
      <c r="R1181" s="213">
        <v>0</v>
      </c>
      <c r="S1181" s="210">
        <v>0</v>
      </c>
      <c r="T1181" s="213">
        <v>0</v>
      </c>
      <c r="U1181" s="210">
        <v>0</v>
      </c>
      <c r="V1181" s="213">
        <v>0</v>
      </c>
      <c r="W1181" s="210">
        <v>0</v>
      </c>
      <c r="X1181" s="213">
        <v>0</v>
      </c>
      <c r="Y1181" s="210">
        <v>0</v>
      </c>
      <c r="Z1181" s="213">
        <v>0</v>
      </c>
      <c r="AA1181" s="210">
        <v>0</v>
      </c>
      <c r="AB1181" s="213">
        <v>0</v>
      </c>
      <c r="AC1181" s="238">
        <f t="shared" si="605"/>
        <v>0</v>
      </c>
      <c r="AD1181" s="238"/>
      <c r="AE1181" s="238"/>
    </row>
    <row r="1182" spans="2:31" x14ac:dyDescent="0.3">
      <c r="B1182" s="245" t="s">
        <v>17</v>
      </c>
      <c r="C1182" s="245"/>
      <c r="D1182" s="245"/>
      <c r="E1182" s="210">
        <v>0</v>
      </c>
      <c r="F1182" s="213">
        <v>0</v>
      </c>
      <c r="G1182" s="210">
        <v>0</v>
      </c>
      <c r="H1182" s="213">
        <v>0</v>
      </c>
      <c r="I1182" s="210">
        <v>0</v>
      </c>
      <c r="J1182" s="213">
        <v>0</v>
      </c>
      <c r="K1182" s="210">
        <v>0</v>
      </c>
      <c r="L1182" s="213">
        <v>0</v>
      </c>
      <c r="M1182" s="210">
        <v>0</v>
      </c>
      <c r="N1182" s="213">
        <v>0</v>
      </c>
      <c r="O1182" s="210">
        <v>0</v>
      </c>
      <c r="P1182" s="213">
        <v>0</v>
      </c>
      <c r="Q1182" s="210">
        <v>0</v>
      </c>
      <c r="R1182" s="213">
        <v>3.0131666666666672</v>
      </c>
      <c r="S1182" s="210">
        <v>34.896666666666661</v>
      </c>
      <c r="T1182" s="213">
        <v>43.091833333333319</v>
      </c>
      <c r="U1182" s="210">
        <v>0</v>
      </c>
      <c r="V1182" s="213">
        <v>0</v>
      </c>
      <c r="W1182" s="210">
        <v>6.162666666666663</v>
      </c>
      <c r="X1182" s="213">
        <v>0</v>
      </c>
      <c r="Y1182" s="210">
        <v>0</v>
      </c>
      <c r="Z1182" s="213">
        <v>0</v>
      </c>
      <c r="AA1182" s="210">
        <v>0</v>
      </c>
      <c r="AB1182" s="213">
        <v>0</v>
      </c>
      <c r="AC1182" s="238">
        <f t="shared" si="605"/>
        <v>87.164333333333317</v>
      </c>
      <c r="AD1182" s="238"/>
      <c r="AE1182" s="238"/>
    </row>
    <row r="1183" spans="2:31" x14ac:dyDescent="0.3">
      <c r="B1183" s="245" t="s">
        <v>18</v>
      </c>
      <c r="C1183" s="245"/>
      <c r="D1183" s="245"/>
      <c r="E1183" s="210">
        <v>0</v>
      </c>
      <c r="F1183" s="213">
        <v>0</v>
      </c>
      <c r="G1183" s="210">
        <v>0</v>
      </c>
      <c r="H1183" s="213">
        <v>0</v>
      </c>
      <c r="I1183" s="210">
        <v>0</v>
      </c>
      <c r="J1183" s="213">
        <v>0</v>
      </c>
      <c r="K1183" s="210">
        <v>0</v>
      </c>
      <c r="L1183" s="213">
        <v>0</v>
      </c>
      <c r="M1183" s="210">
        <v>0</v>
      </c>
      <c r="N1183" s="213">
        <v>0</v>
      </c>
      <c r="O1183" s="210">
        <v>0</v>
      </c>
      <c r="P1183" s="213">
        <v>0</v>
      </c>
      <c r="Q1183" s="210">
        <v>0</v>
      </c>
      <c r="R1183" s="213">
        <v>0</v>
      </c>
      <c r="S1183" s="210">
        <v>0</v>
      </c>
      <c r="T1183" s="213">
        <v>0</v>
      </c>
      <c r="U1183" s="210">
        <v>0</v>
      </c>
      <c r="V1183" s="213">
        <v>0</v>
      </c>
      <c r="W1183" s="210">
        <v>0</v>
      </c>
      <c r="X1183" s="213">
        <v>0</v>
      </c>
      <c r="Y1183" s="210">
        <v>0</v>
      </c>
      <c r="Z1183" s="213">
        <v>0</v>
      </c>
      <c r="AA1183" s="210">
        <v>0</v>
      </c>
      <c r="AB1183" s="213">
        <v>0</v>
      </c>
      <c r="AC1183" s="238">
        <f t="shared" si="605"/>
        <v>0</v>
      </c>
      <c r="AD1183" s="238"/>
      <c r="AE1183" s="238"/>
    </row>
    <row r="1184" spans="2:31" x14ac:dyDescent="0.3">
      <c r="B1184" s="245" t="s">
        <v>19</v>
      </c>
      <c r="C1184" s="245"/>
      <c r="D1184" s="245"/>
      <c r="E1184" s="210">
        <v>0</v>
      </c>
      <c r="F1184" s="213">
        <v>0</v>
      </c>
      <c r="G1184" s="210">
        <v>0</v>
      </c>
      <c r="H1184" s="213">
        <v>0</v>
      </c>
      <c r="I1184" s="210">
        <v>0</v>
      </c>
      <c r="J1184" s="213">
        <v>0</v>
      </c>
      <c r="K1184" s="210">
        <v>0</v>
      </c>
      <c r="L1184" s="213">
        <v>0</v>
      </c>
      <c r="M1184" s="210">
        <v>0</v>
      </c>
      <c r="N1184" s="213">
        <v>0</v>
      </c>
      <c r="O1184" s="210">
        <v>0</v>
      </c>
      <c r="P1184" s="213">
        <v>0</v>
      </c>
      <c r="Q1184" s="210">
        <v>0</v>
      </c>
      <c r="R1184" s="213">
        <v>0</v>
      </c>
      <c r="S1184" s="210">
        <v>11.782833333333333</v>
      </c>
      <c r="T1184" s="213">
        <v>18.296166666666657</v>
      </c>
      <c r="U1184" s="210">
        <v>22.201500000000006</v>
      </c>
      <c r="V1184" s="213">
        <v>15.0625</v>
      </c>
      <c r="W1184" s="210">
        <v>20.781833333333338</v>
      </c>
      <c r="X1184" s="213">
        <v>0</v>
      </c>
      <c r="Y1184" s="210">
        <v>0</v>
      </c>
      <c r="Z1184" s="213">
        <v>0</v>
      </c>
      <c r="AA1184" s="210">
        <v>0</v>
      </c>
      <c r="AB1184" s="213">
        <v>0</v>
      </c>
      <c r="AC1184" s="238">
        <f t="shared" si="605"/>
        <v>88.124833333333328</v>
      </c>
      <c r="AD1184" s="238"/>
      <c r="AE1184" s="238"/>
    </row>
    <row r="1185" spans="2:31" x14ac:dyDescent="0.3">
      <c r="B1185" s="245" t="s">
        <v>20</v>
      </c>
      <c r="C1185" s="245"/>
      <c r="D1185" s="245"/>
      <c r="E1185" s="210">
        <v>0</v>
      </c>
      <c r="F1185" s="213">
        <v>0</v>
      </c>
      <c r="G1185" s="210">
        <v>0</v>
      </c>
      <c r="H1185" s="213">
        <v>0</v>
      </c>
      <c r="I1185" s="210">
        <v>0</v>
      </c>
      <c r="J1185" s="213">
        <v>0</v>
      </c>
      <c r="K1185" s="210">
        <v>0</v>
      </c>
      <c r="L1185" s="213">
        <v>0</v>
      </c>
      <c r="M1185" s="210">
        <v>0</v>
      </c>
      <c r="N1185" s="213">
        <v>0</v>
      </c>
      <c r="O1185" s="210">
        <v>0</v>
      </c>
      <c r="P1185" s="213">
        <v>0</v>
      </c>
      <c r="Q1185" s="210">
        <v>0</v>
      </c>
      <c r="R1185" s="213">
        <v>0.52200000000000002</v>
      </c>
      <c r="S1185" s="210">
        <v>7.8799999999999963</v>
      </c>
      <c r="T1185" s="213">
        <v>11.580000000000002</v>
      </c>
      <c r="U1185" s="210">
        <v>14.179999999999984</v>
      </c>
      <c r="V1185" s="213">
        <v>15.980000000000013</v>
      </c>
      <c r="W1185" s="210">
        <v>15.106666666666678</v>
      </c>
      <c r="X1185" s="213">
        <v>0</v>
      </c>
      <c r="Y1185" s="210">
        <v>0</v>
      </c>
      <c r="Z1185" s="213">
        <v>0</v>
      </c>
      <c r="AA1185" s="210">
        <v>0</v>
      </c>
      <c r="AB1185" s="213">
        <v>0</v>
      </c>
      <c r="AC1185" s="238">
        <f t="shared" si="605"/>
        <v>65.248666666666679</v>
      </c>
      <c r="AD1185" s="238"/>
      <c r="AE1185" s="238"/>
    </row>
    <row r="1186" spans="2:31" x14ac:dyDescent="0.3">
      <c r="B1186" s="245" t="s">
        <v>21</v>
      </c>
      <c r="C1186" s="245"/>
      <c r="D1186" s="245"/>
      <c r="E1186" s="210">
        <v>0</v>
      </c>
      <c r="F1186" s="213">
        <v>0</v>
      </c>
      <c r="G1186" s="210">
        <v>0</v>
      </c>
      <c r="H1186" s="213">
        <v>0</v>
      </c>
      <c r="I1186" s="210">
        <v>0</v>
      </c>
      <c r="J1186" s="213">
        <v>0</v>
      </c>
      <c r="K1186" s="210">
        <v>0</v>
      </c>
      <c r="L1186" s="213">
        <v>0</v>
      </c>
      <c r="M1186" s="210">
        <v>0</v>
      </c>
      <c r="N1186" s="213">
        <v>0</v>
      </c>
      <c r="O1186" s="210">
        <v>0</v>
      </c>
      <c r="P1186" s="213">
        <v>0</v>
      </c>
      <c r="Q1186" s="210">
        <v>0</v>
      </c>
      <c r="R1186" s="213">
        <v>1.2076666666666667</v>
      </c>
      <c r="S1186" s="210">
        <v>9.5284999999999993</v>
      </c>
      <c r="T1186" s="213">
        <v>12.210833333333333</v>
      </c>
      <c r="U1186" s="210">
        <v>14.078333333333335</v>
      </c>
      <c r="V1186" s="213">
        <v>15.301833333333331</v>
      </c>
      <c r="W1186" s="210">
        <v>12.48066666666667</v>
      </c>
      <c r="X1186" s="213">
        <v>0</v>
      </c>
      <c r="Y1186" s="210">
        <v>0</v>
      </c>
      <c r="Z1186" s="213">
        <v>0</v>
      </c>
      <c r="AA1186" s="210">
        <v>0</v>
      </c>
      <c r="AB1186" s="213">
        <v>0</v>
      </c>
      <c r="AC1186" s="238">
        <f t="shared" si="605"/>
        <v>64.807833333333335</v>
      </c>
      <c r="AD1186" s="238"/>
      <c r="AE1186" s="238"/>
    </row>
    <row r="1187" spans="2:31" x14ac:dyDescent="0.3">
      <c r="B1187" s="245" t="s">
        <v>22</v>
      </c>
      <c r="C1187" s="245"/>
      <c r="D1187" s="245"/>
      <c r="E1187" s="210">
        <v>0</v>
      </c>
      <c r="F1187" s="213">
        <v>0</v>
      </c>
      <c r="G1187" s="210">
        <v>0</v>
      </c>
      <c r="H1187" s="213">
        <v>0</v>
      </c>
      <c r="I1187" s="210">
        <v>0</v>
      </c>
      <c r="J1187" s="213">
        <v>0</v>
      </c>
      <c r="K1187" s="210">
        <v>0</v>
      </c>
      <c r="L1187" s="213">
        <v>0</v>
      </c>
      <c r="M1187" s="210">
        <v>0</v>
      </c>
      <c r="N1187" s="213">
        <v>0</v>
      </c>
      <c r="O1187" s="210">
        <v>0</v>
      </c>
      <c r="P1187" s="213">
        <v>0</v>
      </c>
      <c r="Q1187" s="210">
        <v>0</v>
      </c>
      <c r="R1187" s="213">
        <v>0.1013333333333333</v>
      </c>
      <c r="S1187" s="210">
        <v>3.2341666666666673</v>
      </c>
      <c r="T1187" s="213">
        <v>2.8383333333333329</v>
      </c>
      <c r="U1187" s="210">
        <v>1.7479999999999989</v>
      </c>
      <c r="V1187" s="213">
        <v>2.1333333333333353E-2</v>
      </c>
      <c r="W1187" s="210">
        <v>0.1151666666666665</v>
      </c>
      <c r="X1187" s="213">
        <v>0</v>
      </c>
      <c r="Y1187" s="210">
        <v>0</v>
      </c>
      <c r="Z1187" s="213">
        <v>0</v>
      </c>
      <c r="AA1187" s="210">
        <v>0</v>
      </c>
      <c r="AB1187" s="213">
        <v>0</v>
      </c>
      <c r="AC1187" s="238">
        <f t="shared" si="605"/>
        <v>8.0583333333333318</v>
      </c>
      <c r="AD1187" s="238"/>
      <c r="AE1187" s="238"/>
    </row>
    <row r="1188" spans="2:31" x14ac:dyDescent="0.3">
      <c r="B1188" s="245" t="s">
        <v>23</v>
      </c>
      <c r="C1188" s="245"/>
      <c r="D1188" s="245"/>
      <c r="E1188" s="210">
        <v>0</v>
      </c>
      <c r="F1188" s="213">
        <v>0</v>
      </c>
      <c r="G1188" s="210">
        <v>0</v>
      </c>
      <c r="H1188" s="213">
        <v>0</v>
      </c>
      <c r="I1188" s="210">
        <v>0</v>
      </c>
      <c r="J1188" s="213">
        <v>0</v>
      </c>
      <c r="K1188" s="210">
        <v>0</v>
      </c>
      <c r="L1188" s="213">
        <v>0</v>
      </c>
      <c r="M1188" s="210">
        <v>0</v>
      </c>
      <c r="N1188" s="213">
        <v>0</v>
      </c>
      <c r="O1188" s="210">
        <v>0</v>
      </c>
      <c r="P1188" s="213">
        <v>0</v>
      </c>
      <c r="Q1188" s="210">
        <v>0</v>
      </c>
      <c r="R1188" s="213">
        <v>0.61666666666666681</v>
      </c>
      <c r="S1188" s="210">
        <v>13.212500000000004</v>
      </c>
      <c r="T1188" s="213">
        <v>15.222000000000001</v>
      </c>
      <c r="U1188" s="210">
        <v>17.607666666666674</v>
      </c>
      <c r="V1188" s="213">
        <v>20.454499999999996</v>
      </c>
      <c r="W1188" s="210">
        <v>19.672166666666662</v>
      </c>
      <c r="X1188" s="213">
        <v>0</v>
      </c>
      <c r="Y1188" s="210">
        <v>0</v>
      </c>
      <c r="Z1188" s="213">
        <v>0</v>
      </c>
      <c r="AA1188" s="210">
        <v>0</v>
      </c>
      <c r="AB1188" s="213">
        <v>0</v>
      </c>
      <c r="AC1188" s="238">
        <f t="shared" si="605"/>
        <v>86.785500000000013</v>
      </c>
      <c r="AD1188" s="238"/>
      <c r="AE1188" s="238"/>
    </row>
    <row r="1189" spans="2:31" x14ac:dyDescent="0.3">
      <c r="B1189" s="245" t="s">
        <v>24</v>
      </c>
      <c r="C1189" s="245"/>
      <c r="D1189" s="245"/>
      <c r="E1189" s="210">
        <v>0</v>
      </c>
      <c r="F1189" s="213">
        <v>0</v>
      </c>
      <c r="G1189" s="210">
        <v>0</v>
      </c>
      <c r="H1189" s="213">
        <v>0</v>
      </c>
      <c r="I1189" s="210">
        <v>0</v>
      </c>
      <c r="J1189" s="213">
        <v>0</v>
      </c>
      <c r="K1189" s="210">
        <v>0</v>
      </c>
      <c r="L1189" s="213">
        <v>0</v>
      </c>
      <c r="M1189" s="210">
        <v>0</v>
      </c>
      <c r="N1189" s="213">
        <v>0</v>
      </c>
      <c r="O1189" s="210">
        <v>0</v>
      </c>
      <c r="P1189" s="213">
        <v>0</v>
      </c>
      <c r="Q1189" s="210">
        <v>0</v>
      </c>
      <c r="R1189" s="213">
        <v>9.9999999999997877E-4</v>
      </c>
      <c r="S1189" s="210">
        <v>3.8386666666666653</v>
      </c>
      <c r="T1189" s="213">
        <v>4.1896666666666667</v>
      </c>
      <c r="U1189" s="210">
        <v>5.1344999999999983</v>
      </c>
      <c r="V1189" s="213">
        <v>7.3403333333333345</v>
      </c>
      <c r="W1189" s="210">
        <v>8.131333333333334</v>
      </c>
      <c r="X1189" s="213">
        <v>0</v>
      </c>
      <c r="Y1189" s="210">
        <v>0</v>
      </c>
      <c r="Z1189" s="213">
        <v>0</v>
      </c>
      <c r="AA1189" s="210">
        <v>0</v>
      </c>
      <c r="AB1189" s="213">
        <v>0</v>
      </c>
      <c r="AC1189" s="238">
        <f t="shared" si="605"/>
        <v>28.635499999999997</v>
      </c>
      <c r="AD1189" s="238"/>
      <c r="AE1189" s="238"/>
    </row>
    <row r="1190" spans="2:31" x14ac:dyDescent="0.3">
      <c r="B1190" s="245" t="s">
        <v>25</v>
      </c>
      <c r="C1190" s="245"/>
      <c r="D1190" s="245"/>
      <c r="E1190" s="210">
        <v>0</v>
      </c>
      <c r="F1190" s="213">
        <v>0</v>
      </c>
      <c r="G1190" s="210">
        <v>0</v>
      </c>
      <c r="H1190" s="213">
        <v>0</v>
      </c>
      <c r="I1190" s="210">
        <v>0</v>
      </c>
      <c r="J1190" s="213">
        <v>0</v>
      </c>
      <c r="K1190" s="210">
        <v>0</v>
      </c>
      <c r="L1190" s="213">
        <v>0</v>
      </c>
      <c r="M1190" s="210">
        <v>0</v>
      </c>
      <c r="N1190" s="213">
        <v>0</v>
      </c>
      <c r="O1190" s="210">
        <v>0</v>
      </c>
      <c r="P1190" s="213">
        <v>0</v>
      </c>
      <c r="Q1190" s="210">
        <v>0</v>
      </c>
      <c r="R1190" s="213">
        <v>0</v>
      </c>
      <c r="S1190" s="210">
        <v>0</v>
      </c>
      <c r="T1190" s="213">
        <v>0</v>
      </c>
      <c r="U1190" s="210">
        <v>0</v>
      </c>
      <c r="V1190" s="213">
        <v>4.1646666666666672</v>
      </c>
      <c r="W1190" s="210">
        <v>1.3206666666666667</v>
      </c>
      <c r="X1190" s="213">
        <v>0</v>
      </c>
      <c r="Y1190" s="210">
        <v>0</v>
      </c>
      <c r="Z1190" s="213">
        <v>0</v>
      </c>
      <c r="AA1190" s="210">
        <v>0</v>
      </c>
      <c r="AB1190" s="213">
        <v>0</v>
      </c>
      <c r="AC1190" s="238">
        <f t="shared" si="605"/>
        <v>5.4853333333333341</v>
      </c>
      <c r="AD1190" s="238"/>
      <c r="AE1190" s="238"/>
    </row>
    <row r="1191" spans="2:31" x14ac:dyDescent="0.3">
      <c r="B1191" s="245" t="s">
        <v>26</v>
      </c>
      <c r="C1191" s="245"/>
      <c r="D1191" s="245"/>
      <c r="E1191" s="210">
        <v>0</v>
      </c>
      <c r="F1191" s="213">
        <v>0</v>
      </c>
      <c r="G1191" s="210">
        <v>0</v>
      </c>
      <c r="H1191" s="213">
        <v>0</v>
      </c>
      <c r="I1191" s="210">
        <v>0</v>
      </c>
      <c r="J1191" s="213">
        <v>0</v>
      </c>
      <c r="K1191" s="210">
        <v>0</v>
      </c>
      <c r="L1191" s="213">
        <v>0</v>
      </c>
      <c r="M1191" s="210">
        <v>0</v>
      </c>
      <c r="N1191" s="213">
        <v>0</v>
      </c>
      <c r="O1191" s="210">
        <v>0</v>
      </c>
      <c r="P1191" s="213">
        <v>0</v>
      </c>
      <c r="Q1191" s="210">
        <v>0</v>
      </c>
      <c r="R1191" s="213">
        <v>0</v>
      </c>
      <c r="S1191" s="210">
        <v>0</v>
      </c>
      <c r="T1191" s="213">
        <v>0</v>
      </c>
      <c r="U1191" s="210">
        <v>0</v>
      </c>
      <c r="V1191" s="213">
        <v>0</v>
      </c>
      <c r="W1191" s="210">
        <v>0</v>
      </c>
      <c r="X1191" s="213">
        <v>0</v>
      </c>
      <c r="Y1191" s="210">
        <v>0</v>
      </c>
      <c r="Z1191" s="213">
        <v>0</v>
      </c>
      <c r="AA1191" s="210">
        <v>0</v>
      </c>
      <c r="AB1191" s="213">
        <v>0</v>
      </c>
      <c r="AC1191" s="238">
        <f t="shared" si="605"/>
        <v>0</v>
      </c>
      <c r="AD1191" s="238"/>
      <c r="AE1191" s="238"/>
    </row>
    <row r="1192" spans="2:31" x14ac:dyDescent="0.3">
      <c r="B1192" s="245" t="s">
        <v>27</v>
      </c>
      <c r="C1192" s="245"/>
      <c r="D1192" s="245"/>
      <c r="E1192" s="210">
        <v>0</v>
      </c>
      <c r="F1192" s="213">
        <v>0</v>
      </c>
      <c r="G1192" s="210">
        <v>0</v>
      </c>
      <c r="H1192" s="213">
        <v>0</v>
      </c>
      <c r="I1192" s="210">
        <v>0</v>
      </c>
      <c r="J1192" s="213">
        <v>0</v>
      </c>
      <c r="K1192" s="210">
        <v>0</v>
      </c>
      <c r="L1192" s="213">
        <v>0</v>
      </c>
      <c r="M1192" s="210">
        <v>0</v>
      </c>
      <c r="N1192" s="213">
        <v>0</v>
      </c>
      <c r="O1192" s="210">
        <v>0</v>
      </c>
      <c r="P1192" s="213">
        <v>0</v>
      </c>
      <c r="Q1192" s="210">
        <v>0</v>
      </c>
      <c r="R1192" s="213">
        <v>0</v>
      </c>
      <c r="S1192" s="210">
        <v>0</v>
      </c>
      <c r="T1192" s="213">
        <v>0</v>
      </c>
      <c r="U1192" s="210">
        <v>0</v>
      </c>
      <c r="V1192" s="213">
        <v>7.9849999999999994</v>
      </c>
      <c r="W1192" s="210">
        <v>6.4858333333333293</v>
      </c>
      <c r="X1192" s="213">
        <v>0</v>
      </c>
      <c r="Y1192" s="210">
        <v>0</v>
      </c>
      <c r="Z1192" s="213">
        <v>0</v>
      </c>
      <c r="AA1192" s="210">
        <v>0</v>
      </c>
      <c r="AB1192" s="213">
        <v>0</v>
      </c>
      <c r="AC1192" s="238">
        <f t="shared" si="605"/>
        <v>14.470833333333328</v>
      </c>
      <c r="AD1192" s="238"/>
      <c r="AE1192" s="238"/>
    </row>
    <row r="1193" spans="2:31" x14ac:dyDescent="0.3">
      <c r="B1193" s="245" t="s">
        <v>28</v>
      </c>
      <c r="C1193" s="245"/>
      <c r="D1193" s="245"/>
      <c r="E1193" s="210">
        <v>0</v>
      </c>
      <c r="F1193" s="213">
        <v>0</v>
      </c>
      <c r="G1193" s="210">
        <v>0</v>
      </c>
      <c r="H1193" s="213">
        <v>0</v>
      </c>
      <c r="I1193" s="210">
        <v>0</v>
      </c>
      <c r="J1193" s="213">
        <v>0</v>
      </c>
      <c r="K1193" s="210">
        <v>0</v>
      </c>
      <c r="L1193" s="213">
        <v>0</v>
      </c>
      <c r="M1193" s="210">
        <v>0</v>
      </c>
      <c r="N1193" s="213">
        <v>0</v>
      </c>
      <c r="O1193" s="210">
        <v>0</v>
      </c>
      <c r="P1193" s="213">
        <v>0</v>
      </c>
      <c r="Q1193" s="210">
        <v>0</v>
      </c>
      <c r="R1193" s="213">
        <v>0</v>
      </c>
      <c r="S1193" s="210">
        <v>0</v>
      </c>
      <c r="T1193" s="213">
        <v>0</v>
      </c>
      <c r="U1193" s="210">
        <v>0</v>
      </c>
      <c r="V1193" s="213">
        <v>1.7856666666666696</v>
      </c>
      <c r="W1193" s="210">
        <v>2.9286666666666639</v>
      </c>
      <c r="X1193" s="213">
        <v>0</v>
      </c>
      <c r="Y1193" s="210">
        <v>0</v>
      </c>
      <c r="Z1193" s="213">
        <v>0</v>
      </c>
      <c r="AA1193" s="210">
        <v>0</v>
      </c>
      <c r="AB1193" s="213">
        <v>0</v>
      </c>
      <c r="AC1193" s="238">
        <f t="shared" si="605"/>
        <v>4.7143333333333333</v>
      </c>
      <c r="AD1193" s="238"/>
      <c r="AE1193" s="238"/>
    </row>
    <row r="1194" spans="2:31" x14ac:dyDescent="0.3">
      <c r="B1194" s="245" t="s">
        <v>92</v>
      </c>
      <c r="C1194" s="245"/>
      <c r="D1194" s="245"/>
      <c r="E1194" s="210">
        <v>0</v>
      </c>
      <c r="F1194" s="213">
        <v>0</v>
      </c>
      <c r="G1194" s="210">
        <v>0</v>
      </c>
      <c r="H1194" s="213">
        <v>0</v>
      </c>
      <c r="I1194" s="210">
        <v>0</v>
      </c>
      <c r="J1194" s="213">
        <v>0</v>
      </c>
      <c r="K1194" s="210">
        <v>0</v>
      </c>
      <c r="L1194" s="213">
        <v>0</v>
      </c>
      <c r="M1194" s="210">
        <v>0</v>
      </c>
      <c r="N1194" s="213">
        <v>0</v>
      </c>
      <c r="O1194" s="210">
        <v>0</v>
      </c>
      <c r="P1194" s="213">
        <v>0</v>
      </c>
      <c r="Q1194" s="210">
        <v>0</v>
      </c>
      <c r="R1194" s="213">
        <v>0</v>
      </c>
      <c r="S1194" s="210">
        <v>0</v>
      </c>
      <c r="T1194" s="213">
        <v>0</v>
      </c>
      <c r="U1194" s="210">
        <v>0</v>
      </c>
      <c r="V1194" s="213">
        <v>0</v>
      </c>
      <c r="W1194" s="210">
        <v>0</v>
      </c>
      <c r="X1194" s="213">
        <v>0</v>
      </c>
      <c r="Y1194" s="210">
        <v>0</v>
      </c>
      <c r="Z1194" s="213">
        <v>0</v>
      </c>
      <c r="AA1194" s="210">
        <v>0</v>
      </c>
      <c r="AB1194" s="213">
        <v>0</v>
      </c>
      <c r="AC1194" s="238">
        <f t="shared" si="605"/>
        <v>0</v>
      </c>
      <c r="AD1194" s="238"/>
      <c r="AE1194" s="238"/>
    </row>
    <row r="1195" spans="2:31" x14ac:dyDescent="0.3">
      <c r="B1195" s="245" t="s">
        <v>29</v>
      </c>
      <c r="C1195" s="245"/>
      <c r="D1195" s="245"/>
      <c r="E1195" s="210">
        <v>0</v>
      </c>
      <c r="F1195" s="213">
        <v>0</v>
      </c>
      <c r="G1195" s="210">
        <v>0</v>
      </c>
      <c r="H1195" s="213">
        <v>0</v>
      </c>
      <c r="I1195" s="210">
        <v>0</v>
      </c>
      <c r="J1195" s="213">
        <v>0</v>
      </c>
      <c r="K1195" s="210">
        <v>0</v>
      </c>
      <c r="L1195" s="213">
        <v>0</v>
      </c>
      <c r="M1195" s="210">
        <v>0</v>
      </c>
      <c r="N1195" s="213">
        <v>0</v>
      </c>
      <c r="O1195" s="210">
        <v>0</v>
      </c>
      <c r="P1195" s="213">
        <v>0</v>
      </c>
      <c r="Q1195" s="210">
        <v>0</v>
      </c>
      <c r="R1195" s="213">
        <v>0</v>
      </c>
      <c r="S1195" s="210">
        <v>0</v>
      </c>
      <c r="T1195" s="213">
        <v>0</v>
      </c>
      <c r="U1195" s="210">
        <v>0</v>
      </c>
      <c r="V1195" s="213">
        <v>4.2324999999999982</v>
      </c>
      <c r="W1195" s="210">
        <v>11.244999999999999</v>
      </c>
      <c r="X1195" s="213">
        <v>0</v>
      </c>
      <c r="Y1195" s="210">
        <v>0</v>
      </c>
      <c r="Z1195" s="213">
        <v>0</v>
      </c>
      <c r="AA1195" s="210">
        <v>0</v>
      </c>
      <c r="AB1195" s="213">
        <v>0</v>
      </c>
      <c r="AC1195" s="238">
        <f t="shared" si="605"/>
        <v>15.477499999999997</v>
      </c>
      <c r="AD1195" s="238"/>
      <c r="AE1195" s="238"/>
    </row>
    <row r="1196" spans="2:31" x14ac:dyDescent="0.3">
      <c r="B1196" s="245" t="s">
        <v>30</v>
      </c>
      <c r="C1196" s="245"/>
      <c r="D1196" s="245"/>
      <c r="E1196" s="210">
        <v>0</v>
      </c>
      <c r="F1196" s="213">
        <v>0</v>
      </c>
      <c r="G1196" s="210">
        <v>0</v>
      </c>
      <c r="H1196" s="213">
        <v>0</v>
      </c>
      <c r="I1196" s="210">
        <v>0</v>
      </c>
      <c r="J1196" s="213">
        <v>0</v>
      </c>
      <c r="K1196" s="210">
        <v>0</v>
      </c>
      <c r="L1196" s="213">
        <v>0</v>
      </c>
      <c r="M1196" s="210">
        <v>0</v>
      </c>
      <c r="N1196" s="213">
        <v>0</v>
      </c>
      <c r="O1196" s="210">
        <v>0</v>
      </c>
      <c r="P1196" s="213">
        <v>0</v>
      </c>
      <c r="Q1196" s="210">
        <v>0</v>
      </c>
      <c r="R1196" s="213">
        <v>0</v>
      </c>
      <c r="S1196" s="210">
        <v>0</v>
      </c>
      <c r="T1196" s="213">
        <v>0</v>
      </c>
      <c r="U1196" s="210">
        <v>0</v>
      </c>
      <c r="V1196" s="213">
        <v>11.160499999999997</v>
      </c>
      <c r="W1196" s="210">
        <v>12.275499999999997</v>
      </c>
      <c r="X1196" s="213">
        <v>0</v>
      </c>
      <c r="Y1196" s="210">
        <v>0</v>
      </c>
      <c r="Z1196" s="213">
        <v>0</v>
      </c>
      <c r="AA1196" s="210">
        <v>0</v>
      </c>
      <c r="AB1196" s="213">
        <v>0</v>
      </c>
      <c r="AC1196" s="238">
        <f t="shared" si="605"/>
        <v>23.435999999999993</v>
      </c>
      <c r="AD1196" s="238"/>
      <c r="AE1196" s="238"/>
    </row>
    <row r="1197" spans="2:31" x14ac:dyDescent="0.3">
      <c r="B1197" s="245" t="s">
        <v>31</v>
      </c>
      <c r="C1197" s="245"/>
      <c r="D1197" s="245"/>
      <c r="E1197" s="210">
        <v>0</v>
      </c>
      <c r="F1197" s="213">
        <v>0</v>
      </c>
      <c r="G1197" s="210">
        <v>0</v>
      </c>
      <c r="H1197" s="213">
        <v>0</v>
      </c>
      <c r="I1197" s="210">
        <v>0</v>
      </c>
      <c r="J1197" s="213">
        <v>0</v>
      </c>
      <c r="K1197" s="210">
        <v>0</v>
      </c>
      <c r="L1197" s="213">
        <v>0</v>
      </c>
      <c r="M1197" s="210">
        <v>0</v>
      </c>
      <c r="N1197" s="213">
        <v>0</v>
      </c>
      <c r="O1197" s="210">
        <v>0</v>
      </c>
      <c r="P1197" s="213">
        <v>0</v>
      </c>
      <c r="Q1197" s="210">
        <v>0</v>
      </c>
      <c r="R1197" s="213">
        <v>0</v>
      </c>
      <c r="S1197" s="210">
        <v>0</v>
      </c>
      <c r="T1197" s="213">
        <v>0</v>
      </c>
      <c r="U1197" s="210">
        <v>0</v>
      </c>
      <c r="V1197" s="213">
        <v>0.53000000000000047</v>
      </c>
      <c r="W1197" s="210">
        <v>1.0358333333333343</v>
      </c>
      <c r="X1197" s="213">
        <v>0</v>
      </c>
      <c r="Y1197" s="210">
        <v>0</v>
      </c>
      <c r="Z1197" s="213">
        <v>0</v>
      </c>
      <c r="AA1197" s="210">
        <v>0</v>
      </c>
      <c r="AB1197" s="213">
        <v>0</v>
      </c>
      <c r="AC1197" s="238">
        <f t="shared" si="605"/>
        <v>1.5658333333333347</v>
      </c>
      <c r="AD1197" s="238"/>
      <c r="AE1197" s="238"/>
    </row>
    <row r="1198" spans="2:31" x14ac:dyDescent="0.3">
      <c r="B1198" s="245" t="s">
        <v>32</v>
      </c>
      <c r="C1198" s="245"/>
      <c r="D1198" s="245"/>
      <c r="E1198" s="210">
        <v>0</v>
      </c>
      <c r="F1198" s="213">
        <v>0</v>
      </c>
      <c r="G1198" s="210">
        <v>0</v>
      </c>
      <c r="H1198" s="213">
        <v>0</v>
      </c>
      <c r="I1198" s="210">
        <v>0</v>
      </c>
      <c r="J1198" s="213">
        <v>0</v>
      </c>
      <c r="K1198" s="210">
        <v>0</v>
      </c>
      <c r="L1198" s="213">
        <v>0</v>
      </c>
      <c r="M1198" s="210">
        <v>0</v>
      </c>
      <c r="N1198" s="213">
        <v>0</v>
      </c>
      <c r="O1198" s="210">
        <v>0</v>
      </c>
      <c r="P1198" s="213">
        <v>0</v>
      </c>
      <c r="Q1198" s="210">
        <v>0</v>
      </c>
      <c r="R1198" s="213">
        <v>0</v>
      </c>
      <c r="S1198" s="210">
        <v>0</v>
      </c>
      <c r="T1198" s="213">
        <v>0</v>
      </c>
      <c r="U1198" s="210">
        <v>0</v>
      </c>
      <c r="V1198" s="213">
        <v>3.9000000000000039</v>
      </c>
      <c r="W1198" s="210">
        <v>4.2166666666666632</v>
      </c>
      <c r="X1198" s="213">
        <v>0</v>
      </c>
      <c r="Y1198" s="210">
        <v>0</v>
      </c>
      <c r="Z1198" s="213">
        <v>0</v>
      </c>
      <c r="AA1198" s="210">
        <v>0</v>
      </c>
      <c r="AB1198" s="213">
        <v>0</v>
      </c>
      <c r="AC1198" s="238">
        <f t="shared" si="605"/>
        <v>8.1166666666666671</v>
      </c>
      <c r="AD1198" s="238"/>
      <c r="AE1198" s="238"/>
    </row>
    <row r="1199" spans="2:31" x14ac:dyDescent="0.3">
      <c r="B1199" s="245" t="s">
        <v>33</v>
      </c>
      <c r="C1199" s="245"/>
      <c r="D1199" s="245"/>
      <c r="E1199" s="210">
        <v>0</v>
      </c>
      <c r="F1199" s="213">
        <v>0</v>
      </c>
      <c r="G1199" s="210">
        <v>0</v>
      </c>
      <c r="H1199" s="213">
        <v>0</v>
      </c>
      <c r="I1199" s="210">
        <v>0</v>
      </c>
      <c r="J1199" s="213">
        <v>0</v>
      </c>
      <c r="K1199" s="210">
        <v>0</v>
      </c>
      <c r="L1199" s="213">
        <v>0</v>
      </c>
      <c r="M1199" s="210">
        <v>0</v>
      </c>
      <c r="N1199" s="213">
        <v>0</v>
      </c>
      <c r="O1199" s="210">
        <v>0</v>
      </c>
      <c r="P1199" s="213">
        <v>0</v>
      </c>
      <c r="Q1199" s="210">
        <v>0</v>
      </c>
      <c r="R1199" s="213">
        <v>0</v>
      </c>
      <c r="S1199" s="210">
        <v>0</v>
      </c>
      <c r="T1199" s="213">
        <v>0</v>
      </c>
      <c r="U1199" s="210">
        <v>0</v>
      </c>
      <c r="V1199" s="213">
        <v>6.1414999999999944</v>
      </c>
      <c r="W1199" s="210">
        <v>7.145999999999999</v>
      </c>
      <c r="X1199" s="213">
        <v>0</v>
      </c>
      <c r="Y1199" s="210">
        <v>0</v>
      </c>
      <c r="Z1199" s="213">
        <v>0</v>
      </c>
      <c r="AA1199" s="210">
        <v>0</v>
      </c>
      <c r="AB1199" s="213">
        <v>0</v>
      </c>
      <c r="AC1199" s="238">
        <f t="shared" si="605"/>
        <v>13.287499999999994</v>
      </c>
      <c r="AD1199" s="238"/>
      <c r="AE1199" s="238"/>
    </row>
    <row r="1200" spans="2:31" x14ac:dyDescent="0.3">
      <c r="B1200" s="245" t="s">
        <v>34</v>
      </c>
      <c r="C1200" s="245"/>
      <c r="D1200" s="245"/>
      <c r="E1200" s="210">
        <v>0</v>
      </c>
      <c r="F1200" s="213">
        <v>0</v>
      </c>
      <c r="G1200" s="210">
        <v>0</v>
      </c>
      <c r="H1200" s="213">
        <v>0</v>
      </c>
      <c r="I1200" s="210">
        <v>0</v>
      </c>
      <c r="J1200" s="213">
        <v>0</v>
      </c>
      <c r="K1200" s="210">
        <v>0</v>
      </c>
      <c r="L1200" s="213">
        <v>0</v>
      </c>
      <c r="M1200" s="210">
        <v>0</v>
      </c>
      <c r="N1200" s="213">
        <v>0</v>
      </c>
      <c r="O1200" s="210">
        <v>0</v>
      </c>
      <c r="P1200" s="213">
        <v>0</v>
      </c>
      <c r="Q1200" s="210">
        <v>0</v>
      </c>
      <c r="R1200" s="213">
        <v>0</v>
      </c>
      <c r="S1200" s="210">
        <v>0</v>
      </c>
      <c r="T1200" s="213">
        <v>0</v>
      </c>
      <c r="U1200" s="210">
        <v>0</v>
      </c>
      <c r="V1200" s="213">
        <v>1.1800000000000004</v>
      </c>
      <c r="W1200" s="210">
        <v>1.363</v>
      </c>
      <c r="X1200" s="213">
        <v>0</v>
      </c>
      <c r="Y1200" s="210">
        <v>0</v>
      </c>
      <c r="Z1200" s="213">
        <v>0</v>
      </c>
      <c r="AA1200" s="210">
        <v>0</v>
      </c>
      <c r="AB1200" s="213">
        <v>0</v>
      </c>
      <c r="AC1200" s="238">
        <f t="shared" si="605"/>
        <v>2.5430000000000001</v>
      </c>
      <c r="AD1200" s="238"/>
      <c r="AE1200" s="238"/>
    </row>
    <row r="1201" spans="2:31" x14ac:dyDescent="0.3">
      <c r="B1201" s="245" t="s">
        <v>35</v>
      </c>
      <c r="C1201" s="245"/>
      <c r="D1201" s="245"/>
      <c r="E1201" s="210">
        <v>0</v>
      </c>
      <c r="F1201" s="213">
        <v>0</v>
      </c>
      <c r="G1201" s="210">
        <v>0</v>
      </c>
      <c r="H1201" s="213">
        <v>0</v>
      </c>
      <c r="I1201" s="210">
        <v>0</v>
      </c>
      <c r="J1201" s="213">
        <v>0</v>
      </c>
      <c r="K1201" s="210">
        <v>0</v>
      </c>
      <c r="L1201" s="213">
        <v>0</v>
      </c>
      <c r="M1201" s="210">
        <v>0</v>
      </c>
      <c r="N1201" s="213">
        <v>0</v>
      </c>
      <c r="O1201" s="210">
        <v>0</v>
      </c>
      <c r="P1201" s="213">
        <v>0</v>
      </c>
      <c r="Q1201" s="210">
        <v>0</v>
      </c>
      <c r="R1201" s="213">
        <v>0</v>
      </c>
      <c r="S1201" s="210">
        <v>0</v>
      </c>
      <c r="T1201" s="213">
        <v>0</v>
      </c>
      <c r="U1201" s="210">
        <v>0</v>
      </c>
      <c r="V1201" s="213">
        <v>0.92149999999999965</v>
      </c>
      <c r="W1201" s="210">
        <v>0</v>
      </c>
      <c r="X1201" s="213">
        <v>0</v>
      </c>
      <c r="Y1201" s="210">
        <v>0</v>
      </c>
      <c r="Z1201" s="213">
        <v>0</v>
      </c>
      <c r="AA1201" s="210">
        <v>0</v>
      </c>
      <c r="AB1201" s="213">
        <v>0</v>
      </c>
      <c r="AC1201" s="238">
        <f t="shared" si="605"/>
        <v>0.92149999999999965</v>
      </c>
      <c r="AD1201" s="238"/>
      <c r="AE1201" s="238"/>
    </row>
    <row r="1202" spans="2:31" x14ac:dyDescent="0.3">
      <c r="B1202" s="245" t="s">
        <v>36</v>
      </c>
      <c r="C1202" s="245"/>
      <c r="D1202" s="245"/>
      <c r="E1202" s="210">
        <v>0</v>
      </c>
      <c r="F1202" s="213">
        <v>0</v>
      </c>
      <c r="G1202" s="210">
        <v>0</v>
      </c>
      <c r="H1202" s="213">
        <v>0</v>
      </c>
      <c r="I1202" s="210">
        <v>0</v>
      </c>
      <c r="J1202" s="213">
        <v>0</v>
      </c>
      <c r="K1202" s="210">
        <v>0</v>
      </c>
      <c r="L1202" s="213">
        <v>0</v>
      </c>
      <c r="M1202" s="210">
        <v>0</v>
      </c>
      <c r="N1202" s="213">
        <v>0</v>
      </c>
      <c r="O1202" s="210">
        <v>0</v>
      </c>
      <c r="P1202" s="213">
        <v>0</v>
      </c>
      <c r="Q1202" s="210">
        <v>0</v>
      </c>
      <c r="R1202" s="213">
        <v>0</v>
      </c>
      <c r="S1202" s="210">
        <v>0</v>
      </c>
      <c r="T1202" s="213">
        <v>0</v>
      </c>
      <c r="U1202" s="210">
        <v>0</v>
      </c>
      <c r="V1202" s="213">
        <v>0.35283333333333339</v>
      </c>
      <c r="W1202" s="210">
        <v>0.7410000000000001</v>
      </c>
      <c r="X1202" s="213">
        <v>0</v>
      </c>
      <c r="Y1202" s="210">
        <v>0</v>
      </c>
      <c r="Z1202" s="213">
        <v>0</v>
      </c>
      <c r="AA1202" s="210">
        <v>0</v>
      </c>
      <c r="AB1202" s="213">
        <v>0</v>
      </c>
      <c r="AC1202" s="238">
        <f t="shared" si="605"/>
        <v>1.0938333333333334</v>
      </c>
      <c r="AD1202" s="238"/>
      <c r="AE1202" s="238"/>
    </row>
    <row r="1203" spans="2:31" x14ac:dyDescent="0.3">
      <c r="B1203" s="13" t="s">
        <v>89</v>
      </c>
      <c r="C1203" s="13"/>
      <c r="D1203" s="13"/>
      <c r="E1203" s="210">
        <v>0</v>
      </c>
      <c r="F1203" s="213">
        <v>0</v>
      </c>
      <c r="G1203" s="210">
        <v>0</v>
      </c>
      <c r="H1203" s="213">
        <v>0</v>
      </c>
      <c r="I1203" s="210">
        <v>0</v>
      </c>
      <c r="J1203" s="213">
        <v>0</v>
      </c>
      <c r="K1203" s="210">
        <v>0</v>
      </c>
      <c r="L1203" s="213">
        <v>0</v>
      </c>
      <c r="M1203" s="210">
        <v>0</v>
      </c>
      <c r="N1203" s="213">
        <v>0</v>
      </c>
      <c r="O1203" s="210">
        <v>0</v>
      </c>
      <c r="P1203" s="213">
        <v>0</v>
      </c>
      <c r="Q1203" s="210">
        <v>0</v>
      </c>
      <c r="R1203" s="213">
        <v>0</v>
      </c>
      <c r="S1203" s="210">
        <v>0</v>
      </c>
      <c r="T1203" s="213">
        <v>0</v>
      </c>
      <c r="U1203" s="210">
        <v>0</v>
      </c>
      <c r="V1203" s="213">
        <v>0</v>
      </c>
      <c r="W1203" s="210">
        <v>0</v>
      </c>
      <c r="X1203" s="213">
        <v>0</v>
      </c>
      <c r="Y1203" s="210">
        <v>0</v>
      </c>
      <c r="Z1203" s="213">
        <v>0</v>
      </c>
      <c r="AA1203" s="210">
        <v>0</v>
      </c>
      <c r="AB1203" s="213">
        <v>0</v>
      </c>
      <c r="AC1203" s="238">
        <f t="shared" si="605"/>
        <v>0</v>
      </c>
      <c r="AD1203" s="238"/>
      <c r="AE1203" s="238"/>
    </row>
    <row r="1204" spans="2:31" x14ac:dyDescent="0.3">
      <c r="B1204" s="13" t="s">
        <v>90</v>
      </c>
      <c r="C1204" s="13"/>
      <c r="D1204" s="13"/>
      <c r="E1204" s="210">
        <v>0</v>
      </c>
      <c r="F1204" s="213">
        <v>0</v>
      </c>
      <c r="G1204" s="210">
        <v>0</v>
      </c>
      <c r="H1204" s="213">
        <v>0</v>
      </c>
      <c r="I1204" s="210">
        <v>0</v>
      </c>
      <c r="J1204" s="213">
        <v>0</v>
      </c>
      <c r="K1204" s="210">
        <v>0</v>
      </c>
      <c r="L1204" s="213">
        <v>0</v>
      </c>
      <c r="M1204" s="210">
        <v>0</v>
      </c>
      <c r="N1204" s="213">
        <v>0</v>
      </c>
      <c r="O1204" s="210">
        <v>0</v>
      </c>
      <c r="P1204" s="213">
        <v>0</v>
      </c>
      <c r="Q1204" s="210">
        <v>0</v>
      </c>
      <c r="R1204" s="213">
        <v>0</v>
      </c>
      <c r="S1204" s="210">
        <v>0</v>
      </c>
      <c r="T1204" s="213">
        <v>0</v>
      </c>
      <c r="U1204" s="210">
        <v>0</v>
      </c>
      <c r="V1204" s="213">
        <v>0</v>
      </c>
      <c r="W1204" s="210">
        <v>0</v>
      </c>
      <c r="X1204" s="213">
        <v>0</v>
      </c>
      <c r="Y1204" s="210">
        <v>0</v>
      </c>
      <c r="Z1204" s="213">
        <v>0</v>
      </c>
      <c r="AA1204" s="210">
        <v>0</v>
      </c>
      <c r="AB1204" s="213">
        <v>0</v>
      </c>
      <c r="AC1204" s="238">
        <f t="shared" si="605"/>
        <v>0</v>
      </c>
      <c r="AD1204" s="238"/>
      <c r="AE1204" s="238"/>
    </row>
    <row r="1205" spans="2:31" x14ac:dyDescent="0.3">
      <c r="B1205" s="14" t="s">
        <v>2</v>
      </c>
      <c r="C1205" s="14"/>
      <c r="D1205" s="14"/>
      <c r="E1205" s="15">
        <f>SUM(E1168:E1204)</f>
        <v>0</v>
      </c>
      <c r="F1205" s="15">
        <f t="shared" ref="F1205" si="606">SUM(F1168:F1204)</f>
        <v>0</v>
      </c>
      <c r="G1205" s="15">
        <f t="shared" ref="G1205" si="607">SUM(G1168:G1204)</f>
        <v>0</v>
      </c>
      <c r="H1205" s="15">
        <f t="shared" ref="H1205" si="608">SUM(H1168:H1204)</f>
        <v>0</v>
      </c>
      <c r="I1205" s="15">
        <f t="shared" ref="I1205" si="609">SUM(I1168:I1204)</f>
        <v>0</v>
      </c>
      <c r="J1205" s="15">
        <f t="shared" ref="J1205" si="610">SUM(J1168:J1204)</f>
        <v>0</v>
      </c>
      <c r="K1205" s="15">
        <f t="shared" ref="K1205" si="611">SUM(K1168:K1204)</f>
        <v>0</v>
      </c>
      <c r="L1205" s="15">
        <f t="shared" ref="L1205" si="612">SUM(L1168:L1204)</f>
        <v>0</v>
      </c>
      <c r="M1205" s="15">
        <f t="shared" ref="M1205" si="613">SUM(M1168:M1204)</f>
        <v>0</v>
      </c>
      <c r="N1205" s="15">
        <f t="shared" ref="N1205" si="614">SUM(N1168:N1204)</f>
        <v>0</v>
      </c>
      <c r="O1205" s="15">
        <f t="shared" ref="O1205" si="615">SUM(O1168:O1204)</f>
        <v>0</v>
      </c>
      <c r="P1205" s="15">
        <f t="shared" ref="P1205" si="616">SUM(P1168:P1204)</f>
        <v>0</v>
      </c>
      <c r="Q1205" s="15">
        <f t="shared" ref="Q1205" si="617">SUM(Q1168:Q1204)</f>
        <v>0</v>
      </c>
      <c r="R1205" s="15">
        <f t="shared" ref="R1205" si="618">SUM(R1168:R1204)</f>
        <v>14.193833333333334</v>
      </c>
      <c r="S1205" s="15">
        <f t="shared" ref="S1205" si="619">SUM(S1168:S1204)</f>
        <v>271.47533333333337</v>
      </c>
      <c r="T1205" s="15">
        <f t="shared" ref="T1205" si="620">SUM(T1168:T1204)</f>
        <v>367.42299999999989</v>
      </c>
      <c r="U1205" s="15">
        <f t="shared" ref="U1205" si="621">SUM(U1168:U1204)</f>
        <v>331.63</v>
      </c>
      <c r="V1205" s="15">
        <f t="shared" ref="V1205" si="622">SUM(V1168:V1204)</f>
        <v>355.27616666666665</v>
      </c>
      <c r="W1205" s="15">
        <f t="shared" ref="W1205" si="623">SUM(W1168:W1204)</f>
        <v>333.01200000000006</v>
      </c>
      <c r="X1205" s="15">
        <f t="shared" ref="X1205" si="624">SUM(X1168:X1204)</f>
        <v>33.004833333333323</v>
      </c>
      <c r="Y1205" s="15">
        <f t="shared" ref="Y1205" si="625">SUM(Y1168:Y1204)</f>
        <v>0</v>
      </c>
      <c r="Z1205" s="15">
        <f t="shared" ref="Z1205" si="626">SUM(Z1168:Z1204)</f>
        <v>0</v>
      </c>
      <c r="AA1205" s="15">
        <f t="shared" ref="AA1205" si="627">SUM(AA1168:AA1204)</f>
        <v>0</v>
      </c>
      <c r="AB1205" s="15">
        <f t="shared" ref="AB1205" si="628">SUM(AB1168:AB1204)</f>
        <v>0</v>
      </c>
      <c r="AC1205" s="249">
        <f>SUM(AC1168:AE1204)</f>
        <v>1706.0151666666659</v>
      </c>
      <c r="AD1205" s="249"/>
      <c r="AE1205" s="249"/>
    </row>
    <row r="1208" spans="2:31" x14ac:dyDescent="0.3">
      <c r="B1208" s="8">
        <f>'Resumen-Mensual'!$AG$22</f>
        <v>44590</v>
      </c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4"/>
      <c r="AD1208" s="4"/>
      <c r="AE1208" s="4"/>
    </row>
    <row r="1209" spans="2:31" x14ac:dyDescent="0.3">
      <c r="B1209" s="8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4"/>
      <c r="AD1209" s="4"/>
      <c r="AE1209" s="4"/>
    </row>
    <row r="1210" spans="2:31" x14ac:dyDescent="0.3">
      <c r="B1210" s="9" t="s">
        <v>81</v>
      </c>
      <c r="C1210" s="10"/>
      <c r="D1210" s="10"/>
      <c r="E1210" s="11">
        <v>1</v>
      </c>
      <c r="F1210" s="11">
        <v>2</v>
      </c>
      <c r="G1210" s="11">
        <v>3</v>
      </c>
      <c r="H1210" s="11">
        <v>4</v>
      </c>
      <c r="I1210" s="11">
        <v>5</v>
      </c>
      <c r="J1210" s="11">
        <v>6</v>
      </c>
      <c r="K1210" s="11">
        <v>7</v>
      </c>
      <c r="L1210" s="11">
        <v>8</v>
      </c>
      <c r="M1210" s="11">
        <v>9</v>
      </c>
      <c r="N1210" s="11">
        <v>10</v>
      </c>
      <c r="O1210" s="11">
        <v>11</v>
      </c>
      <c r="P1210" s="11">
        <v>12</v>
      </c>
      <c r="Q1210" s="11">
        <v>13</v>
      </c>
      <c r="R1210" s="11">
        <v>14</v>
      </c>
      <c r="S1210" s="11">
        <v>15</v>
      </c>
      <c r="T1210" s="11">
        <v>16</v>
      </c>
      <c r="U1210" s="11">
        <v>17</v>
      </c>
      <c r="V1210" s="11">
        <v>18</v>
      </c>
      <c r="W1210" s="11">
        <v>19</v>
      </c>
      <c r="X1210" s="11">
        <v>20</v>
      </c>
      <c r="Y1210" s="11">
        <v>21</v>
      </c>
      <c r="Z1210" s="11">
        <v>22</v>
      </c>
      <c r="AA1210" s="11">
        <v>23</v>
      </c>
      <c r="AB1210" s="11">
        <v>24</v>
      </c>
      <c r="AC1210" s="248" t="s">
        <v>2</v>
      </c>
      <c r="AD1210" s="248"/>
      <c r="AE1210" s="248"/>
    </row>
    <row r="1211" spans="2:31" x14ac:dyDescent="0.3">
      <c r="B1211" s="245" t="s">
        <v>4</v>
      </c>
      <c r="C1211" s="245"/>
      <c r="D1211" s="245"/>
      <c r="E1211" s="218">
        <v>0</v>
      </c>
      <c r="F1211" s="219">
        <v>0</v>
      </c>
      <c r="G1211" s="218">
        <v>0</v>
      </c>
      <c r="H1211" s="219">
        <v>0</v>
      </c>
      <c r="I1211" s="218">
        <v>0</v>
      </c>
      <c r="J1211" s="219">
        <v>0</v>
      </c>
      <c r="K1211" s="218">
        <v>0</v>
      </c>
      <c r="L1211" s="219">
        <v>0</v>
      </c>
      <c r="M1211" s="218">
        <v>0</v>
      </c>
      <c r="N1211" s="219">
        <v>0</v>
      </c>
      <c r="O1211" s="218">
        <v>0</v>
      </c>
      <c r="P1211" s="219">
        <v>0</v>
      </c>
      <c r="Q1211" s="218">
        <v>0</v>
      </c>
      <c r="R1211" s="219">
        <v>0</v>
      </c>
      <c r="S1211" s="218">
        <v>0</v>
      </c>
      <c r="T1211" s="219">
        <v>0.18483333333333363</v>
      </c>
      <c r="U1211" s="218">
        <v>2.536166666666666</v>
      </c>
      <c r="V1211" s="219">
        <v>11.39966666666667</v>
      </c>
      <c r="W1211" s="218">
        <v>30.763833333333334</v>
      </c>
      <c r="X1211" s="219">
        <v>0.87450000000000072</v>
      </c>
      <c r="Y1211" s="218">
        <v>0</v>
      </c>
      <c r="Z1211" s="219">
        <v>0</v>
      </c>
      <c r="AA1211" s="218">
        <v>0</v>
      </c>
      <c r="AB1211" s="219">
        <v>0</v>
      </c>
      <c r="AC1211" s="238">
        <f>SUM(E1211:AB1211)</f>
        <v>45.759</v>
      </c>
      <c r="AD1211" s="238"/>
      <c r="AE1211" s="238"/>
    </row>
    <row r="1212" spans="2:31" x14ac:dyDescent="0.3">
      <c r="B1212" s="245" t="s">
        <v>5</v>
      </c>
      <c r="C1212" s="245"/>
      <c r="D1212" s="245"/>
      <c r="E1212" s="217">
        <v>0</v>
      </c>
      <c r="F1212" s="220">
        <v>0</v>
      </c>
      <c r="G1212" s="217">
        <v>0</v>
      </c>
      <c r="H1212" s="220">
        <v>0</v>
      </c>
      <c r="I1212" s="217">
        <v>0</v>
      </c>
      <c r="J1212" s="220">
        <v>0</v>
      </c>
      <c r="K1212" s="217">
        <v>0</v>
      </c>
      <c r="L1212" s="220">
        <v>0</v>
      </c>
      <c r="M1212" s="217">
        <v>0</v>
      </c>
      <c r="N1212" s="220">
        <v>0</v>
      </c>
      <c r="O1212" s="217">
        <v>0</v>
      </c>
      <c r="P1212" s="220">
        <v>0</v>
      </c>
      <c r="Q1212" s="217">
        <v>0</v>
      </c>
      <c r="R1212" s="220">
        <v>8.6456666666666653</v>
      </c>
      <c r="S1212" s="217">
        <v>36.344333333333331</v>
      </c>
      <c r="T1212" s="220">
        <v>48.105500000000021</v>
      </c>
      <c r="U1212" s="217">
        <v>59.517833333333321</v>
      </c>
      <c r="V1212" s="220">
        <v>68.765500000000003</v>
      </c>
      <c r="W1212" s="217">
        <v>70.470666666666673</v>
      </c>
      <c r="X1212" s="220">
        <v>13.459000000000001</v>
      </c>
      <c r="Y1212" s="217">
        <v>0</v>
      </c>
      <c r="Z1212" s="220">
        <v>0</v>
      </c>
      <c r="AA1212" s="217">
        <v>0</v>
      </c>
      <c r="AB1212" s="220">
        <v>0</v>
      </c>
      <c r="AC1212" s="238">
        <f t="shared" ref="AC1212:AC1247" si="629">SUM(E1212:AB1212)</f>
        <v>305.30850000000004</v>
      </c>
      <c r="AD1212" s="238"/>
      <c r="AE1212" s="238"/>
    </row>
    <row r="1213" spans="2:31" x14ac:dyDescent="0.3">
      <c r="B1213" s="245" t="s">
        <v>6</v>
      </c>
      <c r="C1213" s="245"/>
      <c r="D1213" s="245"/>
      <c r="E1213" s="217">
        <v>0</v>
      </c>
      <c r="F1213" s="220">
        <v>0</v>
      </c>
      <c r="G1213" s="217">
        <v>0</v>
      </c>
      <c r="H1213" s="220">
        <v>0</v>
      </c>
      <c r="I1213" s="217">
        <v>0</v>
      </c>
      <c r="J1213" s="220">
        <v>0</v>
      </c>
      <c r="K1213" s="217">
        <v>0</v>
      </c>
      <c r="L1213" s="220">
        <v>0</v>
      </c>
      <c r="M1213" s="217">
        <v>0</v>
      </c>
      <c r="N1213" s="220">
        <v>0</v>
      </c>
      <c r="O1213" s="217">
        <v>0</v>
      </c>
      <c r="P1213" s="220">
        <v>0</v>
      </c>
      <c r="Q1213" s="217">
        <v>3.1468333333333325</v>
      </c>
      <c r="R1213" s="220">
        <v>0</v>
      </c>
      <c r="S1213" s="217">
        <v>0</v>
      </c>
      <c r="T1213" s="220">
        <v>0</v>
      </c>
      <c r="U1213" s="217">
        <v>0</v>
      </c>
      <c r="V1213" s="220">
        <v>0</v>
      </c>
      <c r="W1213" s="217">
        <v>10.218166666666662</v>
      </c>
      <c r="X1213" s="220">
        <v>21.184333333333335</v>
      </c>
      <c r="Y1213" s="217">
        <v>0</v>
      </c>
      <c r="Z1213" s="220">
        <v>0</v>
      </c>
      <c r="AA1213" s="217">
        <v>0</v>
      </c>
      <c r="AB1213" s="220">
        <v>0</v>
      </c>
      <c r="AC1213" s="238">
        <f t="shared" si="629"/>
        <v>34.54933333333333</v>
      </c>
      <c r="AD1213" s="238"/>
      <c r="AE1213" s="238"/>
    </row>
    <row r="1214" spans="2:31" x14ac:dyDescent="0.3">
      <c r="B1214" s="245" t="s">
        <v>91</v>
      </c>
      <c r="C1214" s="245"/>
      <c r="D1214" s="245"/>
      <c r="E1214" s="217">
        <v>0</v>
      </c>
      <c r="F1214" s="220">
        <v>0</v>
      </c>
      <c r="G1214" s="217">
        <v>0</v>
      </c>
      <c r="H1214" s="220">
        <v>0</v>
      </c>
      <c r="I1214" s="217">
        <v>0</v>
      </c>
      <c r="J1214" s="220">
        <v>0</v>
      </c>
      <c r="K1214" s="217">
        <v>0</v>
      </c>
      <c r="L1214" s="220">
        <v>0</v>
      </c>
      <c r="M1214" s="217">
        <v>0</v>
      </c>
      <c r="N1214" s="220">
        <v>0</v>
      </c>
      <c r="O1214" s="217">
        <v>0</v>
      </c>
      <c r="P1214" s="220">
        <v>0</v>
      </c>
      <c r="Q1214" s="217">
        <v>0</v>
      </c>
      <c r="R1214" s="220">
        <v>0</v>
      </c>
      <c r="S1214" s="217">
        <v>0</v>
      </c>
      <c r="T1214" s="220">
        <v>0</v>
      </c>
      <c r="U1214" s="217">
        <v>0</v>
      </c>
      <c r="V1214" s="220">
        <v>0</v>
      </c>
      <c r="W1214" s="217">
        <v>0</v>
      </c>
      <c r="X1214" s="220">
        <v>0</v>
      </c>
      <c r="Y1214" s="217">
        <v>0</v>
      </c>
      <c r="Z1214" s="220">
        <v>0</v>
      </c>
      <c r="AA1214" s="217">
        <v>0</v>
      </c>
      <c r="AB1214" s="220">
        <v>0</v>
      </c>
      <c r="AC1214" s="238">
        <f t="shared" si="629"/>
        <v>0</v>
      </c>
      <c r="AD1214" s="238"/>
      <c r="AE1214" s="238"/>
    </row>
    <row r="1215" spans="2:31" x14ac:dyDescent="0.3">
      <c r="B1215" s="245" t="s">
        <v>7</v>
      </c>
      <c r="C1215" s="245"/>
      <c r="D1215" s="245"/>
      <c r="E1215" s="217">
        <v>0</v>
      </c>
      <c r="F1215" s="220">
        <v>0</v>
      </c>
      <c r="G1215" s="217">
        <v>0</v>
      </c>
      <c r="H1215" s="220">
        <v>0</v>
      </c>
      <c r="I1215" s="217">
        <v>0</v>
      </c>
      <c r="J1215" s="220">
        <v>0</v>
      </c>
      <c r="K1215" s="217">
        <v>0</v>
      </c>
      <c r="L1215" s="220">
        <v>0</v>
      </c>
      <c r="M1215" s="217">
        <v>0</v>
      </c>
      <c r="N1215" s="220">
        <v>0</v>
      </c>
      <c r="O1215" s="217">
        <v>0</v>
      </c>
      <c r="P1215" s="220">
        <v>0</v>
      </c>
      <c r="Q1215" s="217">
        <v>7.2673333333333341</v>
      </c>
      <c r="R1215" s="220">
        <v>35.922000000000011</v>
      </c>
      <c r="S1215" s="217">
        <v>39.920333333333325</v>
      </c>
      <c r="T1215" s="220">
        <v>39.922833333333323</v>
      </c>
      <c r="U1215" s="217">
        <v>28.645499999999995</v>
      </c>
      <c r="V1215" s="220">
        <v>4.7905000000000024</v>
      </c>
      <c r="W1215" s="217">
        <v>19.917166666666656</v>
      </c>
      <c r="X1215" s="220">
        <v>36.359333333333332</v>
      </c>
      <c r="Y1215" s="217">
        <v>0</v>
      </c>
      <c r="Z1215" s="220">
        <v>0</v>
      </c>
      <c r="AA1215" s="217">
        <v>0</v>
      </c>
      <c r="AB1215" s="220">
        <v>0</v>
      </c>
      <c r="AC1215" s="238">
        <f t="shared" si="629"/>
        <v>212.74499999999998</v>
      </c>
      <c r="AD1215" s="238"/>
      <c r="AE1215" s="238"/>
    </row>
    <row r="1216" spans="2:31" x14ac:dyDescent="0.3">
      <c r="B1216" s="245" t="s">
        <v>8</v>
      </c>
      <c r="C1216" s="245"/>
      <c r="D1216" s="245"/>
      <c r="E1216" s="217">
        <v>0</v>
      </c>
      <c r="F1216" s="220">
        <v>0</v>
      </c>
      <c r="G1216" s="217">
        <v>0</v>
      </c>
      <c r="H1216" s="220">
        <v>0</v>
      </c>
      <c r="I1216" s="217">
        <v>0</v>
      </c>
      <c r="J1216" s="220">
        <v>0</v>
      </c>
      <c r="K1216" s="217">
        <v>0</v>
      </c>
      <c r="L1216" s="220">
        <v>0</v>
      </c>
      <c r="M1216" s="217">
        <v>0</v>
      </c>
      <c r="N1216" s="220">
        <v>0</v>
      </c>
      <c r="O1216" s="217">
        <v>0</v>
      </c>
      <c r="P1216" s="220">
        <v>0</v>
      </c>
      <c r="Q1216" s="217">
        <v>0</v>
      </c>
      <c r="R1216" s="220">
        <v>0</v>
      </c>
      <c r="S1216" s="217">
        <v>0.18849999999999992</v>
      </c>
      <c r="T1216" s="220">
        <v>0.30600000000000072</v>
      </c>
      <c r="U1216" s="217">
        <v>0.87916666666666632</v>
      </c>
      <c r="V1216" s="220">
        <v>0</v>
      </c>
      <c r="W1216" s="217">
        <v>12.217999999999998</v>
      </c>
      <c r="X1216" s="220">
        <v>0.35300000000000042</v>
      </c>
      <c r="Y1216" s="217">
        <v>0</v>
      </c>
      <c r="Z1216" s="220">
        <v>0</v>
      </c>
      <c r="AA1216" s="217">
        <v>0</v>
      </c>
      <c r="AB1216" s="220">
        <v>0</v>
      </c>
      <c r="AC1216" s="238">
        <f t="shared" si="629"/>
        <v>13.944666666666665</v>
      </c>
      <c r="AD1216" s="238"/>
      <c r="AE1216" s="238"/>
    </row>
    <row r="1217" spans="2:31" x14ac:dyDescent="0.3">
      <c r="B1217" s="245" t="s">
        <v>9</v>
      </c>
      <c r="C1217" s="245"/>
      <c r="D1217" s="245"/>
      <c r="E1217" s="217">
        <v>0</v>
      </c>
      <c r="F1217" s="220">
        <v>0</v>
      </c>
      <c r="G1217" s="217">
        <v>0</v>
      </c>
      <c r="H1217" s="220">
        <v>0</v>
      </c>
      <c r="I1217" s="217">
        <v>0</v>
      </c>
      <c r="J1217" s="220">
        <v>0</v>
      </c>
      <c r="K1217" s="217">
        <v>0</v>
      </c>
      <c r="L1217" s="220">
        <v>0</v>
      </c>
      <c r="M1217" s="217">
        <v>0</v>
      </c>
      <c r="N1217" s="220">
        <v>0</v>
      </c>
      <c r="O1217" s="217">
        <v>0</v>
      </c>
      <c r="P1217" s="220">
        <v>0</v>
      </c>
      <c r="Q1217" s="217">
        <v>0</v>
      </c>
      <c r="R1217" s="220">
        <v>1.6913333333333334</v>
      </c>
      <c r="S1217" s="217">
        <v>10.048999999999999</v>
      </c>
      <c r="T1217" s="220">
        <v>27.136666666666667</v>
      </c>
      <c r="U1217" s="217">
        <v>45.24883333333333</v>
      </c>
      <c r="V1217" s="220">
        <v>66.29049999999998</v>
      </c>
      <c r="W1217" s="217">
        <v>85.910166666666683</v>
      </c>
      <c r="X1217" s="220">
        <v>23.600166666666667</v>
      </c>
      <c r="Y1217" s="217">
        <v>0</v>
      </c>
      <c r="Z1217" s="220">
        <v>0</v>
      </c>
      <c r="AA1217" s="217">
        <v>0</v>
      </c>
      <c r="AB1217" s="220">
        <v>0</v>
      </c>
      <c r="AC1217" s="238">
        <f t="shared" si="629"/>
        <v>259.92666666666668</v>
      </c>
      <c r="AD1217" s="238"/>
      <c r="AE1217" s="238"/>
    </row>
    <row r="1218" spans="2:31" x14ac:dyDescent="0.3">
      <c r="B1218" s="245" t="s">
        <v>10</v>
      </c>
      <c r="C1218" s="245"/>
      <c r="D1218" s="245"/>
      <c r="E1218" s="217">
        <v>0</v>
      </c>
      <c r="F1218" s="220">
        <v>0</v>
      </c>
      <c r="G1218" s="217">
        <v>0</v>
      </c>
      <c r="H1218" s="220">
        <v>0</v>
      </c>
      <c r="I1218" s="217">
        <v>0</v>
      </c>
      <c r="J1218" s="220">
        <v>0</v>
      </c>
      <c r="K1218" s="217">
        <v>0</v>
      </c>
      <c r="L1218" s="220">
        <v>0</v>
      </c>
      <c r="M1218" s="217">
        <v>0</v>
      </c>
      <c r="N1218" s="220">
        <v>0</v>
      </c>
      <c r="O1218" s="217">
        <v>0</v>
      </c>
      <c r="P1218" s="220">
        <v>0</v>
      </c>
      <c r="Q1218" s="217">
        <v>0</v>
      </c>
      <c r="R1218" s="220">
        <v>0.71583333333333377</v>
      </c>
      <c r="S1218" s="217">
        <v>13.633666666666668</v>
      </c>
      <c r="T1218" s="220">
        <v>24.291666666666664</v>
      </c>
      <c r="U1218" s="217">
        <v>39.703500000000005</v>
      </c>
      <c r="V1218" s="220">
        <v>56.180500000000009</v>
      </c>
      <c r="W1218" s="217">
        <v>73.486499999999992</v>
      </c>
      <c r="X1218" s="220">
        <v>18.141999999999999</v>
      </c>
      <c r="Y1218" s="217">
        <v>0</v>
      </c>
      <c r="Z1218" s="220">
        <v>0</v>
      </c>
      <c r="AA1218" s="217">
        <v>0</v>
      </c>
      <c r="AB1218" s="220">
        <v>0</v>
      </c>
      <c r="AC1218" s="238">
        <f t="shared" si="629"/>
        <v>226.15366666666665</v>
      </c>
      <c r="AD1218" s="238"/>
      <c r="AE1218" s="238"/>
    </row>
    <row r="1219" spans="2:31" x14ac:dyDescent="0.3">
      <c r="B1219" s="245" t="s">
        <v>11</v>
      </c>
      <c r="C1219" s="245"/>
      <c r="D1219" s="245"/>
      <c r="E1219" s="217">
        <v>0</v>
      </c>
      <c r="F1219" s="220">
        <v>0</v>
      </c>
      <c r="G1219" s="217">
        <v>0</v>
      </c>
      <c r="H1219" s="220">
        <v>0</v>
      </c>
      <c r="I1219" s="217">
        <v>0</v>
      </c>
      <c r="J1219" s="220">
        <v>0</v>
      </c>
      <c r="K1219" s="217">
        <v>0</v>
      </c>
      <c r="L1219" s="220">
        <v>0</v>
      </c>
      <c r="M1219" s="217">
        <v>0</v>
      </c>
      <c r="N1219" s="220">
        <v>0</v>
      </c>
      <c r="O1219" s="217">
        <v>0</v>
      </c>
      <c r="P1219" s="220">
        <v>0</v>
      </c>
      <c r="Q1219" s="217">
        <v>0</v>
      </c>
      <c r="R1219" s="220">
        <v>0.2185</v>
      </c>
      <c r="S1219" s="217">
        <v>14.808000000000005</v>
      </c>
      <c r="T1219" s="220">
        <v>32.515666666666668</v>
      </c>
      <c r="U1219" s="217">
        <v>47.262666666666696</v>
      </c>
      <c r="V1219" s="220">
        <v>63.727999999999973</v>
      </c>
      <c r="W1219" s="217">
        <v>80.520666666666713</v>
      </c>
      <c r="X1219" s="220">
        <v>19.37316666666667</v>
      </c>
      <c r="Y1219" s="217">
        <v>0</v>
      </c>
      <c r="Z1219" s="220">
        <v>0</v>
      </c>
      <c r="AA1219" s="217">
        <v>0</v>
      </c>
      <c r="AB1219" s="220">
        <v>0</v>
      </c>
      <c r="AC1219" s="238">
        <f t="shared" si="629"/>
        <v>258.42666666666673</v>
      </c>
      <c r="AD1219" s="238"/>
      <c r="AE1219" s="238"/>
    </row>
    <row r="1220" spans="2:31" x14ac:dyDescent="0.3">
      <c r="B1220" s="245" t="s">
        <v>12</v>
      </c>
      <c r="C1220" s="245"/>
      <c r="D1220" s="245"/>
      <c r="E1220" s="217">
        <v>0</v>
      </c>
      <c r="F1220" s="220">
        <v>0</v>
      </c>
      <c r="G1220" s="217">
        <v>0</v>
      </c>
      <c r="H1220" s="220">
        <v>0</v>
      </c>
      <c r="I1220" s="217">
        <v>0</v>
      </c>
      <c r="J1220" s="220">
        <v>0</v>
      </c>
      <c r="K1220" s="217">
        <v>0</v>
      </c>
      <c r="L1220" s="220">
        <v>0</v>
      </c>
      <c r="M1220" s="217">
        <v>0</v>
      </c>
      <c r="N1220" s="220">
        <v>0</v>
      </c>
      <c r="O1220" s="217">
        <v>0</v>
      </c>
      <c r="P1220" s="220">
        <v>0</v>
      </c>
      <c r="Q1220" s="217">
        <v>0</v>
      </c>
      <c r="R1220" s="220">
        <v>13.719833333333334</v>
      </c>
      <c r="S1220" s="217">
        <v>44.890333333333338</v>
      </c>
      <c r="T1220" s="220">
        <v>65.890166666666659</v>
      </c>
      <c r="U1220" s="217">
        <v>86.073000000000036</v>
      </c>
      <c r="V1220" s="220">
        <v>104.97899999999994</v>
      </c>
      <c r="W1220" s="217">
        <v>119.17816666666664</v>
      </c>
      <c r="X1220" s="220">
        <v>30.186166666666665</v>
      </c>
      <c r="Y1220" s="217">
        <v>0</v>
      </c>
      <c r="Z1220" s="220">
        <v>0</v>
      </c>
      <c r="AA1220" s="217">
        <v>0</v>
      </c>
      <c r="AB1220" s="220">
        <v>0</v>
      </c>
      <c r="AC1220" s="238">
        <f t="shared" si="629"/>
        <v>464.91666666666663</v>
      </c>
      <c r="AD1220" s="238"/>
      <c r="AE1220" s="238"/>
    </row>
    <row r="1221" spans="2:31" x14ac:dyDescent="0.3">
      <c r="B1221" s="245" t="s">
        <v>13</v>
      </c>
      <c r="C1221" s="245"/>
      <c r="D1221" s="245"/>
      <c r="E1221" s="217">
        <v>0</v>
      </c>
      <c r="F1221" s="220">
        <v>0</v>
      </c>
      <c r="G1221" s="217">
        <v>0</v>
      </c>
      <c r="H1221" s="220">
        <v>0</v>
      </c>
      <c r="I1221" s="217">
        <v>0</v>
      </c>
      <c r="J1221" s="220">
        <v>0</v>
      </c>
      <c r="K1221" s="217">
        <v>0</v>
      </c>
      <c r="L1221" s="220">
        <v>0</v>
      </c>
      <c r="M1221" s="217">
        <v>0</v>
      </c>
      <c r="N1221" s="220">
        <v>0</v>
      </c>
      <c r="O1221" s="217">
        <v>0</v>
      </c>
      <c r="P1221" s="220">
        <v>0</v>
      </c>
      <c r="Q1221" s="217">
        <v>0</v>
      </c>
      <c r="R1221" s="220">
        <v>1.7309999999999997</v>
      </c>
      <c r="S1221" s="217">
        <v>23.998499999999982</v>
      </c>
      <c r="T1221" s="220">
        <v>42.928666666666651</v>
      </c>
      <c r="U1221" s="217">
        <v>64.098500000000001</v>
      </c>
      <c r="V1221" s="220">
        <v>79.665499999999923</v>
      </c>
      <c r="W1221" s="217">
        <v>95.089333333333343</v>
      </c>
      <c r="X1221" s="220">
        <v>11.070833333333333</v>
      </c>
      <c r="Y1221" s="217">
        <v>0</v>
      </c>
      <c r="Z1221" s="220">
        <v>0</v>
      </c>
      <c r="AA1221" s="217">
        <v>0</v>
      </c>
      <c r="AB1221" s="220">
        <v>0</v>
      </c>
      <c r="AC1221" s="238">
        <f t="shared" si="629"/>
        <v>318.58233333333322</v>
      </c>
      <c r="AD1221" s="238"/>
      <c r="AE1221" s="238"/>
    </row>
    <row r="1222" spans="2:31" x14ac:dyDescent="0.3">
      <c r="B1222" s="245" t="s">
        <v>14</v>
      </c>
      <c r="C1222" s="245"/>
      <c r="D1222" s="245"/>
      <c r="E1222" s="217">
        <v>0</v>
      </c>
      <c r="F1222" s="220">
        <v>0</v>
      </c>
      <c r="G1222" s="217">
        <v>0</v>
      </c>
      <c r="H1222" s="220">
        <v>0</v>
      </c>
      <c r="I1222" s="217">
        <v>0</v>
      </c>
      <c r="J1222" s="220">
        <v>0</v>
      </c>
      <c r="K1222" s="217">
        <v>0</v>
      </c>
      <c r="L1222" s="220">
        <v>0</v>
      </c>
      <c r="M1222" s="217">
        <v>0</v>
      </c>
      <c r="N1222" s="220">
        <v>0</v>
      </c>
      <c r="O1222" s="217">
        <v>0</v>
      </c>
      <c r="P1222" s="220">
        <v>0</v>
      </c>
      <c r="Q1222" s="217">
        <v>0</v>
      </c>
      <c r="R1222" s="220">
        <v>1.0116666666666665</v>
      </c>
      <c r="S1222" s="217">
        <v>3.0949999999999984</v>
      </c>
      <c r="T1222" s="220">
        <v>3.205500000000002</v>
      </c>
      <c r="U1222" s="217">
        <v>3.1160000000000023</v>
      </c>
      <c r="V1222" s="220">
        <v>3.0266666666666677</v>
      </c>
      <c r="W1222" s="217">
        <v>2.9371666666666649</v>
      </c>
      <c r="X1222" s="220">
        <v>1.0628333333333331</v>
      </c>
      <c r="Y1222" s="217">
        <v>0</v>
      </c>
      <c r="Z1222" s="220">
        <v>0</v>
      </c>
      <c r="AA1222" s="217">
        <v>0</v>
      </c>
      <c r="AB1222" s="220">
        <v>0</v>
      </c>
      <c r="AC1222" s="238">
        <f t="shared" si="629"/>
        <v>17.454833333333337</v>
      </c>
      <c r="AD1222" s="238"/>
      <c r="AE1222" s="238"/>
    </row>
    <row r="1223" spans="2:31" x14ac:dyDescent="0.3">
      <c r="B1223" s="245" t="s">
        <v>15</v>
      </c>
      <c r="C1223" s="245"/>
      <c r="D1223" s="245"/>
      <c r="E1223" s="217">
        <v>0</v>
      </c>
      <c r="F1223" s="220">
        <v>0</v>
      </c>
      <c r="G1223" s="217">
        <v>0</v>
      </c>
      <c r="H1223" s="220">
        <v>0</v>
      </c>
      <c r="I1223" s="217">
        <v>0</v>
      </c>
      <c r="J1223" s="220">
        <v>0</v>
      </c>
      <c r="K1223" s="217">
        <v>0</v>
      </c>
      <c r="L1223" s="220">
        <v>0</v>
      </c>
      <c r="M1223" s="217">
        <v>0</v>
      </c>
      <c r="N1223" s="220">
        <v>0</v>
      </c>
      <c r="O1223" s="217">
        <v>0</v>
      </c>
      <c r="P1223" s="220">
        <v>0</v>
      </c>
      <c r="Q1223" s="217">
        <v>0</v>
      </c>
      <c r="R1223" s="220">
        <v>0</v>
      </c>
      <c r="S1223" s="217">
        <v>0</v>
      </c>
      <c r="T1223" s="220">
        <v>0</v>
      </c>
      <c r="U1223" s="217">
        <v>5.2048333333333323</v>
      </c>
      <c r="V1223" s="220">
        <v>15.540833333333337</v>
      </c>
      <c r="W1223" s="217">
        <v>24.496500000000008</v>
      </c>
      <c r="X1223" s="220">
        <v>0.27449999999999986</v>
      </c>
      <c r="Y1223" s="217">
        <v>0</v>
      </c>
      <c r="Z1223" s="220">
        <v>0</v>
      </c>
      <c r="AA1223" s="217">
        <v>0</v>
      </c>
      <c r="AB1223" s="220">
        <v>0</v>
      </c>
      <c r="AC1223" s="238">
        <f t="shared" si="629"/>
        <v>45.51666666666668</v>
      </c>
      <c r="AD1223" s="238"/>
      <c r="AE1223" s="238"/>
    </row>
    <row r="1224" spans="2:31" x14ac:dyDescent="0.3">
      <c r="B1224" s="245" t="s">
        <v>16</v>
      </c>
      <c r="C1224" s="245"/>
      <c r="D1224" s="245"/>
      <c r="E1224" s="217">
        <v>0</v>
      </c>
      <c r="F1224" s="220">
        <v>0</v>
      </c>
      <c r="G1224" s="217">
        <v>0</v>
      </c>
      <c r="H1224" s="220">
        <v>0</v>
      </c>
      <c r="I1224" s="217">
        <v>0</v>
      </c>
      <c r="J1224" s="220">
        <v>0</v>
      </c>
      <c r="K1224" s="217">
        <v>0</v>
      </c>
      <c r="L1224" s="220">
        <v>0</v>
      </c>
      <c r="M1224" s="217">
        <v>0</v>
      </c>
      <c r="N1224" s="220">
        <v>0</v>
      </c>
      <c r="O1224" s="217">
        <v>0</v>
      </c>
      <c r="P1224" s="220">
        <v>0</v>
      </c>
      <c r="Q1224" s="217">
        <v>0</v>
      </c>
      <c r="R1224" s="220">
        <v>0</v>
      </c>
      <c r="S1224" s="217">
        <v>0</v>
      </c>
      <c r="T1224" s="220">
        <v>0</v>
      </c>
      <c r="U1224" s="217">
        <v>0</v>
      </c>
      <c r="V1224" s="220">
        <v>6.6666666666665244E-4</v>
      </c>
      <c r="W1224" s="217">
        <v>3.880999999999998</v>
      </c>
      <c r="X1224" s="220">
        <v>0</v>
      </c>
      <c r="Y1224" s="217">
        <v>0</v>
      </c>
      <c r="Z1224" s="220">
        <v>0</v>
      </c>
      <c r="AA1224" s="217">
        <v>0</v>
      </c>
      <c r="AB1224" s="220">
        <v>0</v>
      </c>
      <c r="AC1224" s="238">
        <f t="shared" si="629"/>
        <v>3.8816666666666646</v>
      </c>
      <c r="AD1224" s="238"/>
      <c r="AE1224" s="238"/>
    </row>
    <row r="1225" spans="2:31" x14ac:dyDescent="0.3">
      <c r="B1225" s="245" t="s">
        <v>17</v>
      </c>
      <c r="C1225" s="245"/>
      <c r="D1225" s="245"/>
      <c r="E1225" s="217">
        <v>0</v>
      </c>
      <c r="F1225" s="220">
        <v>0</v>
      </c>
      <c r="G1225" s="217">
        <v>0</v>
      </c>
      <c r="H1225" s="220">
        <v>0</v>
      </c>
      <c r="I1225" s="217">
        <v>0</v>
      </c>
      <c r="J1225" s="220">
        <v>0</v>
      </c>
      <c r="K1225" s="217">
        <v>0</v>
      </c>
      <c r="L1225" s="220">
        <v>0</v>
      </c>
      <c r="M1225" s="217">
        <v>0</v>
      </c>
      <c r="N1225" s="220">
        <v>0</v>
      </c>
      <c r="O1225" s="217">
        <v>0</v>
      </c>
      <c r="P1225" s="220">
        <v>0</v>
      </c>
      <c r="Q1225" s="217">
        <v>0</v>
      </c>
      <c r="R1225" s="220">
        <v>3.4074999999999993</v>
      </c>
      <c r="S1225" s="217">
        <v>15.828499999999998</v>
      </c>
      <c r="T1225" s="220">
        <v>28.005500000000001</v>
      </c>
      <c r="U1225" s="217">
        <v>38.671000000000006</v>
      </c>
      <c r="V1225" s="220">
        <v>45.963999999999984</v>
      </c>
      <c r="W1225" s="217">
        <v>49.077833333333345</v>
      </c>
      <c r="X1225" s="220">
        <v>7.1883333333333326</v>
      </c>
      <c r="Y1225" s="217">
        <v>0</v>
      </c>
      <c r="Z1225" s="220">
        <v>0</v>
      </c>
      <c r="AA1225" s="217">
        <v>0</v>
      </c>
      <c r="AB1225" s="220">
        <v>0</v>
      </c>
      <c r="AC1225" s="238">
        <f t="shared" si="629"/>
        <v>188.14266666666668</v>
      </c>
      <c r="AD1225" s="238"/>
      <c r="AE1225" s="238"/>
    </row>
    <row r="1226" spans="2:31" x14ac:dyDescent="0.3">
      <c r="B1226" s="245" t="s">
        <v>18</v>
      </c>
      <c r="C1226" s="245"/>
      <c r="D1226" s="245"/>
      <c r="E1226" s="217">
        <v>0</v>
      </c>
      <c r="F1226" s="220">
        <v>0</v>
      </c>
      <c r="G1226" s="217">
        <v>0</v>
      </c>
      <c r="H1226" s="220">
        <v>0</v>
      </c>
      <c r="I1226" s="217">
        <v>0</v>
      </c>
      <c r="J1226" s="220">
        <v>0</v>
      </c>
      <c r="K1226" s="217">
        <v>0</v>
      </c>
      <c r="L1226" s="220">
        <v>0</v>
      </c>
      <c r="M1226" s="217">
        <v>0</v>
      </c>
      <c r="N1226" s="220">
        <v>0</v>
      </c>
      <c r="O1226" s="217">
        <v>0</v>
      </c>
      <c r="P1226" s="220">
        <v>0</v>
      </c>
      <c r="Q1226" s="217">
        <v>0</v>
      </c>
      <c r="R1226" s="220">
        <v>0</v>
      </c>
      <c r="S1226" s="217">
        <v>0</v>
      </c>
      <c r="T1226" s="220">
        <v>7.1666666666666623E-3</v>
      </c>
      <c r="U1226" s="217">
        <v>6.9814999999999996</v>
      </c>
      <c r="V1226" s="220">
        <v>15.985999999999994</v>
      </c>
      <c r="W1226" s="217">
        <v>20.123999999999992</v>
      </c>
      <c r="X1226" s="220">
        <v>0</v>
      </c>
      <c r="Y1226" s="217">
        <v>0</v>
      </c>
      <c r="Z1226" s="220">
        <v>0</v>
      </c>
      <c r="AA1226" s="217">
        <v>0</v>
      </c>
      <c r="AB1226" s="220">
        <v>0</v>
      </c>
      <c r="AC1226" s="238">
        <f t="shared" si="629"/>
        <v>43.098666666666652</v>
      </c>
      <c r="AD1226" s="238"/>
      <c r="AE1226" s="238"/>
    </row>
    <row r="1227" spans="2:31" x14ac:dyDescent="0.3">
      <c r="B1227" s="245" t="s">
        <v>19</v>
      </c>
      <c r="C1227" s="245"/>
      <c r="D1227" s="245"/>
      <c r="E1227" s="217">
        <v>0</v>
      </c>
      <c r="F1227" s="220">
        <v>0</v>
      </c>
      <c r="G1227" s="217">
        <v>0</v>
      </c>
      <c r="H1227" s="220">
        <v>0</v>
      </c>
      <c r="I1227" s="217">
        <v>0</v>
      </c>
      <c r="J1227" s="220">
        <v>0</v>
      </c>
      <c r="K1227" s="217">
        <v>0</v>
      </c>
      <c r="L1227" s="220">
        <v>0</v>
      </c>
      <c r="M1227" s="217">
        <v>0</v>
      </c>
      <c r="N1227" s="220">
        <v>0</v>
      </c>
      <c r="O1227" s="217">
        <v>0</v>
      </c>
      <c r="P1227" s="220">
        <v>0</v>
      </c>
      <c r="Q1227" s="217">
        <v>0</v>
      </c>
      <c r="R1227" s="220">
        <v>0</v>
      </c>
      <c r="S1227" s="217">
        <v>5.8150000000000031</v>
      </c>
      <c r="T1227" s="220">
        <v>17.955333333333328</v>
      </c>
      <c r="U1227" s="217">
        <v>29.3765</v>
      </c>
      <c r="V1227" s="220">
        <v>39.285333333333305</v>
      </c>
      <c r="W1227" s="217">
        <v>44.484499999999983</v>
      </c>
      <c r="X1227" s="220">
        <v>4.1941666666666668</v>
      </c>
      <c r="Y1227" s="217">
        <v>0</v>
      </c>
      <c r="Z1227" s="220">
        <v>0</v>
      </c>
      <c r="AA1227" s="217">
        <v>0</v>
      </c>
      <c r="AB1227" s="220">
        <v>0</v>
      </c>
      <c r="AC1227" s="238">
        <f t="shared" si="629"/>
        <v>141.11083333333329</v>
      </c>
      <c r="AD1227" s="238"/>
      <c r="AE1227" s="238"/>
    </row>
    <row r="1228" spans="2:31" x14ac:dyDescent="0.3">
      <c r="B1228" s="245" t="s">
        <v>20</v>
      </c>
      <c r="C1228" s="245"/>
      <c r="D1228" s="245"/>
      <c r="E1228" s="217">
        <v>0</v>
      </c>
      <c r="F1228" s="220">
        <v>0</v>
      </c>
      <c r="G1228" s="217">
        <v>0</v>
      </c>
      <c r="H1228" s="220">
        <v>0</v>
      </c>
      <c r="I1228" s="217">
        <v>0</v>
      </c>
      <c r="J1228" s="220">
        <v>0</v>
      </c>
      <c r="K1228" s="217">
        <v>0</v>
      </c>
      <c r="L1228" s="220">
        <v>0</v>
      </c>
      <c r="M1228" s="217">
        <v>0</v>
      </c>
      <c r="N1228" s="220">
        <v>0</v>
      </c>
      <c r="O1228" s="217">
        <v>0</v>
      </c>
      <c r="P1228" s="220">
        <v>0</v>
      </c>
      <c r="Q1228" s="217">
        <v>0</v>
      </c>
      <c r="R1228" s="220">
        <v>0</v>
      </c>
      <c r="S1228" s="217">
        <v>0</v>
      </c>
      <c r="T1228" s="220">
        <v>0.19833333333333267</v>
      </c>
      <c r="U1228" s="217">
        <v>2.9128333333333285</v>
      </c>
      <c r="V1228" s="220">
        <v>6.4253333333333353</v>
      </c>
      <c r="W1228" s="217">
        <v>10.23783333333334</v>
      </c>
      <c r="X1228" s="220">
        <v>3.6750000000000003</v>
      </c>
      <c r="Y1228" s="217">
        <v>0</v>
      </c>
      <c r="Z1228" s="220">
        <v>0</v>
      </c>
      <c r="AA1228" s="217">
        <v>0</v>
      </c>
      <c r="AB1228" s="220">
        <v>0</v>
      </c>
      <c r="AC1228" s="238">
        <f t="shared" si="629"/>
        <v>23.449333333333339</v>
      </c>
      <c r="AD1228" s="238"/>
      <c r="AE1228" s="238"/>
    </row>
    <row r="1229" spans="2:31" x14ac:dyDescent="0.3">
      <c r="B1229" s="245" t="s">
        <v>21</v>
      </c>
      <c r="C1229" s="245"/>
      <c r="D1229" s="245"/>
      <c r="E1229" s="217">
        <v>0</v>
      </c>
      <c r="F1229" s="220">
        <v>0</v>
      </c>
      <c r="G1229" s="217">
        <v>0</v>
      </c>
      <c r="H1229" s="220">
        <v>0</v>
      </c>
      <c r="I1229" s="217">
        <v>0</v>
      </c>
      <c r="J1229" s="220">
        <v>0</v>
      </c>
      <c r="K1229" s="217">
        <v>0</v>
      </c>
      <c r="L1229" s="220">
        <v>0</v>
      </c>
      <c r="M1229" s="217">
        <v>0</v>
      </c>
      <c r="N1229" s="220">
        <v>0</v>
      </c>
      <c r="O1229" s="217">
        <v>0</v>
      </c>
      <c r="P1229" s="220">
        <v>0</v>
      </c>
      <c r="Q1229" s="217">
        <v>0</v>
      </c>
      <c r="R1229" s="220">
        <v>0</v>
      </c>
      <c r="S1229" s="217">
        <v>1.5286666666666664</v>
      </c>
      <c r="T1229" s="220">
        <v>4.1050000000000013</v>
      </c>
      <c r="U1229" s="217">
        <v>7.1196666666666664</v>
      </c>
      <c r="V1229" s="220">
        <v>11.249500000000001</v>
      </c>
      <c r="W1229" s="217">
        <v>12.487666666666664</v>
      </c>
      <c r="X1229" s="220">
        <v>1.9500000000000087E-2</v>
      </c>
      <c r="Y1229" s="217">
        <v>0</v>
      </c>
      <c r="Z1229" s="220">
        <v>0</v>
      </c>
      <c r="AA1229" s="217">
        <v>0</v>
      </c>
      <c r="AB1229" s="220">
        <v>0</v>
      </c>
      <c r="AC1229" s="238">
        <f t="shared" si="629"/>
        <v>36.51</v>
      </c>
      <c r="AD1229" s="238"/>
      <c r="AE1229" s="238"/>
    </row>
    <row r="1230" spans="2:31" x14ac:dyDescent="0.3">
      <c r="B1230" s="245" t="s">
        <v>22</v>
      </c>
      <c r="C1230" s="245"/>
      <c r="D1230" s="245"/>
      <c r="E1230" s="217">
        <v>0</v>
      </c>
      <c r="F1230" s="220">
        <v>0</v>
      </c>
      <c r="G1230" s="217">
        <v>0</v>
      </c>
      <c r="H1230" s="220">
        <v>0</v>
      </c>
      <c r="I1230" s="217">
        <v>0</v>
      </c>
      <c r="J1230" s="220">
        <v>0</v>
      </c>
      <c r="K1230" s="217">
        <v>0</v>
      </c>
      <c r="L1230" s="220">
        <v>0</v>
      </c>
      <c r="M1230" s="217">
        <v>0</v>
      </c>
      <c r="N1230" s="220">
        <v>0</v>
      </c>
      <c r="O1230" s="217">
        <v>0</v>
      </c>
      <c r="P1230" s="220">
        <v>0</v>
      </c>
      <c r="Q1230" s="217">
        <v>0</v>
      </c>
      <c r="R1230" s="220">
        <v>2.3166666666666655E-2</v>
      </c>
      <c r="S1230" s="217">
        <v>3.2500000000000022E-2</v>
      </c>
      <c r="T1230" s="220">
        <v>0.37333333333333329</v>
      </c>
      <c r="U1230" s="217">
        <v>0.81566666666666632</v>
      </c>
      <c r="V1230" s="220">
        <v>2.9000000000000019E-2</v>
      </c>
      <c r="W1230" s="217">
        <v>0</v>
      </c>
      <c r="X1230" s="220">
        <v>0.3775</v>
      </c>
      <c r="Y1230" s="217">
        <v>0</v>
      </c>
      <c r="Z1230" s="220">
        <v>0</v>
      </c>
      <c r="AA1230" s="217">
        <v>0</v>
      </c>
      <c r="AB1230" s="220">
        <v>0</v>
      </c>
      <c r="AC1230" s="238">
        <f t="shared" si="629"/>
        <v>1.6511666666666662</v>
      </c>
      <c r="AD1230" s="238"/>
      <c r="AE1230" s="238"/>
    </row>
    <row r="1231" spans="2:31" x14ac:dyDescent="0.3">
      <c r="B1231" s="245" t="s">
        <v>23</v>
      </c>
      <c r="C1231" s="245"/>
      <c r="D1231" s="245"/>
      <c r="E1231" s="217">
        <v>0</v>
      </c>
      <c r="F1231" s="220">
        <v>0</v>
      </c>
      <c r="G1231" s="217">
        <v>0</v>
      </c>
      <c r="H1231" s="220">
        <v>0</v>
      </c>
      <c r="I1231" s="217">
        <v>0</v>
      </c>
      <c r="J1231" s="220">
        <v>0</v>
      </c>
      <c r="K1231" s="217">
        <v>0</v>
      </c>
      <c r="L1231" s="220">
        <v>0</v>
      </c>
      <c r="M1231" s="217">
        <v>0</v>
      </c>
      <c r="N1231" s="220">
        <v>0</v>
      </c>
      <c r="O1231" s="217">
        <v>0</v>
      </c>
      <c r="P1231" s="220">
        <v>0</v>
      </c>
      <c r="Q1231" s="217">
        <v>0</v>
      </c>
      <c r="R1231" s="220">
        <v>0.59933333333333261</v>
      </c>
      <c r="S1231" s="217">
        <v>2.4276666666666658</v>
      </c>
      <c r="T1231" s="220">
        <v>5.4505000000000008</v>
      </c>
      <c r="U1231" s="217">
        <v>8.7021666666666668</v>
      </c>
      <c r="V1231" s="220">
        <v>14.732499999999993</v>
      </c>
      <c r="W1231" s="217">
        <v>20.05650000000001</v>
      </c>
      <c r="X1231" s="220">
        <v>2.4579999999999993</v>
      </c>
      <c r="Y1231" s="217">
        <v>0</v>
      </c>
      <c r="Z1231" s="220">
        <v>0</v>
      </c>
      <c r="AA1231" s="217">
        <v>0</v>
      </c>
      <c r="AB1231" s="220">
        <v>0</v>
      </c>
      <c r="AC1231" s="238">
        <f t="shared" si="629"/>
        <v>54.426666666666662</v>
      </c>
      <c r="AD1231" s="238"/>
      <c r="AE1231" s="238"/>
    </row>
    <row r="1232" spans="2:31" x14ac:dyDescent="0.3">
      <c r="B1232" s="245" t="s">
        <v>24</v>
      </c>
      <c r="C1232" s="245"/>
      <c r="D1232" s="245"/>
      <c r="E1232" s="217">
        <v>0</v>
      </c>
      <c r="F1232" s="220">
        <v>0</v>
      </c>
      <c r="G1232" s="217">
        <v>0</v>
      </c>
      <c r="H1232" s="220">
        <v>0</v>
      </c>
      <c r="I1232" s="217">
        <v>0</v>
      </c>
      <c r="J1232" s="220">
        <v>0</v>
      </c>
      <c r="K1232" s="217">
        <v>0</v>
      </c>
      <c r="L1232" s="220">
        <v>0</v>
      </c>
      <c r="M1232" s="217">
        <v>0</v>
      </c>
      <c r="N1232" s="220">
        <v>0</v>
      </c>
      <c r="O1232" s="217">
        <v>0</v>
      </c>
      <c r="P1232" s="220">
        <v>0</v>
      </c>
      <c r="Q1232" s="217">
        <v>0</v>
      </c>
      <c r="R1232" s="220">
        <v>0</v>
      </c>
      <c r="S1232" s="217">
        <v>0.90116666666666589</v>
      </c>
      <c r="T1232" s="220">
        <v>1.0933333333333342</v>
      </c>
      <c r="U1232" s="217">
        <v>4.2929999999999984</v>
      </c>
      <c r="V1232" s="220">
        <v>6.8750000000000009</v>
      </c>
      <c r="W1232" s="217">
        <v>7.18183333333333</v>
      </c>
      <c r="X1232" s="220">
        <v>0.32566666666666644</v>
      </c>
      <c r="Y1232" s="217">
        <v>0</v>
      </c>
      <c r="Z1232" s="220">
        <v>0</v>
      </c>
      <c r="AA1232" s="217">
        <v>0</v>
      </c>
      <c r="AB1232" s="220">
        <v>0</v>
      </c>
      <c r="AC1232" s="238">
        <f t="shared" si="629"/>
        <v>20.669999999999995</v>
      </c>
      <c r="AD1232" s="238"/>
      <c r="AE1232" s="238"/>
    </row>
    <row r="1233" spans="2:31" x14ac:dyDescent="0.3">
      <c r="B1233" s="245" t="s">
        <v>25</v>
      </c>
      <c r="C1233" s="245"/>
      <c r="D1233" s="245"/>
      <c r="E1233" s="217">
        <v>0</v>
      </c>
      <c r="F1233" s="220">
        <v>0</v>
      </c>
      <c r="G1233" s="217">
        <v>0</v>
      </c>
      <c r="H1233" s="220">
        <v>0</v>
      </c>
      <c r="I1233" s="217">
        <v>0</v>
      </c>
      <c r="J1233" s="220">
        <v>0</v>
      </c>
      <c r="K1233" s="217">
        <v>0</v>
      </c>
      <c r="L1233" s="220">
        <v>0</v>
      </c>
      <c r="M1233" s="217">
        <v>0</v>
      </c>
      <c r="N1233" s="220">
        <v>0</v>
      </c>
      <c r="O1233" s="217">
        <v>0</v>
      </c>
      <c r="P1233" s="220">
        <v>0</v>
      </c>
      <c r="Q1233" s="217">
        <v>0</v>
      </c>
      <c r="R1233" s="220">
        <v>2.5421666666666654</v>
      </c>
      <c r="S1233" s="217">
        <v>7.3865000000000016</v>
      </c>
      <c r="T1233" s="220">
        <v>6.6276666666666681</v>
      </c>
      <c r="U1233" s="217">
        <v>5.103833333333335</v>
      </c>
      <c r="V1233" s="220">
        <v>6.0338333333333303</v>
      </c>
      <c r="W1233" s="217">
        <v>5.8853333333333344</v>
      </c>
      <c r="X1233" s="220">
        <v>1.0408333333333333</v>
      </c>
      <c r="Y1233" s="217">
        <v>0</v>
      </c>
      <c r="Z1233" s="220">
        <v>0</v>
      </c>
      <c r="AA1233" s="217">
        <v>0</v>
      </c>
      <c r="AB1233" s="220">
        <v>0</v>
      </c>
      <c r="AC1233" s="238">
        <f t="shared" si="629"/>
        <v>34.620166666666663</v>
      </c>
      <c r="AD1233" s="238"/>
      <c r="AE1233" s="238"/>
    </row>
    <row r="1234" spans="2:31" x14ac:dyDescent="0.3">
      <c r="B1234" s="245" t="s">
        <v>26</v>
      </c>
      <c r="C1234" s="245"/>
      <c r="D1234" s="245"/>
      <c r="E1234" s="217">
        <v>0</v>
      </c>
      <c r="F1234" s="220">
        <v>0</v>
      </c>
      <c r="G1234" s="217">
        <v>0</v>
      </c>
      <c r="H1234" s="220">
        <v>0</v>
      </c>
      <c r="I1234" s="217">
        <v>0</v>
      </c>
      <c r="J1234" s="220">
        <v>0</v>
      </c>
      <c r="K1234" s="217">
        <v>0</v>
      </c>
      <c r="L1234" s="220">
        <v>0</v>
      </c>
      <c r="M1234" s="217">
        <v>0</v>
      </c>
      <c r="N1234" s="220">
        <v>0</v>
      </c>
      <c r="O1234" s="217">
        <v>0</v>
      </c>
      <c r="P1234" s="220">
        <v>0</v>
      </c>
      <c r="Q1234" s="217">
        <v>0</v>
      </c>
      <c r="R1234" s="220">
        <v>0</v>
      </c>
      <c r="S1234" s="217">
        <v>0</v>
      </c>
      <c r="T1234" s="220">
        <v>0</v>
      </c>
      <c r="U1234" s="217">
        <v>0</v>
      </c>
      <c r="V1234" s="220">
        <v>0</v>
      </c>
      <c r="W1234" s="217">
        <v>0</v>
      </c>
      <c r="X1234" s="220">
        <v>0</v>
      </c>
      <c r="Y1234" s="217">
        <v>0</v>
      </c>
      <c r="Z1234" s="220">
        <v>0</v>
      </c>
      <c r="AA1234" s="217">
        <v>0</v>
      </c>
      <c r="AB1234" s="220">
        <v>0</v>
      </c>
      <c r="AC1234" s="238">
        <f t="shared" si="629"/>
        <v>0</v>
      </c>
      <c r="AD1234" s="238"/>
      <c r="AE1234" s="238"/>
    </row>
    <row r="1235" spans="2:31" x14ac:dyDescent="0.3">
      <c r="B1235" s="245" t="s">
        <v>27</v>
      </c>
      <c r="C1235" s="245"/>
      <c r="D1235" s="245"/>
      <c r="E1235" s="217">
        <v>0</v>
      </c>
      <c r="F1235" s="220">
        <v>0</v>
      </c>
      <c r="G1235" s="217">
        <v>0</v>
      </c>
      <c r="H1235" s="220">
        <v>0</v>
      </c>
      <c r="I1235" s="217">
        <v>0</v>
      </c>
      <c r="J1235" s="220">
        <v>0</v>
      </c>
      <c r="K1235" s="217">
        <v>0</v>
      </c>
      <c r="L1235" s="220">
        <v>0</v>
      </c>
      <c r="M1235" s="217">
        <v>0</v>
      </c>
      <c r="N1235" s="220">
        <v>0</v>
      </c>
      <c r="O1235" s="217">
        <v>0</v>
      </c>
      <c r="P1235" s="220">
        <v>0</v>
      </c>
      <c r="Q1235" s="217">
        <v>0</v>
      </c>
      <c r="R1235" s="220">
        <v>0</v>
      </c>
      <c r="S1235" s="217">
        <v>0.16999999999999996</v>
      </c>
      <c r="T1235" s="220">
        <v>0.90766666666666673</v>
      </c>
      <c r="U1235" s="217">
        <v>2.6909999999999998</v>
      </c>
      <c r="V1235" s="220">
        <v>3.8406666666666682</v>
      </c>
      <c r="W1235" s="217">
        <v>3.2478333333333329</v>
      </c>
      <c r="X1235" s="220">
        <v>2.2565000000000004</v>
      </c>
      <c r="Y1235" s="217">
        <v>0</v>
      </c>
      <c r="Z1235" s="220">
        <v>0</v>
      </c>
      <c r="AA1235" s="217">
        <v>0</v>
      </c>
      <c r="AB1235" s="220">
        <v>0</v>
      </c>
      <c r="AC1235" s="238">
        <f t="shared" si="629"/>
        <v>13.113666666666669</v>
      </c>
      <c r="AD1235" s="238"/>
      <c r="AE1235" s="238"/>
    </row>
    <row r="1236" spans="2:31" x14ac:dyDescent="0.3">
      <c r="B1236" s="245" t="s">
        <v>28</v>
      </c>
      <c r="C1236" s="245"/>
      <c r="D1236" s="245"/>
      <c r="E1236" s="217">
        <v>0</v>
      </c>
      <c r="F1236" s="220">
        <v>0</v>
      </c>
      <c r="G1236" s="217">
        <v>0</v>
      </c>
      <c r="H1236" s="220">
        <v>0</v>
      </c>
      <c r="I1236" s="217">
        <v>0</v>
      </c>
      <c r="J1236" s="220">
        <v>0</v>
      </c>
      <c r="K1236" s="217">
        <v>0</v>
      </c>
      <c r="L1236" s="220">
        <v>0</v>
      </c>
      <c r="M1236" s="217">
        <v>0</v>
      </c>
      <c r="N1236" s="220">
        <v>0</v>
      </c>
      <c r="O1236" s="217">
        <v>0</v>
      </c>
      <c r="P1236" s="220">
        <v>0</v>
      </c>
      <c r="Q1236" s="217">
        <v>0</v>
      </c>
      <c r="R1236" s="220">
        <v>0</v>
      </c>
      <c r="S1236" s="217">
        <v>0.19899999999999946</v>
      </c>
      <c r="T1236" s="220">
        <v>0.78799999999999981</v>
      </c>
      <c r="U1236" s="217">
        <v>2.0769999999999968</v>
      </c>
      <c r="V1236" s="220">
        <v>4.9659999999999984</v>
      </c>
      <c r="W1236" s="217">
        <v>7.7243333333333313</v>
      </c>
      <c r="X1236" s="220">
        <v>2.0763333333333334</v>
      </c>
      <c r="Y1236" s="217">
        <v>0</v>
      </c>
      <c r="Z1236" s="220">
        <v>0</v>
      </c>
      <c r="AA1236" s="217">
        <v>0</v>
      </c>
      <c r="AB1236" s="220">
        <v>0</v>
      </c>
      <c r="AC1236" s="238">
        <f t="shared" si="629"/>
        <v>17.830666666666659</v>
      </c>
      <c r="AD1236" s="238"/>
      <c r="AE1236" s="238"/>
    </row>
    <row r="1237" spans="2:31" x14ac:dyDescent="0.3">
      <c r="B1237" s="245" t="s">
        <v>92</v>
      </c>
      <c r="C1237" s="245"/>
      <c r="D1237" s="245"/>
      <c r="E1237" s="217">
        <v>0</v>
      </c>
      <c r="F1237" s="220">
        <v>0</v>
      </c>
      <c r="G1237" s="217">
        <v>0</v>
      </c>
      <c r="H1237" s="220">
        <v>0</v>
      </c>
      <c r="I1237" s="217">
        <v>0</v>
      </c>
      <c r="J1237" s="220">
        <v>0</v>
      </c>
      <c r="K1237" s="217">
        <v>0</v>
      </c>
      <c r="L1237" s="220">
        <v>0</v>
      </c>
      <c r="M1237" s="217">
        <v>0</v>
      </c>
      <c r="N1237" s="220">
        <v>0</v>
      </c>
      <c r="O1237" s="217">
        <v>0</v>
      </c>
      <c r="P1237" s="220">
        <v>0</v>
      </c>
      <c r="Q1237" s="217">
        <v>0</v>
      </c>
      <c r="R1237" s="220">
        <v>0</v>
      </c>
      <c r="S1237" s="217">
        <v>0</v>
      </c>
      <c r="T1237" s="220">
        <v>0</v>
      </c>
      <c r="U1237" s="217">
        <v>0</v>
      </c>
      <c r="V1237" s="220">
        <v>0</v>
      </c>
      <c r="W1237" s="217">
        <v>0</v>
      </c>
      <c r="X1237" s="220">
        <v>0</v>
      </c>
      <c r="Y1237" s="217">
        <v>0</v>
      </c>
      <c r="Z1237" s="220">
        <v>0</v>
      </c>
      <c r="AA1237" s="217">
        <v>0</v>
      </c>
      <c r="AB1237" s="220">
        <v>0</v>
      </c>
      <c r="AC1237" s="238">
        <f t="shared" si="629"/>
        <v>0</v>
      </c>
      <c r="AD1237" s="238"/>
      <c r="AE1237" s="238"/>
    </row>
    <row r="1238" spans="2:31" x14ac:dyDescent="0.3">
      <c r="B1238" s="245" t="s">
        <v>29</v>
      </c>
      <c r="C1238" s="245"/>
      <c r="D1238" s="245"/>
      <c r="E1238" s="217">
        <v>0</v>
      </c>
      <c r="F1238" s="220">
        <v>0</v>
      </c>
      <c r="G1238" s="217">
        <v>0</v>
      </c>
      <c r="H1238" s="220">
        <v>0</v>
      </c>
      <c r="I1238" s="217">
        <v>0</v>
      </c>
      <c r="J1238" s="220">
        <v>0</v>
      </c>
      <c r="K1238" s="217">
        <v>0</v>
      </c>
      <c r="L1238" s="220">
        <v>0</v>
      </c>
      <c r="M1238" s="217">
        <v>0</v>
      </c>
      <c r="N1238" s="220">
        <v>0</v>
      </c>
      <c r="O1238" s="217">
        <v>0</v>
      </c>
      <c r="P1238" s="220">
        <v>0</v>
      </c>
      <c r="Q1238" s="217">
        <v>0</v>
      </c>
      <c r="R1238" s="220">
        <v>0.10233333333333333</v>
      </c>
      <c r="S1238" s="217">
        <v>0.80000000000000016</v>
      </c>
      <c r="T1238" s="220">
        <v>1.8143333333333334</v>
      </c>
      <c r="U1238" s="217">
        <v>1.8346666666666671</v>
      </c>
      <c r="V1238" s="220">
        <v>1.8789999999999998</v>
      </c>
      <c r="W1238" s="217">
        <v>21.484500000000001</v>
      </c>
      <c r="X1238" s="220">
        <v>15.1585</v>
      </c>
      <c r="Y1238" s="217">
        <v>0</v>
      </c>
      <c r="Z1238" s="220">
        <v>0</v>
      </c>
      <c r="AA1238" s="217">
        <v>0</v>
      </c>
      <c r="AB1238" s="220">
        <v>0</v>
      </c>
      <c r="AC1238" s="238">
        <f t="shared" si="629"/>
        <v>43.073333333333338</v>
      </c>
      <c r="AD1238" s="238"/>
      <c r="AE1238" s="238"/>
    </row>
    <row r="1239" spans="2:31" x14ac:dyDescent="0.3">
      <c r="B1239" s="245" t="s">
        <v>30</v>
      </c>
      <c r="C1239" s="245"/>
      <c r="D1239" s="245"/>
      <c r="E1239" s="217">
        <v>0</v>
      </c>
      <c r="F1239" s="220">
        <v>0</v>
      </c>
      <c r="G1239" s="217">
        <v>0</v>
      </c>
      <c r="H1239" s="220">
        <v>0</v>
      </c>
      <c r="I1239" s="217">
        <v>0</v>
      </c>
      <c r="J1239" s="220">
        <v>0</v>
      </c>
      <c r="K1239" s="217">
        <v>0</v>
      </c>
      <c r="L1239" s="220">
        <v>0</v>
      </c>
      <c r="M1239" s="217">
        <v>0</v>
      </c>
      <c r="N1239" s="220">
        <v>0</v>
      </c>
      <c r="O1239" s="217">
        <v>0</v>
      </c>
      <c r="P1239" s="220">
        <v>0</v>
      </c>
      <c r="Q1239" s="217">
        <v>0</v>
      </c>
      <c r="R1239" s="220">
        <v>0</v>
      </c>
      <c r="S1239" s="217">
        <v>1.5000000000000013E-3</v>
      </c>
      <c r="T1239" s="220">
        <v>1.6425000000000003</v>
      </c>
      <c r="U1239" s="217">
        <v>4.2701666666666664</v>
      </c>
      <c r="V1239" s="220">
        <v>6.7828333333333344</v>
      </c>
      <c r="W1239" s="217">
        <v>9.7449999999999992</v>
      </c>
      <c r="X1239" s="220">
        <v>4.2356666666666669</v>
      </c>
      <c r="Y1239" s="217">
        <v>0</v>
      </c>
      <c r="Z1239" s="220">
        <v>0</v>
      </c>
      <c r="AA1239" s="217">
        <v>0</v>
      </c>
      <c r="AB1239" s="220">
        <v>0</v>
      </c>
      <c r="AC1239" s="238">
        <f t="shared" si="629"/>
        <v>26.677666666666667</v>
      </c>
      <c r="AD1239" s="238"/>
      <c r="AE1239" s="238"/>
    </row>
    <row r="1240" spans="2:31" x14ac:dyDescent="0.3">
      <c r="B1240" s="245" t="s">
        <v>31</v>
      </c>
      <c r="C1240" s="245"/>
      <c r="D1240" s="245"/>
      <c r="E1240" s="217">
        <v>0</v>
      </c>
      <c r="F1240" s="220">
        <v>0</v>
      </c>
      <c r="G1240" s="217">
        <v>0</v>
      </c>
      <c r="H1240" s="220">
        <v>0</v>
      </c>
      <c r="I1240" s="217">
        <v>0</v>
      </c>
      <c r="J1240" s="220">
        <v>0</v>
      </c>
      <c r="K1240" s="217">
        <v>0</v>
      </c>
      <c r="L1240" s="220">
        <v>0</v>
      </c>
      <c r="M1240" s="217">
        <v>0</v>
      </c>
      <c r="N1240" s="220">
        <v>0</v>
      </c>
      <c r="O1240" s="217">
        <v>0</v>
      </c>
      <c r="P1240" s="220">
        <v>0</v>
      </c>
      <c r="Q1240" s="217">
        <v>0</v>
      </c>
      <c r="R1240" s="220">
        <v>1.6000000000000014E-2</v>
      </c>
      <c r="S1240" s="217">
        <v>0.32999999999999974</v>
      </c>
      <c r="T1240" s="220">
        <v>0.82999999999999885</v>
      </c>
      <c r="U1240" s="217">
        <v>0.63000000000000023</v>
      </c>
      <c r="V1240" s="220">
        <v>1.3299999999999987</v>
      </c>
      <c r="W1240" s="217">
        <v>2.0300000000000007</v>
      </c>
      <c r="X1240" s="220">
        <v>1.179</v>
      </c>
      <c r="Y1240" s="217">
        <v>0</v>
      </c>
      <c r="Z1240" s="220">
        <v>0</v>
      </c>
      <c r="AA1240" s="217">
        <v>0</v>
      </c>
      <c r="AB1240" s="220">
        <v>0</v>
      </c>
      <c r="AC1240" s="238">
        <f t="shared" si="629"/>
        <v>6.3449999999999989</v>
      </c>
      <c r="AD1240" s="238"/>
      <c r="AE1240" s="238"/>
    </row>
    <row r="1241" spans="2:31" x14ac:dyDescent="0.3">
      <c r="B1241" s="245" t="s">
        <v>32</v>
      </c>
      <c r="C1241" s="245"/>
      <c r="D1241" s="245"/>
      <c r="E1241" s="217">
        <v>0</v>
      </c>
      <c r="F1241" s="220">
        <v>0</v>
      </c>
      <c r="G1241" s="217">
        <v>0</v>
      </c>
      <c r="H1241" s="220">
        <v>0</v>
      </c>
      <c r="I1241" s="217">
        <v>0</v>
      </c>
      <c r="J1241" s="220">
        <v>0</v>
      </c>
      <c r="K1241" s="217">
        <v>0</v>
      </c>
      <c r="L1241" s="220">
        <v>0</v>
      </c>
      <c r="M1241" s="217">
        <v>0</v>
      </c>
      <c r="N1241" s="220">
        <v>0</v>
      </c>
      <c r="O1241" s="217">
        <v>0</v>
      </c>
      <c r="P1241" s="220">
        <v>0</v>
      </c>
      <c r="Q1241" s="217">
        <v>0</v>
      </c>
      <c r="R1241" s="220">
        <v>0</v>
      </c>
      <c r="S1241" s="217">
        <v>0</v>
      </c>
      <c r="T1241" s="220">
        <v>0</v>
      </c>
      <c r="U1241" s="217">
        <v>0</v>
      </c>
      <c r="V1241" s="220">
        <v>0</v>
      </c>
      <c r="W1241" s="217">
        <v>0</v>
      </c>
      <c r="X1241" s="220">
        <v>0</v>
      </c>
      <c r="Y1241" s="217">
        <v>0</v>
      </c>
      <c r="Z1241" s="220">
        <v>0</v>
      </c>
      <c r="AA1241" s="217">
        <v>0</v>
      </c>
      <c r="AB1241" s="220">
        <v>0</v>
      </c>
      <c r="AC1241" s="238">
        <f t="shared" si="629"/>
        <v>0</v>
      </c>
      <c r="AD1241" s="238"/>
      <c r="AE1241" s="238"/>
    </row>
    <row r="1242" spans="2:31" x14ac:dyDescent="0.3">
      <c r="B1242" s="245" t="s">
        <v>33</v>
      </c>
      <c r="C1242" s="245"/>
      <c r="D1242" s="245"/>
      <c r="E1242" s="217">
        <v>0</v>
      </c>
      <c r="F1242" s="220">
        <v>0</v>
      </c>
      <c r="G1242" s="217">
        <v>0</v>
      </c>
      <c r="H1242" s="220">
        <v>0</v>
      </c>
      <c r="I1242" s="217">
        <v>0</v>
      </c>
      <c r="J1242" s="220">
        <v>0</v>
      </c>
      <c r="K1242" s="217">
        <v>0</v>
      </c>
      <c r="L1242" s="220">
        <v>0</v>
      </c>
      <c r="M1242" s="217">
        <v>0</v>
      </c>
      <c r="N1242" s="220">
        <v>0</v>
      </c>
      <c r="O1242" s="217">
        <v>0</v>
      </c>
      <c r="P1242" s="220">
        <v>0</v>
      </c>
      <c r="Q1242" s="217">
        <v>0</v>
      </c>
      <c r="R1242" s="220">
        <v>0.21333333333333343</v>
      </c>
      <c r="S1242" s="217">
        <v>0.79999999999999927</v>
      </c>
      <c r="T1242" s="220">
        <v>2.0453333333333337</v>
      </c>
      <c r="U1242" s="217">
        <v>3.9146666666666659</v>
      </c>
      <c r="V1242" s="220">
        <v>6.0421666666666631</v>
      </c>
      <c r="W1242" s="217">
        <v>5.9563333333333359</v>
      </c>
      <c r="X1242" s="220">
        <v>1.5488333333333335</v>
      </c>
      <c r="Y1242" s="217">
        <v>0</v>
      </c>
      <c r="Z1242" s="220">
        <v>0</v>
      </c>
      <c r="AA1242" s="217">
        <v>0</v>
      </c>
      <c r="AB1242" s="220">
        <v>0</v>
      </c>
      <c r="AC1242" s="238">
        <f t="shared" si="629"/>
        <v>20.520666666666667</v>
      </c>
      <c r="AD1242" s="238"/>
      <c r="AE1242" s="238"/>
    </row>
    <row r="1243" spans="2:31" x14ac:dyDescent="0.3">
      <c r="B1243" s="245" t="s">
        <v>34</v>
      </c>
      <c r="C1243" s="245"/>
      <c r="D1243" s="245"/>
      <c r="E1243" s="217">
        <v>0</v>
      </c>
      <c r="F1243" s="220">
        <v>0</v>
      </c>
      <c r="G1243" s="217">
        <v>0</v>
      </c>
      <c r="H1243" s="220">
        <v>0</v>
      </c>
      <c r="I1243" s="217">
        <v>0</v>
      </c>
      <c r="J1243" s="220">
        <v>0</v>
      </c>
      <c r="K1243" s="217">
        <v>0</v>
      </c>
      <c r="L1243" s="220">
        <v>0</v>
      </c>
      <c r="M1243" s="217">
        <v>0</v>
      </c>
      <c r="N1243" s="220">
        <v>0</v>
      </c>
      <c r="O1243" s="217">
        <v>0</v>
      </c>
      <c r="P1243" s="220">
        <v>0</v>
      </c>
      <c r="Q1243" s="217">
        <v>0</v>
      </c>
      <c r="R1243" s="220">
        <v>4.2666666666666679E-2</v>
      </c>
      <c r="S1243" s="217">
        <v>0.17999999999999985</v>
      </c>
      <c r="T1243" s="220">
        <v>0.27999999999999975</v>
      </c>
      <c r="U1243" s="217">
        <v>0.78000000000000069</v>
      </c>
      <c r="V1243" s="220">
        <v>1.2800000000000007</v>
      </c>
      <c r="W1243" s="217">
        <v>1.2800000000000007</v>
      </c>
      <c r="X1243" s="220">
        <v>0.23399999999999996</v>
      </c>
      <c r="Y1243" s="217">
        <v>0</v>
      </c>
      <c r="Z1243" s="220">
        <v>0</v>
      </c>
      <c r="AA1243" s="217">
        <v>0</v>
      </c>
      <c r="AB1243" s="220">
        <v>0</v>
      </c>
      <c r="AC1243" s="238">
        <f t="shared" si="629"/>
        <v>4.076666666666668</v>
      </c>
      <c r="AD1243" s="238"/>
      <c r="AE1243" s="238"/>
    </row>
    <row r="1244" spans="2:31" x14ac:dyDescent="0.3">
      <c r="B1244" s="245" t="s">
        <v>35</v>
      </c>
      <c r="C1244" s="245"/>
      <c r="D1244" s="245"/>
      <c r="E1244" s="217">
        <v>0</v>
      </c>
      <c r="F1244" s="220">
        <v>0</v>
      </c>
      <c r="G1244" s="217">
        <v>0</v>
      </c>
      <c r="H1244" s="220">
        <v>0</v>
      </c>
      <c r="I1244" s="217">
        <v>0</v>
      </c>
      <c r="J1244" s="220">
        <v>0</v>
      </c>
      <c r="K1244" s="217">
        <v>0</v>
      </c>
      <c r="L1244" s="220">
        <v>0</v>
      </c>
      <c r="M1244" s="217">
        <v>0</v>
      </c>
      <c r="N1244" s="220">
        <v>0</v>
      </c>
      <c r="O1244" s="217">
        <v>0</v>
      </c>
      <c r="P1244" s="220">
        <v>0</v>
      </c>
      <c r="Q1244" s="217">
        <v>0</v>
      </c>
      <c r="R1244" s="220">
        <v>1.0286666666666662</v>
      </c>
      <c r="S1244" s="217">
        <v>2.1083333333333334</v>
      </c>
      <c r="T1244" s="220">
        <v>1.5093333333333334</v>
      </c>
      <c r="U1244" s="217">
        <v>5.5123333333333324</v>
      </c>
      <c r="V1244" s="220">
        <v>0.84633333333333394</v>
      </c>
      <c r="W1244" s="217">
        <v>5.6104999999999992</v>
      </c>
      <c r="X1244" s="220">
        <v>0</v>
      </c>
      <c r="Y1244" s="217">
        <v>0</v>
      </c>
      <c r="Z1244" s="220">
        <v>0</v>
      </c>
      <c r="AA1244" s="217">
        <v>0</v>
      </c>
      <c r="AB1244" s="220">
        <v>0</v>
      </c>
      <c r="AC1244" s="238">
        <f t="shared" si="629"/>
        <v>16.615499999999997</v>
      </c>
      <c r="AD1244" s="238"/>
      <c r="AE1244" s="238"/>
    </row>
    <row r="1245" spans="2:31" x14ac:dyDescent="0.3">
      <c r="B1245" s="245" t="s">
        <v>36</v>
      </c>
      <c r="C1245" s="245"/>
      <c r="D1245" s="245"/>
      <c r="E1245" s="217">
        <v>0</v>
      </c>
      <c r="F1245" s="220">
        <v>0</v>
      </c>
      <c r="G1245" s="217">
        <v>0</v>
      </c>
      <c r="H1245" s="220">
        <v>0</v>
      </c>
      <c r="I1245" s="217">
        <v>0</v>
      </c>
      <c r="J1245" s="220">
        <v>0</v>
      </c>
      <c r="K1245" s="217">
        <v>0</v>
      </c>
      <c r="L1245" s="220">
        <v>0</v>
      </c>
      <c r="M1245" s="217">
        <v>0</v>
      </c>
      <c r="N1245" s="220">
        <v>0</v>
      </c>
      <c r="O1245" s="217">
        <v>0</v>
      </c>
      <c r="P1245" s="220">
        <v>0</v>
      </c>
      <c r="Q1245" s="217">
        <v>0</v>
      </c>
      <c r="R1245" s="220">
        <v>2.1623333333333332</v>
      </c>
      <c r="S1245" s="217">
        <v>9.6273333333333326</v>
      </c>
      <c r="T1245" s="220">
        <v>17.875333333333341</v>
      </c>
      <c r="U1245" s="217">
        <v>17.361000000000001</v>
      </c>
      <c r="V1245" s="220">
        <v>2.7804999999999991</v>
      </c>
      <c r="W1245" s="217">
        <v>1.3626666666666667</v>
      </c>
      <c r="X1245" s="220">
        <v>1.7774999999999999</v>
      </c>
      <c r="Y1245" s="217">
        <v>0</v>
      </c>
      <c r="Z1245" s="220">
        <v>0</v>
      </c>
      <c r="AA1245" s="217">
        <v>0</v>
      </c>
      <c r="AB1245" s="220">
        <v>0</v>
      </c>
      <c r="AC1245" s="238">
        <f t="shared" si="629"/>
        <v>52.946666666666673</v>
      </c>
      <c r="AD1245" s="238"/>
      <c r="AE1245" s="238"/>
    </row>
    <row r="1246" spans="2:31" x14ac:dyDescent="0.3">
      <c r="B1246" s="13" t="s">
        <v>89</v>
      </c>
      <c r="C1246" s="13"/>
      <c r="D1246" s="13"/>
      <c r="E1246" s="217">
        <v>0</v>
      </c>
      <c r="F1246" s="220">
        <v>0</v>
      </c>
      <c r="G1246" s="217">
        <v>0</v>
      </c>
      <c r="H1246" s="220">
        <v>0</v>
      </c>
      <c r="I1246" s="217">
        <v>0</v>
      </c>
      <c r="J1246" s="220">
        <v>0</v>
      </c>
      <c r="K1246" s="217">
        <v>0</v>
      </c>
      <c r="L1246" s="220">
        <v>0</v>
      </c>
      <c r="M1246" s="217">
        <v>0</v>
      </c>
      <c r="N1246" s="220">
        <v>0</v>
      </c>
      <c r="O1246" s="217">
        <v>0</v>
      </c>
      <c r="P1246" s="220">
        <v>0</v>
      </c>
      <c r="Q1246" s="217">
        <v>0</v>
      </c>
      <c r="R1246" s="220">
        <v>0</v>
      </c>
      <c r="S1246" s="217">
        <v>0</v>
      </c>
      <c r="T1246" s="220">
        <v>0</v>
      </c>
      <c r="U1246" s="217">
        <v>0</v>
      </c>
      <c r="V1246" s="220">
        <v>0</v>
      </c>
      <c r="W1246" s="217">
        <v>0</v>
      </c>
      <c r="X1246" s="220">
        <v>0</v>
      </c>
      <c r="Y1246" s="217">
        <v>0</v>
      </c>
      <c r="Z1246" s="220">
        <v>0</v>
      </c>
      <c r="AA1246" s="217">
        <v>0</v>
      </c>
      <c r="AB1246" s="220">
        <v>0</v>
      </c>
      <c r="AC1246" s="238">
        <f t="shared" si="629"/>
        <v>0</v>
      </c>
      <c r="AD1246" s="238"/>
      <c r="AE1246" s="238"/>
    </row>
    <row r="1247" spans="2:31" x14ac:dyDescent="0.3">
      <c r="B1247" s="13" t="s">
        <v>90</v>
      </c>
      <c r="C1247" s="13"/>
      <c r="D1247" s="13"/>
      <c r="E1247" s="217">
        <v>0</v>
      </c>
      <c r="F1247" s="220">
        <v>0</v>
      </c>
      <c r="G1247" s="217">
        <v>0</v>
      </c>
      <c r="H1247" s="220">
        <v>0</v>
      </c>
      <c r="I1247" s="217">
        <v>0</v>
      </c>
      <c r="J1247" s="220">
        <v>0</v>
      </c>
      <c r="K1247" s="217">
        <v>0</v>
      </c>
      <c r="L1247" s="220">
        <v>0</v>
      </c>
      <c r="M1247" s="217">
        <v>0</v>
      </c>
      <c r="N1247" s="220">
        <v>0</v>
      </c>
      <c r="O1247" s="217">
        <v>0</v>
      </c>
      <c r="P1247" s="220">
        <v>0</v>
      </c>
      <c r="Q1247" s="217">
        <v>0</v>
      </c>
      <c r="R1247" s="220">
        <v>0</v>
      </c>
      <c r="S1247" s="217">
        <v>0</v>
      </c>
      <c r="T1247" s="220">
        <v>0</v>
      </c>
      <c r="U1247" s="217">
        <v>0</v>
      </c>
      <c r="V1247" s="220">
        <v>0</v>
      </c>
      <c r="W1247" s="217">
        <v>0</v>
      </c>
      <c r="X1247" s="220">
        <v>0</v>
      </c>
      <c r="Y1247" s="217">
        <v>0</v>
      </c>
      <c r="Z1247" s="220">
        <v>0</v>
      </c>
      <c r="AA1247" s="217">
        <v>0</v>
      </c>
      <c r="AB1247" s="220">
        <v>0</v>
      </c>
      <c r="AC1247" s="238">
        <f t="shared" si="629"/>
        <v>0</v>
      </c>
      <c r="AD1247" s="238"/>
      <c r="AE1247" s="238"/>
    </row>
    <row r="1248" spans="2:31" x14ac:dyDescent="0.3">
      <c r="B1248" s="14" t="s">
        <v>2</v>
      </c>
      <c r="C1248" s="14"/>
      <c r="D1248" s="14"/>
      <c r="E1248" s="15">
        <f>SUM(E1211:E1247)</f>
        <v>0</v>
      </c>
      <c r="F1248" s="15">
        <f t="shared" ref="F1248" si="630">SUM(F1211:F1247)</f>
        <v>0</v>
      </c>
      <c r="G1248" s="15">
        <f t="shared" ref="G1248" si="631">SUM(G1211:G1247)</f>
        <v>0</v>
      </c>
      <c r="H1248" s="15">
        <f t="shared" ref="H1248" si="632">SUM(H1211:H1247)</f>
        <v>0</v>
      </c>
      <c r="I1248" s="15">
        <f t="shared" ref="I1248" si="633">SUM(I1211:I1247)</f>
        <v>0</v>
      </c>
      <c r="J1248" s="15">
        <f t="shared" ref="J1248" si="634">SUM(J1211:J1247)</f>
        <v>0</v>
      </c>
      <c r="K1248" s="15">
        <f t="shared" ref="K1248" si="635">SUM(K1211:K1247)</f>
        <v>0</v>
      </c>
      <c r="L1248" s="15">
        <f t="shared" ref="L1248" si="636">SUM(L1211:L1247)</f>
        <v>0</v>
      </c>
      <c r="M1248" s="15">
        <f t="shared" ref="M1248" si="637">SUM(M1211:M1247)</f>
        <v>0</v>
      </c>
      <c r="N1248" s="15">
        <f t="shared" ref="N1248" si="638">SUM(N1211:N1247)</f>
        <v>0</v>
      </c>
      <c r="O1248" s="15">
        <f t="shared" ref="O1248" si="639">SUM(O1211:O1247)</f>
        <v>0</v>
      </c>
      <c r="P1248" s="15">
        <f t="shared" ref="P1248" si="640">SUM(P1211:P1247)</f>
        <v>0</v>
      </c>
      <c r="Q1248" s="15">
        <f t="shared" ref="Q1248" si="641">SUM(Q1211:Q1247)</f>
        <v>10.414166666666667</v>
      </c>
      <c r="R1248" s="15">
        <f t="shared" ref="R1248" si="642">SUM(R1211:R1247)</f>
        <v>73.793333333333351</v>
      </c>
      <c r="S1248" s="15">
        <f t="shared" ref="S1248" si="643">SUM(S1211:S1247)</f>
        <v>235.06383333333332</v>
      </c>
      <c r="T1248" s="15">
        <f t="shared" ref="T1248" si="644">SUM(T1211:T1247)</f>
        <v>375.99616666666662</v>
      </c>
      <c r="U1248" s="15">
        <f t="shared" ref="U1248" si="645">SUM(U1211:U1247)</f>
        <v>525.33300000000008</v>
      </c>
      <c r="V1248" s="15">
        <f t="shared" ref="V1248" si="646">SUM(V1211:V1247)</f>
        <v>650.69533333333288</v>
      </c>
      <c r="W1248" s="15">
        <f t="shared" ref="W1248" si="647">SUM(W1211:W1247)</f>
        <v>857.06400000000008</v>
      </c>
      <c r="X1248" s="15">
        <f t="shared" ref="X1248" si="648">SUM(X1211:X1247)</f>
        <v>223.68516666666665</v>
      </c>
      <c r="Y1248" s="15">
        <f t="shared" ref="Y1248" si="649">SUM(Y1211:Y1247)</f>
        <v>0</v>
      </c>
      <c r="Z1248" s="15">
        <f t="shared" ref="Z1248" si="650">SUM(Z1211:Z1247)</f>
        <v>0</v>
      </c>
      <c r="AA1248" s="15">
        <f t="shared" ref="AA1248" si="651">SUM(AA1211:AA1247)</f>
        <v>0</v>
      </c>
      <c r="AB1248" s="15">
        <f t="shared" ref="AB1248" si="652">SUM(AB1211:AB1247)</f>
        <v>0</v>
      </c>
      <c r="AC1248" s="249">
        <f>SUM(AC1211:AE1247)</f>
        <v>2952.0450000000001</v>
      </c>
      <c r="AD1248" s="249"/>
      <c r="AE1248" s="249"/>
    </row>
    <row r="1251" spans="2:31" x14ac:dyDescent="0.3">
      <c r="B1251" s="8">
        <f>'Resumen-Mensual'!$AH$22</f>
        <v>44591</v>
      </c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4"/>
      <c r="AD1251" s="4"/>
      <c r="AE1251" s="4"/>
    </row>
    <row r="1252" spans="2:31" x14ac:dyDescent="0.3">
      <c r="B1252" s="8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4"/>
      <c r="AD1252" s="4"/>
      <c r="AE1252" s="4"/>
    </row>
    <row r="1253" spans="2:31" x14ac:dyDescent="0.3">
      <c r="B1253" s="9" t="s">
        <v>81</v>
      </c>
      <c r="C1253" s="10"/>
      <c r="D1253" s="10"/>
      <c r="E1253" s="11">
        <v>1</v>
      </c>
      <c r="F1253" s="11">
        <v>2</v>
      </c>
      <c r="G1253" s="11">
        <v>3</v>
      </c>
      <c r="H1253" s="11">
        <v>4</v>
      </c>
      <c r="I1253" s="11">
        <v>5</v>
      </c>
      <c r="J1253" s="11">
        <v>6</v>
      </c>
      <c r="K1253" s="11">
        <v>7</v>
      </c>
      <c r="L1253" s="11">
        <v>8</v>
      </c>
      <c r="M1253" s="11">
        <v>9</v>
      </c>
      <c r="N1253" s="11">
        <v>10</v>
      </c>
      <c r="O1253" s="11">
        <v>11</v>
      </c>
      <c r="P1253" s="11">
        <v>12</v>
      </c>
      <c r="Q1253" s="11">
        <v>13</v>
      </c>
      <c r="R1253" s="11">
        <v>14</v>
      </c>
      <c r="S1253" s="11">
        <v>15</v>
      </c>
      <c r="T1253" s="11">
        <v>16</v>
      </c>
      <c r="U1253" s="11">
        <v>17</v>
      </c>
      <c r="V1253" s="11">
        <v>18</v>
      </c>
      <c r="W1253" s="11">
        <v>19</v>
      </c>
      <c r="X1253" s="11">
        <v>20</v>
      </c>
      <c r="Y1253" s="11">
        <v>21</v>
      </c>
      <c r="Z1253" s="11">
        <v>22</v>
      </c>
      <c r="AA1253" s="11">
        <v>23</v>
      </c>
      <c r="AB1253" s="11">
        <v>24</v>
      </c>
      <c r="AC1253" s="248" t="s">
        <v>2</v>
      </c>
      <c r="AD1253" s="248"/>
      <c r="AE1253" s="248"/>
    </row>
    <row r="1254" spans="2:31" x14ac:dyDescent="0.3">
      <c r="B1254" s="245" t="s">
        <v>4</v>
      </c>
      <c r="C1254" s="245"/>
      <c r="D1254" s="245"/>
      <c r="E1254" s="225">
        <v>0</v>
      </c>
      <c r="F1254" s="226">
        <v>0</v>
      </c>
      <c r="G1254" s="225">
        <v>0</v>
      </c>
      <c r="H1254" s="226">
        <v>0</v>
      </c>
      <c r="I1254" s="225">
        <v>0</v>
      </c>
      <c r="J1254" s="226">
        <v>0</v>
      </c>
      <c r="K1254" s="225">
        <v>0</v>
      </c>
      <c r="L1254" s="226">
        <v>0</v>
      </c>
      <c r="M1254" s="225">
        <v>0</v>
      </c>
      <c r="N1254" s="226">
        <v>0</v>
      </c>
      <c r="O1254" s="225">
        <v>0</v>
      </c>
      <c r="P1254" s="226">
        <v>1.3014999999999999</v>
      </c>
      <c r="Q1254" s="225">
        <v>0.20799999999999999</v>
      </c>
      <c r="R1254" s="226">
        <v>5.2130000000000019</v>
      </c>
      <c r="S1254" s="225">
        <v>14.234</v>
      </c>
      <c r="T1254" s="226">
        <v>16.380333333333329</v>
      </c>
      <c r="U1254" s="225">
        <v>20.326000000000001</v>
      </c>
      <c r="V1254" s="226">
        <v>51.300500000000021</v>
      </c>
      <c r="W1254" s="225">
        <v>84.621499999999997</v>
      </c>
      <c r="X1254" s="226">
        <v>4.4126666666666665</v>
      </c>
      <c r="Y1254" s="225">
        <v>0</v>
      </c>
      <c r="Z1254" s="226">
        <v>0</v>
      </c>
      <c r="AA1254" s="225">
        <v>0</v>
      </c>
      <c r="AB1254" s="226">
        <v>0</v>
      </c>
      <c r="AC1254" s="238">
        <f>SUM(E1254:AB1254)</f>
        <v>197.9975</v>
      </c>
      <c r="AD1254" s="238"/>
      <c r="AE1254" s="238"/>
    </row>
    <row r="1255" spans="2:31" x14ac:dyDescent="0.3">
      <c r="B1255" s="245" t="s">
        <v>5</v>
      </c>
      <c r="C1255" s="245"/>
      <c r="D1255" s="245"/>
      <c r="E1255" s="224">
        <v>0</v>
      </c>
      <c r="F1255" s="227">
        <v>0</v>
      </c>
      <c r="G1255" s="224">
        <v>0</v>
      </c>
      <c r="H1255" s="227">
        <v>0</v>
      </c>
      <c r="I1255" s="224">
        <v>0</v>
      </c>
      <c r="J1255" s="227">
        <v>0</v>
      </c>
      <c r="K1255" s="224">
        <v>0</v>
      </c>
      <c r="L1255" s="227">
        <v>0</v>
      </c>
      <c r="M1255" s="224">
        <v>0</v>
      </c>
      <c r="N1255" s="227">
        <v>0</v>
      </c>
      <c r="O1255" s="224">
        <v>0</v>
      </c>
      <c r="P1255" s="227">
        <v>1.6070000000000002</v>
      </c>
      <c r="Q1255" s="224">
        <v>14.270499999999998</v>
      </c>
      <c r="R1255" s="227">
        <v>26.593333333333341</v>
      </c>
      <c r="S1255" s="224">
        <v>40.034500000000016</v>
      </c>
      <c r="T1255" s="227">
        <v>53.537999999999997</v>
      </c>
      <c r="U1255" s="224">
        <v>64.234833333333341</v>
      </c>
      <c r="V1255" s="227">
        <v>78.883833333333314</v>
      </c>
      <c r="W1255" s="224">
        <v>79.534499999999994</v>
      </c>
      <c r="X1255" s="227">
        <v>5.8963333333333328</v>
      </c>
      <c r="Y1255" s="224">
        <v>0</v>
      </c>
      <c r="Z1255" s="227">
        <v>0</v>
      </c>
      <c r="AA1255" s="224">
        <v>0</v>
      </c>
      <c r="AB1255" s="227">
        <v>0</v>
      </c>
      <c r="AC1255" s="238">
        <f t="shared" ref="AC1255:AC1290" si="653">SUM(E1255:AB1255)</f>
        <v>364.59283333333337</v>
      </c>
      <c r="AD1255" s="238"/>
      <c r="AE1255" s="238"/>
    </row>
    <row r="1256" spans="2:31" x14ac:dyDescent="0.3">
      <c r="B1256" s="245" t="s">
        <v>6</v>
      </c>
      <c r="C1256" s="245"/>
      <c r="D1256" s="245"/>
      <c r="E1256" s="224">
        <v>0</v>
      </c>
      <c r="F1256" s="227">
        <v>0</v>
      </c>
      <c r="G1256" s="224">
        <v>0</v>
      </c>
      <c r="H1256" s="227">
        <v>0</v>
      </c>
      <c r="I1256" s="224">
        <v>0</v>
      </c>
      <c r="J1256" s="227">
        <v>0</v>
      </c>
      <c r="K1256" s="224">
        <v>0</v>
      </c>
      <c r="L1256" s="227">
        <v>0</v>
      </c>
      <c r="M1256" s="224">
        <v>0</v>
      </c>
      <c r="N1256" s="227">
        <v>0</v>
      </c>
      <c r="O1256" s="224">
        <v>0.14249999999999996</v>
      </c>
      <c r="P1256" s="227">
        <v>6.5</v>
      </c>
      <c r="Q1256" s="224">
        <v>10.734499999999997</v>
      </c>
      <c r="R1256" s="227">
        <v>0</v>
      </c>
      <c r="S1256" s="224">
        <v>0</v>
      </c>
      <c r="T1256" s="227">
        <v>8.9876666666666623</v>
      </c>
      <c r="U1256" s="224">
        <v>0</v>
      </c>
      <c r="V1256" s="227">
        <v>8.7940000000000005</v>
      </c>
      <c r="W1256" s="224">
        <v>24.306666666666668</v>
      </c>
      <c r="X1256" s="227">
        <v>19.088333333333331</v>
      </c>
      <c r="Y1256" s="224">
        <v>0</v>
      </c>
      <c r="Z1256" s="227">
        <v>0</v>
      </c>
      <c r="AA1256" s="224">
        <v>0</v>
      </c>
      <c r="AB1256" s="227">
        <v>0</v>
      </c>
      <c r="AC1256" s="238">
        <f t="shared" si="653"/>
        <v>78.553666666666658</v>
      </c>
      <c r="AD1256" s="238"/>
      <c r="AE1256" s="238"/>
    </row>
    <row r="1257" spans="2:31" x14ac:dyDescent="0.3">
      <c r="B1257" s="245" t="s">
        <v>91</v>
      </c>
      <c r="C1257" s="245"/>
      <c r="D1257" s="245"/>
      <c r="E1257" s="224">
        <v>0</v>
      </c>
      <c r="F1257" s="227">
        <v>0</v>
      </c>
      <c r="G1257" s="224">
        <v>0</v>
      </c>
      <c r="H1257" s="227">
        <v>0</v>
      </c>
      <c r="I1257" s="224">
        <v>0</v>
      </c>
      <c r="J1257" s="227">
        <v>0</v>
      </c>
      <c r="K1257" s="224">
        <v>0</v>
      </c>
      <c r="L1257" s="227">
        <v>0</v>
      </c>
      <c r="M1257" s="224">
        <v>0</v>
      </c>
      <c r="N1257" s="227">
        <v>0</v>
      </c>
      <c r="O1257" s="224">
        <v>0</v>
      </c>
      <c r="P1257" s="227">
        <v>0</v>
      </c>
      <c r="Q1257" s="224">
        <v>0</v>
      </c>
      <c r="R1257" s="227">
        <v>0</v>
      </c>
      <c r="S1257" s="224">
        <v>0</v>
      </c>
      <c r="T1257" s="227">
        <v>0</v>
      </c>
      <c r="U1257" s="224">
        <v>0</v>
      </c>
      <c r="V1257" s="227">
        <v>0</v>
      </c>
      <c r="W1257" s="224">
        <v>0</v>
      </c>
      <c r="X1257" s="227">
        <v>0</v>
      </c>
      <c r="Y1257" s="224">
        <v>0</v>
      </c>
      <c r="Z1257" s="227">
        <v>0</v>
      </c>
      <c r="AA1257" s="224">
        <v>0</v>
      </c>
      <c r="AB1257" s="227">
        <v>0</v>
      </c>
      <c r="AC1257" s="238">
        <f t="shared" si="653"/>
        <v>0</v>
      </c>
      <c r="AD1257" s="238"/>
      <c r="AE1257" s="238"/>
    </row>
    <row r="1258" spans="2:31" x14ac:dyDescent="0.3">
      <c r="B1258" s="245" t="s">
        <v>7</v>
      </c>
      <c r="C1258" s="245"/>
      <c r="D1258" s="245"/>
      <c r="E1258" s="224">
        <v>0</v>
      </c>
      <c r="F1258" s="227">
        <v>0</v>
      </c>
      <c r="G1258" s="224">
        <v>0</v>
      </c>
      <c r="H1258" s="227">
        <v>0</v>
      </c>
      <c r="I1258" s="224">
        <v>0</v>
      </c>
      <c r="J1258" s="227">
        <v>0</v>
      </c>
      <c r="K1258" s="224">
        <v>0</v>
      </c>
      <c r="L1258" s="227">
        <v>0</v>
      </c>
      <c r="M1258" s="224">
        <v>0</v>
      </c>
      <c r="N1258" s="227">
        <v>0</v>
      </c>
      <c r="O1258" s="224">
        <v>0</v>
      </c>
      <c r="P1258" s="227">
        <v>0</v>
      </c>
      <c r="Q1258" s="224">
        <v>13.533500000000002</v>
      </c>
      <c r="R1258" s="227">
        <v>0</v>
      </c>
      <c r="S1258" s="224">
        <v>0</v>
      </c>
      <c r="T1258" s="227">
        <v>0</v>
      </c>
      <c r="U1258" s="224">
        <v>0</v>
      </c>
      <c r="V1258" s="227">
        <v>0</v>
      </c>
      <c r="W1258" s="224">
        <v>0</v>
      </c>
      <c r="X1258" s="227">
        <v>17.852999999999998</v>
      </c>
      <c r="Y1258" s="224">
        <v>0</v>
      </c>
      <c r="Z1258" s="227">
        <v>0</v>
      </c>
      <c r="AA1258" s="224">
        <v>0</v>
      </c>
      <c r="AB1258" s="227">
        <v>0</v>
      </c>
      <c r="AC1258" s="238">
        <f t="shared" si="653"/>
        <v>31.386499999999998</v>
      </c>
      <c r="AD1258" s="238"/>
      <c r="AE1258" s="238"/>
    </row>
    <row r="1259" spans="2:31" x14ac:dyDescent="0.3">
      <c r="B1259" s="245" t="s">
        <v>8</v>
      </c>
      <c r="C1259" s="245"/>
      <c r="D1259" s="245"/>
      <c r="E1259" s="224">
        <v>0</v>
      </c>
      <c r="F1259" s="227">
        <v>0</v>
      </c>
      <c r="G1259" s="224">
        <v>0</v>
      </c>
      <c r="H1259" s="227">
        <v>0</v>
      </c>
      <c r="I1259" s="224">
        <v>0</v>
      </c>
      <c r="J1259" s="227">
        <v>0</v>
      </c>
      <c r="K1259" s="224">
        <v>0</v>
      </c>
      <c r="L1259" s="227">
        <v>0</v>
      </c>
      <c r="M1259" s="224">
        <v>0</v>
      </c>
      <c r="N1259" s="227">
        <v>0</v>
      </c>
      <c r="O1259" s="224">
        <v>7.1429999999999962</v>
      </c>
      <c r="P1259" s="227">
        <v>3.5730000000000008</v>
      </c>
      <c r="Q1259" s="224">
        <v>0.41916666666666658</v>
      </c>
      <c r="R1259" s="227">
        <v>3.8236666666666665</v>
      </c>
      <c r="S1259" s="224">
        <v>0</v>
      </c>
      <c r="T1259" s="227">
        <v>0</v>
      </c>
      <c r="U1259" s="224">
        <v>17.702666666666669</v>
      </c>
      <c r="V1259" s="227">
        <v>0</v>
      </c>
      <c r="W1259" s="224">
        <v>0</v>
      </c>
      <c r="X1259" s="227">
        <v>0</v>
      </c>
      <c r="Y1259" s="224">
        <v>0</v>
      </c>
      <c r="Z1259" s="227">
        <v>0</v>
      </c>
      <c r="AA1259" s="224">
        <v>0</v>
      </c>
      <c r="AB1259" s="227">
        <v>0</v>
      </c>
      <c r="AC1259" s="238">
        <f t="shared" si="653"/>
        <v>32.661500000000004</v>
      </c>
      <c r="AD1259" s="238"/>
      <c r="AE1259" s="238"/>
    </row>
    <row r="1260" spans="2:31" x14ac:dyDescent="0.3">
      <c r="B1260" s="245" t="s">
        <v>9</v>
      </c>
      <c r="C1260" s="245"/>
      <c r="D1260" s="245"/>
      <c r="E1260" s="224">
        <v>0</v>
      </c>
      <c r="F1260" s="227">
        <v>0</v>
      </c>
      <c r="G1260" s="224">
        <v>0</v>
      </c>
      <c r="H1260" s="227">
        <v>0</v>
      </c>
      <c r="I1260" s="224">
        <v>0</v>
      </c>
      <c r="J1260" s="227">
        <v>0</v>
      </c>
      <c r="K1260" s="224">
        <v>0</v>
      </c>
      <c r="L1260" s="227">
        <v>0</v>
      </c>
      <c r="M1260" s="224">
        <v>0</v>
      </c>
      <c r="N1260" s="227">
        <v>0</v>
      </c>
      <c r="O1260" s="224">
        <v>0</v>
      </c>
      <c r="P1260" s="227">
        <v>0</v>
      </c>
      <c r="Q1260" s="224">
        <v>2.3833333333333349E-2</v>
      </c>
      <c r="R1260" s="227">
        <v>5.1395</v>
      </c>
      <c r="S1260" s="224">
        <v>3.7203333333333339</v>
      </c>
      <c r="T1260" s="227">
        <v>21.166999999999994</v>
      </c>
      <c r="U1260" s="224">
        <v>41.30916666666667</v>
      </c>
      <c r="V1260" s="227">
        <v>64.348333333333329</v>
      </c>
      <c r="W1260" s="224">
        <v>89.262833333333319</v>
      </c>
      <c r="X1260" s="227">
        <v>8.5068333333333346</v>
      </c>
      <c r="Y1260" s="224">
        <v>0</v>
      </c>
      <c r="Z1260" s="227">
        <v>0</v>
      </c>
      <c r="AA1260" s="224">
        <v>0</v>
      </c>
      <c r="AB1260" s="227">
        <v>0</v>
      </c>
      <c r="AC1260" s="238">
        <f t="shared" si="653"/>
        <v>233.47783333333334</v>
      </c>
      <c r="AD1260" s="238"/>
      <c r="AE1260" s="238"/>
    </row>
    <row r="1261" spans="2:31" x14ac:dyDescent="0.3">
      <c r="B1261" s="245" t="s">
        <v>10</v>
      </c>
      <c r="C1261" s="245"/>
      <c r="D1261" s="245"/>
      <c r="E1261" s="224">
        <v>0</v>
      </c>
      <c r="F1261" s="227">
        <v>0</v>
      </c>
      <c r="G1261" s="224">
        <v>0</v>
      </c>
      <c r="H1261" s="227">
        <v>0</v>
      </c>
      <c r="I1261" s="224">
        <v>0</v>
      </c>
      <c r="J1261" s="227">
        <v>0</v>
      </c>
      <c r="K1261" s="224">
        <v>0</v>
      </c>
      <c r="L1261" s="227">
        <v>0</v>
      </c>
      <c r="M1261" s="224">
        <v>0</v>
      </c>
      <c r="N1261" s="227">
        <v>0</v>
      </c>
      <c r="O1261" s="224">
        <v>3.1666666666666669E-2</v>
      </c>
      <c r="P1261" s="227">
        <v>0.89233333333333309</v>
      </c>
      <c r="Q1261" s="224">
        <v>4.3954999999999984</v>
      </c>
      <c r="R1261" s="227">
        <v>6.442333333333333</v>
      </c>
      <c r="S1261" s="224">
        <v>0</v>
      </c>
      <c r="T1261" s="227">
        <v>1.8506666666666665</v>
      </c>
      <c r="U1261" s="224">
        <v>11.01</v>
      </c>
      <c r="V1261" s="227">
        <v>0</v>
      </c>
      <c r="W1261" s="224">
        <v>17.254666666666665</v>
      </c>
      <c r="X1261" s="227">
        <v>2.3853333333333335</v>
      </c>
      <c r="Y1261" s="224">
        <v>0</v>
      </c>
      <c r="Z1261" s="227">
        <v>0</v>
      </c>
      <c r="AA1261" s="224">
        <v>0</v>
      </c>
      <c r="AB1261" s="227">
        <v>0</v>
      </c>
      <c r="AC1261" s="238">
        <f t="shared" si="653"/>
        <v>44.262500000000003</v>
      </c>
      <c r="AD1261" s="238"/>
      <c r="AE1261" s="238"/>
    </row>
    <row r="1262" spans="2:31" x14ac:dyDescent="0.3">
      <c r="B1262" s="245" t="s">
        <v>11</v>
      </c>
      <c r="C1262" s="245"/>
      <c r="D1262" s="245"/>
      <c r="E1262" s="224">
        <v>0</v>
      </c>
      <c r="F1262" s="227">
        <v>0</v>
      </c>
      <c r="G1262" s="224">
        <v>0</v>
      </c>
      <c r="H1262" s="227">
        <v>0</v>
      </c>
      <c r="I1262" s="224">
        <v>0</v>
      </c>
      <c r="J1262" s="227">
        <v>0</v>
      </c>
      <c r="K1262" s="224">
        <v>0</v>
      </c>
      <c r="L1262" s="227">
        <v>0</v>
      </c>
      <c r="M1262" s="224">
        <v>0</v>
      </c>
      <c r="N1262" s="227">
        <v>0</v>
      </c>
      <c r="O1262" s="224">
        <v>1.1783333333333339</v>
      </c>
      <c r="P1262" s="227">
        <v>3.524666666666664</v>
      </c>
      <c r="Q1262" s="224">
        <v>6.7561666666666635</v>
      </c>
      <c r="R1262" s="227">
        <v>7.0424999999999978</v>
      </c>
      <c r="S1262" s="224">
        <v>0</v>
      </c>
      <c r="T1262" s="227">
        <v>0</v>
      </c>
      <c r="U1262" s="224">
        <v>15.490000000000007</v>
      </c>
      <c r="V1262" s="227">
        <v>38.034500000000008</v>
      </c>
      <c r="W1262" s="224">
        <v>57.480000000000011</v>
      </c>
      <c r="X1262" s="227">
        <v>5.4483333333333333</v>
      </c>
      <c r="Y1262" s="224">
        <v>0</v>
      </c>
      <c r="Z1262" s="227">
        <v>0</v>
      </c>
      <c r="AA1262" s="224">
        <v>0</v>
      </c>
      <c r="AB1262" s="227">
        <v>0</v>
      </c>
      <c r="AC1262" s="238">
        <f t="shared" si="653"/>
        <v>134.95450000000002</v>
      </c>
      <c r="AD1262" s="238"/>
      <c r="AE1262" s="238"/>
    </row>
    <row r="1263" spans="2:31" x14ac:dyDescent="0.3">
      <c r="B1263" s="245" t="s">
        <v>12</v>
      </c>
      <c r="C1263" s="245"/>
      <c r="D1263" s="245"/>
      <c r="E1263" s="224">
        <v>0</v>
      </c>
      <c r="F1263" s="227">
        <v>0</v>
      </c>
      <c r="G1263" s="224">
        <v>0</v>
      </c>
      <c r="H1263" s="227">
        <v>0</v>
      </c>
      <c r="I1263" s="224">
        <v>0</v>
      </c>
      <c r="J1263" s="227">
        <v>0</v>
      </c>
      <c r="K1263" s="224">
        <v>0</v>
      </c>
      <c r="L1263" s="227">
        <v>0</v>
      </c>
      <c r="M1263" s="224">
        <v>0</v>
      </c>
      <c r="N1263" s="227">
        <v>0</v>
      </c>
      <c r="O1263" s="224">
        <v>1.3935000000000002</v>
      </c>
      <c r="P1263" s="227">
        <v>1.1756666666666673</v>
      </c>
      <c r="Q1263" s="224">
        <v>7.6134999999999984</v>
      </c>
      <c r="R1263" s="227">
        <v>19.577666666666673</v>
      </c>
      <c r="S1263" s="224">
        <v>29.848499999999998</v>
      </c>
      <c r="T1263" s="227">
        <v>52.576499999999982</v>
      </c>
      <c r="U1263" s="224">
        <v>82.065166666666684</v>
      </c>
      <c r="V1263" s="227">
        <v>110.196</v>
      </c>
      <c r="W1263" s="224">
        <v>125.77199999999998</v>
      </c>
      <c r="X1263" s="227">
        <v>10.9095</v>
      </c>
      <c r="Y1263" s="224">
        <v>0</v>
      </c>
      <c r="Z1263" s="227">
        <v>0</v>
      </c>
      <c r="AA1263" s="224">
        <v>0</v>
      </c>
      <c r="AB1263" s="227">
        <v>0</v>
      </c>
      <c r="AC1263" s="238">
        <f t="shared" si="653"/>
        <v>441.12799999999999</v>
      </c>
      <c r="AD1263" s="238"/>
      <c r="AE1263" s="238"/>
    </row>
    <row r="1264" spans="2:31" x14ac:dyDescent="0.3">
      <c r="B1264" s="245" t="s">
        <v>13</v>
      </c>
      <c r="C1264" s="245"/>
      <c r="D1264" s="245"/>
      <c r="E1264" s="224">
        <v>0</v>
      </c>
      <c r="F1264" s="227">
        <v>0</v>
      </c>
      <c r="G1264" s="224">
        <v>0</v>
      </c>
      <c r="H1264" s="227">
        <v>0</v>
      </c>
      <c r="I1264" s="224">
        <v>0</v>
      </c>
      <c r="J1264" s="227">
        <v>0</v>
      </c>
      <c r="K1264" s="224">
        <v>0</v>
      </c>
      <c r="L1264" s="227">
        <v>0</v>
      </c>
      <c r="M1264" s="224">
        <v>0</v>
      </c>
      <c r="N1264" s="227">
        <v>0</v>
      </c>
      <c r="O1264" s="224">
        <v>0.5578333333333334</v>
      </c>
      <c r="P1264" s="227">
        <v>3.2015000000000007</v>
      </c>
      <c r="Q1264" s="224">
        <v>10.564500000000004</v>
      </c>
      <c r="R1264" s="227">
        <v>7.0381666666666645</v>
      </c>
      <c r="S1264" s="224">
        <v>2.0181666666666671</v>
      </c>
      <c r="T1264" s="227">
        <v>10.774166666666666</v>
      </c>
      <c r="U1264" s="224">
        <v>34.276999999999994</v>
      </c>
      <c r="V1264" s="227">
        <v>50.341166666666659</v>
      </c>
      <c r="W1264" s="224">
        <v>76.396666666666675</v>
      </c>
      <c r="X1264" s="227">
        <v>7.3495000000000008</v>
      </c>
      <c r="Y1264" s="224">
        <v>0</v>
      </c>
      <c r="Z1264" s="227">
        <v>0</v>
      </c>
      <c r="AA1264" s="224">
        <v>0</v>
      </c>
      <c r="AB1264" s="227">
        <v>0</v>
      </c>
      <c r="AC1264" s="238">
        <f t="shared" si="653"/>
        <v>202.51866666666666</v>
      </c>
      <c r="AD1264" s="238"/>
      <c r="AE1264" s="238"/>
    </row>
    <row r="1265" spans="2:31" x14ac:dyDescent="0.3">
      <c r="B1265" s="245" t="s">
        <v>14</v>
      </c>
      <c r="C1265" s="245"/>
      <c r="D1265" s="245"/>
      <c r="E1265" s="224">
        <v>0</v>
      </c>
      <c r="F1265" s="227">
        <v>0</v>
      </c>
      <c r="G1265" s="224">
        <v>0</v>
      </c>
      <c r="H1265" s="227">
        <v>0</v>
      </c>
      <c r="I1265" s="224">
        <v>0</v>
      </c>
      <c r="J1265" s="227">
        <v>0</v>
      </c>
      <c r="K1265" s="224">
        <v>0</v>
      </c>
      <c r="L1265" s="227">
        <v>0</v>
      </c>
      <c r="M1265" s="224">
        <v>0</v>
      </c>
      <c r="N1265" s="227">
        <v>0</v>
      </c>
      <c r="O1265" s="224">
        <v>0.25083333333333324</v>
      </c>
      <c r="P1265" s="227">
        <v>1.1300000000000006</v>
      </c>
      <c r="Q1265" s="224">
        <v>2.2300000000000009</v>
      </c>
      <c r="R1265" s="227">
        <v>3.2299999999999973</v>
      </c>
      <c r="S1265" s="224">
        <v>3.3366666666666682</v>
      </c>
      <c r="T1265" s="227">
        <v>3.4399999999999982</v>
      </c>
      <c r="U1265" s="224">
        <v>3.2400000000000015</v>
      </c>
      <c r="V1265" s="227">
        <v>2.9399999999999982</v>
      </c>
      <c r="W1265" s="224">
        <v>2.942166666666663</v>
      </c>
      <c r="X1265" s="227">
        <v>0.27916666666666667</v>
      </c>
      <c r="Y1265" s="224">
        <v>0</v>
      </c>
      <c r="Z1265" s="227">
        <v>0</v>
      </c>
      <c r="AA1265" s="224">
        <v>0</v>
      </c>
      <c r="AB1265" s="227">
        <v>0</v>
      </c>
      <c r="AC1265" s="238">
        <f t="shared" si="653"/>
        <v>23.018833333333323</v>
      </c>
      <c r="AD1265" s="238"/>
      <c r="AE1265" s="238"/>
    </row>
    <row r="1266" spans="2:31" x14ac:dyDescent="0.3">
      <c r="B1266" s="245" t="s">
        <v>15</v>
      </c>
      <c r="C1266" s="245"/>
      <c r="D1266" s="245"/>
      <c r="E1266" s="224">
        <v>0</v>
      </c>
      <c r="F1266" s="227">
        <v>0</v>
      </c>
      <c r="G1266" s="224">
        <v>0</v>
      </c>
      <c r="H1266" s="227">
        <v>0</v>
      </c>
      <c r="I1266" s="224">
        <v>0</v>
      </c>
      <c r="J1266" s="227">
        <v>0</v>
      </c>
      <c r="K1266" s="224">
        <v>0</v>
      </c>
      <c r="L1266" s="227">
        <v>0</v>
      </c>
      <c r="M1266" s="224">
        <v>0</v>
      </c>
      <c r="N1266" s="227">
        <v>0</v>
      </c>
      <c r="O1266" s="224">
        <v>2.113666666666667</v>
      </c>
      <c r="P1266" s="227">
        <v>0</v>
      </c>
      <c r="Q1266" s="224">
        <v>0</v>
      </c>
      <c r="R1266" s="227">
        <v>7.695666666666666</v>
      </c>
      <c r="S1266" s="224">
        <v>0</v>
      </c>
      <c r="T1266" s="227">
        <v>0</v>
      </c>
      <c r="U1266" s="224">
        <v>4.3231666666666655</v>
      </c>
      <c r="V1266" s="227">
        <v>14.202333333333327</v>
      </c>
      <c r="W1266" s="224">
        <v>13.344999999999997</v>
      </c>
      <c r="X1266" s="227">
        <v>1.0361666666666667</v>
      </c>
      <c r="Y1266" s="224">
        <v>0</v>
      </c>
      <c r="Z1266" s="227">
        <v>0</v>
      </c>
      <c r="AA1266" s="224">
        <v>0</v>
      </c>
      <c r="AB1266" s="227">
        <v>0</v>
      </c>
      <c r="AC1266" s="238">
        <f t="shared" si="653"/>
        <v>42.715999999999987</v>
      </c>
      <c r="AD1266" s="238"/>
      <c r="AE1266" s="238"/>
    </row>
    <row r="1267" spans="2:31" x14ac:dyDescent="0.3">
      <c r="B1267" s="245" t="s">
        <v>16</v>
      </c>
      <c r="C1267" s="245"/>
      <c r="D1267" s="245"/>
      <c r="E1267" s="224">
        <v>0</v>
      </c>
      <c r="F1267" s="227">
        <v>0</v>
      </c>
      <c r="G1267" s="224">
        <v>0</v>
      </c>
      <c r="H1267" s="227">
        <v>0</v>
      </c>
      <c r="I1267" s="224">
        <v>0</v>
      </c>
      <c r="J1267" s="227">
        <v>0</v>
      </c>
      <c r="K1267" s="224">
        <v>0</v>
      </c>
      <c r="L1267" s="227">
        <v>0</v>
      </c>
      <c r="M1267" s="224">
        <v>0</v>
      </c>
      <c r="N1267" s="227">
        <v>0</v>
      </c>
      <c r="O1267" s="224">
        <v>5.5638333333333332</v>
      </c>
      <c r="P1267" s="227">
        <v>7.5958333333333332</v>
      </c>
      <c r="Q1267" s="224">
        <v>0.87233333333333207</v>
      </c>
      <c r="R1267" s="227">
        <v>3.6239999999999992</v>
      </c>
      <c r="S1267" s="224">
        <v>0</v>
      </c>
      <c r="T1267" s="227">
        <v>0</v>
      </c>
      <c r="U1267" s="224">
        <v>0.31466666666666837</v>
      </c>
      <c r="V1267" s="227">
        <v>0</v>
      </c>
      <c r="W1267" s="224">
        <v>0</v>
      </c>
      <c r="X1267" s="227">
        <v>0</v>
      </c>
      <c r="Y1267" s="224">
        <v>0</v>
      </c>
      <c r="Z1267" s="227">
        <v>0</v>
      </c>
      <c r="AA1267" s="224">
        <v>0</v>
      </c>
      <c r="AB1267" s="227">
        <v>0</v>
      </c>
      <c r="AC1267" s="238">
        <f t="shared" si="653"/>
        <v>17.970666666666666</v>
      </c>
      <c r="AD1267" s="238"/>
      <c r="AE1267" s="238"/>
    </row>
    <row r="1268" spans="2:31" x14ac:dyDescent="0.3">
      <c r="B1268" s="245" t="s">
        <v>17</v>
      </c>
      <c r="C1268" s="245"/>
      <c r="D1268" s="245"/>
      <c r="E1268" s="224">
        <v>0</v>
      </c>
      <c r="F1268" s="227">
        <v>0</v>
      </c>
      <c r="G1268" s="224">
        <v>0</v>
      </c>
      <c r="H1268" s="227">
        <v>0</v>
      </c>
      <c r="I1268" s="224">
        <v>0</v>
      </c>
      <c r="J1268" s="227">
        <v>0</v>
      </c>
      <c r="K1268" s="224">
        <v>0</v>
      </c>
      <c r="L1268" s="227">
        <v>0</v>
      </c>
      <c r="M1268" s="224">
        <v>0</v>
      </c>
      <c r="N1268" s="227">
        <v>0</v>
      </c>
      <c r="O1268" s="224">
        <v>0.76250000000000029</v>
      </c>
      <c r="P1268" s="227">
        <v>4.0693333333333328</v>
      </c>
      <c r="Q1268" s="224">
        <v>7.1336666666666657</v>
      </c>
      <c r="R1268" s="227">
        <v>21.046000000000006</v>
      </c>
      <c r="S1268" s="224">
        <v>34.07033333333333</v>
      </c>
      <c r="T1268" s="227">
        <v>43.704500000000003</v>
      </c>
      <c r="U1268" s="224">
        <v>44.749500000000005</v>
      </c>
      <c r="V1268" s="227">
        <v>39.966999999999999</v>
      </c>
      <c r="W1268" s="224">
        <v>40.597333333333346</v>
      </c>
      <c r="X1268" s="227">
        <v>3.1675</v>
      </c>
      <c r="Y1268" s="224">
        <v>0</v>
      </c>
      <c r="Z1268" s="227">
        <v>0</v>
      </c>
      <c r="AA1268" s="224">
        <v>0</v>
      </c>
      <c r="AB1268" s="227">
        <v>0</v>
      </c>
      <c r="AC1268" s="238">
        <f t="shared" si="653"/>
        <v>239.26766666666668</v>
      </c>
      <c r="AD1268" s="238"/>
      <c r="AE1268" s="238"/>
    </row>
    <row r="1269" spans="2:31" x14ac:dyDescent="0.3">
      <c r="B1269" s="245" t="s">
        <v>18</v>
      </c>
      <c r="C1269" s="245"/>
      <c r="D1269" s="245"/>
      <c r="E1269" s="224">
        <v>0</v>
      </c>
      <c r="F1269" s="227">
        <v>0</v>
      </c>
      <c r="G1269" s="224">
        <v>0</v>
      </c>
      <c r="H1269" s="227">
        <v>0</v>
      </c>
      <c r="I1269" s="224">
        <v>0</v>
      </c>
      <c r="J1269" s="227">
        <v>0</v>
      </c>
      <c r="K1269" s="224">
        <v>0</v>
      </c>
      <c r="L1269" s="227">
        <v>0</v>
      </c>
      <c r="M1269" s="224">
        <v>0</v>
      </c>
      <c r="N1269" s="227">
        <v>0</v>
      </c>
      <c r="O1269" s="224">
        <v>7.3834999999999971</v>
      </c>
      <c r="P1269" s="227">
        <v>15.9475</v>
      </c>
      <c r="Q1269" s="224">
        <v>22.781833333333328</v>
      </c>
      <c r="R1269" s="227">
        <v>28.700166666666671</v>
      </c>
      <c r="S1269" s="224">
        <v>9.8856666666666673</v>
      </c>
      <c r="T1269" s="227">
        <v>10.240499999999999</v>
      </c>
      <c r="U1269" s="224">
        <v>14.728166666666668</v>
      </c>
      <c r="V1269" s="227">
        <v>18.055833333333336</v>
      </c>
      <c r="W1269" s="224">
        <v>22.148999999999994</v>
      </c>
      <c r="X1269" s="227">
        <v>1.3704999999999998</v>
      </c>
      <c r="Y1269" s="224">
        <v>0</v>
      </c>
      <c r="Z1269" s="227">
        <v>0</v>
      </c>
      <c r="AA1269" s="224">
        <v>0</v>
      </c>
      <c r="AB1269" s="227">
        <v>0</v>
      </c>
      <c r="AC1269" s="238">
        <f t="shared" si="653"/>
        <v>151.24266666666665</v>
      </c>
      <c r="AD1269" s="238"/>
      <c r="AE1269" s="238"/>
    </row>
    <row r="1270" spans="2:31" x14ac:dyDescent="0.3">
      <c r="B1270" s="245" t="s">
        <v>19</v>
      </c>
      <c r="C1270" s="245"/>
      <c r="D1270" s="245"/>
      <c r="E1270" s="224">
        <v>0</v>
      </c>
      <c r="F1270" s="227">
        <v>0</v>
      </c>
      <c r="G1270" s="224">
        <v>0</v>
      </c>
      <c r="H1270" s="227">
        <v>0</v>
      </c>
      <c r="I1270" s="224">
        <v>0</v>
      </c>
      <c r="J1270" s="227">
        <v>0</v>
      </c>
      <c r="K1270" s="224">
        <v>0</v>
      </c>
      <c r="L1270" s="227">
        <v>0</v>
      </c>
      <c r="M1270" s="224">
        <v>0</v>
      </c>
      <c r="N1270" s="227">
        <v>0</v>
      </c>
      <c r="O1270" s="224">
        <v>2.0546666666666669</v>
      </c>
      <c r="P1270" s="227">
        <v>2.4333333333333349E-2</v>
      </c>
      <c r="Q1270" s="224">
        <v>10.638500000000006</v>
      </c>
      <c r="R1270" s="227">
        <v>11.847833333333334</v>
      </c>
      <c r="S1270" s="224">
        <v>1.6561666666666659</v>
      </c>
      <c r="T1270" s="227">
        <v>5.5231666666666728</v>
      </c>
      <c r="U1270" s="224">
        <v>17.690666666666669</v>
      </c>
      <c r="V1270" s="227">
        <v>21.166666666666668</v>
      </c>
      <c r="W1270" s="224">
        <v>22.929999999999993</v>
      </c>
      <c r="X1270" s="227">
        <v>1.7256666666666673</v>
      </c>
      <c r="Y1270" s="224">
        <v>0</v>
      </c>
      <c r="Z1270" s="227">
        <v>0</v>
      </c>
      <c r="AA1270" s="224">
        <v>0</v>
      </c>
      <c r="AB1270" s="227">
        <v>0</v>
      </c>
      <c r="AC1270" s="238">
        <f t="shared" si="653"/>
        <v>95.25766666666668</v>
      </c>
      <c r="AD1270" s="238"/>
      <c r="AE1270" s="238"/>
    </row>
    <row r="1271" spans="2:31" x14ac:dyDescent="0.3">
      <c r="B1271" s="245" t="s">
        <v>20</v>
      </c>
      <c r="C1271" s="245"/>
      <c r="D1271" s="245"/>
      <c r="E1271" s="224">
        <v>0</v>
      </c>
      <c r="F1271" s="227">
        <v>0</v>
      </c>
      <c r="G1271" s="224">
        <v>0</v>
      </c>
      <c r="H1271" s="227">
        <v>0</v>
      </c>
      <c r="I1271" s="224">
        <v>0</v>
      </c>
      <c r="J1271" s="227">
        <v>0</v>
      </c>
      <c r="K1271" s="224">
        <v>0</v>
      </c>
      <c r="L1271" s="227">
        <v>0</v>
      </c>
      <c r="M1271" s="224">
        <v>0</v>
      </c>
      <c r="N1271" s="227">
        <v>0</v>
      </c>
      <c r="O1271" s="224">
        <v>0.99083333333333323</v>
      </c>
      <c r="P1271" s="227">
        <v>2.7316666666666674</v>
      </c>
      <c r="Q1271" s="224">
        <v>4.6913333333333309</v>
      </c>
      <c r="R1271" s="227">
        <v>8.5216666666666594</v>
      </c>
      <c r="S1271" s="224">
        <v>13.116333333333342</v>
      </c>
      <c r="T1271" s="227">
        <v>16.501666666666672</v>
      </c>
      <c r="U1271" s="224">
        <v>18.862333333333329</v>
      </c>
      <c r="V1271" s="227">
        <v>20.887833333333322</v>
      </c>
      <c r="W1271" s="224">
        <v>21.829000000000004</v>
      </c>
      <c r="X1271" s="227">
        <v>1.75</v>
      </c>
      <c r="Y1271" s="224">
        <v>0</v>
      </c>
      <c r="Z1271" s="227">
        <v>0</v>
      </c>
      <c r="AA1271" s="224">
        <v>0</v>
      </c>
      <c r="AB1271" s="227">
        <v>0</v>
      </c>
      <c r="AC1271" s="238">
        <f t="shared" si="653"/>
        <v>109.88266666666667</v>
      </c>
      <c r="AD1271" s="238"/>
      <c r="AE1271" s="238"/>
    </row>
    <row r="1272" spans="2:31" x14ac:dyDescent="0.3">
      <c r="B1272" s="245" t="s">
        <v>21</v>
      </c>
      <c r="C1272" s="245"/>
      <c r="D1272" s="245"/>
      <c r="E1272" s="224">
        <v>0</v>
      </c>
      <c r="F1272" s="227">
        <v>0</v>
      </c>
      <c r="G1272" s="224">
        <v>0</v>
      </c>
      <c r="H1272" s="227">
        <v>0</v>
      </c>
      <c r="I1272" s="224">
        <v>0</v>
      </c>
      <c r="J1272" s="227">
        <v>0</v>
      </c>
      <c r="K1272" s="224">
        <v>0</v>
      </c>
      <c r="L1272" s="227">
        <v>0</v>
      </c>
      <c r="M1272" s="224">
        <v>0</v>
      </c>
      <c r="N1272" s="227">
        <v>0</v>
      </c>
      <c r="O1272" s="224">
        <v>0.28450000000000009</v>
      </c>
      <c r="P1272" s="227">
        <v>1.2833333333333341E-2</v>
      </c>
      <c r="Q1272" s="224">
        <v>0</v>
      </c>
      <c r="R1272" s="227">
        <v>0.10783333333333341</v>
      </c>
      <c r="S1272" s="224">
        <v>6.9196666666666662</v>
      </c>
      <c r="T1272" s="227">
        <v>11.177166666666668</v>
      </c>
      <c r="U1272" s="224">
        <v>12.833833333333335</v>
      </c>
      <c r="V1272" s="227">
        <v>14.411666666666669</v>
      </c>
      <c r="W1272" s="224">
        <v>14.371500000000003</v>
      </c>
      <c r="X1272" s="227">
        <v>1.028</v>
      </c>
      <c r="Y1272" s="224">
        <v>0</v>
      </c>
      <c r="Z1272" s="227">
        <v>0</v>
      </c>
      <c r="AA1272" s="224">
        <v>0</v>
      </c>
      <c r="AB1272" s="227">
        <v>0</v>
      </c>
      <c r="AC1272" s="238">
        <f t="shared" si="653"/>
        <v>61.147000000000006</v>
      </c>
      <c r="AD1272" s="238"/>
      <c r="AE1272" s="238"/>
    </row>
    <row r="1273" spans="2:31" x14ac:dyDescent="0.3">
      <c r="B1273" s="245" t="s">
        <v>22</v>
      </c>
      <c r="C1273" s="245"/>
      <c r="D1273" s="245"/>
      <c r="E1273" s="224">
        <v>0</v>
      </c>
      <c r="F1273" s="227">
        <v>0</v>
      </c>
      <c r="G1273" s="224">
        <v>0</v>
      </c>
      <c r="H1273" s="227">
        <v>0</v>
      </c>
      <c r="I1273" s="224">
        <v>0</v>
      </c>
      <c r="J1273" s="227">
        <v>0</v>
      </c>
      <c r="K1273" s="224">
        <v>0</v>
      </c>
      <c r="L1273" s="227">
        <v>0</v>
      </c>
      <c r="M1273" s="224">
        <v>0</v>
      </c>
      <c r="N1273" s="227">
        <v>0</v>
      </c>
      <c r="O1273" s="224">
        <v>0.41600000000000004</v>
      </c>
      <c r="P1273" s="227">
        <v>0.18066666666666664</v>
      </c>
      <c r="Q1273" s="224">
        <v>0.10016666666666672</v>
      </c>
      <c r="R1273" s="227">
        <v>0.97533333333333327</v>
      </c>
      <c r="S1273" s="224">
        <v>1.5789999999999995</v>
      </c>
      <c r="T1273" s="227">
        <v>3.2901666666666651</v>
      </c>
      <c r="U1273" s="224">
        <v>3.7735000000000003</v>
      </c>
      <c r="V1273" s="227">
        <v>4.0043333333333333</v>
      </c>
      <c r="W1273" s="224">
        <v>3.0971666666666673</v>
      </c>
      <c r="X1273" s="227">
        <v>0.13950000000000001</v>
      </c>
      <c r="Y1273" s="224">
        <v>0</v>
      </c>
      <c r="Z1273" s="227">
        <v>0</v>
      </c>
      <c r="AA1273" s="224">
        <v>0</v>
      </c>
      <c r="AB1273" s="227">
        <v>0</v>
      </c>
      <c r="AC1273" s="238">
        <f t="shared" si="653"/>
        <v>17.555833333333336</v>
      </c>
      <c r="AD1273" s="238"/>
      <c r="AE1273" s="238"/>
    </row>
    <row r="1274" spans="2:31" x14ac:dyDescent="0.3">
      <c r="B1274" s="245" t="s">
        <v>23</v>
      </c>
      <c r="C1274" s="245"/>
      <c r="D1274" s="245"/>
      <c r="E1274" s="224">
        <v>0</v>
      </c>
      <c r="F1274" s="227">
        <v>0</v>
      </c>
      <c r="G1274" s="224">
        <v>0</v>
      </c>
      <c r="H1274" s="227">
        <v>0</v>
      </c>
      <c r="I1274" s="224">
        <v>0</v>
      </c>
      <c r="J1274" s="227">
        <v>0</v>
      </c>
      <c r="K1274" s="224">
        <v>0</v>
      </c>
      <c r="L1274" s="227">
        <v>0</v>
      </c>
      <c r="M1274" s="224">
        <v>0</v>
      </c>
      <c r="N1274" s="227">
        <v>0</v>
      </c>
      <c r="O1274" s="224">
        <v>1.0130000000000001</v>
      </c>
      <c r="P1274" s="227">
        <v>0.25383333333333341</v>
      </c>
      <c r="Q1274" s="224">
        <v>0</v>
      </c>
      <c r="R1274" s="227">
        <v>1.8676666666666659</v>
      </c>
      <c r="S1274" s="224">
        <v>4.9658333333333333</v>
      </c>
      <c r="T1274" s="227">
        <v>13.909999999999998</v>
      </c>
      <c r="U1274" s="224">
        <v>18.710833333333326</v>
      </c>
      <c r="V1274" s="227">
        <v>18.86183333333333</v>
      </c>
      <c r="W1274" s="224">
        <v>16.398833333333336</v>
      </c>
      <c r="X1274" s="227">
        <v>0.91233333333333344</v>
      </c>
      <c r="Y1274" s="224">
        <v>0</v>
      </c>
      <c r="Z1274" s="227">
        <v>0</v>
      </c>
      <c r="AA1274" s="224">
        <v>0</v>
      </c>
      <c r="AB1274" s="227">
        <v>0</v>
      </c>
      <c r="AC1274" s="238">
        <f t="shared" si="653"/>
        <v>76.894166666666663</v>
      </c>
      <c r="AD1274" s="238"/>
      <c r="AE1274" s="238"/>
    </row>
    <row r="1275" spans="2:31" x14ac:dyDescent="0.3">
      <c r="B1275" s="245" t="s">
        <v>24</v>
      </c>
      <c r="C1275" s="245"/>
      <c r="D1275" s="245"/>
      <c r="E1275" s="224">
        <v>0</v>
      </c>
      <c r="F1275" s="227">
        <v>0</v>
      </c>
      <c r="G1275" s="224">
        <v>0</v>
      </c>
      <c r="H1275" s="227">
        <v>0</v>
      </c>
      <c r="I1275" s="224">
        <v>0</v>
      </c>
      <c r="J1275" s="227">
        <v>0</v>
      </c>
      <c r="K1275" s="224">
        <v>0</v>
      </c>
      <c r="L1275" s="227">
        <v>0</v>
      </c>
      <c r="M1275" s="224">
        <v>0</v>
      </c>
      <c r="N1275" s="227">
        <v>0</v>
      </c>
      <c r="O1275" s="224">
        <v>2.2111666666666663</v>
      </c>
      <c r="P1275" s="227">
        <v>0.76099999999999979</v>
      </c>
      <c r="Q1275" s="224">
        <v>0</v>
      </c>
      <c r="R1275" s="227">
        <v>0.36316666666666642</v>
      </c>
      <c r="S1275" s="224">
        <v>0.19683333333333333</v>
      </c>
      <c r="T1275" s="227">
        <v>3.9628333333333337</v>
      </c>
      <c r="U1275" s="224">
        <v>9.0538333333333334</v>
      </c>
      <c r="V1275" s="227">
        <v>10.174166666666672</v>
      </c>
      <c r="W1275" s="224">
        <v>10.172500000000005</v>
      </c>
      <c r="X1275" s="227">
        <v>0.78700000000000025</v>
      </c>
      <c r="Y1275" s="224">
        <v>0</v>
      </c>
      <c r="Z1275" s="227">
        <v>0</v>
      </c>
      <c r="AA1275" s="224">
        <v>0</v>
      </c>
      <c r="AB1275" s="227">
        <v>0</v>
      </c>
      <c r="AC1275" s="238">
        <f t="shared" si="653"/>
        <v>37.682500000000012</v>
      </c>
      <c r="AD1275" s="238"/>
      <c r="AE1275" s="238"/>
    </row>
    <row r="1276" spans="2:31" x14ac:dyDescent="0.3">
      <c r="B1276" s="245" t="s">
        <v>25</v>
      </c>
      <c r="C1276" s="245"/>
      <c r="D1276" s="245"/>
      <c r="E1276" s="224">
        <v>0</v>
      </c>
      <c r="F1276" s="227">
        <v>0</v>
      </c>
      <c r="G1276" s="224">
        <v>0</v>
      </c>
      <c r="H1276" s="227">
        <v>0</v>
      </c>
      <c r="I1276" s="224">
        <v>0</v>
      </c>
      <c r="J1276" s="227">
        <v>0</v>
      </c>
      <c r="K1276" s="224">
        <v>0</v>
      </c>
      <c r="L1276" s="227">
        <v>0</v>
      </c>
      <c r="M1276" s="224">
        <v>0</v>
      </c>
      <c r="N1276" s="227">
        <v>0</v>
      </c>
      <c r="O1276" s="224">
        <v>1.4023333333333339</v>
      </c>
      <c r="P1276" s="227">
        <v>1.5348333333333328</v>
      </c>
      <c r="Q1276" s="224">
        <v>1.2488333333333332</v>
      </c>
      <c r="R1276" s="227">
        <v>1.5446666666666664</v>
      </c>
      <c r="S1276" s="224">
        <v>3.005666666666666</v>
      </c>
      <c r="T1276" s="227">
        <v>4.8159999999999998</v>
      </c>
      <c r="U1276" s="224">
        <v>0.16566666666666671</v>
      </c>
      <c r="V1276" s="227">
        <v>0</v>
      </c>
      <c r="W1276" s="224">
        <v>0</v>
      </c>
      <c r="X1276" s="227">
        <v>0</v>
      </c>
      <c r="Y1276" s="224">
        <v>0</v>
      </c>
      <c r="Z1276" s="227">
        <v>0</v>
      </c>
      <c r="AA1276" s="224">
        <v>0</v>
      </c>
      <c r="AB1276" s="227">
        <v>0</v>
      </c>
      <c r="AC1276" s="238">
        <f t="shared" si="653"/>
        <v>13.718</v>
      </c>
      <c r="AD1276" s="238"/>
      <c r="AE1276" s="238"/>
    </row>
    <row r="1277" spans="2:31" x14ac:dyDescent="0.3">
      <c r="B1277" s="245" t="s">
        <v>26</v>
      </c>
      <c r="C1277" s="245"/>
      <c r="D1277" s="245"/>
      <c r="E1277" s="224">
        <v>0</v>
      </c>
      <c r="F1277" s="227">
        <v>0</v>
      </c>
      <c r="G1277" s="224">
        <v>0</v>
      </c>
      <c r="H1277" s="227">
        <v>0</v>
      </c>
      <c r="I1277" s="224">
        <v>0</v>
      </c>
      <c r="J1277" s="227">
        <v>0</v>
      </c>
      <c r="K1277" s="224">
        <v>0</v>
      </c>
      <c r="L1277" s="227">
        <v>0</v>
      </c>
      <c r="M1277" s="224">
        <v>0</v>
      </c>
      <c r="N1277" s="227">
        <v>0</v>
      </c>
      <c r="O1277" s="224">
        <v>0</v>
      </c>
      <c r="P1277" s="227">
        <v>0</v>
      </c>
      <c r="Q1277" s="224">
        <v>0</v>
      </c>
      <c r="R1277" s="227">
        <v>0</v>
      </c>
      <c r="S1277" s="224">
        <v>0</v>
      </c>
      <c r="T1277" s="227">
        <v>0</v>
      </c>
      <c r="U1277" s="224">
        <v>0</v>
      </c>
      <c r="V1277" s="227">
        <v>0</v>
      </c>
      <c r="W1277" s="224">
        <v>0</v>
      </c>
      <c r="X1277" s="227">
        <v>0</v>
      </c>
      <c r="Y1277" s="224">
        <v>0</v>
      </c>
      <c r="Z1277" s="227">
        <v>0</v>
      </c>
      <c r="AA1277" s="224">
        <v>0</v>
      </c>
      <c r="AB1277" s="227">
        <v>0</v>
      </c>
      <c r="AC1277" s="238">
        <f t="shared" si="653"/>
        <v>0</v>
      </c>
      <c r="AD1277" s="238"/>
      <c r="AE1277" s="238"/>
    </row>
    <row r="1278" spans="2:31" x14ac:dyDescent="0.3">
      <c r="B1278" s="245" t="s">
        <v>27</v>
      </c>
      <c r="C1278" s="245"/>
      <c r="D1278" s="245"/>
      <c r="E1278" s="224">
        <v>0</v>
      </c>
      <c r="F1278" s="227">
        <v>0</v>
      </c>
      <c r="G1278" s="224">
        <v>0</v>
      </c>
      <c r="H1278" s="227">
        <v>0</v>
      </c>
      <c r="I1278" s="224">
        <v>0</v>
      </c>
      <c r="J1278" s="227">
        <v>0</v>
      </c>
      <c r="K1278" s="224">
        <v>0</v>
      </c>
      <c r="L1278" s="227">
        <v>0</v>
      </c>
      <c r="M1278" s="224">
        <v>0</v>
      </c>
      <c r="N1278" s="227">
        <v>0</v>
      </c>
      <c r="O1278" s="224">
        <v>2.1970000000000001</v>
      </c>
      <c r="P1278" s="227">
        <v>5.2286666666666664</v>
      </c>
      <c r="Q1278" s="224">
        <v>8.8431666666666668</v>
      </c>
      <c r="R1278" s="227">
        <v>7.576500000000002</v>
      </c>
      <c r="S1278" s="224">
        <v>6.8045000000000027</v>
      </c>
      <c r="T1278" s="227">
        <v>6.1313333333333349</v>
      </c>
      <c r="U1278" s="224">
        <v>5.7430000000000003</v>
      </c>
      <c r="V1278" s="227">
        <v>10.118333333333334</v>
      </c>
      <c r="W1278" s="224">
        <v>18.092499999999994</v>
      </c>
      <c r="X1278" s="227">
        <v>2.2065000000000001</v>
      </c>
      <c r="Y1278" s="224">
        <v>0</v>
      </c>
      <c r="Z1278" s="227">
        <v>0</v>
      </c>
      <c r="AA1278" s="224">
        <v>0</v>
      </c>
      <c r="AB1278" s="227">
        <v>0</v>
      </c>
      <c r="AC1278" s="238">
        <f t="shared" si="653"/>
        <v>72.941500000000019</v>
      </c>
      <c r="AD1278" s="238"/>
      <c r="AE1278" s="238"/>
    </row>
    <row r="1279" spans="2:31" x14ac:dyDescent="0.3">
      <c r="B1279" s="245" t="s">
        <v>28</v>
      </c>
      <c r="C1279" s="245"/>
      <c r="D1279" s="245"/>
      <c r="E1279" s="224">
        <v>0</v>
      </c>
      <c r="F1279" s="227">
        <v>0</v>
      </c>
      <c r="G1279" s="224">
        <v>0</v>
      </c>
      <c r="H1279" s="227">
        <v>0</v>
      </c>
      <c r="I1279" s="224">
        <v>0</v>
      </c>
      <c r="J1279" s="227">
        <v>0</v>
      </c>
      <c r="K1279" s="224">
        <v>0</v>
      </c>
      <c r="L1279" s="227">
        <v>0</v>
      </c>
      <c r="M1279" s="224">
        <v>0</v>
      </c>
      <c r="N1279" s="227">
        <v>0</v>
      </c>
      <c r="O1279" s="224">
        <v>6.8013333333333348</v>
      </c>
      <c r="P1279" s="227">
        <v>20.227166666666676</v>
      </c>
      <c r="Q1279" s="224">
        <v>21.371833333333356</v>
      </c>
      <c r="R1279" s="227">
        <v>20.817666666666671</v>
      </c>
      <c r="S1279" s="224">
        <v>22.862333333333364</v>
      </c>
      <c r="T1279" s="227">
        <v>24.20800000000002</v>
      </c>
      <c r="U1279" s="224">
        <v>24.654166666666665</v>
      </c>
      <c r="V1279" s="227">
        <v>28.626333333333289</v>
      </c>
      <c r="W1279" s="224">
        <v>37.679166666666688</v>
      </c>
      <c r="X1279" s="227">
        <v>3.9625000000000004</v>
      </c>
      <c r="Y1279" s="224">
        <v>0</v>
      </c>
      <c r="Z1279" s="227">
        <v>0</v>
      </c>
      <c r="AA1279" s="224">
        <v>0</v>
      </c>
      <c r="AB1279" s="227">
        <v>0</v>
      </c>
      <c r="AC1279" s="238">
        <f t="shared" si="653"/>
        <v>211.21050000000005</v>
      </c>
      <c r="AD1279" s="238"/>
      <c r="AE1279" s="238"/>
    </row>
    <row r="1280" spans="2:31" x14ac:dyDescent="0.3">
      <c r="B1280" s="245" t="s">
        <v>92</v>
      </c>
      <c r="C1280" s="245"/>
      <c r="D1280" s="245"/>
      <c r="E1280" s="224">
        <v>0</v>
      </c>
      <c r="F1280" s="227">
        <v>0</v>
      </c>
      <c r="G1280" s="224">
        <v>0</v>
      </c>
      <c r="H1280" s="227">
        <v>0</v>
      </c>
      <c r="I1280" s="224">
        <v>0</v>
      </c>
      <c r="J1280" s="227">
        <v>0</v>
      </c>
      <c r="K1280" s="224">
        <v>0</v>
      </c>
      <c r="L1280" s="227">
        <v>0</v>
      </c>
      <c r="M1280" s="224">
        <v>0</v>
      </c>
      <c r="N1280" s="227">
        <v>0</v>
      </c>
      <c r="O1280" s="224">
        <v>0</v>
      </c>
      <c r="P1280" s="227">
        <v>0</v>
      </c>
      <c r="Q1280" s="224">
        <v>0</v>
      </c>
      <c r="R1280" s="227">
        <v>0</v>
      </c>
      <c r="S1280" s="224">
        <v>0</v>
      </c>
      <c r="T1280" s="227">
        <v>0</v>
      </c>
      <c r="U1280" s="224">
        <v>0</v>
      </c>
      <c r="V1280" s="227">
        <v>0</v>
      </c>
      <c r="W1280" s="224">
        <v>0</v>
      </c>
      <c r="X1280" s="227">
        <v>0</v>
      </c>
      <c r="Y1280" s="224">
        <v>0</v>
      </c>
      <c r="Z1280" s="227">
        <v>0</v>
      </c>
      <c r="AA1280" s="224">
        <v>0</v>
      </c>
      <c r="AB1280" s="227">
        <v>0</v>
      </c>
      <c r="AC1280" s="238">
        <f t="shared" si="653"/>
        <v>0</v>
      </c>
      <c r="AD1280" s="238"/>
      <c r="AE1280" s="238"/>
    </row>
    <row r="1281" spans="2:31" x14ac:dyDescent="0.3">
      <c r="B1281" s="245" t="s">
        <v>29</v>
      </c>
      <c r="C1281" s="245"/>
      <c r="D1281" s="245"/>
      <c r="E1281" s="224">
        <v>0</v>
      </c>
      <c r="F1281" s="227">
        <v>0</v>
      </c>
      <c r="G1281" s="224">
        <v>0</v>
      </c>
      <c r="H1281" s="227">
        <v>0</v>
      </c>
      <c r="I1281" s="224">
        <v>0</v>
      </c>
      <c r="J1281" s="227">
        <v>0</v>
      </c>
      <c r="K1281" s="224">
        <v>0</v>
      </c>
      <c r="L1281" s="227">
        <v>0</v>
      </c>
      <c r="M1281" s="224">
        <v>0</v>
      </c>
      <c r="N1281" s="227">
        <v>0</v>
      </c>
      <c r="O1281" s="224">
        <v>6.0995000000000017</v>
      </c>
      <c r="P1281" s="227">
        <v>3.1701666666666664</v>
      </c>
      <c r="Q1281" s="224">
        <v>5.9346666666666676</v>
      </c>
      <c r="R1281" s="227">
        <v>0.84549999999999959</v>
      </c>
      <c r="S1281" s="224">
        <v>4.0291666666666668</v>
      </c>
      <c r="T1281" s="227">
        <v>3.6611666666666647</v>
      </c>
      <c r="U1281" s="224">
        <v>3.0648333333333331</v>
      </c>
      <c r="V1281" s="227">
        <v>14.513666666666669</v>
      </c>
      <c r="W1281" s="224">
        <v>19.15499999999999</v>
      </c>
      <c r="X1281" s="227">
        <v>2.0358333333333332</v>
      </c>
      <c r="Y1281" s="224">
        <v>0</v>
      </c>
      <c r="Z1281" s="227">
        <v>0</v>
      </c>
      <c r="AA1281" s="224">
        <v>0</v>
      </c>
      <c r="AB1281" s="227">
        <v>0</v>
      </c>
      <c r="AC1281" s="238">
        <f t="shared" si="653"/>
        <v>62.509499999999996</v>
      </c>
      <c r="AD1281" s="238"/>
      <c r="AE1281" s="238"/>
    </row>
    <row r="1282" spans="2:31" x14ac:dyDescent="0.3">
      <c r="B1282" s="245" t="s">
        <v>30</v>
      </c>
      <c r="C1282" s="245"/>
      <c r="D1282" s="245"/>
      <c r="E1282" s="224">
        <v>0</v>
      </c>
      <c r="F1282" s="227">
        <v>0</v>
      </c>
      <c r="G1282" s="224">
        <v>0</v>
      </c>
      <c r="H1282" s="227">
        <v>0</v>
      </c>
      <c r="I1282" s="224">
        <v>0</v>
      </c>
      <c r="J1282" s="227">
        <v>0</v>
      </c>
      <c r="K1282" s="224">
        <v>0</v>
      </c>
      <c r="L1282" s="227">
        <v>0</v>
      </c>
      <c r="M1282" s="224">
        <v>0</v>
      </c>
      <c r="N1282" s="227">
        <v>0</v>
      </c>
      <c r="O1282" s="224">
        <v>8.8616666666666681</v>
      </c>
      <c r="P1282" s="227">
        <v>17.298499999999997</v>
      </c>
      <c r="Q1282" s="224">
        <v>10.689333333333334</v>
      </c>
      <c r="R1282" s="227">
        <v>14.111666666666663</v>
      </c>
      <c r="S1282" s="224">
        <v>14.852500000000003</v>
      </c>
      <c r="T1282" s="227">
        <v>17.047333333333334</v>
      </c>
      <c r="U1282" s="224">
        <v>18.09783333333333</v>
      </c>
      <c r="V1282" s="227">
        <v>28.179500000000001</v>
      </c>
      <c r="W1282" s="224">
        <v>48.045333333333332</v>
      </c>
      <c r="X1282" s="227">
        <v>5.6206666666666658</v>
      </c>
      <c r="Y1282" s="224">
        <v>0</v>
      </c>
      <c r="Z1282" s="227">
        <v>0</v>
      </c>
      <c r="AA1282" s="224">
        <v>0</v>
      </c>
      <c r="AB1282" s="227">
        <v>0</v>
      </c>
      <c r="AC1282" s="238">
        <f t="shared" si="653"/>
        <v>182.80433333333332</v>
      </c>
      <c r="AD1282" s="238"/>
      <c r="AE1282" s="238"/>
    </row>
    <row r="1283" spans="2:31" x14ac:dyDescent="0.3">
      <c r="B1283" s="245" t="s">
        <v>31</v>
      </c>
      <c r="C1283" s="245"/>
      <c r="D1283" s="245"/>
      <c r="E1283" s="224">
        <v>0</v>
      </c>
      <c r="F1283" s="227">
        <v>0</v>
      </c>
      <c r="G1283" s="224">
        <v>0</v>
      </c>
      <c r="H1283" s="227">
        <v>0</v>
      </c>
      <c r="I1283" s="224">
        <v>0</v>
      </c>
      <c r="J1283" s="227">
        <v>0</v>
      </c>
      <c r="K1283" s="224">
        <v>0</v>
      </c>
      <c r="L1283" s="227">
        <v>0</v>
      </c>
      <c r="M1283" s="224">
        <v>0</v>
      </c>
      <c r="N1283" s="227">
        <v>0</v>
      </c>
      <c r="O1283" s="224">
        <v>2.1758333333333351</v>
      </c>
      <c r="P1283" s="227">
        <v>6.6299999999999963</v>
      </c>
      <c r="Q1283" s="224">
        <v>9.1299999999999972</v>
      </c>
      <c r="R1283" s="227">
        <v>9.5299999999999851</v>
      </c>
      <c r="S1283" s="224">
        <v>9.9299999999999979</v>
      </c>
      <c r="T1283" s="227">
        <v>8.9300000000000033</v>
      </c>
      <c r="U1283" s="224">
        <v>8.6299999999999972</v>
      </c>
      <c r="V1283" s="227">
        <v>11.029999999999983</v>
      </c>
      <c r="W1283" s="224">
        <v>14.230000000000011</v>
      </c>
      <c r="X1283" s="227">
        <v>1.4441666666666668</v>
      </c>
      <c r="Y1283" s="224">
        <v>0</v>
      </c>
      <c r="Z1283" s="227">
        <v>0</v>
      </c>
      <c r="AA1283" s="224">
        <v>0</v>
      </c>
      <c r="AB1283" s="227">
        <v>0</v>
      </c>
      <c r="AC1283" s="238">
        <f t="shared" si="653"/>
        <v>81.659999999999968</v>
      </c>
      <c r="AD1283" s="238"/>
      <c r="AE1283" s="238"/>
    </row>
    <row r="1284" spans="2:31" x14ac:dyDescent="0.3">
      <c r="B1284" s="245" t="s">
        <v>32</v>
      </c>
      <c r="C1284" s="245"/>
      <c r="D1284" s="245"/>
      <c r="E1284" s="224">
        <v>0</v>
      </c>
      <c r="F1284" s="227">
        <v>0</v>
      </c>
      <c r="G1284" s="224">
        <v>0</v>
      </c>
      <c r="H1284" s="227">
        <v>0</v>
      </c>
      <c r="I1284" s="224">
        <v>0</v>
      </c>
      <c r="J1284" s="227">
        <v>0</v>
      </c>
      <c r="K1284" s="224">
        <v>0</v>
      </c>
      <c r="L1284" s="227">
        <v>0</v>
      </c>
      <c r="M1284" s="224">
        <v>0</v>
      </c>
      <c r="N1284" s="227">
        <v>0</v>
      </c>
      <c r="O1284" s="224">
        <v>9.0693333333333328</v>
      </c>
      <c r="P1284" s="227">
        <v>19.215333333333341</v>
      </c>
      <c r="Q1284" s="224">
        <v>13.436999999999999</v>
      </c>
      <c r="R1284" s="227">
        <v>20.757499999999997</v>
      </c>
      <c r="S1284" s="224">
        <v>14.23683333333333</v>
      </c>
      <c r="T1284" s="227">
        <v>15.511666666666663</v>
      </c>
      <c r="U1284" s="224">
        <v>15.390666666666663</v>
      </c>
      <c r="V1284" s="227">
        <v>20.496666666666666</v>
      </c>
      <c r="W1284" s="224">
        <v>30.237666666666669</v>
      </c>
      <c r="X1284" s="227">
        <v>3.2723333333333331</v>
      </c>
      <c r="Y1284" s="224">
        <v>0</v>
      </c>
      <c r="Z1284" s="227">
        <v>0</v>
      </c>
      <c r="AA1284" s="224">
        <v>0</v>
      </c>
      <c r="AB1284" s="227">
        <v>0</v>
      </c>
      <c r="AC1284" s="238">
        <f t="shared" si="653"/>
        <v>161.625</v>
      </c>
      <c r="AD1284" s="238"/>
      <c r="AE1284" s="238"/>
    </row>
    <row r="1285" spans="2:31" x14ac:dyDescent="0.3">
      <c r="B1285" s="245" t="s">
        <v>33</v>
      </c>
      <c r="C1285" s="245"/>
      <c r="D1285" s="245"/>
      <c r="E1285" s="224">
        <v>0</v>
      </c>
      <c r="F1285" s="227">
        <v>0</v>
      </c>
      <c r="G1285" s="224">
        <v>0</v>
      </c>
      <c r="H1285" s="227">
        <v>0</v>
      </c>
      <c r="I1285" s="224">
        <v>0</v>
      </c>
      <c r="J1285" s="227">
        <v>0</v>
      </c>
      <c r="K1285" s="224">
        <v>0</v>
      </c>
      <c r="L1285" s="227">
        <v>0</v>
      </c>
      <c r="M1285" s="224">
        <v>0</v>
      </c>
      <c r="N1285" s="227">
        <v>0</v>
      </c>
      <c r="O1285" s="224">
        <v>1.019333333333333</v>
      </c>
      <c r="P1285" s="227">
        <v>0.83899999999999986</v>
      </c>
      <c r="Q1285" s="224">
        <v>4.6166666666666627E-2</v>
      </c>
      <c r="R1285" s="227">
        <v>0</v>
      </c>
      <c r="S1285" s="224">
        <v>2.066666666666667E-2</v>
      </c>
      <c r="T1285" s="227">
        <v>1.2151666666666665</v>
      </c>
      <c r="U1285" s="224">
        <v>2.8723333333333345</v>
      </c>
      <c r="V1285" s="227">
        <v>1.2046666666666661</v>
      </c>
      <c r="W1285" s="224">
        <v>3.9973333333333319</v>
      </c>
      <c r="X1285" s="227">
        <v>0.47850000000000004</v>
      </c>
      <c r="Y1285" s="224">
        <v>0</v>
      </c>
      <c r="Z1285" s="227">
        <v>0</v>
      </c>
      <c r="AA1285" s="224">
        <v>0</v>
      </c>
      <c r="AB1285" s="227">
        <v>0</v>
      </c>
      <c r="AC1285" s="238">
        <f t="shared" si="653"/>
        <v>11.693166666666666</v>
      </c>
      <c r="AD1285" s="238"/>
      <c r="AE1285" s="238"/>
    </row>
    <row r="1286" spans="2:31" x14ac:dyDescent="0.3">
      <c r="B1286" s="245" t="s">
        <v>34</v>
      </c>
      <c r="C1286" s="245"/>
      <c r="D1286" s="245"/>
      <c r="E1286" s="224">
        <v>0</v>
      </c>
      <c r="F1286" s="227">
        <v>0</v>
      </c>
      <c r="G1286" s="224">
        <v>0</v>
      </c>
      <c r="H1286" s="227">
        <v>0</v>
      </c>
      <c r="I1286" s="224">
        <v>0</v>
      </c>
      <c r="J1286" s="227">
        <v>0</v>
      </c>
      <c r="K1286" s="224">
        <v>0</v>
      </c>
      <c r="L1286" s="227">
        <v>0</v>
      </c>
      <c r="M1286" s="224">
        <v>0</v>
      </c>
      <c r="N1286" s="227">
        <v>0</v>
      </c>
      <c r="O1286" s="224">
        <v>0.4634999999999998</v>
      </c>
      <c r="P1286" s="227">
        <v>0.3633333333333334</v>
      </c>
      <c r="Q1286" s="224">
        <v>0.49499999999999977</v>
      </c>
      <c r="R1286" s="227">
        <v>0.55866666666666687</v>
      </c>
      <c r="S1286" s="224">
        <v>0.75083333333333369</v>
      </c>
      <c r="T1286" s="227">
        <v>1.0318333333333332</v>
      </c>
      <c r="U1286" s="224">
        <v>1.1635000000000002</v>
      </c>
      <c r="V1286" s="227">
        <v>1.6274999999999986</v>
      </c>
      <c r="W1286" s="224">
        <v>2.7923333333333336</v>
      </c>
      <c r="X1286" s="227">
        <v>0.34616666666666668</v>
      </c>
      <c r="Y1286" s="224">
        <v>0</v>
      </c>
      <c r="Z1286" s="227">
        <v>0</v>
      </c>
      <c r="AA1286" s="224">
        <v>0</v>
      </c>
      <c r="AB1286" s="227">
        <v>0</v>
      </c>
      <c r="AC1286" s="238">
        <f t="shared" si="653"/>
        <v>9.5926666666666662</v>
      </c>
      <c r="AD1286" s="238"/>
      <c r="AE1286" s="238"/>
    </row>
    <row r="1287" spans="2:31" x14ac:dyDescent="0.3">
      <c r="B1287" s="245" t="s">
        <v>35</v>
      </c>
      <c r="C1287" s="245"/>
      <c r="D1287" s="245"/>
      <c r="E1287" s="224">
        <v>0</v>
      </c>
      <c r="F1287" s="227">
        <v>0</v>
      </c>
      <c r="G1287" s="224">
        <v>0</v>
      </c>
      <c r="H1287" s="227">
        <v>0</v>
      </c>
      <c r="I1287" s="224">
        <v>0</v>
      </c>
      <c r="J1287" s="227">
        <v>0</v>
      </c>
      <c r="K1287" s="224">
        <v>0</v>
      </c>
      <c r="L1287" s="227">
        <v>0</v>
      </c>
      <c r="M1287" s="224">
        <v>0</v>
      </c>
      <c r="N1287" s="227">
        <v>0</v>
      </c>
      <c r="O1287" s="224">
        <v>0</v>
      </c>
      <c r="P1287" s="227">
        <v>0</v>
      </c>
      <c r="Q1287" s="224">
        <v>0</v>
      </c>
      <c r="R1287" s="227">
        <v>0</v>
      </c>
      <c r="S1287" s="224">
        <v>0</v>
      </c>
      <c r="T1287" s="227">
        <v>0</v>
      </c>
      <c r="U1287" s="224">
        <v>0</v>
      </c>
      <c r="V1287" s="227">
        <v>0</v>
      </c>
      <c r="W1287" s="224">
        <v>0</v>
      </c>
      <c r="X1287" s="227">
        <v>0</v>
      </c>
      <c r="Y1287" s="224">
        <v>0</v>
      </c>
      <c r="Z1287" s="227">
        <v>0</v>
      </c>
      <c r="AA1287" s="224">
        <v>0</v>
      </c>
      <c r="AB1287" s="227">
        <v>0</v>
      </c>
      <c r="AC1287" s="238">
        <f t="shared" si="653"/>
        <v>0</v>
      </c>
      <c r="AD1287" s="238"/>
      <c r="AE1287" s="238"/>
    </row>
    <row r="1288" spans="2:31" x14ac:dyDescent="0.3">
      <c r="B1288" s="245" t="s">
        <v>36</v>
      </c>
      <c r="C1288" s="245"/>
      <c r="D1288" s="245"/>
      <c r="E1288" s="224">
        <v>0</v>
      </c>
      <c r="F1288" s="227">
        <v>0</v>
      </c>
      <c r="G1288" s="224">
        <v>0</v>
      </c>
      <c r="H1288" s="227">
        <v>0</v>
      </c>
      <c r="I1288" s="224">
        <v>0</v>
      </c>
      <c r="J1288" s="227">
        <v>0</v>
      </c>
      <c r="K1288" s="224">
        <v>0</v>
      </c>
      <c r="L1288" s="227">
        <v>0</v>
      </c>
      <c r="M1288" s="224">
        <v>0</v>
      </c>
      <c r="N1288" s="227">
        <v>0</v>
      </c>
      <c r="O1288" s="224">
        <v>0</v>
      </c>
      <c r="P1288" s="227">
        <v>0</v>
      </c>
      <c r="Q1288" s="224">
        <v>0</v>
      </c>
      <c r="R1288" s="227">
        <v>0</v>
      </c>
      <c r="S1288" s="224">
        <v>0</v>
      </c>
      <c r="T1288" s="227">
        <v>0</v>
      </c>
      <c r="U1288" s="224">
        <v>0</v>
      </c>
      <c r="V1288" s="227">
        <v>0</v>
      </c>
      <c r="W1288" s="224">
        <v>0</v>
      </c>
      <c r="X1288" s="227">
        <v>0</v>
      </c>
      <c r="Y1288" s="224">
        <v>0</v>
      </c>
      <c r="Z1288" s="227">
        <v>0</v>
      </c>
      <c r="AA1288" s="224">
        <v>0</v>
      </c>
      <c r="AB1288" s="227">
        <v>0</v>
      </c>
      <c r="AC1288" s="238">
        <f t="shared" si="653"/>
        <v>0</v>
      </c>
      <c r="AD1288" s="238"/>
      <c r="AE1288" s="238"/>
    </row>
    <row r="1289" spans="2:31" x14ac:dyDescent="0.3">
      <c r="B1289" s="13" t="s">
        <v>89</v>
      </c>
      <c r="C1289" s="13"/>
      <c r="D1289" s="13"/>
      <c r="E1289" s="224">
        <v>0</v>
      </c>
      <c r="F1289" s="227">
        <v>0</v>
      </c>
      <c r="G1289" s="224">
        <v>0</v>
      </c>
      <c r="H1289" s="227">
        <v>0</v>
      </c>
      <c r="I1289" s="224">
        <v>0</v>
      </c>
      <c r="J1289" s="227">
        <v>0</v>
      </c>
      <c r="K1289" s="224">
        <v>0</v>
      </c>
      <c r="L1289" s="227">
        <v>0</v>
      </c>
      <c r="M1289" s="224">
        <v>0</v>
      </c>
      <c r="N1289" s="227">
        <v>0</v>
      </c>
      <c r="O1289" s="224">
        <v>0.80116666666666636</v>
      </c>
      <c r="P1289" s="227">
        <v>0.53816666666666668</v>
      </c>
      <c r="Q1289" s="224">
        <v>0</v>
      </c>
      <c r="R1289" s="227">
        <v>0</v>
      </c>
      <c r="S1289" s="224">
        <v>0</v>
      </c>
      <c r="T1289" s="227">
        <v>0</v>
      </c>
      <c r="U1289" s="224">
        <v>0</v>
      </c>
      <c r="V1289" s="227">
        <v>0</v>
      </c>
      <c r="W1289" s="224">
        <v>0</v>
      </c>
      <c r="X1289" s="227">
        <v>0</v>
      </c>
      <c r="Y1289" s="224">
        <v>0</v>
      </c>
      <c r="Z1289" s="227">
        <v>0</v>
      </c>
      <c r="AA1289" s="224">
        <v>0</v>
      </c>
      <c r="AB1289" s="227">
        <v>0</v>
      </c>
      <c r="AC1289" s="238">
        <f t="shared" si="653"/>
        <v>1.339333333333333</v>
      </c>
      <c r="AD1289" s="238"/>
      <c r="AE1289" s="238"/>
    </row>
    <row r="1290" spans="2:31" x14ac:dyDescent="0.3">
      <c r="B1290" s="13" t="s">
        <v>90</v>
      </c>
      <c r="C1290" s="13"/>
      <c r="D1290" s="13"/>
      <c r="E1290" s="224">
        <v>0</v>
      </c>
      <c r="F1290" s="227">
        <v>0</v>
      </c>
      <c r="G1290" s="224">
        <v>0</v>
      </c>
      <c r="H1290" s="227">
        <v>0</v>
      </c>
      <c r="I1290" s="224">
        <v>0</v>
      </c>
      <c r="J1290" s="227">
        <v>0</v>
      </c>
      <c r="K1290" s="224">
        <v>0</v>
      </c>
      <c r="L1290" s="227">
        <v>0</v>
      </c>
      <c r="M1290" s="224">
        <v>0</v>
      </c>
      <c r="N1290" s="227">
        <v>0</v>
      </c>
      <c r="O1290" s="224">
        <v>0</v>
      </c>
      <c r="P1290" s="227">
        <v>0</v>
      </c>
      <c r="Q1290" s="224">
        <v>0</v>
      </c>
      <c r="R1290" s="227">
        <v>0</v>
      </c>
      <c r="S1290" s="224">
        <v>0</v>
      </c>
      <c r="T1290" s="227">
        <v>0</v>
      </c>
      <c r="U1290" s="224">
        <v>4.933333333333341E-2</v>
      </c>
      <c r="V1290" s="227">
        <v>2.883833333333333</v>
      </c>
      <c r="W1290" s="224">
        <v>9.1344999999999992</v>
      </c>
      <c r="X1290" s="227">
        <v>2.0213333333333332</v>
      </c>
      <c r="Y1290" s="224">
        <v>0</v>
      </c>
      <c r="Z1290" s="227">
        <v>0</v>
      </c>
      <c r="AA1290" s="224">
        <v>0</v>
      </c>
      <c r="AB1290" s="227">
        <v>0</v>
      </c>
      <c r="AC1290" s="238">
        <f t="shared" si="653"/>
        <v>14.088999999999999</v>
      </c>
      <c r="AD1290" s="238"/>
      <c r="AE1290" s="238"/>
    </row>
    <row r="1291" spans="2:31" x14ac:dyDescent="0.3">
      <c r="B1291" s="14" t="s">
        <v>2</v>
      </c>
      <c r="C1291" s="14"/>
      <c r="D1291" s="14"/>
      <c r="E1291" s="15">
        <f>SUM(E1254:E1290)</f>
        <v>0</v>
      </c>
      <c r="F1291" s="15">
        <f t="shared" ref="F1291" si="654">SUM(F1254:F1290)</f>
        <v>0</v>
      </c>
      <c r="G1291" s="15">
        <f t="shared" ref="G1291" si="655">SUM(G1254:G1290)</f>
        <v>0</v>
      </c>
      <c r="H1291" s="15">
        <f t="shared" ref="H1291" si="656">SUM(H1254:H1290)</f>
        <v>0</v>
      </c>
      <c r="I1291" s="15">
        <f t="shared" ref="I1291" si="657">SUM(I1254:I1290)</f>
        <v>0</v>
      </c>
      <c r="J1291" s="15">
        <f t="shared" ref="J1291" si="658">SUM(J1254:J1290)</f>
        <v>0</v>
      </c>
      <c r="K1291" s="15">
        <f t="shared" ref="K1291" si="659">SUM(K1254:K1290)</f>
        <v>0</v>
      </c>
      <c r="L1291" s="15">
        <f t="shared" ref="L1291" si="660">SUM(L1254:L1290)</f>
        <v>0</v>
      </c>
      <c r="M1291" s="15">
        <f t="shared" ref="M1291" si="661">SUM(M1254:M1290)</f>
        <v>0</v>
      </c>
      <c r="N1291" s="15">
        <f t="shared" ref="N1291" si="662">SUM(N1254:N1290)</f>
        <v>0</v>
      </c>
      <c r="O1291" s="15">
        <f t="shared" ref="O1291" si="663">SUM(O1254:O1290)</f>
        <v>72.382333333333321</v>
      </c>
      <c r="P1291" s="15">
        <f t="shared" ref="P1291" si="664">SUM(P1254:P1290)</f>
        <v>129.52783333333335</v>
      </c>
      <c r="Q1291" s="15">
        <f t="shared" ref="Q1291" si="665">SUM(Q1254:Q1290)</f>
        <v>188.16300000000004</v>
      </c>
      <c r="R1291" s="15">
        <f t="shared" ref="R1291" si="666">SUM(R1254:R1290)</f>
        <v>244.59166666666664</v>
      </c>
      <c r="S1291" s="15">
        <f t="shared" ref="S1291" si="667">SUM(S1254:S1290)</f>
        <v>242.07450000000006</v>
      </c>
      <c r="T1291" s="15">
        <f t="shared" ref="T1291" si="668">SUM(T1254:T1290)</f>
        <v>359.5768333333333</v>
      </c>
      <c r="U1291" s="15">
        <f t="shared" ref="U1291" si="669">SUM(U1254:U1290)</f>
        <v>514.52666666666676</v>
      </c>
      <c r="V1291" s="15">
        <f t="shared" ref="V1291" si="670">SUM(V1254:V1290)</f>
        <v>685.25049999999999</v>
      </c>
      <c r="W1291" s="15">
        <f t="shared" ref="W1291" si="671">SUM(W1254:W1290)</f>
        <v>905.82516666666663</v>
      </c>
      <c r="X1291" s="15">
        <f t="shared" ref="X1291" si="672">SUM(X1254:X1290)</f>
        <v>115.43366666666668</v>
      </c>
      <c r="Y1291" s="15">
        <f t="shared" ref="Y1291" si="673">SUM(Y1254:Y1290)</f>
        <v>0</v>
      </c>
      <c r="Z1291" s="15">
        <f t="shared" ref="Z1291" si="674">SUM(Z1254:Z1290)</f>
        <v>0</v>
      </c>
      <c r="AA1291" s="15">
        <f t="shared" ref="AA1291" si="675">SUM(AA1254:AA1290)</f>
        <v>0</v>
      </c>
      <c r="AB1291" s="15">
        <f t="shared" ref="AB1291" si="676">SUM(AB1254:AB1290)</f>
        <v>0</v>
      </c>
      <c r="AC1291" s="249">
        <f>SUM(AC1254:AE1290)</f>
        <v>3457.3521666666661</v>
      </c>
      <c r="AD1291" s="249"/>
      <c r="AE1291" s="249"/>
    </row>
    <row r="1294" spans="2:31" x14ac:dyDescent="0.3">
      <c r="B1294" s="8">
        <f>'Resumen-Mensual'!$AI$22</f>
        <v>44592</v>
      </c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4"/>
      <c r="AD1294" s="4"/>
      <c r="AE1294" s="4"/>
    </row>
    <row r="1295" spans="2:31" x14ac:dyDescent="0.3">
      <c r="B1295" s="8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4"/>
      <c r="AD1295" s="4"/>
      <c r="AE1295" s="4"/>
    </row>
    <row r="1296" spans="2:31" x14ac:dyDescent="0.3">
      <c r="B1296" s="9" t="s">
        <v>81</v>
      </c>
      <c r="C1296" s="10"/>
      <c r="D1296" s="10"/>
      <c r="E1296" s="11">
        <v>1</v>
      </c>
      <c r="F1296" s="11">
        <v>2</v>
      </c>
      <c r="G1296" s="11">
        <v>3</v>
      </c>
      <c r="H1296" s="11">
        <v>4</v>
      </c>
      <c r="I1296" s="11">
        <v>5</v>
      </c>
      <c r="J1296" s="11">
        <v>6</v>
      </c>
      <c r="K1296" s="11">
        <v>7</v>
      </c>
      <c r="L1296" s="11">
        <v>8</v>
      </c>
      <c r="M1296" s="11">
        <v>9</v>
      </c>
      <c r="N1296" s="11">
        <v>10</v>
      </c>
      <c r="O1296" s="11">
        <v>11</v>
      </c>
      <c r="P1296" s="11">
        <v>12</v>
      </c>
      <c r="Q1296" s="11">
        <v>13</v>
      </c>
      <c r="R1296" s="11">
        <v>14</v>
      </c>
      <c r="S1296" s="11">
        <v>15</v>
      </c>
      <c r="T1296" s="11">
        <v>16</v>
      </c>
      <c r="U1296" s="11">
        <v>17</v>
      </c>
      <c r="V1296" s="11">
        <v>18</v>
      </c>
      <c r="W1296" s="11">
        <v>19</v>
      </c>
      <c r="X1296" s="11">
        <v>20</v>
      </c>
      <c r="Y1296" s="11">
        <v>21</v>
      </c>
      <c r="Z1296" s="11">
        <v>22</v>
      </c>
      <c r="AA1296" s="11">
        <v>23</v>
      </c>
      <c r="AB1296" s="11">
        <v>24</v>
      </c>
      <c r="AC1296" s="248" t="s">
        <v>2</v>
      </c>
      <c r="AD1296" s="248"/>
      <c r="AE1296" s="248"/>
    </row>
    <row r="1297" spans="2:31" x14ac:dyDescent="0.3">
      <c r="B1297" s="245" t="s">
        <v>4</v>
      </c>
      <c r="C1297" s="245"/>
      <c r="D1297" s="245"/>
      <c r="E1297" s="232">
        <v>0</v>
      </c>
      <c r="F1297" s="233">
        <v>0</v>
      </c>
      <c r="G1297" s="232">
        <v>0</v>
      </c>
      <c r="H1297" s="233">
        <v>0</v>
      </c>
      <c r="I1297" s="232">
        <v>0</v>
      </c>
      <c r="J1297" s="233">
        <v>0</v>
      </c>
      <c r="K1297" s="232">
        <v>0</v>
      </c>
      <c r="L1297" s="233">
        <v>0</v>
      </c>
      <c r="M1297" s="232">
        <v>0</v>
      </c>
      <c r="N1297" s="233">
        <v>0</v>
      </c>
      <c r="O1297" s="232">
        <v>0</v>
      </c>
      <c r="P1297" s="233">
        <v>0</v>
      </c>
      <c r="Q1297" s="232">
        <v>0</v>
      </c>
      <c r="R1297" s="233">
        <v>0</v>
      </c>
      <c r="S1297" s="232">
        <v>0</v>
      </c>
      <c r="T1297" s="233">
        <v>0</v>
      </c>
      <c r="U1297" s="232">
        <v>0</v>
      </c>
      <c r="V1297" s="233">
        <v>0</v>
      </c>
      <c r="W1297" s="232">
        <v>0</v>
      </c>
      <c r="X1297" s="233">
        <v>0</v>
      </c>
      <c r="Y1297" s="232">
        <v>0</v>
      </c>
      <c r="Z1297" s="233">
        <v>0</v>
      </c>
      <c r="AA1297" s="232">
        <v>0</v>
      </c>
      <c r="AB1297" s="233">
        <v>0</v>
      </c>
      <c r="AC1297" s="238">
        <f>SUM(E1297:AB1297)</f>
        <v>0</v>
      </c>
      <c r="AD1297" s="238"/>
      <c r="AE1297" s="238"/>
    </row>
    <row r="1298" spans="2:31" x14ac:dyDescent="0.3">
      <c r="B1298" s="245" t="s">
        <v>5</v>
      </c>
      <c r="C1298" s="245"/>
      <c r="D1298" s="245"/>
      <c r="E1298" s="231">
        <v>0</v>
      </c>
      <c r="F1298" s="234">
        <v>0</v>
      </c>
      <c r="G1298" s="231">
        <v>0</v>
      </c>
      <c r="H1298" s="234">
        <v>0</v>
      </c>
      <c r="I1298" s="231">
        <v>0</v>
      </c>
      <c r="J1298" s="234">
        <v>0</v>
      </c>
      <c r="K1298" s="231">
        <v>0</v>
      </c>
      <c r="L1298" s="234">
        <v>0</v>
      </c>
      <c r="M1298" s="231">
        <v>0</v>
      </c>
      <c r="N1298" s="234">
        <v>0</v>
      </c>
      <c r="O1298" s="231">
        <v>0</v>
      </c>
      <c r="P1298" s="234">
        <v>0</v>
      </c>
      <c r="Q1298" s="231">
        <v>0</v>
      </c>
      <c r="R1298" s="234">
        <v>0</v>
      </c>
      <c r="S1298" s="231">
        <v>0</v>
      </c>
      <c r="T1298" s="234">
        <v>0</v>
      </c>
      <c r="U1298" s="231">
        <v>0</v>
      </c>
      <c r="V1298" s="234">
        <v>0</v>
      </c>
      <c r="W1298" s="231">
        <v>0</v>
      </c>
      <c r="X1298" s="234">
        <v>0</v>
      </c>
      <c r="Y1298" s="231">
        <v>0</v>
      </c>
      <c r="Z1298" s="234">
        <v>0</v>
      </c>
      <c r="AA1298" s="231">
        <v>0</v>
      </c>
      <c r="AB1298" s="234">
        <v>0</v>
      </c>
      <c r="AC1298" s="238">
        <f t="shared" ref="AC1298:AC1333" si="677">SUM(E1298:AB1298)</f>
        <v>0</v>
      </c>
      <c r="AD1298" s="238"/>
      <c r="AE1298" s="238"/>
    </row>
    <row r="1299" spans="2:31" x14ac:dyDescent="0.3">
      <c r="B1299" s="245" t="s">
        <v>6</v>
      </c>
      <c r="C1299" s="245"/>
      <c r="D1299" s="245"/>
      <c r="E1299" s="231">
        <v>0</v>
      </c>
      <c r="F1299" s="234">
        <v>0</v>
      </c>
      <c r="G1299" s="231">
        <v>0</v>
      </c>
      <c r="H1299" s="234">
        <v>0</v>
      </c>
      <c r="I1299" s="231">
        <v>0</v>
      </c>
      <c r="J1299" s="234">
        <v>0</v>
      </c>
      <c r="K1299" s="231">
        <v>0</v>
      </c>
      <c r="L1299" s="234">
        <v>0</v>
      </c>
      <c r="M1299" s="231">
        <v>0</v>
      </c>
      <c r="N1299" s="234">
        <v>0</v>
      </c>
      <c r="O1299" s="231">
        <v>0</v>
      </c>
      <c r="P1299" s="234">
        <v>0</v>
      </c>
      <c r="Q1299" s="231">
        <v>0.7320000000000001</v>
      </c>
      <c r="R1299" s="234">
        <v>16.470666666666666</v>
      </c>
      <c r="S1299" s="231">
        <v>0</v>
      </c>
      <c r="T1299" s="234">
        <v>7.4146666666666663</v>
      </c>
      <c r="U1299" s="231">
        <v>0</v>
      </c>
      <c r="V1299" s="234">
        <v>10.168666666666663</v>
      </c>
      <c r="W1299" s="231">
        <v>17.256000000000007</v>
      </c>
      <c r="X1299" s="234">
        <v>14.045499999999999</v>
      </c>
      <c r="Y1299" s="231">
        <v>0</v>
      </c>
      <c r="Z1299" s="234">
        <v>0</v>
      </c>
      <c r="AA1299" s="231">
        <v>0</v>
      </c>
      <c r="AB1299" s="234">
        <v>0</v>
      </c>
      <c r="AC1299" s="238">
        <f t="shared" si="677"/>
        <v>66.087500000000006</v>
      </c>
      <c r="AD1299" s="238"/>
      <c r="AE1299" s="238"/>
    </row>
    <row r="1300" spans="2:31" x14ac:dyDescent="0.3">
      <c r="B1300" s="245" t="s">
        <v>91</v>
      </c>
      <c r="C1300" s="245"/>
      <c r="D1300" s="245"/>
      <c r="E1300" s="231">
        <v>0</v>
      </c>
      <c r="F1300" s="234">
        <v>0</v>
      </c>
      <c r="G1300" s="231">
        <v>0</v>
      </c>
      <c r="H1300" s="234">
        <v>0</v>
      </c>
      <c r="I1300" s="231">
        <v>0</v>
      </c>
      <c r="J1300" s="234">
        <v>0</v>
      </c>
      <c r="K1300" s="231">
        <v>0</v>
      </c>
      <c r="L1300" s="234">
        <v>0</v>
      </c>
      <c r="M1300" s="231">
        <v>0</v>
      </c>
      <c r="N1300" s="234">
        <v>0</v>
      </c>
      <c r="O1300" s="231">
        <v>0</v>
      </c>
      <c r="P1300" s="234">
        <v>0</v>
      </c>
      <c r="Q1300" s="231">
        <v>0</v>
      </c>
      <c r="R1300" s="234">
        <v>0</v>
      </c>
      <c r="S1300" s="231">
        <v>0</v>
      </c>
      <c r="T1300" s="234">
        <v>0</v>
      </c>
      <c r="U1300" s="231">
        <v>0</v>
      </c>
      <c r="V1300" s="234">
        <v>0</v>
      </c>
      <c r="W1300" s="231">
        <v>0</v>
      </c>
      <c r="X1300" s="234">
        <v>0</v>
      </c>
      <c r="Y1300" s="231">
        <v>0</v>
      </c>
      <c r="Z1300" s="234">
        <v>0</v>
      </c>
      <c r="AA1300" s="231">
        <v>0</v>
      </c>
      <c r="AB1300" s="234">
        <v>0</v>
      </c>
      <c r="AC1300" s="238">
        <f t="shared" si="677"/>
        <v>0</v>
      </c>
      <c r="AD1300" s="238"/>
      <c r="AE1300" s="238"/>
    </row>
    <row r="1301" spans="2:31" x14ac:dyDescent="0.3">
      <c r="B1301" s="245" t="s">
        <v>7</v>
      </c>
      <c r="C1301" s="245"/>
      <c r="D1301" s="245"/>
      <c r="E1301" s="231">
        <v>0</v>
      </c>
      <c r="F1301" s="234">
        <v>0</v>
      </c>
      <c r="G1301" s="231">
        <v>0</v>
      </c>
      <c r="H1301" s="234">
        <v>0</v>
      </c>
      <c r="I1301" s="231">
        <v>0</v>
      </c>
      <c r="J1301" s="234">
        <v>0</v>
      </c>
      <c r="K1301" s="231">
        <v>0</v>
      </c>
      <c r="L1301" s="234">
        <v>0</v>
      </c>
      <c r="M1301" s="231">
        <v>0</v>
      </c>
      <c r="N1301" s="234">
        <v>0</v>
      </c>
      <c r="O1301" s="231">
        <v>0</v>
      </c>
      <c r="P1301" s="234">
        <v>0</v>
      </c>
      <c r="Q1301" s="231">
        <v>2.6051666666666677</v>
      </c>
      <c r="R1301" s="234">
        <v>0</v>
      </c>
      <c r="S1301" s="231">
        <v>0</v>
      </c>
      <c r="T1301" s="234">
        <v>0</v>
      </c>
      <c r="U1301" s="231">
        <v>0</v>
      </c>
      <c r="V1301" s="234">
        <v>0</v>
      </c>
      <c r="W1301" s="231">
        <v>0</v>
      </c>
      <c r="X1301" s="234">
        <v>0</v>
      </c>
      <c r="Y1301" s="231">
        <v>0</v>
      </c>
      <c r="Z1301" s="234">
        <v>0</v>
      </c>
      <c r="AA1301" s="231">
        <v>0</v>
      </c>
      <c r="AB1301" s="234">
        <v>0</v>
      </c>
      <c r="AC1301" s="238">
        <f t="shared" si="677"/>
        <v>2.6051666666666677</v>
      </c>
      <c r="AD1301" s="238"/>
      <c r="AE1301" s="238"/>
    </row>
    <row r="1302" spans="2:31" x14ac:dyDescent="0.3">
      <c r="B1302" s="245" t="s">
        <v>8</v>
      </c>
      <c r="C1302" s="245"/>
      <c r="D1302" s="245"/>
      <c r="E1302" s="231">
        <v>0</v>
      </c>
      <c r="F1302" s="234">
        <v>0</v>
      </c>
      <c r="G1302" s="231">
        <v>0</v>
      </c>
      <c r="H1302" s="234">
        <v>0</v>
      </c>
      <c r="I1302" s="231">
        <v>0</v>
      </c>
      <c r="J1302" s="234">
        <v>0</v>
      </c>
      <c r="K1302" s="231">
        <v>0</v>
      </c>
      <c r="L1302" s="234">
        <v>0</v>
      </c>
      <c r="M1302" s="231">
        <v>0</v>
      </c>
      <c r="N1302" s="234">
        <v>0</v>
      </c>
      <c r="O1302" s="231">
        <v>0</v>
      </c>
      <c r="P1302" s="234">
        <v>0</v>
      </c>
      <c r="Q1302" s="231">
        <v>0</v>
      </c>
      <c r="R1302" s="234">
        <v>0</v>
      </c>
      <c r="S1302" s="231">
        <v>0</v>
      </c>
      <c r="T1302" s="234">
        <v>0</v>
      </c>
      <c r="U1302" s="231">
        <v>0.72466666666666757</v>
      </c>
      <c r="V1302" s="234">
        <v>3.1873333333333318</v>
      </c>
      <c r="W1302" s="231">
        <v>0</v>
      </c>
      <c r="X1302" s="234">
        <v>0</v>
      </c>
      <c r="Y1302" s="231">
        <v>0</v>
      </c>
      <c r="Z1302" s="234">
        <v>0</v>
      </c>
      <c r="AA1302" s="231">
        <v>0</v>
      </c>
      <c r="AB1302" s="234">
        <v>0</v>
      </c>
      <c r="AC1302" s="238">
        <f t="shared" si="677"/>
        <v>3.9119999999999995</v>
      </c>
      <c r="AD1302" s="238"/>
      <c r="AE1302" s="238"/>
    </row>
    <row r="1303" spans="2:31" x14ac:dyDescent="0.3">
      <c r="B1303" s="245" t="s">
        <v>9</v>
      </c>
      <c r="C1303" s="245"/>
      <c r="D1303" s="245"/>
      <c r="E1303" s="231">
        <v>0</v>
      </c>
      <c r="F1303" s="234">
        <v>0</v>
      </c>
      <c r="G1303" s="231">
        <v>0</v>
      </c>
      <c r="H1303" s="234">
        <v>0</v>
      </c>
      <c r="I1303" s="231">
        <v>0</v>
      </c>
      <c r="J1303" s="234">
        <v>0</v>
      </c>
      <c r="K1303" s="231">
        <v>0</v>
      </c>
      <c r="L1303" s="234">
        <v>0</v>
      </c>
      <c r="M1303" s="231">
        <v>0</v>
      </c>
      <c r="N1303" s="234">
        <v>0</v>
      </c>
      <c r="O1303" s="231">
        <v>0</v>
      </c>
      <c r="P1303" s="234">
        <v>0</v>
      </c>
      <c r="Q1303" s="231">
        <v>0</v>
      </c>
      <c r="R1303" s="234">
        <v>0</v>
      </c>
      <c r="S1303" s="231">
        <v>0</v>
      </c>
      <c r="T1303" s="234">
        <v>0</v>
      </c>
      <c r="U1303" s="231">
        <v>0</v>
      </c>
      <c r="V1303" s="234">
        <v>0</v>
      </c>
      <c r="W1303" s="231">
        <v>0</v>
      </c>
      <c r="X1303" s="234">
        <v>0</v>
      </c>
      <c r="Y1303" s="231">
        <v>0</v>
      </c>
      <c r="Z1303" s="234">
        <v>0</v>
      </c>
      <c r="AA1303" s="231">
        <v>0</v>
      </c>
      <c r="AB1303" s="234">
        <v>0</v>
      </c>
      <c r="AC1303" s="238">
        <f t="shared" si="677"/>
        <v>0</v>
      </c>
      <c r="AD1303" s="238"/>
      <c r="AE1303" s="238"/>
    </row>
    <row r="1304" spans="2:31" x14ac:dyDescent="0.3">
      <c r="B1304" s="245" t="s">
        <v>10</v>
      </c>
      <c r="C1304" s="245"/>
      <c r="D1304" s="245"/>
      <c r="E1304" s="231">
        <v>0</v>
      </c>
      <c r="F1304" s="234">
        <v>0</v>
      </c>
      <c r="G1304" s="231">
        <v>0</v>
      </c>
      <c r="H1304" s="234">
        <v>0</v>
      </c>
      <c r="I1304" s="231">
        <v>0</v>
      </c>
      <c r="J1304" s="234">
        <v>0</v>
      </c>
      <c r="K1304" s="231">
        <v>0</v>
      </c>
      <c r="L1304" s="234">
        <v>0</v>
      </c>
      <c r="M1304" s="231">
        <v>0</v>
      </c>
      <c r="N1304" s="234">
        <v>0</v>
      </c>
      <c r="O1304" s="231">
        <v>0</v>
      </c>
      <c r="P1304" s="234">
        <v>0</v>
      </c>
      <c r="Q1304" s="231">
        <v>0</v>
      </c>
      <c r="R1304" s="234">
        <v>0</v>
      </c>
      <c r="S1304" s="231">
        <v>0</v>
      </c>
      <c r="T1304" s="234">
        <v>0</v>
      </c>
      <c r="U1304" s="231">
        <v>0</v>
      </c>
      <c r="V1304" s="234">
        <v>0</v>
      </c>
      <c r="W1304" s="231">
        <v>0</v>
      </c>
      <c r="X1304" s="234">
        <v>0</v>
      </c>
      <c r="Y1304" s="231">
        <v>0</v>
      </c>
      <c r="Z1304" s="234">
        <v>0</v>
      </c>
      <c r="AA1304" s="231">
        <v>0</v>
      </c>
      <c r="AB1304" s="234">
        <v>0</v>
      </c>
      <c r="AC1304" s="238">
        <f t="shared" si="677"/>
        <v>0</v>
      </c>
      <c r="AD1304" s="238"/>
      <c r="AE1304" s="238"/>
    </row>
    <row r="1305" spans="2:31" x14ac:dyDescent="0.3">
      <c r="B1305" s="245" t="s">
        <v>11</v>
      </c>
      <c r="C1305" s="245"/>
      <c r="D1305" s="245"/>
      <c r="E1305" s="231">
        <v>0</v>
      </c>
      <c r="F1305" s="234">
        <v>0</v>
      </c>
      <c r="G1305" s="231">
        <v>0</v>
      </c>
      <c r="H1305" s="234">
        <v>0</v>
      </c>
      <c r="I1305" s="231">
        <v>0</v>
      </c>
      <c r="J1305" s="234">
        <v>0</v>
      </c>
      <c r="K1305" s="231">
        <v>0</v>
      </c>
      <c r="L1305" s="234">
        <v>0</v>
      </c>
      <c r="M1305" s="231">
        <v>0</v>
      </c>
      <c r="N1305" s="234">
        <v>0</v>
      </c>
      <c r="O1305" s="231">
        <v>0</v>
      </c>
      <c r="P1305" s="234">
        <v>0</v>
      </c>
      <c r="Q1305" s="231">
        <v>0</v>
      </c>
      <c r="R1305" s="234">
        <v>0</v>
      </c>
      <c r="S1305" s="231">
        <v>0</v>
      </c>
      <c r="T1305" s="234">
        <v>0</v>
      </c>
      <c r="U1305" s="231">
        <v>0</v>
      </c>
      <c r="V1305" s="234">
        <v>0</v>
      </c>
      <c r="W1305" s="231">
        <v>0</v>
      </c>
      <c r="X1305" s="234">
        <v>0</v>
      </c>
      <c r="Y1305" s="231">
        <v>0</v>
      </c>
      <c r="Z1305" s="234">
        <v>0</v>
      </c>
      <c r="AA1305" s="231">
        <v>0</v>
      </c>
      <c r="AB1305" s="234">
        <v>0</v>
      </c>
      <c r="AC1305" s="238">
        <f t="shared" si="677"/>
        <v>0</v>
      </c>
      <c r="AD1305" s="238"/>
      <c r="AE1305" s="238"/>
    </row>
    <row r="1306" spans="2:31" x14ac:dyDescent="0.3">
      <c r="B1306" s="245" t="s">
        <v>12</v>
      </c>
      <c r="C1306" s="245"/>
      <c r="D1306" s="245"/>
      <c r="E1306" s="231">
        <v>0</v>
      </c>
      <c r="F1306" s="234">
        <v>0</v>
      </c>
      <c r="G1306" s="231">
        <v>0</v>
      </c>
      <c r="H1306" s="234">
        <v>0</v>
      </c>
      <c r="I1306" s="231">
        <v>0</v>
      </c>
      <c r="J1306" s="234">
        <v>0</v>
      </c>
      <c r="K1306" s="231">
        <v>0</v>
      </c>
      <c r="L1306" s="234">
        <v>0</v>
      </c>
      <c r="M1306" s="231">
        <v>0</v>
      </c>
      <c r="N1306" s="234">
        <v>0</v>
      </c>
      <c r="O1306" s="231">
        <v>0</v>
      </c>
      <c r="P1306" s="234">
        <v>0</v>
      </c>
      <c r="Q1306" s="231">
        <v>0</v>
      </c>
      <c r="R1306" s="234">
        <v>0</v>
      </c>
      <c r="S1306" s="231">
        <v>0</v>
      </c>
      <c r="T1306" s="234">
        <v>0</v>
      </c>
      <c r="U1306" s="231">
        <v>0</v>
      </c>
      <c r="V1306" s="234">
        <v>0</v>
      </c>
      <c r="W1306" s="231">
        <v>0</v>
      </c>
      <c r="X1306" s="234">
        <v>0</v>
      </c>
      <c r="Y1306" s="231">
        <v>0</v>
      </c>
      <c r="Z1306" s="234">
        <v>0</v>
      </c>
      <c r="AA1306" s="231">
        <v>0</v>
      </c>
      <c r="AB1306" s="234">
        <v>0</v>
      </c>
      <c r="AC1306" s="238">
        <f t="shared" si="677"/>
        <v>0</v>
      </c>
      <c r="AD1306" s="238"/>
      <c r="AE1306" s="238"/>
    </row>
    <row r="1307" spans="2:31" x14ac:dyDescent="0.3">
      <c r="B1307" s="245" t="s">
        <v>13</v>
      </c>
      <c r="C1307" s="245"/>
      <c r="D1307" s="245"/>
      <c r="E1307" s="231">
        <v>0</v>
      </c>
      <c r="F1307" s="234">
        <v>0</v>
      </c>
      <c r="G1307" s="231">
        <v>0</v>
      </c>
      <c r="H1307" s="234">
        <v>0</v>
      </c>
      <c r="I1307" s="231">
        <v>0</v>
      </c>
      <c r="J1307" s="234">
        <v>0</v>
      </c>
      <c r="K1307" s="231">
        <v>0</v>
      </c>
      <c r="L1307" s="234">
        <v>0</v>
      </c>
      <c r="M1307" s="231">
        <v>0</v>
      </c>
      <c r="N1307" s="234">
        <v>0</v>
      </c>
      <c r="O1307" s="231">
        <v>0</v>
      </c>
      <c r="P1307" s="234">
        <v>0</v>
      </c>
      <c r="Q1307" s="231">
        <v>0</v>
      </c>
      <c r="R1307" s="234">
        <v>0</v>
      </c>
      <c r="S1307" s="231">
        <v>0</v>
      </c>
      <c r="T1307" s="234">
        <v>0</v>
      </c>
      <c r="U1307" s="231">
        <v>0</v>
      </c>
      <c r="V1307" s="234">
        <v>0</v>
      </c>
      <c r="W1307" s="231">
        <v>0</v>
      </c>
      <c r="X1307" s="234">
        <v>0</v>
      </c>
      <c r="Y1307" s="231">
        <v>0</v>
      </c>
      <c r="Z1307" s="234">
        <v>0</v>
      </c>
      <c r="AA1307" s="231">
        <v>0</v>
      </c>
      <c r="AB1307" s="234">
        <v>0</v>
      </c>
      <c r="AC1307" s="238">
        <f t="shared" si="677"/>
        <v>0</v>
      </c>
      <c r="AD1307" s="238"/>
      <c r="AE1307" s="238"/>
    </row>
    <row r="1308" spans="2:31" x14ac:dyDescent="0.3">
      <c r="B1308" s="245" t="s">
        <v>14</v>
      </c>
      <c r="C1308" s="245"/>
      <c r="D1308" s="245"/>
      <c r="E1308" s="231">
        <v>0</v>
      </c>
      <c r="F1308" s="234">
        <v>0</v>
      </c>
      <c r="G1308" s="231">
        <v>0</v>
      </c>
      <c r="H1308" s="234">
        <v>0</v>
      </c>
      <c r="I1308" s="231">
        <v>0</v>
      </c>
      <c r="J1308" s="234">
        <v>0</v>
      </c>
      <c r="K1308" s="231">
        <v>0</v>
      </c>
      <c r="L1308" s="234">
        <v>0</v>
      </c>
      <c r="M1308" s="231">
        <v>0</v>
      </c>
      <c r="N1308" s="234">
        <v>0</v>
      </c>
      <c r="O1308" s="231">
        <v>0</v>
      </c>
      <c r="P1308" s="234">
        <v>0</v>
      </c>
      <c r="Q1308" s="231">
        <v>0</v>
      </c>
      <c r="R1308" s="234">
        <v>0</v>
      </c>
      <c r="S1308" s="231">
        <v>0</v>
      </c>
      <c r="T1308" s="234">
        <v>0</v>
      </c>
      <c r="U1308" s="231">
        <v>0</v>
      </c>
      <c r="V1308" s="234">
        <v>0</v>
      </c>
      <c r="W1308" s="231">
        <v>0</v>
      </c>
      <c r="X1308" s="234">
        <v>0</v>
      </c>
      <c r="Y1308" s="231">
        <v>0</v>
      </c>
      <c r="Z1308" s="234">
        <v>0</v>
      </c>
      <c r="AA1308" s="231">
        <v>0</v>
      </c>
      <c r="AB1308" s="234">
        <v>0</v>
      </c>
      <c r="AC1308" s="238">
        <f t="shared" si="677"/>
        <v>0</v>
      </c>
      <c r="AD1308" s="238"/>
      <c r="AE1308" s="238"/>
    </row>
    <row r="1309" spans="2:31" x14ac:dyDescent="0.3">
      <c r="B1309" s="245" t="s">
        <v>15</v>
      </c>
      <c r="C1309" s="245"/>
      <c r="D1309" s="245"/>
      <c r="E1309" s="231">
        <v>0</v>
      </c>
      <c r="F1309" s="234">
        <v>0</v>
      </c>
      <c r="G1309" s="231">
        <v>0</v>
      </c>
      <c r="H1309" s="234">
        <v>0</v>
      </c>
      <c r="I1309" s="231">
        <v>0</v>
      </c>
      <c r="J1309" s="234">
        <v>0</v>
      </c>
      <c r="K1309" s="231">
        <v>0</v>
      </c>
      <c r="L1309" s="234">
        <v>0</v>
      </c>
      <c r="M1309" s="231">
        <v>0</v>
      </c>
      <c r="N1309" s="234">
        <v>0</v>
      </c>
      <c r="O1309" s="231">
        <v>0</v>
      </c>
      <c r="P1309" s="234">
        <v>0</v>
      </c>
      <c r="Q1309" s="231">
        <v>0</v>
      </c>
      <c r="R1309" s="234">
        <v>0</v>
      </c>
      <c r="S1309" s="231">
        <v>0</v>
      </c>
      <c r="T1309" s="234">
        <v>0</v>
      </c>
      <c r="U1309" s="231">
        <v>0</v>
      </c>
      <c r="V1309" s="234">
        <v>0</v>
      </c>
      <c r="W1309" s="231">
        <v>0</v>
      </c>
      <c r="X1309" s="234">
        <v>0</v>
      </c>
      <c r="Y1309" s="231">
        <v>0</v>
      </c>
      <c r="Z1309" s="234">
        <v>0</v>
      </c>
      <c r="AA1309" s="231">
        <v>0</v>
      </c>
      <c r="AB1309" s="234">
        <v>0</v>
      </c>
      <c r="AC1309" s="238">
        <f t="shared" si="677"/>
        <v>0</v>
      </c>
      <c r="AD1309" s="238"/>
      <c r="AE1309" s="238"/>
    </row>
    <row r="1310" spans="2:31" x14ac:dyDescent="0.3">
      <c r="B1310" s="245" t="s">
        <v>16</v>
      </c>
      <c r="C1310" s="245"/>
      <c r="D1310" s="245"/>
      <c r="E1310" s="231">
        <v>0</v>
      </c>
      <c r="F1310" s="234">
        <v>0</v>
      </c>
      <c r="G1310" s="231">
        <v>0</v>
      </c>
      <c r="H1310" s="234">
        <v>0</v>
      </c>
      <c r="I1310" s="231">
        <v>0</v>
      </c>
      <c r="J1310" s="234">
        <v>0</v>
      </c>
      <c r="K1310" s="231">
        <v>0</v>
      </c>
      <c r="L1310" s="234">
        <v>0</v>
      </c>
      <c r="M1310" s="231">
        <v>0</v>
      </c>
      <c r="N1310" s="234">
        <v>0</v>
      </c>
      <c r="O1310" s="231">
        <v>0</v>
      </c>
      <c r="P1310" s="234">
        <v>0</v>
      </c>
      <c r="Q1310" s="231">
        <v>0</v>
      </c>
      <c r="R1310" s="234">
        <v>0</v>
      </c>
      <c r="S1310" s="231">
        <v>0</v>
      </c>
      <c r="T1310" s="234">
        <v>0</v>
      </c>
      <c r="U1310" s="231">
        <v>0</v>
      </c>
      <c r="V1310" s="234">
        <v>0</v>
      </c>
      <c r="W1310" s="231">
        <v>0</v>
      </c>
      <c r="X1310" s="234">
        <v>0</v>
      </c>
      <c r="Y1310" s="231">
        <v>0</v>
      </c>
      <c r="Z1310" s="234">
        <v>0</v>
      </c>
      <c r="AA1310" s="231">
        <v>0</v>
      </c>
      <c r="AB1310" s="234">
        <v>0</v>
      </c>
      <c r="AC1310" s="238">
        <f t="shared" si="677"/>
        <v>0</v>
      </c>
      <c r="AD1310" s="238"/>
      <c r="AE1310" s="238"/>
    </row>
    <row r="1311" spans="2:31" x14ac:dyDescent="0.3">
      <c r="B1311" s="245" t="s">
        <v>17</v>
      </c>
      <c r="C1311" s="245"/>
      <c r="D1311" s="245"/>
      <c r="E1311" s="231">
        <v>0</v>
      </c>
      <c r="F1311" s="234">
        <v>0</v>
      </c>
      <c r="G1311" s="231">
        <v>0</v>
      </c>
      <c r="H1311" s="234">
        <v>0</v>
      </c>
      <c r="I1311" s="231">
        <v>0</v>
      </c>
      <c r="J1311" s="234">
        <v>0</v>
      </c>
      <c r="K1311" s="231">
        <v>0</v>
      </c>
      <c r="L1311" s="234">
        <v>0</v>
      </c>
      <c r="M1311" s="231">
        <v>0</v>
      </c>
      <c r="N1311" s="234">
        <v>0</v>
      </c>
      <c r="O1311" s="231">
        <v>0</v>
      </c>
      <c r="P1311" s="234">
        <v>0</v>
      </c>
      <c r="Q1311" s="231">
        <v>0</v>
      </c>
      <c r="R1311" s="234">
        <v>0</v>
      </c>
      <c r="S1311" s="231">
        <v>0</v>
      </c>
      <c r="T1311" s="234">
        <v>0</v>
      </c>
      <c r="U1311" s="231">
        <v>0</v>
      </c>
      <c r="V1311" s="234">
        <v>0</v>
      </c>
      <c r="W1311" s="231">
        <v>0</v>
      </c>
      <c r="X1311" s="234">
        <v>0</v>
      </c>
      <c r="Y1311" s="231">
        <v>0</v>
      </c>
      <c r="Z1311" s="234">
        <v>0</v>
      </c>
      <c r="AA1311" s="231">
        <v>0</v>
      </c>
      <c r="AB1311" s="234">
        <v>0</v>
      </c>
      <c r="AC1311" s="238">
        <f t="shared" si="677"/>
        <v>0</v>
      </c>
      <c r="AD1311" s="238"/>
      <c r="AE1311" s="238"/>
    </row>
    <row r="1312" spans="2:31" x14ac:dyDescent="0.3">
      <c r="B1312" s="245" t="s">
        <v>18</v>
      </c>
      <c r="C1312" s="245"/>
      <c r="D1312" s="245"/>
      <c r="E1312" s="231">
        <v>0</v>
      </c>
      <c r="F1312" s="234">
        <v>0</v>
      </c>
      <c r="G1312" s="231">
        <v>0</v>
      </c>
      <c r="H1312" s="234">
        <v>0</v>
      </c>
      <c r="I1312" s="231">
        <v>0</v>
      </c>
      <c r="J1312" s="234">
        <v>0</v>
      </c>
      <c r="K1312" s="231">
        <v>0</v>
      </c>
      <c r="L1312" s="234">
        <v>0</v>
      </c>
      <c r="M1312" s="231">
        <v>0</v>
      </c>
      <c r="N1312" s="234">
        <v>0</v>
      </c>
      <c r="O1312" s="231">
        <v>0</v>
      </c>
      <c r="P1312" s="234">
        <v>0</v>
      </c>
      <c r="Q1312" s="231">
        <v>0</v>
      </c>
      <c r="R1312" s="234">
        <v>0</v>
      </c>
      <c r="S1312" s="231">
        <v>0</v>
      </c>
      <c r="T1312" s="234">
        <v>0</v>
      </c>
      <c r="U1312" s="231">
        <v>0</v>
      </c>
      <c r="V1312" s="234">
        <v>0</v>
      </c>
      <c r="W1312" s="231">
        <v>0</v>
      </c>
      <c r="X1312" s="234">
        <v>0</v>
      </c>
      <c r="Y1312" s="231">
        <v>0</v>
      </c>
      <c r="Z1312" s="234">
        <v>0</v>
      </c>
      <c r="AA1312" s="231">
        <v>0</v>
      </c>
      <c r="AB1312" s="234">
        <v>0</v>
      </c>
      <c r="AC1312" s="238">
        <f t="shared" si="677"/>
        <v>0</v>
      </c>
      <c r="AD1312" s="238"/>
      <c r="AE1312" s="238"/>
    </row>
    <row r="1313" spans="2:31" x14ac:dyDescent="0.3">
      <c r="B1313" s="245" t="s">
        <v>19</v>
      </c>
      <c r="C1313" s="245"/>
      <c r="D1313" s="245"/>
      <c r="E1313" s="231">
        <v>0</v>
      </c>
      <c r="F1313" s="234">
        <v>0</v>
      </c>
      <c r="G1313" s="231">
        <v>0</v>
      </c>
      <c r="H1313" s="234">
        <v>0</v>
      </c>
      <c r="I1313" s="231">
        <v>0</v>
      </c>
      <c r="J1313" s="234">
        <v>0</v>
      </c>
      <c r="K1313" s="231">
        <v>0</v>
      </c>
      <c r="L1313" s="234">
        <v>0</v>
      </c>
      <c r="M1313" s="231">
        <v>0</v>
      </c>
      <c r="N1313" s="234">
        <v>0</v>
      </c>
      <c r="O1313" s="231">
        <v>0</v>
      </c>
      <c r="P1313" s="234">
        <v>0</v>
      </c>
      <c r="Q1313" s="231">
        <v>0</v>
      </c>
      <c r="R1313" s="234">
        <v>0</v>
      </c>
      <c r="S1313" s="231">
        <v>0</v>
      </c>
      <c r="T1313" s="234">
        <v>0</v>
      </c>
      <c r="U1313" s="231">
        <v>0</v>
      </c>
      <c r="V1313" s="234">
        <v>0</v>
      </c>
      <c r="W1313" s="231">
        <v>0</v>
      </c>
      <c r="X1313" s="234">
        <v>0</v>
      </c>
      <c r="Y1313" s="231">
        <v>0</v>
      </c>
      <c r="Z1313" s="234">
        <v>0</v>
      </c>
      <c r="AA1313" s="231">
        <v>0</v>
      </c>
      <c r="AB1313" s="234">
        <v>0</v>
      </c>
      <c r="AC1313" s="238">
        <f t="shared" si="677"/>
        <v>0</v>
      </c>
      <c r="AD1313" s="238"/>
      <c r="AE1313" s="238"/>
    </row>
    <row r="1314" spans="2:31" x14ac:dyDescent="0.3">
      <c r="B1314" s="245" t="s">
        <v>20</v>
      </c>
      <c r="C1314" s="245"/>
      <c r="D1314" s="245"/>
      <c r="E1314" s="231">
        <v>0</v>
      </c>
      <c r="F1314" s="234">
        <v>0</v>
      </c>
      <c r="G1314" s="231">
        <v>0</v>
      </c>
      <c r="H1314" s="234">
        <v>0</v>
      </c>
      <c r="I1314" s="231">
        <v>0</v>
      </c>
      <c r="J1314" s="234">
        <v>0</v>
      </c>
      <c r="K1314" s="231">
        <v>0</v>
      </c>
      <c r="L1314" s="234">
        <v>0</v>
      </c>
      <c r="M1314" s="231">
        <v>0</v>
      </c>
      <c r="N1314" s="234">
        <v>0</v>
      </c>
      <c r="O1314" s="231">
        <v>0</v>
      </c>
      <c r="P1314" s="234">
        <v>0</v>
      </c>
      <c r="Q1314" s="231">
        <v>0</v>
      </c>
      <c r="R1314" s="234">
        <v>0</v>
      </c>
      <c r="S1314" s="231">
        <v>0</v>
      </c>
      <c r="T1314" s="234">
        <v>0</v>
      </c>
      <c r="U1314" s="231">
        <v>0</v>
      </c>
      <c r="V1314" s="234">
        <v>0</v>
      </c>
      <c r="W1314" s="231">
        <v>0</v>
      </c>
      <c r="X1314" s="234">
        <v>0</v>
      </c>
      <c r="Y1314" s="231">
        <v>0</v>
      </c>
      <c r="Z1314" s="234">
        <v>0</v>
      </c>
      <c r="AA1314" s="231">
        <v>0</v>
      </c>
      <c r="AB1314" s="234">
        <v>0</v>
      </c>
      <c r="AC1314" s="238">
        <f t="shared" si="677"/>
        <v>0</v>
      </c>
      <c r="AD1314" s="238"/>
      <c r="AE1314" s="238"/>
    </row>
    <row r="1315" spans="2:31" x14ac:dyDescent="0.3">
      <c r="B1315" s="245" t="s">
        <v>21</v>
      </c>
      <c r="C1315" s="245"/>
      <c r="D1315" s="245"/>
      <c r="E1315" s="231">
        <v>0</v>
      </c>
      <c r="F1315" s="234">
        <v>0</v>
      </c>
      <c r="G1315" s="231">
        <v>0</v>
      </c>
      <c r="H1315" s="234">
        <v>0</v>
      </c>
      <c r="I1315" s="231">
        <v>0</v>
      </c>
      <c r="J1315" s="234">
        <v>0</v>
      </c>
      <c r="K1315" s="231">
        <v>0</v>
      </c>
      <c r="L1315" s="234">
        <v>0</v>
      </c>
      <c r="M1315" s="231">
        <v>0</v>
      </c>
      <c r="N1315" s="234">
        <v>0</v>
      </c>
      <c r="O1315" s="231">
        <v>0</v>
      </c>
      <c r="P1315" s="234">
        <v>0</v>
      </c>
      <c r="Q1315" s="231">
        <v>0</v>
      </c>
      <c r="R1315" s="234">
        <v>0</v>
      </c>
      <c r="S1315" s="231">
        <v>0</v>
      </c>
      <c r="T1315" s="234">
        <v>0</v>
      </c>
      <c r="U1315" s="231">
        <v>0</v>
      </c>
      <c r="V1315" s="234">
        <v>0</v>
      </c>
      <c r="W1315" s="231">
        <v>0</v>
      </c>
      <c r="X1315" s="234">
        <v>0</v>
      </c>
      <c r="Y1315" s="231">
        <v>0</v>
      </c>
      <c r="Z1315" s="234">
        <v>0</v>
      </c>
      <c r="AA1315" s="231">
        <v>0</v>
      </c>
      <c r="AB1315" s="234">
        <v>0</v>
      </c>
      <c r="AC1315" s="238">
        <f t="shared" si="677"/>
        <v>0</v>
      </c>
      <c r="AD1315" s="238"/>
      <c r="AE1315" s="238"/>
    </row>
    <row r="1316" spans="2:31" x14ac:dyDescent="0.3">
      <c r="B1316" s="245" t="s">
        <v>22</v>
      </c>
      <c r="C1316" s="245"/>
      <c r="D1316" s="245"/>
      <c r="E1316" s="231">
        <v>0</v>
      </c>
      <c r="F1316" s="234">
        <v>0</v>
      </c>
      <c r="G1316" s="231">
        <v>0</v>
      </c>
      <c r="H1316" s="234">
        <v>0</v>
      </c>
      <c r="I1316" s="231">
        <v>0</v>
      </c>
      <c r="J1316" s="234">
        <v>0</v>
      </c>
      <c r="K1316" s="231">
        <v>0</v>
      </c>
      <c r="L1316" s="234">
        <v>0</v>
      </c>
      <c r="M1316" s="231">
        <v>0</v>
      </c>
      <c r="N1316" s="234">
        <v>0</v>
      </c>
      <c r="O1316" s="231">
        <v>0</v>
      </c>
      <c r="P1316" s="234">
        <v>0</v>
      </c>
      <c r="Q1316" s="231">
        <v>0</v>
      </c>
      <c r="R1316" s="234">
        <v>0</v>
      </c>
      <c r="S1316" s="231">
        <v>0</v>
      </c>
      <c r="T1316" s="234">
        <v>0</v>
      </c>
      <c r="U1316" s="231">
        <v>0</v>
      </c>
      <c r="V1316" s="234">
        <v>0</v>
      </c>
      <c r="W1316" s="231">
        <v>0</v>
      </c>
      <c r="X1316" s="234">
        <v>0</v>
      </c>
      <c r="Y1316" s="231">
        <v>0</v>
      </c>
      <c r="Z1316" s="234">
        <v>0</v>
      </c>
      <c r="AA1316" s="231">
        <v>0</v>
      </c>
      <c r="AB1316" s="234">
        <v>0</v>
      </c>
      <c r="AC1316" s="238">
        <f t="shared" si="677"/>
        <v>0</v>
      </c>
      <c r="AD1316" s="238"/>
      <c r="AE1316" s="238"/>
    </row>
    <row r="1317" spans="2:31" x14ac:dyDescent="0.3">
      <c r="B1317" s="245" t="s">
        <v>23</v>
      </c>
      <c r="C1317" s="245"/>
      <c r="D1317" s="245"/>
      <c r="E1317" s="231">
        <v>0</v>
      </c>
      <c r="F1317" s="234">
        <v>0</v>
      </c>
      <c r="G1317" s="231">
        <v>0</v>
      </c>
      <c r="H1317" s="234">
        <v>0</v>
      </c>
      <c r="I1317" s="231">
        <v>0</v>
      </c>
      <c r="J1317" s="234">
        <v>0</v>
      </c>
      <c r="K1317" s="231">
        <v>0</v>
      </c>
      <c r="L1317" s="234">
        <v>0</v>
      </c>
      <c r="M1317" s="231">
        <v>0</v>
      </c>
      <c r="N1317" s="234">
        <v>0</v>
      </c>
      <c r="O1317" s="231">
        <v>0</v>
      </c>
      <c r="P1317" s="234">
        <v>0</v>
      </c>
      <c r="Q1317" s="231">
        <v>0</v>
      </c>
      <c r="R1317" s="234">
        <v>0</v>
      </c>
      <c r="S1317" s="231">
        <v>0</v>
      </c>
      <c r="T1317" s="234">
        <v>0</v>
      </c>
      <c r="U1317" s="231">
        <v>0</v>
      </c>
      <c r="V1317" s="234">
        <v>0</v>
      </c>
      <c r="W1317" s="231">
        <v>0</v>
      </c>
      <c r="X1317" s="234">
        <v>0</v>
      </c>
      <c r="Y1317" s="231">
        <v>0</v>
      </c>
      <c r="Z1317" s="234">
        <v>0</v>
      </c>
      <c r="AA1317" s="231">
        <v>0</v>
      </c>
      <c r="AB1317" s="234">
        <v>0</v>
      </c>
      <c r="AC1317" s="238">
        <f t="shared" si="677"/>
        <v>0</v>
      </c>
      <c r="AD1317" s="238"/>
      <c r="AE1317" s="238"/>
    </row>
    <row r="1318" spans="2:31" x14ac:dyDescent="0.3">
      <c r="B1318" s="245" t="s">
        <v>24</v>
      </c>
      <c r="C1318" s="245"/>
      <c r="D1318" s="245"/>
      <c r="E1318" s="231">
        <v>0</v>
      </c>
      <c r="F1318" s="234">
        <v>0</v>
      </c>
      <c r="G1318" s="231">
        <v>0</v>
      </c>
      <c r="H1318" s="234">
        <v>0</v>
      </c>
      <c r="I1318" s="231">
        <v>0</v>
      </c>
      <c r="J1318" s="234">
        <v>0</v>
      </c>
      <c r="K1318" s="231">
        <v>0</v>
      </c>
      <c r="L1318" s="234">
        <v>0</v>
      </c>
      <c r="M1318" s="231">
        <v>0</v>
      </c>
      <c r="N1318" s="234">
        <v>0</v>
      </c>
      <c r="O1318" s="231">
        <v>0</v>
      </c>
      <c r="P1318" s="234">
        <v>0</v>
      </c>
      <c r="Q1318" s="231">
        <v>0</v>
      </c>
      <c r="R1318" s="234">
        <v>0</v>
      </c>
      <c r="S1318" s="231">
        <v>0</v>
      </c>
      <c r="T1318" s="234">
        <v>0</v>
      </c>
      <c r="U1318" s="231">
        <v>0</v>
      </c>
      <c r="V1318" s="234">
        <v>0</v>
      </c>
      <c r="W1318" s="231">
        <v>0</v>
      </c>
      <c r="X1318" s="234">
        <v>0</v>
      </c>
      <c r="Y1318" s="231">
        <v>0</v>
      </c>
      <c r="Z1318" s="234">
        <v>0</v>
      </c>
      <c r="AA1318" s="231">
        <v>0</v>
      </c>
      <c r="AB1318" s="234">
        <v>0</v>
      </c>
      <c r="AC1318" s="238">
        <f t="shared" si="677"/>
        <v>0</v>
      </c>
      <c r="AD1318" s="238"/>
      <c r="AE1318" s="238"/>
    </row>
    <row r="1319" spans="2:31" x14ac:dyDescent="0.3">
      <c r="B1319" s="245" t="s">
        <v>25</v>
      </c>
      <c r="C1319" s="245"/>
      <c r="D1319" s="245"/>
      <c r="E1319" s="231">
        <v>0</v>
      </c>
      <c r="F1319" s="234">
        <v>0</v>
      </c>
      <c r="G1319" s="231">
        <v>0</v>
      </c>
      <c r="H1319" s="234">
        <v>0</v>
      </c>
      <c r="I1319" s="231">
        <v>0</v>
      </c>
      <c r="J1319" s="234">
        <v>0</v>
      </c>
      <c r="K1319" s="231">
        <v>0</v>
      </c>
      <c r="L1319" s="234">
        <v>0</v>
      </c>
      <c r="M1319" s="231">
        <v>0</v>
      </c>
      <c r="N1319" s="234">
        <v>0</v>
      </c>
      <c r="O1319" s="231">
        <v>0</v>
      </c>
      <c r="P1319" s="234">
        <v>0</v>
      </c>
      <c r="Q1319" s="231">
        <v>0</v>
      </c>
      <c r="R1319" s="234">
        <v>0</v>
      </c>
      <c r="S1319" s="231">
        <v>0</v>
      </c>
      <c r="T1319" s="234">
        <v>0</v>
      </c>
      <c r="U1319" s="231">
        <v>0</v>
      </c>
      <c r="V1319" s="234">
        <v>0</v>
      </c>
      <c r="W1319" s="231">
        <v>0</v>
      </c>
      <c r="X1319" s="234">
        <v>0</v>
      </c>
      <c r="Y1319" s="231">
        <v>0</v>
      </c>
      <c r="Z1319" s="234">
        <v>0</v>
      </c>
      <c r="AA1319" s="231">
        <v>0</v>
      </c>
      <c r="AB1319" s="234">
        <v>0</v>
      </c>
      <c r="AC1319" s="238">
        <f t="shared" si="677"/>
        <v>0</v>
      </c>
      <c r="AD1319" s="238"/>
      <c r="AE1319" s="238"/>
    </row>
    <row r="1320" spans="2:31" x14ac:dyDescent="0.3">
      <c r="B1320" s="245" t="s">
        <v>26</v>
      </c>
      <c r="C1320" s="245"/>
      <c r="D1320" s="245"/>
      <c r="E1320" s="231">
        <v>0</v>
      </c>
      <c r="F1320" s="234">
        <v>0</v>
      </c>
      <c r="G1320" s="231">
        <v>0</v>
      </c>
      <c r="H1320" s="234">
        <v>0</v>
      </c>
      <c r="I1320" s="231">
        <v>0</v>
      </c>
      <c r="J1320" s="234">
        <v>0</v>
      </c>
      <c r="K1320" s="231">
        <v>0</v>
      </c>
      <c r="L1320" s="234">
        <v>0</v>
      </c>
      <c r="M1320" s="231">
        <v>0</v>
      </c>
      <c r="N1320" s="234">
        <v>0</v>
      </c>
      <c r="O1320" s="231">
        <v>0</v>
      </c>
      <c r="P1320" s="234">
        <v>0</v>
      </c>
      <c r="Q1320" s="231">
        <v>0</v>
      </c>
      <c r="R1320" s="234">
        <v>0</v>
      </c>
      <c r="S1320" s="231">
        <v>0</v>
      </c>
      <c r="T1320" s="234">
        <v>0</v>
      </c>
      <c r="U1320" s="231">
        <v>0</v>
      </c>
      <c r="V1320" s="234">
        <v>0</v>
      </c>
      <c r="W1320" s="231">
        <v>0</v>
      </c>
      <c r="X1320" s="234">
        <v>0</v>
      </c>
      <c r="Y1320" s="231">
        <v>0</v>
      </c>
      <c r="Z1320" s="234">
        <v>0</v>
      </c>
      <c r="AA1320" s="231">
        <v>0</v>
      </c>
      <c r="AB1320" s="234">
        <v>0</v>
      </c>
      <c r="AC1320" s="238">
        <f t="shared" si="677"/>
        <v>0</v>
      </c>
      <c r="AD1320" s="238"/>
      <c r="AE1320" s="238"/>
    </row>
    <row r="1321" spans="2:31" x14ac:dyDescent="0.3">
      <c r="B1321" s="245" t="s">
        <v>27</v>
      </c>
      <c r="C1321" s="245"/>
      <c r="D1321" s="245"/>
      <c r="E1321" s="231">
        <v>0</v>
      </c>
      <c r="F1321" s="234">
        <v>0</v>
      </c>
      <c r="G1321" s="231">
        <v>0</v>
      </c>
      <c r="H1321" s="234">
        <v>0</v>
      </c>
      <c r="I1321" s="231">
        <v>0</v>
      </c>
      <c r="J1321" s="234">
        <v>0</v>
      </c>
      <c r="K1321" s="231">
        <v>0</v>
      </c>
      <c r="L1321" s="234">
        <v>0</v>
      </c>
      <c r="M1321" s="231">
        <v>0</v>
      </c>
      <c r="N1321" s="234">
        <v>0</v>
      </c>
      <c r="O1321" s="231">
        <v>0</v>
      </c>
      <c r="P1321" s="234">
        <v>0</v>
      </c>
      <c r="Q1321" s="231">
        <v>0</v>
      </c>
      <c r="R1321" s="234">
        <v>0</v>
      </c>
      <c r="S1321" s="231">
        <v>0</v>
      </c>
      <c r="T1321" s="234">
        <v>0</v>
      </c>
      <c r="U1321" s="231">
        <v>0</v>
      </c>
      <c r="V1321" s="234">
        <v>0</v>
      </c>
      <c r="W1321" s="231">
        <v>0</v>
      </c>
      <c r="X1321" s="234">
        <v>0</v>
      </c>
      <c r="Y1321" s="231">
        <v>0</v>
      </c>
      <c r="Z1321" s="234">
        <v>0</v>
      </c>
      <c r="AA1321" s="231">
        <v>0</v>
      </c>
      <c r="AB1321" s="234">
        <v>0</v>
      </c>
      <c r="AC1321" s="238">
        <f t="shared" si="677"/>
        <v>0</v>
      </c>
      <c r="AD1321" s="238"/>
      <c r="AE1321" s="238"/>
    </row>
    <row r="1322" spans="2:31" x14ac:dyDescent="0.3">
      <c r="B1322" s="245" t="s">
        <v>28</v>
      </c>
      <c r="C1322" s="245"/>
      <c r="D1322" s="245"/>
      <c r="E1322" s="231">
        <v>0</v>
      </c>
      <c r="F1322" s="234">
        <v>0</v>
      </c>
      <c r="G1322" s="231">
        <v>0</v>
      </c>
      <c r="H1322" s="234">
        <v>0</v>
      </c>
      <c r="I1322" s="231">
        <v>0</v>
      </c>
      <c r="J1322" s="234">
        <v>0</v>
      </c>
      <c r="K1322" s="231">
        <v>0</v>
      </c>
      <c r="L1322" s="234">
        <v>0</v>
      </c>
      <c r="M1322" s="231">
        <v>0</v>
      </c>
      <c r="N1322" s="234">
        <v>0</v>
      </c>
      <c r="O1322" s="231">
        <v>0</v>
      </c>
      <c r="P1322" s="234">
        <v>0</v>
      </c>
      <c r="Q1322" s="231">
        <v>0</v>
      </c>
      <c r="R1322" s="234">
        <v>0</v>
      </c>
      <c r="S1322" s="231">
        <v>0</v>
      </c>
      <c r="T1322" s="234">
        <v>0</v>
      </c>
      <c r="U1322" s="231">
        <v>0</v>
      </c>
      <c r="V1322" s="234">
        <v>0</v>
      </c>
      <c r="W1322" s="231">
        <v>0</v>
      </c>
      <c r="X1322" s="234">
        <v>0</v>
      </c>
      <c r="Y1322" s="231">
        <v>0</v>
      </c>
      <c r="Z1322" s="234">
        <v>0</v>
      </c>
      <c r="AA1322" s="231">
        <v>0</v>
      </c>
      <c r="AB1322" s="234">
        <v>0</v>
      </c>
      <c r="AC1322" s="238">
        <f t="shared" si="677"/>
        <v>0</v>
      </c>
      <c r="AD1322" s="238"/>
      <c r="AE1322" s="238"/>
    </row>
    <row r="1323" spans="2:31" x14ac:dyDescent="0.3">
      <c r="B1323" s="245" t="s">
        <v>92</v>
      </c>
      <c r="C1323" s="245"/>
      <c r="D1323" s="245"/>
      <c r="E1323" s="231">
        <v>0</v>
      </c>
      <c r="F1323" s="234">
        <v>0</v>
      </c>
      <c r="G1323" s="231">
        <v>0</v>
      </c>
      <c r="H1323" s="234">
        <v>0</v>
      </c>
      <c r="I1323" s="231">
        <v>0</v>
      </c>
      <c r="J1323" s="234">
        <v>0</v>
      </c>
      <c r="K1323" s="231">
        <v>0</v>
      </c>
      <c r="L1323" s="234">
        <v>0</v>
      </c>
      <c r="M1323" s="231">
        <v>0</v>
      </c>
      <c r="N1323" s="234">
        <v>0</v>
      </c>
      <c r="O1323" s="231">
        <v>0</v>
      </c>
      <c r="P1323" s="234">
        <v>0</v>
      </c>
      <c r="Q1323" s="231">
        <v>0</v>
      </c>
      <c r="R1323" s="234">
        <v>0</v>
      </c>
      <c r="S1323" s="231">
        <v>0</v>
      </c>
      <c r="T1323" s="234">
        <v>0</v>
      </c>
      <c r="U1323" s="231">
        <v>0</v>
      </c>
      <c r="V1323" s="234">
        <v>0</v>
      </c>
      <c r="W1323" s="231">
        <v>0</v>
      </c>
      <c r="X1323" s="234">
        <v>0</v>
      </c>
      <c r="Y1323" s="231">
        <v>0</v>
      </c>
      <c r="Z1323" s="234">
        <v>0</v>
      </c>
      <c r="AA1323" s="231">
        <v>0</v>
      </c>
      <c r="AB1323" s="234">
        <v>0</v>
      </c>
      <c r="AC1323" s="238">
        <f t="shared" si="677"/>
        <v>0</v>
      </c>
      <c r="AD1323" s="238"/>
      <c r="AE1323" s="238"/>
    </row>
    <row r="1324" spans="2:31" x14ac:dyDescent="0.3">
      <c r="B1324" s="245" t="s">
        <v>29</v>
      </c>
      <c r="C1324" s="245"/>
      <c r="D1324" s="245"/>
      <c r="E1324" s="231">
        <v>0</v>
      </c>
      <c r="F1324" s="234">
        <v>0</v>
      </c>
      <c r="G1324" s="231">
        <v>0</v>
      </c>
      <c r="H1324" s="234">
        <v>0</v>
      </c>
      <c r="I1324" s="231">
        <v>0</v>
      </c>
      <c r="J1324" s="234">
        <v>0</v>
      </c>
      <c r="K1324" s="231">
        <v>0</v>
      </c>
      <c r="L1324" s="234">
        <v>0</v>
      </c>
      <c r="M1324" s="231">
        <v>0</v>
      </c>
      <c r="N1324" s="234">
        <v>0</v>
      </c>
      <c r="O1324" s="231">
        <v>0</v>
      </c>
      <c r="P1324" s="234">
        <v>0</v>
      </c>
      <c r="Q1324" s="231">
        <v>0</v>
      </c>
      <c r="R1324" s="234">
        <v>0</v>
      </c>
      <c r="S1324" s="231">
        <v>0</v>
      </c>
      <c r="T1324" s="234">
        <v>0</v>
      </c>
      <c r="U1324" s="231">
        <v>0</v>
      </c>
      <c r="V1324" s="234">
        <v>0</v>
      </c>
      <c r="W1324" s="231">
        <v>0</v>
      </c>
      <c r="X1324" s="234">
        <v>0</v>
      </c>
      <c r="Y1324" s="231">
        <v>0</v>
      </c>
      <c r="Z1324" s="234">
        <v>0</v>
      </c>
      <c r="AA1324" s="231">
        <v>0</v>
      </c>
      <c r="AB1324" s="234">
        <v>0</v>
      </c>
      <c r="AC1324" s="238">
        <f t="shared" si="677"/>
        <v>0</v>
      </c>
      <c r="AD1324" s="238"/>
      <c r="AE1324" s="238"/>
    </row>
    <row r="1325" spans="2:31" x14ac:dyDescent="0.3">
      <c r="B1325" s="245" t="s">
        <v>30</v>
      </c>
      <c r="C1325" s="245"/>
      <c r="D1325" s="245"/>
      <c r="E1325" s="231">
        <v>0</v>
      </c>
      <c r="F1325" s="234">
        <v>0</v>
      </c>
      <c r="G1325" s="231">
        <v>0</v>
      </c>
      <c r="H1325" s="234">
        <v>0</v>
      </c>
      <c r="I1325" s="231">
        <v>0</v>
      </c>
      <c r="J1325" s="234">
        <v>0</v>
      </c>
      <c r="K1325" s="231">
        <v>0</v>
      </c>
      <c r="L1325" s="234">
        <v>0</v>
      </c>
      <c r="M1325" s="231">
        <v>0</v>
      </c>
      <c r="N1325" s="234">
        <v>0</v>
      </c>
      <c r="O1325" s="231">
        <v>0</v>
      </c>
      <c r="P1325" s="234">
        <v>0</v>
      </c>
      <c r="Q1325" s="231">
        <v>0</v>
      </c>
      <c r="R1325" s="234">
        <v>0</v>
      </c>
      <c r="S1325" s="231">
        <v>0</v>
      </c>
      <c r="T1325" s="234">
        <v>0</v>
      </c>
      <c r="U1325" s="231">
        <v>0</v>
      </c>
      <c r="V1325" s="234">
        <v>0</v>
      </c>
      <c r="W1325" s="231">
        <v>0</v>
      </c>
      <c r="X1325" s="234">
        <v>0</v>
      </c>
      <c r="Y1325" s="231">
        <v>0</v>
      </c>
      <c r="Z1325" s="234">
        <v>0</v>
      </c>
      <c r="AA1325" s="231">
        <v>0</v>
      </c>
      <c r="AB1325" s="234">
        <v>0</v>
      </c>
      <c r="AC1325" s="238">
        <f t="shared" si="677"/>
        <v>0</v>
      </c>
      <c r="AD1325" s="238"/>
      <c r="AE1325" s="238"/>
    </row>
    <row r="1326" spans="2:31" x14ac:dyDescent="0.3">
      <c r="B1326" s="245" t="s">
        <v>31</v>
      </c>
      <c r="C1326" s="245"/>
      <c r="D1326" s="245"/>
      <c r="E1326" s="231">
        <v>0</v>
      </c>
      <c r="F1326" s="234">
        <v>0</v>
      </c>
      <c r="G1326" s="231">
        <v>0</v>
      </c>
      <c r="H1326" s="234">
        <v>0</v>
      </c>
      <c r="I1326" s="231">
        <v>0</v>
      </c>
      <c r="J1326" s="234">
        <v>0</v>
      </c>
      <c r="K1326" s="231">
        <v>0</v>
      </c>
      <c r="L1326" s="234">
        <v>0</v>
      </c>
      <c r="M1326" s="231">
        <v>0</v>
      </c>
      <c r="N1326" s="234">
        <v>0</v>
      </c>
      <c r="O1326" s="231">
        <v>0</v>
      </c>
      <c r="P1326" s="234">
        <v>0</v>
      </c>
      <c r="Q1326" s="231">
        <v>0</v>
      </c>
      <c r="R1326" s="234">
        <v>0</v>
      </c>
      <c r="S1326" s="231">
        <v>0</v>
      </c>
      <c r="T1326" s="234">
        <v>0</v>
      </c>
      <c r="U1326" s="231">
        <v>0</v>
      </c>
      <c r="V1326" s="234">
        <v>0</v>
      </c>
      <c r="W1326" s="231">
        <v>0</v>
      </c>
      <c r="X1326" s="234">
        <v>0</v>
      </c>
      <c r="Y1326" s="231">
        <v>0</v>
      </c>
      <c r="Z1326" s="234">
        <v>0</v>
      </c>
      <c r="AA1326" s="231">
        <v>0</v>
      </c>
      <c r="AB1326" s="234">
        <v>0</v>
      </c>
      <c r="AC1326" s="238">
        <f t="shared" si="677"/>
        <v>0</v>
      </c>
      <c r="AD1326" s="238"/>
      <c r="AE1326" s="238"/>
    </row>
    <row r="1327" spans="2:31" x14ac:dyDescent="0.3">
      <c r="B1327" s="245" t="s">
        <v>32</v>
      </c>
      <c r="C1327" s="245"/>
      <c r="D1327" s="245"/>
      <c r="E1327" s="231">
        <v>0</v>
      </c>
      <c r="F1327" s="234">
        <v>0</v>
      </c>
      <c r="G1327" s="231">
        <v>0</v>
      </c>
      <c r="H1327" s="234">
        <v>0</v>
      </c>
      <c r="I1327" s="231">
        <v>0</v>
      </c>
      <c r="J1327" s="234">
        <v>0</v>
      </c>
      <c r="K1327" s="231">
        <v>0</v>
      </c>
      <c r="L1327" s="234">
        <v>0</v>
      </c>
      <c r="M1327" s="231">
        <v>0</v>
      </c>
      <c r="N1327" s="234">
        <v>0</v>
      </c>
      <c r="O1327" s="231">
        <v>0</v>
      </c>
      <c r="P1327" s="234">
        <v>0</v>
      </c>
      <c r="Q1327" s="231">
        <v>0</v>
      </c>
      <c r="R1327" s="234">
        <v>0</v>
      </c>
      <c r="S1327" s="231">
        <v>0</v>
      </c>
      <c r="T1327" s="234">
        <v>0</v>
      </c>
      <c r="U1327" s="231">
        <v>0</v>
      </c>
      <c r="V1327" s="234">
        <v>0</v>
      </c>
      <c r="W1327" s="231">
        <v>0</v>
      </c>
      <c r="X1327" s="234">
        <v>0</v>
      </c>
      <c r="Y1327" s="231">
        <v>0</v>
      </c>
      <c r="Z1327" s="234">
        <v>0</v>
      </c>
      <c r="AA1327" s="231">
        <v>0</v>
      </c>
      <c r="AB1327" s="234">
        <v>0</v>
      </c>
      <c r="AC1327" s="238">
        <f t="shared" si="677"/>
        <v>0</v>
      </c>
      <c r="AD1327" s="238"/>
      <c r="AE1327" s="238"/>
    </row>
    <row r="1328" spans="2:31" x14ac:dyDescent="0.3">
      <c r="B1328" s="245" t="s">
        <v>33</v>
      </c>
      <c r="C1328" s="245"/>
      <c r="D1328" s="245"/>
      <c r="E1328" s="231">
        <v>0</v>
      </c>
      <c r="F1328" s="234">
        <v>0</v>
      </c>
      <c r="G1328" s="231">
        <v>0</v>
      </c>
      <c r="H1328" s="234">
        <v>0</v>
      </c>
      <c r="I1328" s="231">
        <v>0</v>
      </c>
      <c r="J1328" s="234">
        <v>0</v>
      </c>
      <c r="K1328" s="231">
        <v>0</v>
      </c>
      <c r="L1328" s="234">
        <v>0</v>
      </c>
      <c r="M1328" s="231">
        <v>0</v>
      </c>
      <c r="N1328" s="234">
        <v>0</v>
      </c>
      <c r="O1328" s="231">
        <v>0</v>
      </c>
      <c r="P1328" s="234">
        <v>0</v>
      </c>
      <c r="Q1328" s="231">
        <v>0</v>
      </c>
      <c r="R1328" s="234">
        <v>0</v>
      </c>
      <c r="S1328" s="231">
        <v>0</v>
      </c>
      <c r="T1328" s="234">
        <v>0</v>
      </c>
      <c r="U1328" s="231">
        <v>0</v>
      </c>
      <c r="V1328" s="234">
        <v>0</v>
      </c>
      <c r="W1328" s="231">
        <v>0</v>
      </c>
      <c r="X1328" s="234">
        <v>0</v>
      </c>
      <c r="Y1328" s="231">
        <v>0</v>
      </c>
      <c r="Z1328" s="234">
        <v>0</v>
      </c>
      <c r="AA1328" s="231">
        <v>0</v>
      </c>
      <c r="AB1328" s="234">
        <v>0</v>
      </c>
      <c r="AC1328" s="238">
        <f t="shared" si="677"/>
        <v>0</v>
      </c>
      <c r="AD1328" s="238"/>
      <c r="AE1328" s="238"/>
    </row>
    <row r="1329" spans="2:31" x14ac:dyDescent="0.3">
      <c r="B1329" s="245" t="s">
        <v>34</v>
      </c>
      <c r="C1329" s="245"/>
      <c r="D1329" s="245"/>
      <c r="E1329" s="231">
        <v>0</v>
      </c>
      <c r="F1329" s="234">
        <v>0</v>
      </c>
      <c r="G1329" s="231">
        <v>0</v>
      </c>
      <c r="H1329" s="234">
        <v>0</v>
      </c>
      <c r="I1329" s="231">
        <v>0</v>
      </c>
      <c r="J1329" s="234">
        <v>0</v>
      </c>
      <c r="K1329" s="231">
        <v>0</v>
      </c>
      <c r="L1329" s="234">
        <v>0</v>
      </c>
      <c r="M1329" s="231">
        <v>0</v>
      </c>
      <c r="N1329" s="234">
        <v>0</v>
      </c>
      <c r="O1329" s="231">
        <v>0</v>
      </c>
      <c r="P1329" s="234">
        <v>0</v>
      </c>
      <c r="Q1329" s="231">
        <v>0</v>
      </c>
      <c r="R1329" s="234">
        <v>0</v>
      </c>
      <c r="S1329" s="231">
        <v>0</v>
      </c>
      <c r="T1329" s="234">
        <v>0</v>
      </c>
      <c r="U1329" s="231">
        <v>0</v>
      </c>
      <c r="V1329" s="234">
        <v>0</v>
      </c>
      <c r="W1329" s="231">
        <v>0</v>
      </c>
      <c r="X1329" s="234">
        <v>0</v>
      </c>
      <c r="Y1329" s="231">
        <v>0</v>
      </c>
      <c r="Z1329" s="234">
        <v>0</v>
      </c>
      <c r="AA1329" s="231">
        <v>0</v>
      </c>
      <c r="AB1329" s="234">
        <v>0</v>
      </c>
      <c r="AC1329" s="238">
        <f t="shared" si="677"/>
        <v>0</v>
      </c>
      <c r="AD1329" s="238"/>
      <c r="AE1329" s="238"/>
    </row>
    <row r="1330" spans="2:31" x14ac:dyDescent="0.3">
      <c r="B1330" s="245" t="s">
        <v>35</v>
      </c>
      <c r="C1330" s="245"/>
      <c r="D1330" s="245"/>
      <c r="E1330" s="231">
        <v>0</v>
      </c>
      <c r="F1330" s="234">
        <v>0</v>
      </c>
      <c r="G1330" s="231">
        <v>0</v>
      </c>
      <c r="H1330" s="234">
        <v>0</v>
      </c>
      <c r="I1330" s="231">
        <v>0</v>
      </c>
      <c r="J1330" s="234">
        <v>0</v>
      </c>
      <c r="K1330" s="231">
        <v>0</v>
      </c>
      <c r="L1330" s="234">
        <v>0</v>
      </c>
      <c r="M1330" s="231">
        <v>0</v>
      </c>
      <c r="N1330" s="234">
        <v>0</v>
      </c>
      <c r="O1330" s="231">
        <v>0</v>
      </c>
      <c r="P1330" s="234">
        <v>0</v>
      </c>
      <c r="Q1330" s="231">
        <v>0</v>
      </c>
      <c r="R1330" s="234">
        <v>0</v>
      </c>
      <c r="S1330" s="231">
        <v>0</v>
      </c>
      <c r="T1330" s="234">
        <v>0</v>
      </c>
      <c r="U1330" s="231">
        <v>0</v>
      </c>
      <c r="V1330" s="234">
        <v>0</v>
      </c>
      <c r="W1330" s="231">
        <v>0</v>
      </c>
      <c r="X1330" s="234">
        <v>0</v>
      </c>
      <c r="Y1330" s="231">
        <v>0</v>
      </c>
      <c r="Z1330" s="234">
        <v>0</v>
      </c>
      <c r="AA1330" s="231">
        <v>0</v>
      </c>
      <c r="AB1330" s="234">
        <v>0</v>
      </c>
      <c r="AC1330" s="238">
        <f t="shared" si="677"/>
        <v>0</v>
      </c>
      <c r="AD1330" s="238"/>
      <c r="AE1330" s="238"/>
    </row>
    <row r="1331" spans="2:31" x14ac:dyDescent="0.3">
      <c r="B1331" s="245" t="s">
        <v>36</v>
      </c>
      <c r="C1331" s="245"/>
      <c r="D1331" s="245"/>
      <c r="E1331" s="231">
        <v>0</v>
      </c>
      <c r="F1331" s="234">
        <v>0</v>
      </c>
      <c r="G1331" s="231">
        <v>0</v>
      </c>
      <c r="H1331" s="234">
        <v>0</v>
      </c>
      <c r="I1331" s="231">
        <v>0</v>
      </c>
      <c r="J1331" s="234">
        <v>0</v>
      </c>
      <c r="K1331" s="231">
        <v>0</v>
      </c>
      <c r="L1331" s="234">
        <v>0</v>
      </c>
      <c r="M1331" s="231">
        <v>0</v>
      </c>
      <c r="N1331" s="234">
        <v>0</v>
      </c>
      <c r="O1331" s="231">
        <v>0</v>
      </c>
      <c r="P1331" s="234">
        <v>0</v>
      </c>
      <c r="Q1331" s="231">
        <v>0</v>
      </c>
      <c r="R1331" s="234">
        <v>0</v>
      </c>
      <c r="S1331" s="231">
        <v>0</v>
      </c>
      <c r="T1331" s="234">
        <v>0</v>
      </c>
      <c r="U1331" s="231">
        <v>0</v>
      </c>
      <c r="V1331" s="234">
        <v>0</v>
      </c>
      <c r="W1331" s="231">
        <v>0</v>
      </c>
      <c r="X1331" s="234">
        <v>0</v>
      </c>
      <c r="Y1331" s="231">
        <v>0</v>
      </c>
      <c r="Z1331" s="234">
        <v>0</v>
      </c>
      <c r="AA1331" s="231">
        <v>0</v>
      </c>
      <c r="AB1331" s="234">
        <v>0</v>
      </c>
      <c r="AC1331" s="238">
        <f t="shared" si="677"/>
        <v>0</v>
      </c>
      <c r="AD1331" s="238"/>
      <c r="AE1331" s="238"/>
    </row>
    <row r="1332" spans="2:31" x14ac:dyDescent="0.3">
      <c r="B1332" s="13" t="s">
        <v>89</v>
      </c>
      <c r="C1332" s="13"/>
      <c r="D1332" s="13"/>
      <c r="E1332" s="231">
        <v>0</v>
      </c>
      <c r="F1332" s="234">
        <v>0</v>
      </c>
      <c r="G1332" s="231">
        <v>0</v>
      </c>
      <c r="H1332" s="234">
        <v>0</v>
      </c>
      <c r="I1332" s="231">
        <v>0</v>
      </c>
      <c r="J1332" s="234">
        <v>0</v>
      </c>
      <c r="K1332" s="231">
        <v>0</v>
      </c>
      <c r="L1332" s="234">
        <v>0</v>
      </c>
      <c r="M1332" s="231">
        <v>0</v>
      </c>
      <c r="N1332" s="234">
        <v>0</v>
      </c>
      <c r="O1332" s="231">
        <v>0</v>
      </c>
      <c r="P1332" s="234">
        <v>0</v>
      </c>
      <c r="Q1332" s="231">
        <v>0</v>
      </c>
      <c r="R1332" s="234">
        <v>0</v>
      </c>
      <c r="S1332" s="231">
        <v>0</v>
      </c>
      <c r="T1332" s="234">
        <v>0</v>
      </c>
      <c r="U1332" s="231">
        <v>0</v>
      </c>
      <c r="V1332" s="234">
        <v>0</v>
      </c>
      <c r="W1332" s="231">
        <v>0</v>
      </c>
      <c r="X1332" s="234">
        <v>0</v>
      </c>
      <c r="Y1332" s="231">
        <v>0</v>
      </c>
      <c r="Z1332" s="234">
        <v>0</v>
      </c>
      <c r="AA1332" s="231">
        <v>0</v>
      </c>
      <c r="AB1332" s="234">
        <v>0</v>
      </c>
      <c r="AC1332" s="238">
        <f t="shared" si="677"/>
        <v>0</v>
      </c>
      <c r="AD1332" s="238"/>
      <c r="AE1332" s="238"/>
    </row>
    <row r="1333" spans="2:31" x14ac:dyDescent="0.3">
      <c r="B1333" s="13" t="s">
        <v>90</v>
      </c>
      <c r="C1333" s="13"/>
      <c r="D1333" s="13"/>
      <c r="E1333" s="231">
        <v>0</v>
      </c>
      <c r="F1333" s="234">
        <v>0</v>
      </c>
      <c r="G1333" s="231">
        <v>0</v>
      </c>
      <c r="H1333" s="234">
        <v>0</v>
      </c>
      <c r="I1333" s="231">
        <v>0</v>
      </c>
      <c r="J1333" s="234">
        <v>0</v>
      </c>
      <c r="K1333" s="231">
        <v>0</v>
      </c>
      <c r="L1333" s="234">
        <v>0</v>
      </c>
      <c r="M1333" s="231">
        <v>0</v>
      </c>
      <c r="N1333" s="234">
        <v>0</v>
      </c>
      <c r="O1333" s="231">
        <v>0</v>
      </c>
      <c r="P1333" s="234">
        <v>0</v>
      </c>
      <c r="Q1333" s="231">
        <v>0</v>
      </c>
      <c r="R1333" s="234">
        <v>0</v>
      </c>
      <c r="S1333" s="231">
        <v>0</v>
      </c>
      <c r="T1333" s="234">
        <v>0</v>
      </c>
      <c r="U1333" s="231">
        <v>0</v>
      </c>
      <c r="V1333" s="234">
        <v>0</v>
      </c>
      <c r="W1333" s="231">
        <v>0</v>
      </c>
      <c r="X1333" s="234">
        <v>0</v>
      </c>
      <c r="Y1333" s="231">
        <v>0</v>
      </c>
      <c r="Z1333" s="234">
        <v>0</v>
      </c>
      <c r="AA1333" s="231">
        <v>0</v>
      </c>
      <c r="AB1333" s="234">
        <v>0</v>
      </c>
      <c r="AC1333" s="238">
        <f t="shared" si="677"/>
        <v>0</v>
      </c>
      <c r="AD1333" s="238"/>
      <c r="AE1333" s="238"/>
    </row>
    <row r="1334" spans="2:31" x14ac:dyDescent="0.3">
      <c r="B1334" s="14" t="s">
        <v>2</v>
      </c>
      <c r="C1334" s="14"/>
      <c r="D1334" s="14"/>
      <c r="E1334" s="15">
        <f>SUM(E1297:E1333)</f>
        <v>0</v>
      </c>
      <c r="F1334" s="15">
        <f t="shared" ref="F1334" si="678">SUM(F1297:F1333)</f>
        <v>0</v>
      </c>
      <c r="G1334" s="15">
        <f t="shared" ref="G1334" si="679">SUM(G1297:G1333)</f>
        <v>0</v>
      </c>
      <c r="H1334" s="15">
        <f t="shared" ref="H1334" si="680">SUM(H1297:H1333)</f>
        <v>0</v>
      </c>
      <c r="I1334" s="15">
        <f t="shared" ref="I1334" si="681">SUM(I1297:I1333)</f>
        <v>0</v>
      </c>
      <c r="J1334" s="15">
        <f t="shared" ref="J1334" si="682">SUM(J1297:J1333)</f>
        <v>0</v>
      </c>
      <c r="K1334" s="15">
        <f t="shared" ref="K1334" si="683">SUM(K1297:K1333)</f>
        <v>0</v>
      </c>
      <c r="L1334" s="15">
        <f t="shared" ref="L1334" si="684">SUM(L1297:L1333)</f>
        <v>0</v>
      </c>
      <c r="M1334" s="15">
        <f t="shared" ref="M1334" si="685">SUM(M1297:M1333)</f>
        <v>0</v>
      </c>
      <c r="N1334" s="15">
        <f t="shared" ref="N1334" si="686">SUM(N1297:N1333)</f>
        <v>0</v>
      </c>
      <c r="O1334" s="15">
        <f t="shared" ref="O1334" si="687">SUM(O1297:O1333)</f>
        <v>0</v>
      </c>
      <c r="P1334" s="15">
        <f t="shared" ref="P1334" si="688">SUM(P1297:P1333)</f>
        <v>0</v>
      </c>
      <c r="Q1334" s="15">
        <f t="shared" ref="Q1334" si="689">SUM(Q1297:Q1333)</f>
        <v>3.3371666666666679</v>
      </c>
      <c r="R1334" s="15">
        <f t="shared" ref="R1334" si="690">SUM(R1297:R1333)</f>
        <v>16.470666666666666</v>
      </c>
      <c r="S1334" s="15">
        <f t="shared" ref="S1334" si="691">SUM(S1297:S1333)</f>
        <v>0</v>
      </c>
      <c r="T1334" s="15">
        <f t="shared" ref="T1334" si="692">SUM(T1297:T1333)</f>
        <v>7.4146666666666663</v>
      </c>
      <c r="U1334" s="15">
        <f t="shared" ref="U1334" si="693">SUM(U1297:U1333)</f>
        <v>0.72466666666666757</v>
      </c>
      <c r="V1334" s="15">
        <f t="shared" ref="V1334" si="694">SUM(V1297:V1333)</f>
        <v>13.355999999999995</v>
      </c>
      <c r="W1334" s="15">
        <f t="shared" ref="W1334" si="695">SUM(W1297:W1333)</f>
        <v>17.256000000000007</v>
      </c>
      <c r="X1334" s="15">
        <f t="shared" ref="X1334" si="696">SUM(X1297:X1333)</f>
        <v>14.045499999999999</v>
      </c>
      <c r="Y1334" s="15">
        <f t="shared" ref="Y1334" si="697">SUM(Y1297:Y1333)</f>
        <v>0</v>
      </c>
      <c r="Z1334" s="15">
        <f t="shared" ref="Z1334" si="698">SUM(Z1297:Z1333)</f>
        <v>0</v>
      </c>
      <c r="AA1334" s="15">
        <f t="shared" ref="AA1334" si="699">SUM(AA1297:AA1333)</f>
        <v>0</v>
      </c>
      <c r="AB1334" s="15">
        <f t="shared" ref="AB1334" si="700">SUM(AB1297:AB1333)</f>
        <v>0</v>
      </c>
      <c r="AC1334" s="249">
        <f>SUM(AC1297:AE1333)</f>
        <v>72.604666666666674</v>
      </c>
      <c r="AD1334" s="249"/>
      <c r="AE1334" s="249"/>
    </row>
  </sheetData>
  <mergeCells count="2294">
    <mergeCell ref="B1330:D1330"/>
    <mergeCell ref="AC1330:AE1330"/>
    <mergeCell ref="B1331:D1331"/>
    <mergeCell ref="AC1331:AE1331"/>
    <mergeCell ref="AC1334:AE1334"/>
    <mergeCell ref="B1327:D1327"/>
    <mergeCell ref="AC1327:AE1327"/>
    <mergeCell ref="B1328:D1328"/>
    <mergeCell ref="AC1328:AE1328"/>
    <mergeCell ref="B1329:D1329"/>
    <mergeCell ref="AC1329:AE1329"/>
    <mergeCell ref="B1324:D1324"/>
    <mergeCell ref="AC1324:AE1324"/>
    <mergeCell ref="B1325:D1325"/>
    <mergeCell ref="AC1325:AE1325"/>
    <mergeCell ref="B1326:D1326"/>
    <mergeCell ref="AC1326:AE1326"/>
    <mergeCell ref="AC1332:AE1332"/>
    <mergeCell ref="AC1333:AE1333"/>
    <mergeCell ref="B1321:D1321"/>
    <mergeCell ref="AC1321:AE1321"/>
    <mergeCell ref="B1322:D1322"/>
    <mergeCell ref="AC1322:AE1322"/>
    <mergeCell ref="B1323:D1323"/>
    <mergeCell ref="AC1323:AE1323"/>
    <mergeCell ref="B1318:D1318"/>
    <mergeCell ref="AC1318:AE1318"/>
    <mergeCell ref="B1319:D1319"/>
    <mergeCell ref="AC1319:AE1319"/>
    <mergeCell ref="B1320:D1320"/>
    <mergeCell ref="AC1320:AE1320"/>
    <mergeCell ref="B1315:D1315"/>
    <mergeCell ref="AC1315:AE1315"/>
    <mergeCell ref="B1316:D1316"/>
    <mergeCell ref="AC1316:AE1316"/>
    <mergeCell ref="B1317:D1317"/>
    <mergeCell ref="AC1317:AE1317"/>
    <mergeCell ref="B1312:D1312"/>
    <mergeCell ref="AC1312:AE1312"/>
    <mergeCell ref="B1313:D1313"/>
    <mergeCell ref="AC1313:AE1313"/>
    <mergeCell ref="B1314:D1314"/>
    <mergeCell ref="AC1314:AE1314"/>
    <mergeCell ref="B1309:D1309"/>
    <mergeCell ref="AC1309:AE1309"/>
    <mergeCell ref="B1310:D1310"/>
    <mergeCell ref="AC1310:AE1310"/>
    <mergeCell ref="B1311:D1311"/>
    <mergeCell ref="AC1311:AE1311"/>
    <mergeCell ref="B1306:D1306"/>
    <mergeCell ref="AC1306:AE1306"/>
    <mergeCell ref="B1307:D1307"/>
    <mergeCell ref="AC1307:AE1307"/>
    <mergeCell ref="B1308:D1308"/>
    <mergeCell ref="AC1308:AE1308"/>
    <mergeCell ref="B1303:D1303"/>
    <mergeCell ref="AC1303:AE1303"/>
    <mergeCell ref="B1304:D1304"/>
    <mergeCell ref="AC1304:AE1304"/>
    <mergeCell ref="B1305:D1305"/>
    <mergeCell ref="AC1305:AE1305"/>
    <mergeCell ref="B1300:D1300"/>
    <mergeCell ref="AC1300:AE1300"/>
    <mergeCell ref="B1301:D1301"/>
    <mergeCell ref="AC1301:AE1301"/>
    <mergeCell ref="B1302:D1302"/>
    <mergeCell ref="AC1302:AE1302"/>
    <mergeCell ref="B1297:D1297"/>
    <mergeCell ref="AC1297:AE1297"/>
    <mergeCell ref="B1298:D1298"/>
    <mergeCell ref="AC1298:AE1298"/>
    <mergeCell ref="B1299:D1299"/>
    <mergeCell ref="AC1299:AE1299"/>
    <mergeCell ref="B1287:D1287"/>
    <mergeCell ref="AC1287:AE1287"/>
    <mergeCell ref="B1288:D1288"/>
    <mergeCell ref="AC1288:AE1288"/>
    <mergeCell ref="AC1291:AE1291"/>
    <mergeCell ref="AC1296:AE1296"/>
    <mergeCell ref="B1284:D1284"/>
    <mergeCell ref="AC1284:AE1284"/>
    <mergeCell ref="B1285:D1285"/>
    <mergeCell ref="AC1285:AE1285"/>
    <mergeCell ref="B1286:D1286"/>
    <mergeCell ref="AC1286:AE1286"/>
    <mergeCell ref="B1281:D1281"/>
    <mergeCell ref="AC1281:AE1281"/>
    <mergeCell ref="B1282:D1282"/>
    <mergeCell ref="AC1282:AE1282"/>
    <mergeCell ref="B1283:D1283"/>
    <mergeCell ref="AC1283:AE1283"/>
    <mergeCell ref="AC1289:AE1289"/>
    <mergeCell ref="AC1290:AE1290"/>
    <mergeCell ref="B1278:D1278"/>
    <mergeCell ref="AC1278:AE1278"/>
    <mergeCell ref="B1279:D1279"/>
    <mergeCell ref="AC1279:AE1279"/>
    <mergeCell ref="B1280:D1280"/>
    <mergeCell ref="AC1280:AE1280"/>
    <mergeCell ref="B1275:D1275"/>
    <mergeCell ref="AC1275:AE1275"/>
    <mergeCell ref="B1276:D1276"/>
    <mergeCell ref="AC1276:AE1276"/>
    <mergeCell ref="B1277:D1277"/>
    <mergeCell ref="AC1277:AE1277"/>
    <mergeCell ref="B1272:D1272"/>
    <mergeCell ref="AC1272:AE1272"/>
    <mergeCell ref="B1273:D1273"/>
    <mergeCell ref="AC1273:AE1273"/>
    <mergeCell ref="B1274:D1274"/>
    <mergeCell ref="AC1274:AE1274"/>
    <mergeCell ref="B1269:D1269"/>
    <mergeCell ref="AC1269:AE1269"/>
    <mergeCell ref="B1270:D1270"/>
    <mergeCell ref="AC1270:AE1270"/>
    <mergeCell ref="B1271:D1271"/>
    <mergeCell ref="AC1271:AE1271"/>
    <mergeCell ref="B1266:D1266"/>
    <mergeCell ref="AC1266:AE1266"/>
    <mergeCell ref="B1267:D1267"/>
    <mergeCell ref="AC1267:AE1267"/>
    <mergeCell ref="B1268:D1268"/>
    <mergeCell ref="AC1268:AE1268"/>
    <mergeCell ref="B1263:D1263"/>
    <mergeCell ref="AC1263:AE1263"/>
    <mergeCell ref="B1264:D1264"/>
    <mergeCell ref="AC1264:AE1264"/>
    <mergeCell ref="B1265:D1265"/>
    <mergeCell ref="AC1265:AE1265"/>
    <mergeCell ref="B1260:D1260"/>
    <mergeCell ref="AC1260:AE1260"/>
    <mergeCell ref="B1261:D1261"/>
    <mergeCell ref="AC1261:AE1261"/>
    <mergeCell ref="B1262:D1262"/>
    <mergeCell ref="AC1262:AE1262"/>
    <mergeCell ref="B1257:D1257"/>
    <mergeCell ref="AC1257:AE1257"/>
    <mergeCell ref="B1258:D1258"/>
    <mergeCell ref="AC1258:AE1258"/>
    <mergeCell ref="B1259:D1259"/>
    <mergeCell ref="AC1259:AE1259"/>
    <mergeCell ref="B1254:D1254"/>
    <mergeCell ref="AC1254:AE1254"/>
    <mergeCell ref="B1255:D1255"/>
    <mergeCell ref="AC1255:AE1255"/>
    <mergeCell ref="B1256:D1256"/>
    <mergeCell ref="AC1256:AE1256"/>
    <mergeCell ref="B1244:D1244"/>
    <mergeCell ref="AC1244:AE1244"/>
    <mergeCell ref="B1245:D1245"/>
    <mergeCell ref="AC1245:AE1245"/>
    <mergeCell ref="AC1248:AE1248"/>
    <mergeCell ref="AC1253:AE1253"/>
    <mergeCell ref="B1241:D1241"/>
    <mergeCell ref="AC1241:AE1241"/>
    <mergeCell ref="B1242:D1242"/>
    <mergeCell ref="AC1242:AE1242"/>
    <mergeCell ref="B1243:D1243"/>
    <mergeCell ref="AC1243:AE1243"/>
    <mergeCell ref="B1238:D1238"/>
    <mergeCell ref="AC1238:AE1238"/>
    <mergeCell ref="B1239:D1239"/>
    <mergeCell ref="AC1239:AE1239"/>
    <mergeCell ref="B1240:D1240"/>
    <mergeCell ref="AC1240:AE1240"/>
    <mergeCell ref="AC1246:AE1246"/>
    <mergeCell ref="AC1247:AE1247"/>
    <mergeCell ref="B1235:D1235"/>
    <mergeCell ref="AC1235:AE1235"/>
    <mergeCell ref="B1236:D1236"/>
    <mergeCell ref="AC1236:AE1236"/>
    <mergeCell ref="B1237:D1237"/>
    <mergeCell ref="AC1237:AE1237"/>
    <mergeCell ref="B1232:D1232"/>
    <mergeCell ref="AC1232:AE1232"/>
    <mergeCell ref="B1233:D1233"/>
    <mergeCell ref="AC1233:AE1233"/>
    <mergeCell ref="B1234:D1234"/>
    <mergeCell ref="AC1234:AE1234"/>
    <mergeCell ref="B1229:D1229"/>
    <mergeCell ref="AC1229:AE1229"/>
    <mergeCell ref="B1230:D1230"/>
    <mergeCell ref="AC1230:AE1230"/>
    <mergeCell ref="B1231:D1231"/>
    <mergeCell ref="AC1231:AE1231"/>
    <mergeCell ref="B1226:D1226"/>
    <mergeCell ref="AC1226:AE1226"/>
    <mergeCell ref="B1227:D1227"/>
    <mergeCell ref="AC1227:AE1227"/>
    <mergeCell ref="B1228:D1228"/>
    <mergeCell ref="AC1228:AE1228"/>
    <mergeCell ref="B1223:D1223"/>
    <mergeCell ref="AC1223:AE1223"/>
    <mergeCell ref="B1224:D1224"/>
    <mergeCell ref="AC1224:AE1224"/>
    <mergeCell ref="B1225:D1225"/>
    <mergeCell ref="AC1225:AE1225"/>
    <mergeCell ref="B1220:D1220"/>
    <mergeCell ref="AC1220:AE1220"/>
    <mergeCell ref="B1221:D1221"/>
    <mergeCell ref="AC1221:AE1221"/>
    <mergeCell ref="B1222:D1222"/>
    <mergeCell ref="AC1222:AE1222"/>
    <mergeCell ref="B1217:D1217"/>
    <mergeCell ref="AC1217:AE1217"/>
    <mergeCell ref="B1218:D1218"/>
    <mergeCell ref="AC1218:AE1218"/>
    <mergeCell ref="B1219:D1219"/>
    <mergeCell ref="AC1219:AE1219"/>
    <mergeCell ref="B1214:D1214"/>
    <mergeCell ref="AC1214:AE1214"/>
    <mergeCell ref="B1215:D1215"/>
    <mergeCell ref="AC1215:AE1215"/>
    <mergeCell ref="B1216:D1216"/>
    <mergeCell ref="AC1216:AE1216"/>
    <mergeCell ref="B1211:D1211"/>
    <mergeCell ref="AC1211:AE1211"/>
    <mergeCell ref="B1212:D1212"/>
    <mergeCell ref="AC1212:AE1212"/>
    <mergeCell ref="B1213:D1213"/>
    <mergeCell ref="AC1213:AE1213"/>
    <mergeCell ref="B1201:D1201"/>
    <mergeCell ref="AC1201:AE1201"/>
    <mergeCell ref="B1202:D1202"/>
    <mergeCell ref="AC1202:AE1202"/>
    <mergeCell ref="AC1205:AE1205"/>
    <mergeCell ref="AC1210:AE1210"/>
    <mergeCell ref="B1198:D1198"/>
    <mergeCell ref="AC1198:AE1198"/>
    <mergeCell ref="B1199:D1199"/>
    <mergeCell ref="AC1199:AE1199"/>
    <mergeCell ref="B1200:D1200"/>
    <mergeCell ref="AC1200:AE1200"/>
    <mergeCell ref="B1195:D1195"/>
    <mergeCell ref="AC1195:AE1195"/>
    <mergeCell ref="B1196:D1196"/>
    <mergeCell ref="AC1196:AE1196"/>
    <mergeCell ref="B1197:D1197"/>
    <mergeCell ref="AC1197:AE1197"/>
    <mergeCell ref="AC1203:AE1203"/>
    <mergeCell ref="AC1204:AE1204"/>
    <mergeCell ref="B1192:D1192"/>
    <mergeCell ref="AC1192:AE1192"/>
    <mergeCell ref="B1193:D1193"/>
    <mergeCell ref="AC1193:AE1193"/>
    <mergeCell ref="B1194:D1194"/>
    <mergeCell ref="AC1194:AE1194"/>
    <mergeCell ref="B1189:D1189"/>
    <mergeCell ref="AC1189:AE1189"/>
    <mergeCell ref="B1190:D1190"/>
    <mergeCell ref="AC1190:AE1190"/>
    <mergeCell ref="B1191:D1191"/>
    <mergeCell ref="AC1191:AE1191"/>
    <mergeCell ref="B1186:D1186"/>
    <mergeCell ref="AC1186:AE1186"/>
    <mergeCell ref="B1187:D1187"/>
    <mergeCell ref="AC1187:AE1187"/>
    <mergeCell ref="B1188:D1188"/>
    <mergeCell ref="AC1188:AE1188"/>
    <mergeCell ref="B1183:D1183"/>
    <mergeCell ref="AC1183:AE1183"/>
    <mergeCell ref="B1184:D1184"/>
    <mergeCell ref="AC1184:AE1184"/>
    <mergeCell ref="B1185:D1185"/>
    <mergeCell ref="AC1185:AE1185"/>
    <mergeCell ref="B1180:D1180"/>
    <mergeCell ref="AC1180:AE1180"/>
    <mergeCell ref="B1181:D1181"/>
    <mergeCell ref="AC1181:AE1181"/>
    <mergeCell ref="B1182:D1182"/>
    <mergeCell ref="AC1182:AE1182"/>
    <mergeCell ref="B1177:D1177"/>
    <mergeCell ref="AC1177:AE1177"/>
    <mergeCell ref="B1178:D1178"/>
    <mergeCell ref="AC1178:AE1178"/>
    <mergeCell ref="B1179:D1179"/>
    <mergeCell ref="AC1179:AE1179"/>
    <mergeCell ref="B1174:D1174"/>
    <mergeCell ref="AC1174:AE1174"/>
    <mergeCell ref="B1175:D1175"/>
    <mergeCell ref="AC1175:AE1175"/>
    <mergeCell ref="B1176:D1176"/>
    <mergeCell ref="AC1176:AE1176"/>
    <mergeCell ref="B1171:D1171"/>
    <mergeCell ref="AC1171:AE1171"/>
    <mergeCell ref="B1172:D1172"/>
    <mergeCell ref="AC1172:AE1172"/>
    <mergeCell ref="B1173:D1173"/>
    <mergeCell ref="AC1173:AE1173"/>
    <mergeCell ref="B1168:D1168"/>
    <mergeCell ref="AC1168:AE1168"/>
    <mergeCell ref="B1169:D1169"/>
    <mergeCell ref="AC1169:AE1169"/>
    <mergeCell ref="B1170:D1170"/>
    <mergeCell ref="AC1170:AE1170"/>
    <mergeCell ref="B1159:D1159"/>
    <mergeCell ref="AC1159:AE1159"/>
    <mergeCell ref="B1160:D1160"/>
    <mergeCell ref="AC1160:AE1160"/>
    <mergeCell ref="AC1162:AE1162"/>
    <mergeCell ref="AC1167:AE1167"/>
    <mergeCell ref="B1156:D1156"/>
    <mergeCell ref="AC1156:AE1156"/>
    <mergeCell ref="B1157:D1157"/>
    <mergeCell ref="AC1157:AE1157"/>
    <mergeCell ref="B1158:D1158"/>
    <mergeCell ref="AC1158:AE1158"/>
    <mergeCell ref="B1153:D1153"/>
    <mergeCell ref="AC1153:AE1153"/>
    <mergeCell ref="B1154:D1154"/>
    <mergeCell ref="AC1154:AE1154"/>
    <mergeCell ref="B1155:D1155"/>
    <mergeCell ref="AC1155:AE1155"/>
    <mergeCell ref="AC1161:AE1161"/>
    <mergeCell ref="AC1163:AE1163"/>
    <mergeCell ref="B1150:D1150"/>
    <mergeCell ref="AC1150:AE1150"/>
    <mergeCell ref="B1151:D1151"/>
    <mergeCell ref="AC1151:AE1151"/>
    <mergeCell ref="B1152:D1152"/>
    <mergeCell ref="AC1152:AE1152"/>
    <mergeCell ref="B1147:D1147"/>
    <mergeCell ref="AC1147:AE1147"/>
    <mergeCell ref="B1148:D1148"/>
    <mergeCell ref="AC1148:AE1148"/>
    <mergeCell ref="B1149:D1149"/>
    <mergeCell ref="AC1149:AE1149"/>
    <mergeCell ref="B1144:D1144"/>
    <mergeCell ref="AC1144:AE1144"/>
    <mergeCell ref="B1145:D1145"/>
    <mergeCell ref="AC1145:AE1145"/>
    <mergeCell ref="B1146:D1146"/>
    <mergeCell ref="AC1146:AE1146"/>
    <mergeCell ref="B1141:D1141"/>
    <mergeCell ref="AC1141:AE1141"/>
    <mergeCell ref="B1142:D1142"/>
    <mergeCell ref="AC1142:AE1142"/>
    <mergeCell ref="B1143:D1143"/>
    <mergeCell ref="AC1143:AE1143"/>
    <mergeCell ref="B1138:D1138"/>
    <mergeCell ref="AC1138:AE1138"/>
    <mergeCell ref="B1139:D1139"/>
    <mergeCell ref="AC1139:AE1139"/>
    <mergeCell ref="B1140:D1140"/>
    <mergeCell ref="AC1140:AE1140"/>
    <mergeCell ref="B1135:D1135"/>
    <mergeCell ref="AC1135:AE1135"/>
    <mergeCell ref="B1136:D1136"/>
    <mergeCell ref="AC1136:AE1136"/>
    <mergeCell ref="B1137:D1137"/>
    <mergeCell ref="AC1137:AE1137"/>
    <mergeCell ref="B1132:D1132"/>
    <mergeCell ref="AC1132:AE1132"/>
    <mergeCell ref="B1133:D1133"/>
    <mergeCell ref="AC1133:AE1133"/>
    <mergeCell ref="B1134:D1134"/>
    <mergeCell ref="AC1134:AE1134"/>
    <mergeCell ref="B1129:D1129"/>
    <mergeCell ref="AC1129:AE1129"/>
    <mergeCell ref="B1130:D1130"/>
    <mergeCell ref="AC1130:AE1130"/>
    <mergeCell ref="B1131:D1131"/>
    <mergeCell ref="AC1131:AE1131"/>
    <mergeCell ref="B1126:D1126"/>
    <mergeCell ref="AC1126:AE1126"/>
    <mergeCell ref="B1127:D1127"/>
    <mergeCell ref="AC1127:AE1127"/>
    <mergeCell ref="B1128:D1128"/>
    <mergeCell ref="AC1128:AE1128"/>
    <mergeCell ref="B1116:D1116"/>
    <mergeCell ref="AC1116:AE1116"/>
    <mergeCell ref="B1117:D1117"/>
    <mergeCell ref="AC1117:AE1117"/>
    <mergeCell ref="AC1120:AE1120"/>
    <mergeCell ref="AC1125:AE1125"/>
    <mergeCell ref="B1113:D1113"/>
    <mergeCell ref="AC1113:AE1113"/>
    <mergeCell ref="B1114:D1114"/>
    <mergeCell ref="AC1114:AE1114"/>
    <mergeCell ref="B1115:D1115"/>
    <mergeCell ref="AC1115:AE1115"/>
    <mergeCell ref="B1110:D1110"/>
    <mergeCell ref="AC1110:AE1110"/>
    <mergeCell ref="B1111:D1111"/>
    <mergeCell ref="AC1111:AE1111"/>
    <mergeCell ref="B1112:D1112"/>
    <mergeCell ref="AC1112:AE1112"/>
    <mergeCell ref="AC1118:AE1118"/>
    <mergeCell ref="AC1119:AE1119"/>
    <mergeCell ref="B1107:D1107"/>
    <mergeCell ref="AC1107:AE1107"/>
    <mergeCell ref="B1108:D1108"/>
    <mergeCell ref="AC1108:AE1108"/>
    <mergeCell ref="B1109:D1109"/>
    <mergeCell ref="AC1109:AE1109"/>
    <mergeCell ref="B1104:D1104"/>
    <mergeCell ref="AC1104:AE1104"/>
    <mergeCell ref="B1105:D1105"/>
    <mergeCell ref="AC1105:AE1105"/>
    <mergeCell ref="B1106:D1106"/>
    <mergeCell ref="AC1106:AE1106"/>
    <mergeCell ref="B1101:D1101"/>
    <mergeCell ref="AC1101:AE1101"/>
    <mergeCell ref="B1102:D1102"/>
    <mergeCell ref="AC1102:AE1102"/>
    <mergeCell ref="B1103:D1103"/>
    <mergeCell ref="AC1103:AE1103"/>
    <mergeCell ref="B1098:D1098"/>
    <mergeCell ref="AC1098:AE1098"/>
    <mergeCell ref="B1099:D1099"/>
    <mergeCell ref="AC1099:AE1099"/>
    <mergeCell ref="B1100:D1100"/>
    <mergeCell ref="AC1100:AE1100"/>
    <mergeCell ref="B1095:D1095"/>
    <mergeCell ref="AC1095:AE1095"/>
    <mergeCell ref="B1096:D1096"/>
    <mergeCell ref="AC1096:AE1096"/>
    <mergeCell ref="B1097:D1097"/>
    <mergeCell ref="AC1097:AE1097"/>
    <mergeCell ref="B1092:D1092"/>
    <mergeCell ref="AC1092:AE1092"/>
    <mergeCell ref="B1093:D1093"/>
    <mergeCell ref="AC1093:AE1093"/>
    <mergeCell ref="B1094:D1094"/>
    <mergeCell ref="AC1094:AE1094"/>
    <mergeCell ref="B1089:D1089"/>
    <mergeCell ref="AC1089:AE1089"/>
    <mergeCell ref="B1090:D1090"/>
    <mergeCell ref="AC1090:AE1090"/>
    <mergeCell ref="B1091:D1091"/>
    <mergeCell ref="AC1091:AE1091"/>
    <mergeCell ref="B1086:D1086"/>
    <mergeCell ref="AC1086:AE1086"/>
    <mergeCell ref="B1087:D1087"/>
    <mergeCell ref="AC1087:AE1087"/>
    <mergeCell ref="B1088:D1088"/>
    <mergeCell ref="AC1088:AE1088"/>
    <mergeCell ref="B1083:D1083"/>
    <mergeCell ref="AC1083:AE1083"/>
    <mergeCell ref="B1084:D1084"/>
    <mergeCell ref="AC1084:AE1084"/>
    <mergeCell ref="B1085:D1085"/>
    <mergeCell ref="AC1085:AE1085"/>
    <mergeCell ref="B1073:D1073"/>
    <mergeCell ref="AC1073:AE1073"/>
    <mergeCell ref="B1074:D1074"/>
    <mergeCell ref="AC1074:AE1074"/>
    <mergeCell ref="AC1077:AE1077"/>
    <mergeCell ref="AC1082:AE1082"/>
    <mergeCell ref="B1070:D1070"/>
    <mergeCell ref="AC1070:AE1070"/>
    <mergeCell ref="B1071:D1071"/>
    <mergeCell ref="AC1071:AE1071"/>
    <mergeCell ref="B1072:D1072"/>
    <mergeCell ref="AC1072:AE1072"/>
    <mergeCell ref="B1067:D1067"/>
    <mergeCell ref="AC1067:AE1067"/>
    <mergeCell ref="B1068:D1068"/>
    <mergeCell ref="AC1068:AE1068"/>
    <mergeCell ref="B1069:D1069"/>
    <mergeCell ref="AC1069:AE1069"/>
    <mergeCell ref="AC1075:AE1075"/>
    <mergeCell ref="AC1076:AE1076"/>
    <mergeCell ref="B1064:D1064"/>
    <mergeCell ref="AC1064:AE1064"/>
    <mergeCell ref="B1065:D1065"/>
    <mergeCell ref="AC1065:AE1065"/>
    <mergeCell ref="B1066:D1066"/>
    <mergeCell ref="AC1066:AE1066"/>
    <mergeCell ref="B1061:D1061"/>
    <mergeCell ref="AC1061:AE1061"/>
    <mergeCell ref="B1062:D1062"/>
    <mergeCell ref="AC1062:AE1062"/>
    <mergeCell ref="B1063:D1063"/>
    <mergeCell ref="AC1063:AE1063"/>
    <mergeCell ref="B1058:D1058"/>
    <mergeCell ref="AC1058:AE1058"/>
    <mergeCell ref="B1059:D1059"/>
    <mergeCell ref="AC1059:AE1059"/>
    <mergeCell ref="B1060:D1060"/>
    <mergeCell ref="AC1060:AE1060"/>
    <mergeCell ref="B1055:D1055"/>
    <mergeCell ref="AC1055:AE1055"/>
    <mergeCell ref="B1056:D1056"/>
    <mergeCell ref="AC1056:AE1056"/>
    <mergeCell ref="B1057:D1057"/>
    <mergeCell ref="AC1057:AE1057"/>
    <mergeCell ref="B1052:D1052"/>
    <mergeCell ref="AC1052:AE1052"/>
    <mergeCell ref="B1053:D1053"/>
    <mergeCell ref="AC1053:AE1053"/>
    <mergeCell ref="B1054:D1054"/>
    <mergeCell ref="AC1054:AE1054"/>
    <mergeCell ref="B1049:D1049"/>
    <mergeCell ref="AC1049:AE1049"/>
    <mergeCell ref="B1050:D1050"/>
    <mergeCell ref="AC1050:AE1050"/>
    <mergeCell ref="B1051:D1051"/>
    <mergeCell ref="AC1051:AE1051"/>
    <mergeCell ref="B1046:D1046"/>
    <mergeCell ref="AC1046:AE1046"/>
    <mergeCell ref="B1047:D1047"/>
    <mergeCell ref="AC1047:AE1047"/>
    <mergeCell ref="B1048:D1048"/>
    <mergeCell ref="AC1048:AE1048"/>
    <mergeCell ref="B1043:D1043"/>
    <mergeCell ref="AC1043:AE1043"/>
    <mergeCell ref="B1044:D1044"/>
    <mergeCell ref="AC1044:AE1044"/>
    <mergeCell ref="B1045:D1045"/>
    <mergeCell ref="AC1045:AE1045"/>
    <mergeCell ref="B1040:D1040"/>
    <mergeCell ref="AC1040:AE1040"/>
    <mergeCell ref="B1041:D1041"/>
    <mergeCell ref="AC1041:AE1041"/>
    <mergeCell ref="B1042:D1042"/>
    <mergeCell ref="AC1042:AE1042"/>
    <mergeCell ref="B1030:D1030"/>
    <mergeCell ref="AC1030:AE1030"/>
    <mergeCell ref="B1031:D1031"/>
    <mergeCell ref="AC1031:AE1031"/>
    <mergeCell ref="AC1034:AE1034"/>
    <mergeCell ref="AC1039:AE1039"/>
    <mergeCell ref="B1027:D1027"/>
    <mergeCell ref="AC1027:AE1027"/>
    <mergeCell ref="B1028:D1028"/>
    <mergeCell ref="AC1028:AE1028"/>
    <mergeCell ref="B1029:D1029"/>
    <mergeCell ref="AC1029:AE1029"/>
    <mergeCell ref="B1024:D1024"/>
    <mergeCell ref="AC1024:AE1024"/>
    <mergeCell ref="B1025:D1025"/>
    <mergeCell ref="AC1025:AE1025"/>
    <mergeCell ref="B1026:D1026"/>
    <mergeCell ref="AC1026:AE1026"/>
    <mergeCell ref="AC1032:AE1032"/>
    <mergeCell ref="AC1033:AE1033"/>
    <mergeCell ref="B1021:D1021"/>
    <mergeCell ref="AC1021:AE1021"/>
    <mergeCell ref="B1022:D1022"/>
    <mergeCell ref="AC1022:AE1022"/>
    <mergeCell ref="B1023:D1023"/>
    <mergeCell ref="AC1023:AE1023"/>
    <mergeCell ref="B1018:D1018"/>
    <mergeCell ref="AC1018:AE1018"/>
    <mergeCell ref="B1019:D1019"/>
    <mergeCell ref="AC1019:AE1019"/>
    <mergeCell ref="B1020:D1020"/>
    <mergeCell ref="AC1020:AE1020"/>
    <mergeCell ref="B1015:D1015"/>
    <mergeCell ref="AC1015:AE1015"/>
    <mergeCell ref="B1016:D1016"/>
    <mergeCell ref="AC1016:AE1016"/>
    <mergeCell ref="B1017:D1017"/>
    <mergeCell ref="AC1017:AE1017"/>
    <mergeCell ref="B1012:D1012"/>
    <mergeCell ref="AC1012:AE1012"/>
    <mergeCell ref="B1013:D1013"/>
    <mergeCell ref="AC1013:AE1013"/>
    <mergeCell ref="B1014:D1014"/>
    <mergeCell ref="AC1014:AE1014"/>
    <mergeCell ref="B1009:D1009"/>
    <mergeCell ref="AC1009:AE1009"/>
    <mergeCell ref="B1010:D1010"/>
    <mergeCell ref="AC1010:AE1010"/>
    <mergeCell ref="B1011:D1011"/>
    <mergeCell ref="AC1011:AE1011"/>
    <mergeCell ref="B1006:D1006"/>
    <mergeCell ref="AC1006:AE1006"/>
    <mergeCell ref="B1007:D1007"/>
    <mergeCell ref="AC1007:AE1007"/>
    <mergeCell ref="B1008:D1008"/>
    <mergeCell ref="AC1008:AE1008"/>
    <mergeCell ref="B1003:D1003"/>
    <mergeCell ref="AC1003:AE1003"/>
    <mergeCell ref="B1004:D1004"/>
    <mergeCell ref="AC1004:AE1004"/>
    <mergeCell ref="B1005:D1005"/>
    <mergeCell ref="AC1005:AE1005"/>
    <mergeCell ref="B1000:D1000"/>
    <mergeCell ref="AC1000:AE1000"/>
    <mergeCell ref="B1001:D1001"/>
    <mergeCell ref="AC1001:AE1001"/>
    <mergeCell ref="B1002:D1002"/>
    <mergeCell ref="AC1002:AE1002"/>
    <mergeCell ref="B997:D997"/>
    <mergeCell ref="AC997:AE997"/>
    <mergeCell ref="B998:D998"/>
    <mergeCell ref="AC998:AE998"/>
    <mergeCell ref="B999:D999"/>
    <mergeCell ref="AC999:AE999"/>
    <mergeCell ref="B987:D987"/>
    <mergeCell ref="AC987:AE987"/>
    <mergeCell ref="B988:D988"/>
    <mergeCell ref="AC988:AE988"/>
    <mergeCell ref="AC991:AE991"/>
    <mergeCell ref="AC996:AE996"/>
    <mergeCell ref="B984:D984"/>
    <mergeCell ref="AC984:AE984"/>
    <mergeCell ref="B985:D985"/>
    <mergeCell ref="AC985:AE985"/>
    <mergeCell ref="B986:D986"/>
    <mergeCell ref="AC986:AE986"/>
    <mergeCell ref="B981:D981"/>
    <mergeCell ref="AC981:AE981"/>
    <mergeCell ref="B982:D982"/>
    <mergeCell ref="AC982:AE982"/>
    <mergeCell ref="B983:D983"/>
    <mergeCell ref="AC983:AE983"/>
    <mergeCell ref="AC989:AE989"/>
    <mergeCell ref="AC990:AE990"/>
    <mergeCell ref="B978:D978"/>
    <mergeCell ref="AC978:AE978"/>
    <mergeCell ref="B979:D979"/>
    <mergeCell ref="AC979:AE979"/>
    <mergeCell ref="B980:D980"/>
    <mergeCell ref="AC980:AE980"/>
    <mergeCell ref="B975:D975"/>
    <mergeCell ref="AC975:AE975"/>
    <mergeCell ref="B976:D976"/>
    <mergeCell ref="AC976:AE976"/>
    <mergeCell ref="B977:D977"/>
    <mergeCell ref="AC977:AE977"/>
    <mergeCell ref="B972:D972"/>
    <mergeCell ref="AC972:AE972"/>
    <mergeCell ref="B973:D973"/>
    <mergeCell ref="AC973:AE973"/>
    <mergeCell ref="B974:D974"/>
    <mergeCell ref="AC974:AE974"/>
    <mergeCell ref="B969:D969"/>
    <mergeCell ref="AC969:AE969"/>
    <mergeCell ref="B970:D970"/>
    <mergeCell ref="AC970:AE970"/>
    <mergeCell ref="B971:D971"/>
    <mergeCell ref="AC971:AE971"/>
    <mergeCell ref="B966:D966"/>
    <mergeCell ref="AC966:AE966"/>
    <mergeCell ref="B967:D967"/>
    <mergeCell ref="AC967:AE967"/>
    <mergeCell ref="B968:D968"/>
    <mergeCell ref="AC968:AE968"/>
    <mergeCell ref="B963:D963"/>
    <mergeCell ref="AC963:AE963"/>
    <mergeCell ref="B964:D964"/>
    <mergeCell ref="AC964:AE964"/>
    <mergeCell ref="B965:D965"/>
    <mergeCell ref="AC965:AE965"/>
    <mergeCell ref="B960:D960"/>
    <mergeCell ref="AC960:AE960"/>
    <mergeCell ref="B961:D961"/>
    <mergeCell ref="AC961:AE961"/>
    <mergeCell ref="B962:D962"/>
    <mergeCell ref="AC962:AE962"/>
    <mergeCell ref="B957:D957"/>
    <mergeCell ref="AC957:AE957"/>
    <mergeCell ref="B958:D958"/>
    <mergeCell ref="AC958:AE958"/>
    <mergeCell ref="B959:D959"/>
    <mergeCell ref="AC959:AE959"/>
    <mergeCell ref="B954:D954"/>
    <mergeCell ref="AC954:AE954"/>
    <mergeCell ref="B955:D955"/>
    <mergeCell ref="AC955:AE955"/>
    <mergeCell ref="B956:D956"/>
    <mergeCell ref="AC956:AE956"/>
    <mergeCell ref="B944:D944"/>
    <mergeCell ref="AC944:AE944"/>
    <mergeCell ref="B945:D945"/>
    <mergeCell ref="AC945:AE945"/>
    <mergeCell ref="AC948:AE948"/>
    <mergeCell ref="AC953:AE953"/>
    <mergeCell ref="B941:D941"/>
    <mergeCell ref="AC941:AE941"/>
    <mergeCell ref="B942:D942"/>
    <mergeCell ref="AC942:AE942"/>
    <mergeCell ref="B943:D943"/>
    <mergeCell ref="AC943:AE943"/>
    <mergeCell ref="B938:D938"/>
    <mergeCell ref="AC938:AE938"/>
    <mergeCell ref="B939:D939"/>
    <mergeCell ref="AC939:AE939"/>
    <mergeCell ref="B940:D940"/>
    <mergeCell ref="AC940:AE940"/>
    <mergeCell ref="AC947:AE947"/>
    <mergeCell ref="AC946:AE946"/>
    <mergeCell ref="B935:D935"/>
    <mergeCell ref="AC935:AE935"/>
    <mergeCell ref="B936:D936"/>
    <mergeCell ref="AC936:AE936"/>
    <mergeCell ref="B937:D937"/>
    <mergeCell ref="AC937:AE937"/>
    <mergeCell ref="B932:D932"/>
    <mergeCell ref="AC932:AE932"/>
    <mergeCell ref="B933:D933"/>
    <mergeCell ref="AC933:AE933"/>
    <mergeCell ref="B934:D934"/>
    <mergeCell ref="AC934:AE934"/>
    <mergeCell ref="B929:D929"/>
    <mergeCell ref="AC929:AE929"/>
    <mergeCell ref="B930:D930"/>
    <mergeCell ref="AC930:AE930"/>
    <mergeCell ref="B931:D931"/>
    <mergeCell ref="AC931:AE931"/>
    <mergeCell ref="B926:D926"/>
    <mergeCell ref="AC926:AE926"/>
    <mergeCell ref="B927:D927"/>
    <mergeCell ref="AC927:AE927"/>
    <mergeCell ref="B928:D928"/>
    <mergeCell ref="AC928:AE928"/>
    <mergeCell ref="B923:D923"/>
    <mergeCell ref="AC923:AE923"/>
    <mergeCell ref="B924:D924"/>
    <mergeCell ref="AC924:AE924"/>
    <mergeCell ref="B925:D925"/>
    <mergeCell ref="AC925:AE925"/>
    <mergeCell ref="B920:D920"/>
    <mergeCell ref="AC920:AE920"/>
    <mergeCell ref="B921:D921"/>
    <mergeCell ref="AC921:AE921"/>
    <mergeCell ref="B922:D922"/>
    <mergeCell ref="AC922:AE922"/>
    <mergeCell ref="B917:D917"/>
    <mergeCell ref="AC917:AE917"/>
    <mergeCell ref="B918:D918"/>
    <mergeCell ref="AC918:AE918"/>
    <mergeCell ref="B919:D919"/>
    <mergeCell ref="AC919:AE919"/>
    <mergeCell ref="B914:D914"/>
    <mergeCell ref="AC914:AE914"/>
    <mergeCell ref="B915:D915"/>
    <mergeCell ref="AC915:AE915"/>
    <mergeCell ref="B916:D916"/>
    <mergeCell ref="AC916:AE916"/>
    <mergeCell ref="B911:D911"/>
    <mergeCell ref="AC911:AE911"/>
    <mergeCell ref="B912:D912"/>
    <mergeCell ref="AC912:AE912"/>
    <mergeCell ref="B913:D913"/>
    <mergeCell ref="AC913:AE913"/>
    <mergeCell ref="B901:D901"/>
    <mergeCell ref="AC901:AE901"/>
    <mergeCell ref="B902:D902"/>
    <mergeCell ref="AC902:AE902"/>
    <mergeCell ref="AC905:AE905"/>
    <mergeCell ref="AC910:AE910"/>
    <mergeCell ref="B898:D898"/>
    <mergeCell ref="AC898:AE898"/>
    <mergeCell ref="B899:D899"/>
    <mergeCell ref="AC899:AE899"/>
    <mergeCell ref="B900:D900"/>
    <mergeCell ref="AC900:AE900"/>
    <mergeCell ref="B895:D895"/>
    <mergeCell ref="AC895:AE895"/>
    <mergeCell ref="B896:D896"/>
    <mergeCell ref="AC896:AE896"/>
    <mergeCell ref="B897:D897"/>
    <mergeCell ref="AC897:AE897"/>
    <mergeCell ref="AC903:AE903"/>
    <mergeCell ref="AC904:AE904"/>
    <mergeCell ref="B892:D892"/>
    <mergeCell ref="AC892:AE892"/>
    <mergeCell ref="B893:D893"/>
    <mergeCell ref="AC893:AE893"/>
    <mergeCell ref="B894:D894"/>
    <mergeCell ref="AC894:AE894"/>
    <mergeCell ref="B889:D889"/>
    <mergeCell ref="AC889:AE889"/>
    <mergeCell ref="B890:D890"/>
    <mergeCell ref="AC890:AE890"/>
    <mergeCell ref="B891:D891"/>
    <mergeCell ref="AC891:AE891"/>
    <mergeCell ref="B886:D886"/>
    <mergeCell ref="AC886:AE886"/>
    <mergeCell ref="B887:D887"/>
    <mergeCell ref="AC887:AE887"/>
    <mergeCell ref="B888:D888"/>
    <mergeCell ref="AC888:AE888"/>
    <mergeCell ref="B883:D883"/>
    <mergeCell ref="AC883:AE883"/>
    <mergeCell ref="B884:D884"/>
    <mergeCell ref="AC884:AE884"/>
    <mergeCell ref="B885:D885"/>
    <mergeCell ref="AC885:AE885"/>
    <mergeCell ref="B880:D880"/>
    <mergeCell ref="AC880:AE880"/>
    <mergeCell ref="B881:D881"/>
    <mergeCell ref="AC881:AE881"/>
    <mergeCell ref="B882:D882"/>
    <mergeCell ref="AC882:AE882"/>
    <mergeCell ref="B877:D877"/>
    <mergeCell ref="AC877:AE877"/>
    <mergeCell ref="B878:D878"/>
    <mergeCell ref="AC878:AE878"/>
    <mergeCell ref="B879:D879"/>
    <mergeCell ref="AC879:AE879"/>
    <mergeCell ref="B874:D874"/>
    <mergeCell ref="AC874:AE874"/>
    <mergeCell ref="B875:D875"/>
    <mergeCell ref="AC875:AE875"/>
    <mergeCell ref="B876:D876"/>
    <mergeCell ref="AC876:AE876"/>
    <mergeCell ref="B871:D871"/>
    <mergeCell ref="AC871:AE871"/>
    <mergeCell ref="B872:D872"/>
    <mergeCell ref="AC872:AE872"/>
    <mergeCell ref="B873:D873"/>
    <mergeCell ref="AC873:AE873"/>
    <mergeCell ref="B868:D868"/>
    <mergeCell ref="AC868:AE868"/>
    <mergeCell ref="B869:D869"/>
    <mergeCell ref="AC869:AE869"/>
    <mergeCell ref="B870:D870"/>
    <mergeCell ref="AC870:AE870"/>
    <mergeCell ref="B858:D858"/>
    <mergeCell ref="AC858:AE858"/>
    <mergeCell ref="B859:D859"/>
    <mergeCell ref="AC859:AE859"/>
    <mergeCell ref="AC862:AE862"/>
    <mergeCell ref="AC867:AE867"/>
    <mergeCell ref="B855:D855"/>
    <mergeCell ref="AC855:AE855"/>
    <mergeCell ref="B856:D856"/>
    <mergeCell ref="AC856:AE856"/>
    <mergeCell ref="B857:D857"/>
    <mergeCell ref="AC857:AE857"/>
    <mergeCell ref="B852:D852"/>
    <mergeCell ref="AC852:AE852"/>
    <mergeCell ref="B853:D853"/>
    <mergeCell ref="AC853:AE853"/>
    <mergeCell ref="B854:D854"/>
    <mergeCell ref="AC854:AE854"/>
    <mergeCell ref="AC860:AE860"/>
    <mergeCell ref="AC861:AE861"/>
    <mergeCell ref="B849:D849"/>
    <mergeCell ref="AC849:AE849"/>
    <mergeCell ref="B850:D850"/>
    <mergeCell ref="AC850:AE850"/>
    <mergeCell ref="B851:D851"/>
    <mergeCell ref="AC851:AE851"/>
    <mergeCell ref="B846:D846"/>
    <mergeCell ref="AC846:AE846"/>
    <mergeCell ref="B847:D847"/>
    <mergeCell ref="AC847:AE847"/>
    <mergeCell ref="B848:D848"/>
    <mergeCell ref="AC848:AE848"/>
    <mergeCell ref="B843:D843"/>
    <mergeCell ref="AC843:AE843"/>
    <mergeCell ref="B844:D844"/>
    <mergeCell ref="AC844:AE844"/>
    <mergeCell ref="B845:D845"/>
    <mergeCell ref="AC845:AE845"/>
    <mergeCell ref="B840:D840"/>
    <mergeCell ref="AC840:AE840"/>
    <mergeCell ref="B841:D841"/>
    <mergeCell ref="AC841:AE841"/>
    <mergeCell ref="B842:D842"/>
    <mergeCell ref="AC842:AE842"/>
    <mergeCell ref="B837:D837"/>
    <mergeCell ref="AC837:AE837"/>
    <mergeCell ref="B838:D838"/>
    <mergeCell ref="AC838:AE838"/>
    <mergeCell ref="B839:D839"/>
    <mergeCell ref="AC839:AE839"/>
    <mergeCell ref="B834:D834"/>
    <mergeCell ref="AC834:AE834"/>
    <mergeCell ref="B835:D835"/>
    <mergeCell ref="AC835:AE835"/>
    <mergeCell ref="B836:D836"/>
    <mergeCell ref="AC836:AE836"/>
    <mergeCell ref="B831:D831"/>
    <mergeCell ref="AC831:AE831"/>
    <mergeCell ref="B832:D832"/>
    <mergeCell ref="AC832:AE832"/>
    <mergeCell ref="B833:D833"/>
    <mergeCell ref="AC833:AE833"/>
    <mergeCell ref="B828:D828"/>
    <mergeCell ref="AC828:AE828"/>
    <mergeCell ref="B829:D829"/>
    <mergeCell ref="AC829:AE829"/>
    <mergeCell ref="B830:D830"/>
    <mergeCell ref="AC830:AE830"/>
    <mergeCell ref="B825:D825"/>
    <mergeCell ref="AC825:AE825"/>
    <mergeCell ref="B826:D826"/>
    <mergeCell ref="AC826:AE826"/>
    <mergeCell ref="B827:D827"/>
    <mergeCell ref="AC827:AE827"/>
    <mergeCell ref="B815:D815"/>
    <mergeCell ref="AC815:AE815"/>
    <mergeCell ref="B816:D816"/>
    <mergeCell ref="AC816:AE816"/>
    <mergeCell ref="AC819:AE819"/>
    <mergeCell ref="AC824:AE824"/>
    <mergeCell ref="B812:D812"/>
    <mergeCell ref="AC812:AE812"/>
    <mergeCell ref="B813:D813"/>
    <mergeCell ref="AC813:AE813"/>
    <mergeCell ref="B814:D814"/>
    <mergeCell ref="AC814:AE814"/>
    <mergeCell ref="B809:D809"/>
    <mergeCell ref="AC809:AE809"/>
    <mergeCell ref="B810:D810"/>
    <mergeCell ref="AC810:AE810"/>
    <mergeCell ref="B811:D811"/>
    <mergeCell ref="AC811:AE811"/>
    <mergeCell ref="AC817:AE817"/>
    <mergeCell ref="AC818:AE818"/>
    <mergeCell ref="B806:D806"/>
    <mergeCell ref="AC806:AE806"/>
    <mergeCell ref="B807:D807"/>
    <mergeCell ref="AC807:AE807"/>
    <mergeCell ref="B808:D808"/>
    <mergeCell ref="AC808:AE808"/>
    <mergeCell ref="B803:D803"/>
    <mergeCell ref="AC803:AE803"/>
    <mergeCell ref="B804:D804"/>
    <mergeCell ref="AC804:AE804"/>
    <mergeCell ref="B805:D805"/>
    <mergeCell ref="AC805:AE805"/>
    <mergeCell ref="B800:D800"/>
    <mergeCell ref="AC800:AE800"/>
    <mergeCell ref="B801:D801"/>
    <mergeCell ref="AC801:AE801"/>
    <mergeCell ref="B802:D802"/>
    <mergeCell ref="AC802:AE802"/>
    <mergeCell ref="B797:D797"/>
    <mergeCell ref="AC797:AE797"/>
    <mergeCell ref="B798:D798"/>
    <mergeCell ref="AC798:AE798"/>
    <mergeCell ref="B799:D799"/>
    <mergeCell ref="AC799:AE799"/>
    <mergeCell ref="B794:D794"/>
    <mergeCell ref="AC794:AE794"/>
    <mergeCell ref="B795:D795"/>
    <mergeCell ref="AC795:AE795"/>
    <mergeCell ref="B796:D796"/>
    <mergeCell ref="AC796:AE796"/>
    <mergeCell ref="B791:D791"/>
    <mergeCell ref="AC791:AE791"/>
    <mergeCell ref="B792:D792"/>
    <mergeCell ref="AC792:AE792"/>
    <mergeCell ref="B793:D793"/>
    <mergeCell ref="AC793:AE793"/>
    <mergeCell ref="B788:D788"/>
    <mergeCell ref="AC788:AE788"/>
    <mergeCell ref="B789:D789"/>
    <mergeCell ref="AC789:AE789"/>
    <mergeCell ref="B790:D790"/>
    <mergeCell ref="AC790:AE790"/>
    <mergeCell ref="B785:D785"/>
    <mergeCell ref="AC785:AE785"/>
    <mergeCell ref="B786:D786"/>
    <mergeCell ref="AC786:AE786"/>
    <mergeCell ref="B787:D787"/>
    <mergeCell ref="AC787:AE787"/>
    <mergeCell ref="B782:D782"/>
    <mergeCell ref="AC782:AE782"/>
    <mergeCell ref="B783:D783"/>
    <mergeCell ref="AC783:AE783"/>
    <mergeCell ref="B784:D784"/>
    <mergeCell ref="AC784:AE784"/>
    <mergeCell ref="B772:D772"/>
    <mergeCell ref="AC772:AE772"/>
    <mergeCell ref="B773:D773"/>
    <mergeCell ref="AC773:AE773"/>
    <mergeCell ref="AC776:AE776"/>
    <mergeCell ref="AC781:AE781"/>
    <mergeCell ref="B769:D769"/>
    <mergeCell ref="AC769:AE769"/>
    <mergeCell ref="B770:D770"/>
    <mergeCell ref="AC770:AE770"/>
    <mergeCell ref="B771:D771"/>
    <mergeCell ref="AC771:AE771"/>
    <mergeCell ref="B766:D766"/>
    <mergeCell ref="AC766:AE766"/>
    <mergeCell ref="B767:D767"/>
    <mergeCell ref="AC767:AE767"/>
    <mergeCell ref="B768:D768"/>
    <mergeCell ref="AC768:AE768"/>
    <mergeCell ref="AC774:AE774"/>
    <mergeCell ref="AC775:AE775"/>
    <mergeCell ref="B763:D763"/>
    <mergeCell ref="AC763:AE763"/>
    <mergeCell ref="B764:D764"/>
    <mergeCell ref="AC764:AE764"/>
    <mergeCell ref="B765:D765"/>
    <mergeCell ref="AC765:AE765"/>
    <mergeCell ref="B760:D760"/>
    <mergeCell ref="AC760:AE760"/>
    <mergeCell ref="B761:D761"/>
    <mergeCell ref="AC761:AE761"/>
    <mergeCell ref="B762:D762"/>
    <mergeCell ref="AC762:AE762"/>
    <mergeCell ref="B757:D757"/>
    <mergeCell ref="AC757:AE757"/>
    <mergeCell ref="B758:D758"/>
    <mergeCell ref="AC758:AE758"/>
    <mergeCell ref="B759:D759"/>
    <mergeCell ref="AC759:AE759"/>
    <mergeCell ref="B754:D754"/>
    <mergeCell ref="AC754:AE754"/>
    <mergeCell ref="B755:D755"/>
    <mergeCell ref="AC755:AE755"/>
    <mergeCell ref="B756:D756"/>
    <mergeCell ref="AC756:AE756"/>
    <mergeCell ref="B751:D751"/>
    <mergeCell ref="AC751:AE751"/>
    <mergeCell ref="B752:D752"/>
    <mergeCell ref="AC752:AE752"/>
    <mergeCell ref="B753:D753"/>
    <mergeCell ref="AC753:AE753"/>
    <mergeCell ref="B748:D748"/>
    <mergeCell ref="AC748:AE748"/>
    <mergeCell ref="B749:D749"/>
    <mergeCell ref="AC749:AE749"/>
    <mergeCell ref="B750:D750"/>
    <mergeCell ref="AC750:AE750"/>
    <mergeCell ref="B745:D745"/>
    <mergeCell ref="AC745:AE745"/>
    <mergeCell ref="B746:D746"/>
    <mergeCell ref="AC746:AE746"/>
    <mergeCell ref="B747:D747"/>
    <mergeCell ref="AC747:AE747"/>
    <mergeCell ref="B742:D742"/>
    <mergeCell ref="AC742:AE742"/>
    <mergeCell ref="B743:D743"/>
    <mergeCell ref="AC743:AE743"/>
    <mergeCell ref="B744:D744"/>
    <mergeCell ref="AC744:AE744"/>
    <mergeCell ref="B739:D739"/>
    <mergeCell ref="AC739:AE739"/>
    <mergeCell ref="B740:D740"/>
    <mergeCell ref="AC740:AE740"/>
    <mergeCell ref="B741:D741"/>
    <mergeCell ref="AC741:AE741"/>
    <mergeCell ref="B729:D729"/>
    <mergeCell ref="AC729:AE729"/>
    <mergeCell ref="B730:D730"/>
    <mergeCell ref="AC730:AE730"/>
    <mergeCell ref="AC733:AE733"/>
    <mergeCell ref="AC738:AE738"/>
    <mergeCell ref="B726:D726"/>
    <mergeCell ref="AC726:AE726"/>
    <mergeCell ref="B727:D727"/>
    <mergeCell ref="AC727:AE727"/>
    <mergeCell ref="B728:D728"/>
    <mergeCell ref="AC728:AE728"/>
    <mergeCell ref="B723:D723"/>
    <mergeCell ref="AC723:AE723"/>
    <mergeCell ref="B724:D724"/>
    <mergeCell ref="AC724:AE724"/>
    <mergeCell ref="B725:D725"/>
    <mergeCell ref="AC725:AE725"/>
    <mergeCell ref="AC731:AE731"/>
    <mergeCell ref="AC732:AE732"/>
    <mergeCell ref="B720:D720"/>
    <mergeCell ref="AC720:AE720"/>
    <mergeCell ref="B721:D721"/>
    <mergeCell ref="AC721:AE721"/>
    <mergeCell ref="B722:D722"/>
    <mergeCell ref="AC722:AE722"/>
    <mergeCell ref="B717:D717"/>
    <mergeCell ref="AC717:AE717"/>
    <mergeCell ref="B718:D718"/>
    <mergeCell ref="AC718:AE718"/>
    <mergeCell ref="B719:D719"/>
    <mergeCell ref="AC719:AE719"/>
    <mergeCell ref="B714:D714"/>
    <mergeCell ref="AC714:AE714"/>
    <mergeCell ref="B715:D715"/>
    <mergeCell ref="AC715:AE715"/>
    <mergeCell ref="B716:D716"/>
    <mergeCell ref="AC716:AE716"/>
    <mergeCell ref="B711:D711"/>
    <mergeCell ref="AC711:AE711"/>
    <mergeCell ref="B712:D712"/>
    <mergeCell ref="AC712:AE712"/>
    <mergeCell ref="B713:D713"/>
    <mergeCell ref="AC713:AE713"/>
    <mergeCell ref="B708:D708"/>
    <mergeCell ref="AC708:AE708"/>
    <mergeCell ref="B709:D709"/>
    <mergeCell ref="AC709:AE709"/>
    <mergeCell ref="B710:D710"/>
    <mergeCell ref="AC710:AE710"/>
    <mergeCell ref="B705:D705"/>
    <mergeCell ref="AC705:AE705"/>
    <mergeCell ref="B706:D706"/>
    <mergeCell ref="AC706:AE706"/>
    <mergeCell ref="B707:D707"/>
    <mergeCell ref="AC707:AE707"/>
    <mergeCell ref="B702:D702"/>
    <mergeCell ref="AC702:AE702"/>
    <mergeCell ref="B703:D703"/>
    <mergeCell ref="AC703:AE703"/>
    <mergeCell ref="B704:D704"/>
    <mergeCell ref="AC704:AE704"/>
    <mergeCell ref="B699:D699"/>
    <mergeCell ref="AC699:AE699"/>
    <mergeCell ref="B700:D700"/>
    <mergeCell ref="AC700:AE700"/>
    <mergeCell ref="B701:D701"/>
    <mergeCell ref="AC701:AE701"/>
    <mergeCell ref="B696:D696"/>
    <mergeCell ref="AC696:AE696"/>
    <mergeCell ref="B697:D697"/>
    <mergeCell ref="AC697:AE697"/>
    <mergeCell ref="B698:D698"/>
    <mergeCell ref="AC698:AE698"/>
    <mergeCell ref="B686:D686"/>
    <mergeCell ref="AC686:AE686"/>
    <mergeCell ref="B687:D687"/>
    <mergeCell ref="AC687:AE687"/>
    <mergeCell ref="AC690:AE690"/>
    <mergeCell ref="AC695:AE695"/>
    <mergeCell ref="B683:D683"/>
    <mergeCell ref="AC683:AE683"/>
    <mergeCell ref="B684:D684"/>
    <mergeCell ref="AC684:AE684"/>
    <mergeCell ref="B685:D685"/>
    <mergeCell ref="AC685:AE685"/>
    <mergeCell ref="B680:D680"/>
    <mergeCell ref="AC680:AE680"/>
    <mergeCell ref="B681:D681"/>
    <mergeCell ref="AC681:AE681"/>
    <mergeCell ref="B682:D682"/>
    <mergeCell ref="AC682:AE682"/>
    <mergeCell ref="AC688:AE688"/>
    <mergeCell ref="AC689:AE689"/>
    <mergeCell ref="B677:D677"/>
    <mergeCell ref="AC677:AE677"/>
    <mergeCell ref="B678:D678"/>
    <mergeCell ref="AC678:AE678"/>
    <mergeCell ref="B679:D679"/>
    <mergeCell ref="AC679:AE679"/>
    <mergeCell ref="B674:D674"/>
    <mergeCell ref="AC674:AE674"/>
    <mergeCell ref="B675:D675"/>
    <mergeCell ref="AC675:AE675"/>
    <mergeCell ref="B676:D676"/>
    <mergeCell ref="AC676:AE676"/>
    <mergeCell ref="B671:D671"/>
    <mergeCell ref="AC671:AE671"/>
    <mergeCell ref="B672:D672"/>
    <mergeCell ref="AC672:AE672"/>
    <mergeCell ref="B673:D673"/>
    <mergeCell ref="AC673:AE673"/>
    <mergeCell ref="B668:D668"/>
    <mergeCell ref="AC668:AE668"/>
    <mergeCell ref="B669:D669"/>
    <mergeCell ref="AC669:AE669"/>
    <mergeCell ref="B670:D670"/>
    <mergeCell ref="AC670:AE670"/>
    <mergeCell ref="B665:D665"/>
    <mergeCell ref="AC665:AE665"/>
    <mergeCell ref="B666:D666"/>
    <mergeCell ref="AC666:AE666"/>
    <mergeCell ref="B667:D667"/>
    <mergeCell ref="AC667:AE667"/>
    <mergeCell ref="B662:D662"/>
    <mergeCell ref="AC662:AE662"/>
    <mergeCell ref="B663:D663"/>
    <mergeCell ref="AC663:AE663"/>
    <mergeCell ref="B664:D664"/>
    <mergeCell ref="AC664:AE664"/>
    <mergeCell ref="B659:D659"/>
    <mergeCell ref="AC659:AE659"/>
    <mergeCell ref="B660:D660"/>
    <mergeCell ref="AC660:AE660"/>
    <mergeCell ref="B661:D661"/>
    <mergeCell ref="AC661:AE661"/>
    <mergeCell ref="B656:D656"/>
    <mergeCell ref="AC656:AE656"/>
    <mergeCell ref="B657:D657"/>
    <mergeCell ref="AC657:AE657"/>
    <mergeCell ref="B658:D658"/>
    <mergeCell ref="AC658:AE658"/>
    <mergeCell ref="B653:D653"/>
    <mergeCell ref="AC653:AE653"/>
    <mergeCell ref="B654:D654"/>
    <mergeCell ref="AC654:AE654"/>
    <mergeCell ref="B655:D655"/>
    <mergeCell ref="AC655:AE655"/>
    <mergeCell ref="B643:D643"/>
    <mergeCell ref="AC643:AE643"/>
    <mergeCell ref="B644:D644"/>
    <mergeCell ref="AC644:AE644"/>
    <mergeCell ref="AC647:AE647"/>
    <mergeCell ref="AC652:AE652"/>
    <mergeCell ref="B640:D640"/>
    <mergeCell ref="AC640:AE640"/>
    <mergeCell ref="B641:D641"/>
    <mergeCell ref="AC641:AE641"/>
    <mergeCell ref="B642:D642"/>
    <mergeCell ref="AC642:AE642"/>
    <mergeCell ref="B637:D637"/>
    <mergeCell ref="AC637:AE637"/>
    <mergeCell ref="B638:D638"/>
    <mergeCell ref="AC638:AE638"/>
    <mergeCell ref="B639:D639"/>
    <mergeCell ref="AC639:AE639"/>
    <mergeCell ref="AC645:AE645"/>
    <mergeCell ref="AC646:AE646"/>
    <mergeCell ref="B634:D634"/>
    <mergeCell ref="AC634:AE634"/>
    <mergeCell ref="B635:D635"/>
    <mergeCell ref="AC635:AE635"/>
    <mergeCell ref="B636:D636"/>
    <mergeCell ref="AC636:AE636"/>
    <mergeCell ref="B631:D631"/>
    <mergeCell ref="AC631:AE631"/>
    <mergeCell ref="B632:D632"/>
    <mergeCell ref="AC632:AE632"/>
    <mergeCell ref="B633:D633"/>
    <mergeCell ref="AC633:AE633"/>
    <mergeCell ref="B628:D628"/>
    <mergeCell ref="AC628:AE628"/>
    <mergeCell ref="B629:D629"/>
    <mergeCell ref="AC629:AE629"/>
    <mergeCell ref="B630:D630"/>
    <mergeCell ref="AC630:AE630"/>
    <mergeCell ref="B625:D625"/>
    <mergeCell ref="AC625:AE625"/>
    <mergeCell ref="B626:D626"/>
    <mergeCell ref="AC626:AE626"/>
    <mergeCell ref="B627:D627"/>
    <mergeCell ref="AC627:AE627"/>
    <mergeCell ref="B622:D622"/>
    <mergeCell ref="AC622:AE622"/>
    <mergeCell ref="B623:D623"/>
    <mergeCell ref="AC623:AE623"/>
    <mergeCell ref="B624:D624"/>
    <mergeCell ref="AC624:AE624"/>
    <mergeCell ref="B619:D619"/>
    <mergeCell ref="AC619:AE619"/>
    <mergeCell ref="B620:D620"/>
    <mergeCell ref="AC620:AE620"/>
    <mergeCell ref="B621:D621"/>
    <mergeCell ref="AC621:AE621"/>
    <mergeCell ref="B590:D590"/>
    <mergeCell ref="AC590:AE590"/>
    <mergeCell ref="B591:D591"/>
    <mergeCell ref="AC591:AE591"/>
    <mergeCell ref="B592:D592"/>
    <mergeCell ref="AC592:AE592"/>
    <mergeCell ref="B587:D587"/>
    <mergeCell ref="AC587:AE587"/>
    <mergeCell ref="B588:D588"/>
    <mergeCell ref="AC588:AE588"/>
    <mergeCell ref="B589:D589"/>
    <mergeCell ref="B616:D616"/>
    <mergeCell ref="AC616:AE616"/>
    <mergeCell ref="B617:D617"/>
    <mergeCell ref="AC617:AE617"/>
    <mergeCell ref="B618:D618"/>
    <mergeCell ref="AC618:AE618"/>
    <mergeCell ref="B613:D613"/>
    <mergeCell ref="AC613:AE613"/>
    <mergeCell ref="B614:D614"/>
    <mergeCell ref="AC614:AE614"/>
    <mergeCell ref="B615:D615"/>
    <mergeCell ref="AC615:AE615"/>
    <mergeCell ref="B610:D610"/>
    <mergeCell ref="AC610:AE610"/>
    <mergeCell ref="B611:D611"/>
    <mergeCell ref="AC611:AE611"/>
    <mergeCell ref="B612:D612"/>
    <mergeCell ref="AC612:AE612"/>
    <mergeCell ref="AC602:AE602"/>
    <mergeCell ref="AC603:AE603"/>
    <mergeCell ref="AC604:AE604"/>
    <mergeCell ref="AC609:AE609"/>
    <mergeCell ref="B599:D599"/>
    <mergeCell ref="AC599:AE599"/>
    <mergeCell ref="B600:D600"/>
    <mergeCell ref="AC600:AE600"/>
    <mergeCell ref="B601:D601"/>
    <mergeCell ref="AC601:AE601"/>
    <mergeCell ref="B596:D596"/>
    <mergeCell ref="AC596:AE596"/>
    <mergeCell ref="B597:D597"/>
    <mergeCell ref="AC597:AE597"/>
    <mergeCell ref="B598:D598"/>
    <mergeCell ref="AC598:AE598"/>
    <mergeCell ref="B593:D593"/>
    <mergeCell ref="AC593:AE593"/>
    <mergeCell ref="B594:D594"/>
    <mergeCell ref="AC594:AE594"/>
    <mergeCell ref="B595:D595"/>
    <mergeCell ref="AC595:AE595"/>
    <mergeCell ref="AC589:AE589"/>
    <mergeCell ref="B584:D584"/>
    <mergeCell ref="AC584:AE584"/>
    <mergeCell ref="B585:D585"/>
    <mergeCell ref="AC585:AE585"/>
    <mergeCell ref="B586:D586"/>
    <mergeCell ref="AC586:AE586"/>
    <mergeCell ref="B581:D581"/>
    <mergeCell ref="AC581:AE581"/>
    <mergeCell ref="B582:D582"/>
    <mergeCell ref="AC582:AE582"/>
    <mergeCell ref="B583:D583"/>
    <mergeCell ref="AC583:AE583"/>
    <mergeCell ref="B578:D578"/>
    <mergeCell ref="AC578:AE578"/>
    <mergeCell ref="B579:D579"/>
    <mergeCell ref="AC579:AE579"/>
    <mergeCell ref="B580:D580"/>
    <mergeCell ref="AC580:AE580"/>
    <mergeCell ref="B575:D575"/>
    <mergeCell ref="AC575:AE575"/>
    <mergeCell ref="B576:D576"/>
    <mergeCell ref="AC576:AE576"/>
    <mergeCell ref="B577:D577"/>
    <mergeCell ref="AC577:AE577"/>
    <mergeCell ref="B572:D572"/>
    <mergeCell ref="AC572:AE572"/>
    <mergeCell ref="B573:D573"/>
    <mergeCell ref="AC573:AE573"/>
    <mergeCell ref="B574:D574"/>
    <mergeCell ref="AC574:AE574"/>
    <mergeCell ref="B569:D569"/>
    <mergeCell ref="AC569:AE569"/>
    <mergeCell ref="B570:D570"/>
    <mergeCell ref="AC570:AE570"/>
    <mergeCell ref="B571:D571"/>
    <mergeCell ref="AC571:AE571"/>
    <mergeCell ref="B558:D558"/>
    <mergeCell ref="AC558:AE558"/>
    <mergeCell ref="AC561:AE561"/>
    <mergeCell ref="AC567:AE567"/>
    <mergeCell ref="B568:D568"/>
    <mergeCell ref="AC568:AE568"/>
    <mergeCell ref="B555:D555"/>
    <mergeCell ref="AC555:AE555"/>
    <mergeCell ref="B556:D556"/>
    <mergeCell ref="AC556:AE556"/>
    <mergeCell ref="B557:D557"/>
    <mergeCell ref="AC557:AE557"/>
    <mergeCell ref="B552:D552"/>
    <mergeCell ref="AC552:AE552"/>
    <mergeCell ref="B553:D553"/>
    <mergeCell ref="AC553:AE553"/>
    <mergeCell ref="B554:D554"/>
    <mergeCell ref="AC554:AE554"/>
    <mergeCell ref="AC559:AE559"/>
    <mergeCell ref="AC560:AE560"/>
    <mergeCell ref="AC566:AE566"/>
    <mergeCell ref="B567:D567"/>
    <mergeCell ref="B549:D549"/>
    <mergeCell ref="AC549:AE549"/>
    <mergeCell ref="B550:D550"/>
    <mergeCell ref="AC550:AE550"/>
    <mergeCell ref="B551:D551"/>
    <mergeCell ref="AC551:AE551"/>
    <mergeCell ref="B546:D546"/>
    <mergeCell ref="AC546:AE546"/>
    <mergeCell ref="B547:D547"/>
    <mergeCell ref="AC547:AE547"/>
    <mergeCell ref="B548:D548"/>
    <mergeCell ref="AC548:AE548"/>
    <mergeCell ref="B543:D543"/>
    <mergeCell ref="AC543:AE543"/>
    <mergeCell ref="B544:D544"/>
    <mergeCell ref="AC544:AE544"/>
    <mergeCell ref="B545:D545"/>
    <mergeCell ref="AC545:AE545"/>
    <mergeCell ref="B540:D540"/>
    <mergeCell ref="AC540:AE540"/>
    <mergeCell ref="B541:D541"/>
    <mergeCell ref="AC541:AE541"/>
    <mergeCell ref="B542:D542"/>
    <mergeCell ref="AC542:AE542"/>
    <mergeCell ref="B537:D537"/>
    <mergeCell ref="AC537:AE537"/>
    <mergeCell ref="B538:D538"/>
    <mergeCell ref="AC538:AE538"/>
    <mergeCell ref="B539:D539"/>
    <mergeCell ref="AC539:AE539"/>
    <mergeCell ref="B534:D534"/>
    <mergeCell ref="AC534:AE534"/>
    <mergeCell ref="B535:D535"/>
    <mergeCell ref="AC535:AE535"/>
    <mergeCell ref="B536:D536"/>
    <mergeCell ref="AC536:AE536"/>
    <mergeCell ref="B505:D505"/>
    <mergeCell ref="AC505:AE505"/>
    <mergeCell ref="B506:D506"/>
    <mergeCell ref="AC506:AE506"/>
    <mergeCell ref="B507:D507"/>
    <mergeCell ref="AC507:AE507"/>
    <mergeCell ref="B502:D502"/>
    <mergeCell ref="AC502:AE502"/>
    <mergeCell ref="B503:D503"/>
    <mergeCell ref="AC503:AE503"/>
    <mergeCell ref="B531:D531"/>
    <mergeCell ref="AC531:AE531"/>
    <mergeCell ref="B532:D532"/>
    <mergeCell ref="AC532:AE532"/>
    <mergeCell ref="B533:D533"/>
    <mergeCell ref="AC533:AE533"/>
    <mergeCell ref="B528:D528"/>
    <mergeCell ref="AC528:AE528"/>
    <mergeCell ref="B529:D529"/>
    <mergeCell ref="AC529:AE529"/>
    <mergeCell ref="B530:D530"/>
    <mergeCell ref="AC530:AE530"/>
    <mergeCell ref="B525:D525"/>
    <mergeCell ref="AC525:AE525"/>
    <mergeCell ref="B526:D526"/>
    <mergeCell ref="AC526:AE526"/>
    <mergeCell ref="B527:D527"/>
    <mergeCell ref="AC527:AE527"/>
    <mergeCell ref="AC516:AE516"/>
    <mergeCell ref="AC517:AE517"/>
    <mergeCell ref="AC523:AE523"/>
    <mergeCell ref="B524:D524"/>
    <mergeCell ref="AC524:AE524"/>
    <mergeCell ref="B514:D514"/>
    <mergeCell ref="AC514:AE514"/>
    <mergeCell ref="B515:D515"/>
    <mergeCell ref="AC515:AE515"/>
    <mergeCell ref="AC518:AE518"/>
    <mergeCell ref="B511:D511"/>
    <mergeCell ref="AC511:AE511"/>
    <mergeCell ref="B512:D512"/>
    <mergeCell ref="AC512:AE512"/>
    <mergeCell ref="B513:D513"/>
    <mergeCell ref="AC513:AE513"/>
    <mergeCell ref="B508:D508"/>
    <mergeCell ref="AC508:AE508"/>
    <mergeCell ref="B509:D509"/>
    <mergeCell ref="AC509:AE509"/>
    <mergeCell ref="B510:D510"/>
    <mergeCell ref="AC510:AE510"/>
    <mergeCell ref="B504:D504"/>
    <mergeCell ref="AC504:AE504"/>
    <mergeCell ref="B499:D499"/>
    <mergeCell ref="AC499:AE499"/>
    <mergeCell ref="B500:D500"/>
    <mergeCell ref="AC500:AE500"/>
    <mergeCell ref="B501:D501"/>
    <mergeCell ref="AC501:AE501"/>
    <mergeCell ref="B496:D496"/>
    <mergeCell ref="AC496:AE496"/>
    <mergeCell ref="B497:D497"/>
    <mergeCell ref="AC497:AE497"/>
    <mergeCell ref="B498:D498"/>
    <mergeCell ref="AC498:AE498"/>
    <mergeCell ref="B493:D493"/>
    <mergeCell ref="AC493:AE493"/>
    <mergeCell ref="B494:D494"/>
    <mergeCell ref="AC494:AE494"/>
    <mergeCell ref="B495:D495"/>
    <mergeCell ref="AC495:AE495"/>
    <mergeCell ref="B490:D490"/>
    <mergeCell ref="AC490:AE490"/>
    <mergeCell ref="B491:D491"/>
    <mergeCell ref="AC491:AE491"/>
    <mergeCell ref="B492:D492"/>
    <mergeCell ref="AC492:AE492"/>
    <mergeCell ref="B487:D487"/>
    <mergeCell ref="AC487:AE487"/>
    <mergeCell ref="B488:D488"/>
    <mergeCell ref="AC488:AE488"/>
    <mergeCell ref="B489:D489"/>
    <mergeCell ref="AC489:AE489"/>
    <mergeCell ref="B484:D484"/>
    <mergeCell ref="AC484:AE484"/>
    <mergeCell ref="B485:D485"/>
    <mergeCell ref="AC485:AE485"/>
    <mergeCell ref="B486:D486"/>
    <mergeCell ref="AC486:AE486"/>
    <mergeCell ref="AC475:AE475"/>
    <mergeCell ref="AC481:AE481"/>
    <mergeCell ref="B482:D482"/>
    <mergeCell ref="AC482:AE482"/>
    <mergeCell ref="B483:D483"/>
    <mergeCell ref="AC483:AE483"/>
    <mergeCell ref="B470:D470"/>
    <mergeCell ref="AC470:AE470"/>
    <mergeCell ref="B471:D471"/>
    <mergeCell ref="AC471:AE471"/>
    <mergeCell ref="B472:D472"/>
    <mergeCell ref="AC472:AE472"/>
    <mergeCell ref="B467:D467"/>
    <mergeCell ref="AC467:AE467"/>
    <mergeCell ref="B468:D468"/>
    <mergeCell ref="AC468:AE468"/>
    <mergeCell ref="B469:D469"/>
    <mergeCell ref="AC469:AE469"/>
    <mergeCell ref="AC480:AE480"/>
    <mergeCell ref="B481:D481"/>
    <mergeCell ref="AC473:AE473"/>
    <mergeCell ref="AC474:AE474"/>
    <mergeCell ref="B464:D464"/>
    <mergeCell ref="AC464:AE464"/>
    <mergeCell ref="B465:D465"/>
    <mergeCell ref="AC465:AE465"/>
    <mergeCell ref="B466:D466"/>
    <mergeCell ref="AC466:AE466"/>
    <mergeCell ref="B461:D461"/>
    <mergeCell ref="AC461:AE461"/>
    <mergeCell ref="B462:D462"/>
    <mergeCell ref="AC462:AE462"/>
    <mergeCell ref="B463:D463"/>
    <mergeCell ref="AC463:AE463"/>
    <mergeCell ref="B458:D458"/>
    <mergeCell ref="AC458:AE458"/>
    <mergeCell ref="B459:D459"/>
    <mergeCell ref="AC459:AE459"/>
    <mergeCell ref="B460:D460"/>
    <mergeCell ref="AC460:AE460"/>
    <mergeCell ref="B455:D455"/>
    <mergeCell ref="AC455:AE455"/>
    <mergeCell ref="B456:D456"/>
    <mergeCell ref="AC456:AE456"/>
    <mergeCell ref="B457:D457"/>
    <mergeCell ref="AC457:AE457"/>
    <mergeCell ref="B452:D452"/>
    <mergeCell ref="AC452:AE452"/>
    <mergeCell ref="B453:D453"/>
    <mergeCell ref="AC453:AE453"/>
    <mergeCell ref="B454:D454"/>
    <mergeCell ref="AC454:AE454"/>
    <mergeCell ref="B449:D449"/>
    <mergeCell ref="AC449:AE449"/>
    <mergeCell ref="B450:D450"/>
    <mergeCell ref="AC450:AE450"/>
    <mergeCell ref="B451:D451"/>
    <mergeCell ref="AC451:AE451"/>
    <mergeCell ref="B446:D446"/>
    <mergeCell ref="AC446:AE446"/>
    <mergeCell ref="B447:D447"/>
    <mergeCell ref="AC447:AE447"/>
    <mergeCell ref="B448:D448"/>
    <mergeCell ref="AC448:AE448"/>
    <mergeCell ref="B443:D443"/>
    <mergeCell ref="AC443:AE443"/>
    <mergeCell ref="B444:D444"/>
    <mergeCell ref="AC444:AE444"/>
    <mergeCell ref="B445:D445"/>
    <mergeCell ref="AC445:AE445"/>
    <mergeCell ref="B440:D440"/>
    <mergeCell ref="AC440:AE440"/>
    <mergeCell ref="B441:D441"/>
    <mergeCell ref="AC441:AE441"/>
    <mergeCell ref="B442:D442"/>
    <mergeCell ref="AC442:AE442"/>
    <mergeCell ref="AC432:AE432"/>
    <mergeCell ref="AC437:AE437"/>
    <mergeCell ref="B438:D438"/>
    <mergeCell ref="AC438:AE438"/>
    <mergeCell ref="B439:D439"/>
    <mergeCell ref="AC439:AE439"/>
    <mergeCell ref="B427:D427"/>
    <mergeCell ref="AC427:AE427"/>
    <mergeCell ref="B428:D428"/>
    <mergeCell ref="AC428:AE428"/>
    <mergeCell ref="B429:D429"/>
    <mergeCell ref="AC429:AE429"/>
    <mergeCell ref="B424:D424"/>
    <mergeCell ref="AC424:AE424"/>
    <mergeCell ref="B425:D425"/>
    <mergeCell ref="AC425:AE425"/>
    <mergeCell ref="B426:D426"/>
    <mergeCell ref="AC426:AE426"/>
    <mergeCell ref="AC430:AE430"/>
    <mergeCell ref="AC431:AE431"/>
    <mergeCell ref="B421:D421"/>
    <mergeCell ref="AC421:AE421"/>
    <mergeCell ref="B422:D422"/>
    <mergeCell ref="AC422:AE422"/>
    <mergeCell ref="B423:D423"/>
    <mergeCell ref="AC423:AE423"/>
    <mergeCell ref="B418:D418"/>
    <mergeCell ref="AC418:AE418"/>
    <mergeCell ref="B419:D419"/>
    <mergeCell ref="AC419:AE419"/>
    <mergeCell ref="B420:D420"/>
    <mergeCell ref="AC420:AE420"/>
    <mergeCell ref="B415:D415"/>
    <mergeCell ref="AC415:AE415"/>
    <mergeCell ref="B416:D416"/>
    <mergeCell ref="AC416:AE416"/>
    <mergeCell ref="B417:D417"/>
    <mergeCell ref="AC417:AE417"/>
    <mergeCell ref="B412:D412"/>
    <mergeCell ref="AC412:AE412"/>
    <mergeCell ref="B413:D413"/>
    <mergeCell ref="AC413:AE413"/>
    <mergeCell ref="B414:D414"/>
    <mergeCell ref="AC414:AE414"/>
    <mergeCell ref="B409:D409"/>
    <mergeCell ref="AC409:AE409"/>
    <mergeCell ref="B410:D410"/>
    <mergeCell ref="AC410:AE410"/>
    <mergeCell ref="B411:D411"/>
    <mergeCell ref="AC411:AE411"/>
    <mergeCell ref="B406:D406"/>
    <mergeCell ref="AC406:AE406"/>
    <mergeCell ref="B407:D407"/>
    <mergeCell ref="AC407:AE407"/>
    <mergeCell ref="B408:D408"/>
    <mergeCell ref="AC408:AE408"/>
    <mergeCell ref="B403:D403"/>
    <mergeCell ref="AC403:AE403"/>
    <mergeCell ref="B404:D404"/>
    <mergeCell ref="AC404:AE404"/>
    <mergeCell ref="B405:D405"/>
    <mergeCell ref="AC405:AE405"/>
    <mergeCell ref="B400:D400"/>
    <mergeCell ref="AC400:AE400"/>
    <mergeCell ref="B401:D401"/>
    <mergeCell ref="AC401:AE401"/>
    <mergeCell ref="B402:D402"/>
    <mergeCell ref="AC402:AE402"/>
    <mergeCell ref="B397:D397"/>
    <mergeCell ref="AC397:AE397"/>
    <mergeCell ref="B398:D398"/>
    <mergeCell ref="AC398:AE398"/>
    <mergeCell ref="B399:D399"/>
    <mergeCell ref="AC399:AE399"/>
    <mergeCell ref="AC389:AE389"/>
    <mergeCell ref="AC394:AE394"/>
    <mergeCell ref="B395:D395"/>
    <mergeCell ref="AC395:AE395"/>
    <mergeCell ref="B396:D396"/>
    <mergeCell ref="AC396:AE396"/>
    <mergeCell ref="B384:D384"/>
    <mergeCell ref="AC384:AE384"/>
    <mergeCell ref="B385:D385"/>
    <mergeCell ref="AC385:AE385"/>
    <mergeCell ref="B386:D386"/>
    <mergeCell ref="AC386:AE386"/>
    <mergeCell ref="B381:D381"/>
    <mergeCell ref="AC381:AE381"/>
    <mergeCell ref="B382:D382"/>
    <mergeCell ref="AC382:AE382"/>
    <mergeCell ref="B383:D383"/>
    <mergeCell ref="AC383:AE383"/>
    <mergeCell ref="AC387:AE387"/>
    <mergeCell ref="AC388:AE388"/>
    <mergeCell ref="B378:D378"/>
    <mergeCell ref="AC378:AE378"/>
    <mergeCell ref="B379:D379"/>
    <mergeCell ref="AC379:AE379"/>
    <mergeCell ref="B380:D380"/>
    <mergeCell ref="AC380:AE380"/>
    <mergeCell ref="B375:D375"/>
    <mergeCell ref="AC375:AE375"/>
    <mergeCell ref="B376:D376"/>
    <mergeCell ref="AC376:AE376"/>
    <mergeCell ref="B377:D377"/>
    <mergeCell ref="AC377:AE377"/>
    <mergeCell ref="B372:D372"/>
    <mergeCell ref="AC372:AE372"/>
    <mergeCell ref="B373:D373"/>
    <mergeCell ref="AC373:AE373"/>
    <mergeCell ref="B374:D374"/>
    <mergeCell ref="AC374:AE374"/>
    <mergeCell ref="B369:D369"/>
    <mergeCell ref="AC369:AE369"/>
    <mergeCell ref="B370:D370"/>
    <mergeCell ref="AC370:AE370"/>
    <mergeCell ref="B371:D371"/>
    <mergeCell ref="AC371:AE371"/>
    <mergeCell ref="B366:D366"/>
    <mergeCell ref="AC366:AE366"/>
    <mergeCell ref="B367:D367"/>
    <mergeCell ref="AC367:AE367"/>
    <mergeCell ref="B368:D368"/>
    <mergeCell ref="AC368:AE368"/>
    <mergeCell ref="B363:D363"/>
    <mergeCell ref="AC363:AE363"/>
    <mergeCell ref="B364:D364"/>
    <mergeCell ref="AC364:AE364"/>
    <mergeCell ref="B365:D365"/>
    <mergeCell ref="AC365:AE365"/>
    <mergeCell ref="B360:D360"/>
    <mergeCell ref="AC360:AE360"/>
    <mergeCell ref="B361:D361"/>
    <mergeCell ref="AC361:AE361"/>
    <mergeCell ref="B362:D362"/>
    <mergeCell ref="AC362:AE362"/>
    <mergeCell ref="B357:D357"/>
    <mergeCell ref="AC357:AE357"/>
    <mergeCell ref="B358:D358"/>
    <mergeCell ref="AC358:AE358"/>
    <mergeCell ref="B359:D359"/>
    <mergeCell ref="AC359:AE359"/>
    <mergeCell ref="B354:D354"/>
    <mergeCell ref="AC354:AE354"/>
    <mergeCell ref="B355:D355"/>
    <mergeCell ref="AC355:AE355"/>
    <mergeCell ref="B356:D356"/>
    <mergeCell ref="AC356:AE356"/>
    <mergeCell ref="AC346:AE346"/>
    <mergeCell ref="AC351:AE351"/>
    <mergeCell ref="B352:D352"/>
    <mergeCell ref="AC352:AE352"/>
    <mergeCell ref="B353:D353"/>
    <mergeCell ref="AC353:AE353"/>
    <mergeCell ref="B341:D341"/>
    <mergeCell ref="AC341:AE341"/>
    <mergeCell ref="B342:D342"/>
    <mergeCell ref="AC342:AE342"/>
    <mergeCell ref="B343:D343"/>
    <mergeCell ref="AC343:AE343"/>
    <mergeCell ref="B338:D338"/>
    <mergeCell ref="AC338:AE338"/>
    <mergeCell ref="B339:D339"/>
    <mergeCell ref="AC339:AE339"/>
    <mergeCell ref="B340:D340"/>
    <mergeCell ref="AC340:AE340"/>
    <mergeCell ref="AC344:AE344"/>
    <mergeCell ref="AC345:AE345"/>
    <mergeCell ref="B335:D335"/>
    <mergeCell ref="AC335:AE335"/>
    <mergeCell ref="B336:D336"/>
    <mergeCell ref="AC336:AE336"/>
    <mergeCell ref="B337:D337"/>
    <mergeCell ref="AC337:AE337"/>
    <mergeCell ref="B332:D332"/>
    <mergeCell ref="AC332:AE332"/>
    <mergeCell ref="B333:D333"/>
    <mergeCell ref="AC333:AE333"/>
    <mergeCell ref="B334:D334"/>
    <mergeCell ref="AC334:AE334"/>
    <mergeCell ref="B329:D329"/>
    <mergeCell ref="AC329:AE329"/>
    <mergeCell ref="B330:D330"/>
    <mergeCell ref="AC330:AE330"/>
    <mergeCell ref="B331:D331"/>
    <mergeCell ref="AC331:AE331"/>
    <mergeCell ref="B326:D326"/>
    <mergeCell ref="AC326:AE326"/>
    <mergeCell ref="B327:D327"/>
    <mergeCell ref="AC327:AE327"/>
    <mergeCell ref="B328:D328"/>
    <mergeCell ref="AC328:AE328"/>
    <mergeCell ref="B323:D323"/>
    <mergeCell ref="AC323:AE323"/>
    <mergeCell ref="B324:D324"/>
    <mergeCell ref="AC324:AE324"/>
    <mergeCell ref="B325:D325"/>
    <mergeCell ref="AC325:AE325"/>
    <mergeCell ref="B320:D320"/>
    <mergeCell ref="AC320:AE320"/>
    <mergeCell ref="B321:D321"/>
    <mergeCell ref="AC321:AE321"/>
    <mergeCell ref="B322:D322"/>
    <mergeCell ref="AC322:AE322"/>
    <mergeCell ref="B317:D317"/>
    <mergeCell ref="AC317:AE317"/>
    <mergeCell ref="B318:D318"/>
    <mergeCell ref="AC318:AE318"/>
    <mergeCell ref="B319:D319"/>
    <mergeCell ref="AC319:AE319"/>
    <mergeCell ref="B314:D314"/>
    <mergeCell ref="AC314:AE314"/>
    <mergeCell ref="B315:D315"/>
    <mergeCell ref="AC315:AE315"/>
    <mergeCell ref="B316:D316"/>
    <mergeCell ref="AC316:AE316"/>
    <mergeCell ref="B311:D311"/>
    <mergeCell ref="AC311:AE311"/>
    <mergeCell ref="B312:D312"/>
    <mergeCell ref="AC312:AE312"/>
    <mergeCell ref="B313:D313"/>
    <mergeCell ref="AC313:AE313"/>
    <mergeCell ref="AC303:AE303"/>
    <mergeCell ref="AC308:AE308"/>
    <mergeCell ref="B309:D309"/>
    <mergeCell ref="AC309:AE309"/>
    <mergeCell ref="B310:D310"/>
    <mergeCell ref="AC310:AE310"/>
    <mergeCell ref="B298:D298"/>
    <mergeCell ref="AC298:AE298"/>
    <mergeCell ref="B299:D299"/>
    <mergeCell ref="AC299:AE299"/>
    <mergeCell ref="B300:D300"/>
    <mergeCell ref="AC300:AE300"/>
    <mergeCell ref="B295:D295"/>
    <mergeCell ref="AC295:AE295"/>
    <mergeCell ref="B296:D296"/>
    <mergeCell ref="AC296:AE296"/>
    <mergeCell ref="B297:D297"/>
    <mergeCell ref="AC297:AE297"/>
    <mergeCell ref="AC301:AE301"/>
    <mergeCell ref="AC302:AE302"/>
    <mergeCell ref="B292:D292"/>
    <mergeCell ref="AC292:AE292"/>
    <mergeCell ref="B293:D293"/>
    <mergeCell ref="AC293:AE293"/>
    <mergeCell ref="B294:D294"/>
    <mergeCell ref="AC294:AE294"/>
    <mergeCell ref="B289:D289"/>
    <mergeCell ref="AC289:AE289"/>
    <mergeCell ref="B290:D290"/>
    <mergeCell ref="AC290:AE290"/>
    <mergeCell ref="B291:D291"/>
    <mergeCell ref="AC291:AE291"/>
    <mergeCell ref="B286:D286"/>
    <mergeCell ref="AC286:AE286"/>
    <mergeCell ref="B287:D287"/>
    <mergeCell ref="AC287:AE287"/>
    <mergeCell ref="B288:D288"/>
    <mergeCell ref="AC288:AE288"/>
    <mergeCell ref="B283:D283"/>
    <mergeCell ref="AC283:AE283"/>
    <mergeCell ref="B284:D284"/>
    <mergeCell ref="AC284:AE284"/>
    <mergeCell ref="B285:D285"/>
    <mergeCell ref="AC285:AE285"/>
    <mergeCell ref="B280:D280"/>
    <mergeCell ref="AC280:AE280"/>
    <mergeCell ref="B281:D281"/>
    <mergeCell ref="AC281:AE281"/>
    <mergeCell ref="B282:D282"/>
    <mergeCell ref="AC282:AE282"/>
    <mergeCell ref="B277:D277"/>
    <mergeCell ref="AC277:AE277"/>
    <mergeCell ref="B278:D278"/>
    <mergeCell ref="AC278:AE278"/>
    <mergeCell ref="B279:D279"/>
    <mergeCell ref="AC279:AE279"/>
    <mergeCell ref="B274:D274"/>
    <mergeCell ref="AC274:AE274"/>
    <mergeCell ref="B275:D275"/>
    <mergeCell ref="AC275:AE275"/>
    <mergeCell ref="B276:D276"/>
    <mergeCell ref="AC276:AE276"/>
    <mergeCell ref="B271:D271"/>
    <mergeCell ref="AC271:AE271"/>
    <mergeCell ref="B272:D272"/>
    <mergeCell ref="AC272:AE272"/>
    <mergeCell ref="B273:D273"/>
    <mergeCell ref="AC273:AE273"/>
    <mergeCell ref="B268:D268"/>
    <mergeCell ref="AC268:AE268"/>
    <mergeCell ref="B269:D269"/>
    <mergeCell ref="AC269:AE269"/>
    <mergeCell ref="B270:D270"/>
    <mergeCell ref="AC270:AE270"/>
    <mergeCell ref="AC260:AE260"/>
    <mergeCell ref="AC265:AE265"/>
    <mergeCell ref="B266:D266"/>
    <mergeCell ref="AC266:AE266"/>
    <mergeCell ref="B267:D267"/>
    <mergeCell ref="AC267:AE267"/>
    <mergeCell ref="B255:D255"/>
    <mergeCell ref="AC255:AE255"/>
    <mergeCell ref="B256:D256"/>
    <mergeCell ref="AC256:AE256"/>
    <mergeCell ref="B257:D257"/>
    <mergeCell ref="AC257:AE257"/>
    <mergeCell ref="B252:D252"/>
    <mergeCell ref="AC252:AE252"/>
    <mergeCell ref="B253:D253"/>
    <mergeCell ref="AC253:AE253"/>
    <mergeCell ref="B254:D254"/>
    <mergeCell ref="AC254:AE254"/>
    <mergeCell ref="AC258:AE258"/>
    <mergeCell ref="AC259:AE259"/>
    <mergeCell ref="B249:D249"/>
    <mergeCell ref="AC249:AE249"/>
    <mergeCell ref="B250:D250"/>
    <mergeCell ref="AC250:AE250"/>
    <mergeCell ref="B251:D251"/>
    <mergeCell ref="AC251:AE251"/>
    <mergeCell ref="B246:D246"/>
    <mergeCell ref="AC246:AE246"/>
    <mergeCell ref="B247:D247"/>
    <mergeCell ref="AC247:AE247"/>
    <mergeCell ref="B248:D248"/>
    <mergeCell ref="AC248:AE248"/>
    <mergeCell ref="B243:D243"/>
    <mergeCell ref="AC243:AE243"/>
    <mergeCell ref="B244:D244"/>
    <mergeCell ref="AC244:AE244"/>
    <mergeCell ref="B245:D245"/>
    <mergeCell ref="AC245:AE245"/>
    <mergeCell ref="B240:D240"/>
    <mergeCell ref="AC240:AE240"/>
    <mergeCell ref="B241:D241"/>
    <mergeCell ref="AC241:AE241"/>
    <mergeCell ref="B242:D242"/>
    <mergeCell ref="AC242:AE242"/>
    <mergeCell ref="B237:D237"/>
    <mergeCell ref="AC237:AE237"/>
    <mergeCell ref="B238:D238"/>
    <mergeCell ref="AC238:AE238"/>
    <mergeCell ref="B239:D239"/>
    <mergeCell ref="AC239:AE239"/>
    <mergeCell ref="B234:D234"/>
    <mergeCell ref="AC234:AE234"/>
    <mergeCell ref="B235:D235"/>
    <mergeCell ref="AC235:AE235"/>
    <mergeCell ref="B236:D236"/>
    <mergeCell ref="AC236:AE236"/>
    <mergeCell ref="B231:D231"/>
    <mergeCell ref="AC231:AE231"/>
    <mergeCell ref="B232:D232"/>
    <mergeCell ref="AC232:AE232"/>
    <mergeCell ref="B233:D233"/>
    <mergeCell ref="AC233:AE233"/>
    <mergeCell ref="B228:D228"/>
    <mergeCell ref="AC228:AE228"/>
    <mergeCell ref="B229:D229"/>
    <mergeCell ref="AC229:AE229"/>
    <mergeCell ref="B230:D230"/>
    <mergeCell ref="AC230:AE230"/>
    <mergeCell ref="B225:D225"/>
    <mergeCell ref="AC225:AE225"/>
    <mergeCell ref="B226:D226"/>
    <mergeCell ref="AC226:AE226"/>
    <mergeCell ref="B227:D227"/>
    <mergeCell ref="AC227:AE227"/>
    <mergeCell ref="AC217:AE217"/>
    <mergeCell ref="AC222:AE222"/>
    <mergeCell ref="B223:D223"/>
    <mergeCell ref="AC223:AE223"/>
    <mergeCell ref="B224:D224"/>
    <mergeCell ref="AC224:AE224"/>
    <mergeCell ref="B212:D212"/>
    <mergeCell ref="AC212:AE212"/>
    <mergeCell ref="B213:D213"/>
    <mergeCell ref="AC213:AE213"/>
    <mergeCell ref="B214:D214"/>
    <mergeCell ref="AC214:AE214"/>
    <mergeCell ref="B209:D209"/>
    <mergeCell ref="AC209:AE209"/>
    <mergeCell ref="B210:D210"/>
    <mergeCell ref="AC210:AE210"/>
    <mergeCell ref="B211:D211"/>
    <mergeCell ref="AC211:AE211"/>
    <mergeCell ref="AC215:AE215"/>
    <mergeCell ref="AC216:AE216"/>
    <mergeCell ref="B206:D206"/>
    <mergeCell ref="AC206:AE206"/>
    <mergeCell ref="B207:D207"/>
    <mergeCell ref="AC207:AE207"/>
    <mergeCell ref="B208:D208"/>
    <mergeCell ref="AC208:AE208"/>
    <mergeCell ref="B203:D203"/>
    <mergeCell ref="AC203:AE203"/>
    <mergeCell ref="B204:D204"/>
    <mergeCell ref="AC204:AE204"/>
    <mergeCell ref="B205:D205"/>
    <mergeCell ref="AC205:AE205"/>
    <mergeCell ref="B200:D200"/>
    <mergeCell ref="AC200:AE200"/>
    <mergeCell ref="B201:D201"/>
    <mergeCell ref="AC201:AE201"/>
    <mergeCell ref="B202:D202"/>
    <mergeCell ref="AC202:AE202"/>
    <mergeCell ref="B197:D197"/>
    <mergeCell ref="AC197:AE197"/>
    <mergeCell ref="B198:D198"/>
    <mergeCell ref="AC198:AE198"/>
    <mergeCell ref="B199:D199"/>
    <mergeCell ref="AC199:AE199"/>
    <mergeCell ref="B194:D194"/>
    <mergeCell ref="AC194:AE194"/>
    <mergeCell ref="B195:D195"/>
    <mergeCell ref="AC195:AE195"/>
    <mergeCell ref="B196:D196"/>
    <mergeCell ref="AC196:AE196"/>
    <mergeCell ref="B191:D191"/>
    <mergeCell ref="AC191:AE191"/>
    <mergeCell ref="B192:D192"/>
    <mergeCell ref="AC192:AE192"/>
    <mergeCell ref="B193:D193"/>
    <mergeCell ref="AC193:AE193"/>
    <mergeCell ref="B188:D188"/>
    <mergeCell ref="AC188:AE188"/>
    <mergeCell ref="B189:D189"/>
    <mergeCell ref="AC189:AE189"/>
    <mergeCell ref="B190:D190"/>
    <mergeCell ref="AC190:AE190"/>
    <mergeCell ref="B185:D185"/>
    <mergeCell ref="AC185:AE185"/>
    <mergeCell ref="B186:D186"/>
    <mergeCell ref="AC186:AE186"/>
    <mergeCell ref="B187:D187"/>
    <mergeCell ref="AC187:AE187"/>
    <mergeCell ref="B182:D182"/>
    <mergeCell ref="AC182:AE182"/>
    <mergeCell ref="B183:D183"/>
    <mergeCell ref="AC183:AE183"/>
    <mergeCell ref="B184:D184"/>
    <mergeCell ref="AC184:AE184"/>
    <mergeCell ref="AC174:AE174"/>
    <mergeCell ref="AC179:AE179"/>
    <mergeCell ref="B180:D180"/>
    <mergeCell ref="AC180:AE180"/>
    <mergeCell ref="B181:D181"/>
    <mergeCell ref="AC181:AE181"/>
    <mergeCell ref="B169:D169"/>
    <mergeCell ref="AC169:AE169"/>
    <mergeCell ref="B170:D170"/>
    <mergeCell ref="AC170:AE170"/>
    <mergeCell ref="B171:D171"/>
    <mergeCell ref="AC171:AE171"/>
    <mergeCell ref="B166:D166"/>
    <mergeCell ref="AC166:AE166"/>
    <mergeCell ref="B167:D167"/>
    <mergeCell ref="AC167:AE167"/>
    <mergeCell ref="B168:D168"/>
    <mergeCell ref="AC168:AE168"/>
    <mergeCell ref="AC172:AE172"/>
    <mergeCell ref="AC173:AE173"/>
    <mergeCell ref="B163:D163"/>
    <mergeCell ref="AC163:AE163"/>
    <mergeCell ref="B164:D164"/>
    <mergeCell ref="AC164:AE164"/>
    <mergeCell ref="B165:D165"/>
    <mergeCell ref="AC165:AE165"/>
    <mergeCell ref="B160:D160"/>
    <mergeCell ref="AC160:AE160"/>
    <mergeCell ref="B161:D161"/>
    <mergeCell ref="AC161:AE161"/>
    <mergeCell ref="B162:D162"/>
    <mergeCell ref="AC162:AE162"/>
    <mergeCell ref="B157:D157"/>
    <mergeCell ref="AC157:AE157"/>
    <mergeCell ref="B158:D158"/>
    <mergeCell ref="AC158:AE158"/>
    <mergeCell ref="B159:D159"/>
    <mergeCell ref="AC159:AE159"/>
    <mergeCell ref="B154:D154"/>
    <mergeCell ref="AC154:AE154"/>
    <mergeCell ref="B155:D155"/>
    <mergeCell ref="AC155:AE155"/>
    <mergeCell ref="B156:D156"/>
    <mergeCell ref="AC156:AE156"/>
    <mergeCell ref="B151:D151"/>
    <mergeCell ref="AC151:AE151"/>
    <mergeCell ref="B152:D152"/>
    <mergeCell ref="AC152:AE152"/>
    <mergeCell ref="B153:D153"/>
    <mergeCell ref="AC153:AE153"/>
    <mergeCell ref="B148:D148"/>
    <mergeCell ref="AC148:AE148"/>
    <mergeCell ref="B149:D149"/>
    <mergeCell ref="AC149:AE149"/>
    <mergeCell ref="B150:D150"/>
    <mergeCell ref="AC150:AE150"/>
    <mergeCell ref="B145:D145"/>
    <mergeCell ref="AC145:AE145"/>
    <mergeCell ref="B146:D146"/>
    <mergeCell ref="AC146:AE146"/>
    <mergeCell ref="B147:D147"/>
    <mergeCell ref="AC147:AE147"/>
    <mergeCell ref="B142:D142"/>
    <mergeCell ref="AC142:AE142"/>
    <mergeCell ref="B143:D143"/>
    <mergeCell ref="AC143:AE143"/>
    <mergeCell ref="B144:D144"/>
    <mergeCell ref="AC144:AE144"/>
    <mergeCell ref="B139:D139"/>
    <mergeCell ref="AC139:AE139"/>
    <mergeCell ref="B140:D140"/>
    <mergeCell ref="AC140:AE140"/>
    <mergeCell ref="B141:D141"/>
    <mergeCell ref="AC141:AE141"/>
    <mergeCell ref="AC131:AE131"/>
    <mergeCell ref="AC136:AE136"/>
    <mergeCell ref="B137:D137"/>
    <mergeCell ref="AC137:AE137"/>
    <mergeCell ref="B138:D138"/>
    <mergeCell ref="AC138:AE138"/>
    <mergeCell ref="B126:D126"/>
    <mergeCell ref="AC126:AE126"/>
    <mergeCell ref="B127:D127"/>
    <mergeCell ref="AC127:AE127"/>
    <mergeCell ref="B128:D128"/>
    <mergeCell ref="AC128:AE128"/>
    <mergeCell ref="B123:D123"/>
    <mergeCell ref="AC123:AE123"/>
    <mergeCell ref="B124:D124"/>
    <mergeCell ref="AC124:AE124"/>
    <mergeCell ref="B125:D125"/>
    <mergeCell ref="AC125:AE125"/>
    <mergeCell ref="AC129:AE129"/>
    <mergeCell ref="AC130:AE130"/>
    <mergeCell ref="B120:D120"/>
    <mergeCell ref="AC120:AE120"/>
    <mergeCell ref="B121:D121"/>
    <mergeCell ref="AC121:AE121"/>
    <mergeCell ref="B122:D122"/>
    <mergeCell ref="AC122:AE122"/>
    <mergeCell ref="B117:D117"/>
    <mergeCell ref="AC117:AE117"/>
    <mergeCell ref="B118:D118"/>
    <mergeCell ref="AC118:AE118"/>
    <mergeCell ref="B119:D119"/>
    <mergeCell ref="AC119:AE119"/>
    <mergeCell ref="B114:D114"/>
    <mergeCell ref="AC114:AE114"/>
    <mergeCell ref="B115:D115"/>
    <mergeCell ref="AC115:AE115"/>
    <mergeCell ref="B116:D116"/>
    <mergeCell ref="AC116:AE116"/>
    <mergeCell ref="B111:D111"/>
    <mergeCell ref="AC111:AE111"/>
    <mergeCell ref="B112:D112"/>
    <mergeCell ref="AC112:AE112"/>
    <mergeCell ref="B113:D113"/>
    <mergeCell ref="AC113:AE113"/>
    <mergeCell ref="B108:D108"/>
    <mergeCell ref="AC108:AE108"/>
    <mergeCell ref="B109:D109"/>
    <mergeCell ref="AC109:AE109"/>
    <mergeCell ref="B110:D110"/>
    <mergeCell ref="AC110:AE110"/>
    <mergeCell ref="B105:D105"/>
    <mergeCell ref="AC105:AE105"/>
    <mergeCell ref="B106:D106"/>
    <mergeCell ref="AC106:AE106"/>
    <mergeCell ref="B107:D107"/>
    <mergeCell ref="AC107:AE107"/>
    <mergeCell ref="B102:D102"/>
    <mergeCell ref="AC102:AE102"/>
    <mergeCell ref="B103:D103"/>
    <mergeCell ref="AC103:AE103"/>
    <mergeCell ref="B104:D104"/>
    <mergeCell ref="AC104:AE104"/>
    <mergeCell ref="B99:D99"/>
    <mergeCell ref="AC99:AE99"/>
    <mergeCell ref="B100:D100"/>
    <mergeCell ref="AC100:AE100"/>
    <mergeCell ref="B101:D101"/>
    <mergeCell ref="AC101:AE101"/>
    <mergeCell ref="B96:D96"/>
    <mergeCell ref="AC96:AE96"/>
    <mergeCell ref="B97:D97"/>
    <mergeCell ref="AC97:AE97"/>
    <mergeCell ref="B98:D98"/>
    <mergeCell ref="AC98:AE98"/>
    <mergeCell ref="AC88:AE88"/>
    <mergeCell ref="AC93:AE93"/>
    <mergeCell ref="B94:D94"/>
    <mergeCell ref="AC94:AE94"/>
    <mergeCell ref="B95:D95"/>
    <mergeCell ref="AC95:AE95"/>
    <mergeCell ref="B83:D83"/>
    <mergeCell ref="AC83:AE83"/>
    <mergeCell ref="B84:D84"/>
    <mergeCell ref="AC84:AE84"/>
    <mergeCell ref="B85:D85"/>
    <mergeCell ref="AC85:AE85"/>
    <mergeCell ref="B80:D80"/>
    <mergeCell ref="AC80:AE80"/>
    <mergeCell ref="B81:D81"/>
    <mergeCell ref="AC81:AE81"/>
    <mergeCell ref="B82:D82"/>
    <mergeCell ref="AC82:AE82"/>
    <mergeCell ref="AC86:AE86"/>
    <mergeCell ref="AC87:AE87"/>
    <mergeCell ref="B77:D77"/>
    <mergeCell ref="AC77:AE77"/>
    <mergeCell ref="B78:D78"/>
    <mergeCell ref="AC78:AE78"/>
    <mergeCell ref="B79:D79"/>
    <mergeCell ref="AC79:AE79"/>
    <mergeCell ref="B74:D74"/>
    <mergeCell ref="AC74:AE74"/>
    <mergeCell ref="B75:D75"/>
    <mergeCell ref="AC75:AE75"/>
    <mergeCell ref="B76:D76"/>
    <mergeCell ref="AC76:AE76"/>
    <mergeCell ref="B71:D71"/>
    <mergeCell ref="AC71:AE71"/>
    <mergeCell ref="B72:D72"/>
    <mergeCell ref="AC72:AE72"/>
    <mergeCell ref="B73:D73"/>
    <mergeCell ref="AC73:AE73"/>
    <mergeCell ref="B68:D68"/>
    <mergeCell ref="AC68:AE68"/>
    <mergeCell ref="B69:D69"/>
    <mergeCell ref="AC69:AE69"/>
    <mergeCell ref="B70:D70"/>
    <mergeCell ref="AC70:AE70"/>
    <mergeCell ref="B65:D65"/>
    <mergeCell ref="AC65:AE65"/>
    <mergeCell ref="B66:D66"/>
    <mergeCell ref="AC66:AE66"/>
    <mergeCell ref="B67:D67"/>
    <mergeCell ref="AC67:AE67"/>
    <mergeCell ref="B62:D62"/>
    <mergeCell ref="AC62:AE62"/>
    <mergeCell ref="B63:D63"/>
    <mergeCell ref="AC63:AE63"/>
    <mergeCell ref="B64:D64"/>
    <mergeCell ref="AC64:AE64"/>
    <mergeCell ref="B59:D59"/>
    <mergeCell ref="AC59:AE59"/>
    <mergeCell ref="B60:D60"/>
    <mergeCell ref="AC60:AE60"/>
    <mergeCell ref="B61:D61"/>
    <mergeCell ref="AC61:AE61"/>
    <mergeCell ref="B56:D56"/>
    <mergeCell ref="AC56:AE56"/>
    <mergeCell ref="B57:D57"/>
    <mergeCell ref="AC57:AE57"/>
    <mergeCell ref="B58:D58"/>
    <mergeCell ref="AC58:AE58"/>
    <mergeCell ref="B53:D53"/>
    <mergeCell ref="AC53:AE53"/>
    <mergeCell ref="B54:D54"/>
    <mergeCell ref="AC54:AE54"/>
    <mergeCell ref="B55:D55"/>
    <mergeCell ref="AC55:AE55"/>
    <mergeCell ref="AC45:AE45"/>
    <mergeCell ref="AC50:AE50"/>
    <mergeCell ref="B51:D51"/>
    <mergeCell ref="AC51:AE51"/>
    <mergeCell ref="B52:D52"/>
    <mergeCell ref="AC52:AE52"/>
    <mergeCell ref="B40:D40"/>
    <mergeCell ref="AC40:AE40"/>
    <mergeCell ref="B41:D41"/>
    <mergeCell ref="AC41:AE41"/>
    <mergeCell ref="B42:D42"/>
    <mergeCell ref="AC42:AE42"/>
    <mergeCell ref="B37:D37"/>
    <mergeCell ref="AC37:AE37"/>
    <mergeCell ref="B38:D38"/>
    <mergeCell ref="AC38:AE38"/>
    <mergeCell ref="B39:D39"/>
    <mergeCell ref="AC39:AE39"/>
    <mergeCell ref="AC43:AE43"/>
    <mergeCell ref="AC44:AE44"/>
    <mergeCell ref="B34:D34"/>
    <mergeCell ref="AC34:AE34"/>
    <mergeCell ref="B35:D35"/>
    <mergeCell ref="AC35:AE35"/>
    <mergeCell ref="B36:D36"/>
    <mergeCell ref="AC36:AE36"/>
    <mergeCell ref="B31:D31"/>
    <mergeCell ref="AC31:AE31"/>
    <mergeCell ref="B32:D32"/>
    <mergeCell ref="AC32:AE32"/>
    <mergeCell ref="B33:D33"/>
    <mergeCell ref="AC33:AE33"/>
    <mergeCell ref="B28:D28"/>
    <mergeCell ref="AC28:AE28"/>
    <mergeCell ref="B29:D29"/>
    <mergeCell ref="AC29:AE29"/>
    <mergeCell ref="B30:D30"/>
    <mergeCell ref="AC30:AE30"/>
    <mergeCell ref="B25:D25"/>
    <mergeCell ref="AC25:AE25"/>
    <mergeCell ref="B26:D26"/>
    <mergeCell ref="AC26:AE26"/>
    <mergeCell ref="B27:D27"/>
    <mergeCell ref="AC27:AE27"/>
    <mergeCell ref="B22:D22"/>
    <mergeCell ref="AC22:AE22"/>
    <mergeCell ref="B23:D23"/>
    <mergeCell ref="AC23:AE23"/>
    <mergeCell ref="B24:D24"/>
    <mergeCell ref="AC24:AE24"/>
    <mergeCell ref="B19:D19"/>
    <mergeCell ref="AC19:AE19"/>
    <mergeCell ref="B20:D20"/>
    <mergeCell ref="AC20:AE20"/>
    <mergeCell ref="B21:D21"/>
    <mergeCell ref="AC21:AE21"/>
    <mergeCell ref="B16:D16"/>
    <mergeCell ref="AC16:AE16"/>
    <mergeCell ref="B17:D17"/>
    <mergeCell ref="AC17:AE17"/>
    <mergeCell ref="B18:D18"/>
    <mergeCell ref="AC18:AE18"/>
    <mergeCell ref="B8:D8"/>
    <mergeCell ref="AC8:AE8"/>
    <mergeCell ref="AC9:AE9"/>
    <mergeCell ref="B10:D10"/>
    <mergeCell ref="AC10:AE10"/>
    <mergeCell ref="B11:D11"/>
    <mergeCell ref="AC11:AE11"/>
    <mergeCell ref="AC7:AE7"/>
    <mergeCell ref="AC12:AE12"/>
    <mergeCell ref="AC13:AE13"/>
    <mergeCell ref="AC14:AE14"/>
    <mergeCell ref="AC15:AE15"/>
    <mergeCell ref="B9:D9"/>
    <mergeCell ref="B12:D12"/>
    <mergeCell ref="B13:D13"/>
    <mergeCell ref="B14:D14"/>
    <mergeCell ref="B15:D15"/>
  </mergeCells>
  <pageMargins left="0.7" right="0.7" top="0.75" bottom="0.75" header="0.3" footer="0.3"/>
  <pageSetup scale="1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70E7-4608-470E-966B-6C6AA86B046D}">
  <sheetPr codeName="Hoja3"/>
  <dimension ref="B1:AE1707"/>
  <sheetViews>
    <sheetView view="pageBreakPreview" zoomScale="60" zoomScaleNormal="70" workbookViewId="0">
      <selection activeCell="B3" sqref="B3"/>
    </sheetView>
  </sheetViews>
  <sheetFormatPr baseColWidth="10" defaultColWidth="11.42578125" defaultRowHeight="18.75" x14ac:dyDescent="0.3"/>
  <cols>
    <col min="1" max="1" width="2.42578125" style="12" customWidth="1"/>
    <col min="2" max="2" width="32.5703125" style="12" customWidth="1"/>
    <col min="3" max="28" width="10.140625" style="19" customWidth="1"/>
    <col min="29" max="16384" width="11.42578125" style="12"/>
  </cols>
  <sheetData>
    <row r="1" spans="2:31" s="4" customFormat="1" x14ac:dyDescent="0.3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2:31" s="4" customFormat="1" x14ac:dyDescent="0.3">
      <c r="B2" s="7" t="s">
        <v>83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s="4" customFormat="1" ht="16.5" customHeight="1" x14ac:dyDescent="0.3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2:31" s="4" customFormat="1" x14ac:dyDescent="0.3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2:31" s="4" customFormat="1" x14ac:dyDescent="0.3">
      <c r="B5" s="8">
        <f>'Resumen-Mensual'!$E$22</f>
        <v>44562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2:31" s="4" customFormat="1" x14ac:dyDescent="0.3">
      <c r="B6" s="8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2:31" s="4" customFormat="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248" t="s">
        <v>2</v>
      </c>
      <c r="AD7" s="248"/>
      <c r="AE7" s="248"/>
    </row>
    <row r="8" spans="2:31" s="4" customFormat="1" x14ac:dyDescent="0.3">
      <c r="B8" s="245" t="s">
        <v>37</v>
      </c>
      <c r="C8" s="245"/>
      <c r="D8" s="245"/>
      <c r="E8" s="231">
        <v>0</v>
      </c>
      <c r="F8" s="234">
        <v>0</v>
      </c>
      <c r="G8" s="231">
        <v>0</v>
      </c>
      <c r="H8" s="234">
        <v>0</v>
      </c>
      <c r="I8" s="231">
        <v>0</v>
      </c>
      <c r="J8" s="234">
        <v>0</v>
      </c>
      <c r="K8" s="231">
        <v>0</v>
      </c>
      <c r="L8" s="234">
        <v>0</v>
      </c>
      <c r="M8" s="231">
        <v>0.1826666666666667</v>
      </c>
      <c r="N8" s="234">
        <v>0.9921666666666662</v>
      </c>
      <c r="O8" s="231">
        <v>0.9175000000000002</v>
      </c>
      <c r="P8" s="234">
        <v>0.76050000000000051</v>
      </c>
      <c r="Q8" s="231">
        <v>0</v>
      </c>
      <c r="R8" s="234">
        <v>0</v>
      </c>
      <c r="S8" s="231">
        <v>0.52583333333333393</v>
      </c>
      <c r="T8" s="234">
        <v>0.49216666666666703</v>
      </c>
      <c r="U8" s="231">
        <v>0</v>
      </c>
      <c r="V8" s="234">
        <v>1.5218333333333334</v>
      </c>
      <c r="W8" s="231">
        <v>1.017166666666667</v>
      </c>
      <c r="X8" s="234">
        <v>0</v>
      </c>
      <c r="Y8" s="231">
        <v>0</v>
      </c>
      <c r="Z8" s="234">
        <v>0</v>
      </c>
      <c r="AA8" s="231">
        <v>0</v>
      </c>
      <c r="AB8" s="234">
        <v>0</v>
      </c>
      <c r="AC8" s="238">
        <f>SUM(E8:AB8)</f>
        <v>6.409833333333335</v>
      </c>
      <c r="AD8" s="238"/>
      <c r="AE8" s="238"/>
    </row>
    <row r="9" spans="2:31" s="4" customFormat="1" x14ac:dyDescent="0.3">
      <c r="B9" s="245" t="s">
        <v>38</v>
      </c>
      <c r="C9" s="245"/>
      <c r="D9" s="245"/>
      <c r="E9" s="231">
        <v>0</v>
      </c>
      <c r="F9" s="234">
        <v>0</v>
      </c>
      <c r="G9" s="231">
        <v>0</v>
      </c>
      <c r="H9" s="234">
        <v>0</v>
      </c>
      <c r="I9" s="231">
        <v>0</v>
      </c>
      <c r="J9" s="234">
        <v>0</v>
      </c>
      <c r="K9" s="231">
        <v>0</v>
      </c>
      <c r="L9" s="234">
        <v>0</v>
      </c>
      <c r="M9" s="231">
        <v>0.22566666666666682</v>
      </c>
      <c r="N9" s="234">
        <v>0.11966666666666673</v>
      </c>
      <c r="O9" s="231">
        <v>0.51150000000000007</v>
      </c>
      <c r="P9" s="234">
        <v>1.0226666666666668</v>
      </c>
      <c r="Q9" s="231">
        <v>0</v>
      </c>
      <c r="R9" s="234">
        <v>0</v>
      </c>
      <c r="S9" s="231">
        <v>0.67750000000000077</v>
      </c>
      <c r="T9" s="234">
        <v>0.79983333333333406</v>
      </c>
      <c r="U9" s="231">
        <v>0</v>
      </c>
      <c r="V9" s="234">
        <v>2.1610000000000005</v>
      </c>
      <c r="W9" s="231">
        <v>2.4326666666666674</v>
      </c>
      <c r="X9" s="234">
        <v>0</v>
      </c>
      <c r="Y9" s="231">
        <v>0</v>
      </c>
      <c r="Z9" s="234">
        <v>0</v>
      </c>
      <c r="AA9" s="231">
        <v>0</v>
      </c>
      <c r="AB9" s="234">
        <v>0</v>
      </c>
      <c r="AC9" s="238">
        <f t="shared" ref="AC9:AC40" si="0">SUM(E9:AB9)</f>
        <v>7.9505000000000035</v>
      </c>
      <c r="AD9" s="238"/>
      <c r="AE9" s="238"/>
    </row>
    <row r="10" spans="2:31" s="4" customFormat="1" x14ac:dyDescent="0.3">
      <c r="B10" s="245" t="s">
        <v>39</v>
      </c>
      <c r="C10" s="245"/>
      <c r="D10" s="245"/>
      <c r="E10" s="231">
        <v>0</v>
      </c>
      <c r="F10" s="234">
        <v>0</v>
      </c>
      <c r="G10" s="231">
        <v>0</v>
      </c>
      <c r="H10" s="234">
        <v>0</v>
      </c>
      <c r="I10" s="231">
        <v>0</v>
      </c>
      <c r="J10" s="234">
        <v>0</v>
      </c>
      <c r="K10" s="231">
        <v>0</v>
      </c>
      <c r="L10" s="234">
        <v>0</v>
      </c>
      <c r="M10" s="231">
        <v>2.625</v>
      </c>
      <c r="N10" s="234">
        <v>9.8999999999999879</v>
      </c>
      <c r="O10" s="231">
        <v>1.5711666666666666</v>
      </c>
      <c r="P10" s="234">
        <v>3.9466666666666659</v>
      </c>
      <c r="Q10" s="231">
        <v>0</v>
      </c>
      <c r="R10" s="234">
        <v>0</v>
      </c>
      <c r="S10" s="231">
        <v>7.2569999999999988</v>
      </c>
      <c r="T10" s="234">
        <v>5.7216666666666649</v>
      </c>
      <c r="U10" s="231">
        <v>0</v>
      </c>
      <c r="V10" s="234">
        <v>0.9514999999999999</v>
      </c>
      <c r="W10" s="231">
        <v>1.1211666666666669</v>
      </c>
      <c r="X10" s="234">
        <v>0.66766666666666663</v>
      </c>
      <c r="Y10" s="231">
        <v>0</v>
      </c>
      <c r="Z10" s="234">
        <v>0</v>
      </c>
      <c r="AA10" s="231">
        <v>0</v>
      </c>
      <c r="AB10" s="234">
        <v>0</v>
      </c>
      <c r="AC10" s="238">
        <f t="shared" si="0"/>
        <v>33.761833333333314</v>
      </c>
      <c r="AD10" s="238"/>
      <c r="AE10" s="238"/>
    </row>
    <row r="11" spans="2:31" s="4" customFormat="1" x14ac:dyDescent="0.3">
      <c r="B11" s="245" t="s">
        <v>40</v>
      </c>
      <c r="C11" s="245"/>
      <c r="D11" s="245"/>
      <c r="E11" s="231">
        <v>0</v>
      </c>
      <c r="F11" s="234">
        <v>0</v>
      </c>
      <c r="G11" s="231">
        <v>0</v>
      </c>
      <c r="H11" s="234">
        <v>0</v>
      </c>
      <c r="I11" s="231">
        <v>0</v>
      </c>
      <c r="J11" s="234">
        <v>0</v>
      </c>
      <c r="K11" s="231">
        <v>0</v>
      </c>
      <c r="L11" s="234">
        <v>0</v>
      </c>
      <c r="M11" s="231">
        <v>29.009166666666673</v>
      </c>
      <c r="N11" s="234">
        <v>88.430000000000021</v>
      </c>
      <c r="O11" s="231">
        <v>94.229999999999876</v>
      </c>
      <c r="P11" s="234">
        <v>97.430000000000049</v>
      </c>
      <c r="Q11" s="231">
        <v>98.630000000000081</v>
      </c>
      <c r="R11" s="234">
        <v>99.829999999999956</v>
      </c>
      <c r="S11" s="231">
        <v>98.329999999999956</v>
      </c>
      <c r="T11" s="234">
        <v>0</v>
      </c>
      <c r="U11" s="231">
        <v>0</v>
      </c>
      <c r="V11" s="234">
        <v>0</v>
      </c>
      <c r="W11" s="231">
        <v>31.961166666666674</v>
      </c>
      <c r="X11" s="234">
        <v>0</v>
      </c>
      <c r="Y11" s="231">
        <v>0</v>
      </c>
      <c r="Z11" s="234">
        <v>0</v>
      </c>
      <c r="AA11" s="231">
        <v>0</v>
      </c>
      <c r="AB11" s="234">
        <v>0</v>
      </c>
      <c r="AC11" s="238">
        <f t="shared" si="0"/>
        <v>637.85033333333331</v>
      </c>
      <c r="AD11" s="238"/>
      <c r="AE11" s="238"/>
    </row>
    <row r="12" spans="2:31" s="4" customFormat="1" x14ac:dyDescent="0.3">
      <c r="B12" s="245" t="s">
        <v>41</v>
      </c>
      <c r="C12" s="245"/>
      <c r="D12" s="245"/>
      <c r="E12" s="231">
        <v>0</v>
      </c>
      <c r="F12" s="234">
        <v>0</v>
      </c>
      <c r="G12" s="231">
        <v>0</v>
      </c>
      <c r="H12" s="234">
        <v>0</v>
      </c>
      <c r="I12" s="231">
        <v>0</v>
      </c>
      <c r="J12" s="234">
        <v>0</v>
      </c>
      <c r="K12" s="231">
        <v>0</v>
      </c>
      <c r="L12" s="234">
        <v>0</v>
      </c>
      <c r="M12" s="231">
        <v>2.6411666666666651</v>
      </c>
      <c r="N12" s="234">
        <v>18.937999999999988</v>
      </c>
      <c r="O12" s="231">
        <v>18.752666666666666</v>
      </c>
      <c r="P12" s="234">
        <v>0</v>
      </c>
      <c r="Q12" s="231">
        <v>19.580666666666669</v>
      </c>
      <c r="R12" s="234">
        <v>21.791166666666662</v>
      </c>
      <c r="S12" s="231">
        <v>0</v>
      </c>
      <c r="T12" s="234">
        <v>0</v>
      </c>
      <c r="U12" s="231">
        <v>0</v>
      </c>
      <c r="V12" s="234">
        <v>0</v>
      </c>
      <c r="W12" s="231">
        <v>8.4258333333333315</v>
      </c>
      <c r="X12" s="234">
        <v>4.6499999999999958E-2</v>
      </c>
      <c r="Y12" s="231">
        <v>0</v>
      </c>
      <c r="Z12" s="234">
        <v>0</v>
      </c>
      <c r="AA12" s="231">
        <v>0</v>
      </c>
      <c r="AB12" s="234">
        <v>0</v>
      </c>
      <c r="AC12" s="238">
        <f t="shared" si="0"/>
        <v>90.175999999999988</v>
      </c>
      <c r="AD12" s="238"/>
      <c r="AE12" s="238"/>
    </row>
    <row r="13" spans="2:31" s="4" customFormat="1" x14ac:dyDescent="0.3">
      <c r="B13" s="245" t="s">
        <v>42</v>
      </c>
      <c r="C13" s="245"/>
      <c r="D13" s="245"/>
      <c r="E13" s="231">
        <v>0</v>
      </c>
      <c r="F13" s="234">
        <v>0</v>
      </c>
      <c r="G13" s="231">
        <v>0</v>
      </c>
      <c r="H13" s="234">
        <v>0</v>
      </c>
      <c r="I13" s="231">
        <v>0</v>
      </c>
      <c r="J13" s="234">
        <v>0</v>
      </c>
      <c r="K13" s="231">
        <v>0</v>
      </c>
      <c r="L13" s="234">
        <v>0</v>
      </c>
      <c r="M13" s="231">
        <v>0</v>
      </c>
      <c r="N13" s="234">
        <v>0</v>
      </c>
      <c r="O13" s="231">
        <v>0</v>
      </c>
      <c r="P13" s="234">
        <v>16.974833333333336</v>
      </c>
      <c r="Q13" s="231">
        <v>0</v>
      </c>
      <c r="R13" s="234">
        <v>0</v>
      </c>
      <c r="S13" s="231">
        <v>32.921333333333344</v>
      </c>
      <c r="T13" s="234">
        <v>25.949166666666674</v>
      </c>
      <c r="U13" s="231">
        <v>0</v>
      </c>
      <c r="V13" s="234">
        <v>0</v>
      </c>
      <c r="W13" s="231">
        <v>0</v>
      </c>
      <c r="X13" s="234">
        <v>0</v>
      </c>
      <c r="Y13" s="231">
        <v>0</v>
      </c>
      <c r="Z13" s="234">
        <v>0</v>
      </c>
      <c r="AA13" s="231">
        <v>0</v>
      </c>
      <c r="AB13" s="234">
        <v>0</v>
      </c>
      <c r="AC13" s="238">
        <f t="shared" si="0"/>
        <v>75.845333333333357</v>
      </c>
      <c r="AD13" s="238"/>
      <c r="AE13" s="238"/>
    </row>
    <row r="14" spans="2:31" s="4" customFormat="1" x14ac:dyDescent="0.3">
      <c r="B14" s="245" t="s">
        <v>43</v>
      </c>
      <c r="C14" s="245"/>
      <c r="D14" s="245"/>
      <c r="E14" s="231">
        <v>0</v>
      </c>
      <c r="F14" s="234">
        <v>0</v>
      </c>
      <c r="G14" s="231">
        <v>0</v>
      </c>
      <c r="H14" s="234">
        <v>0</v>
      </c>
      <c r="I14" s="231">
        <v>0</v>
      </c>
      <c r="J14" s="234">
        <v>0</v>
      </c>
      <c r="K14" s="231">
        <v>0</v>
      </c>
      <c r="L14" s="234">
        <v>0</v>
      </c>
      <c r="M14" s="231">
        <v>13.129000000000001</v>
      </c>
      <c r="N14" s="234">
        <v>30.949666666666655</v>
      </c>
      <c r="O14" s="231">
        <v>24.088333333333313</v>
      </c>
      <c r="P14" s="234">
        <v>15.434999999999997</v>
      </c>
      <c r="Q14" s="231">
        <v>17.654999999999976</v>
      </c>
      <c r="R14" s="234">
        <v>15.804833333333344</v>
      </c>
      <c r="S14" s="231">
        <v>18.350500000000007</v>
      </c>
      <c r="T14" s="234">
        <v>19.676333333333343</v>
      </c>
      <c r="U14" s="231">
        <v>35.975000000000009</v>
      </c>
      <c r="V14" s="234">
        <v>47.44166666666667</v>
      </c>
      <c r="W14" s="231">
        <v>36.598333333333329</v>
      </c>
      <c r="X14" s="234">
        <v>4.6499999999999923E-2</v>
      </c>
      <c r="Y14" s="231">
        <v>0</v>
      </c>
      <c r="Z14" s="234">
        <v>0</v>
      </c>
      <c r="AA14" s="231">
        <v>0</v>
      </c>
      <c r="AB14" s="234">
        <v>0</v>
      </c>
      <c r="AC14" s="238">
        <f t="shared" si="0"/>
        <v>275.15016666666662</v>
      </c>
      <c r="AD14" s="238"/>
      <c r="AE14" s="238"/>
    </row>
    <row r="15" spans="2:31" s="4" customFormat="1" x14ac:dyDescent="0.3">
      <c r="B15" s="245" t="s">
        <v>44</v>
      </c>
      <c r="C15" s="245"/>
      <c r="D15" s="245"/>
      <c r="E15" s="231">
        <v>0</v>
      </c>
      <c r="F15" s="234">
        <v>0</v>
      </c>
      <c r="G15" s="231">
        <v>0</v>
      </c>
      <c r="H15" s="234">
        <v>0</v>
      </c>
      <c r="I15" s="231">
        <v>0</v>
      </c>
      <c r="J15" s="234">
        <v>0</v>
      </c>
      <c r="K15" s="231">
        <v>0</v>
      </c>
      <c r="L15" s="234">
        <v>0</v>
      </c>
      <c r="M15" s="231">
        <v>0</v>
      </c>
      <c r="N15" s="234">
        <v>0</v>
      </c>
      <c r="O15" s="231">
        <v>0</v>
      </c>
      <c r="P15" s="234">
        <v>0</v>
      </c>
      <c r="Q15" s="231">
        <v>18.860833333333339</v>
      </c>
      <c r="R15" s="234">
        <v>27.058000000000025</v>
      </c>
      <c r="S15" s="231">
        <v>0</v>
      </c>
      <c r="T15" s="234">
        <v>0</v>
      </c>
      <c r="U15" s="231">
        <v>0</v>
      </c>
      <c r="V15" s="234">
        <v>0</v>
      </c>
      <c r="W15" s="231">
        <v>26.97750000000001</v>
      </c>
      <c r="X15" s="234">
        <v>0</v>
      </c>
      <c r="Y15" s="231">
        <v>0</v>
      </c>
      <c r="Z15" s="234">
        <v>0</v>
      </c>
      <c r="AA15" s="231">
        <v>0</v>
      </c>
      <c r="AB15" s="234">
        <v>0</v>
      </c>
      <c r="AC15" s="238">
        <f t="shared" si="0"/>
        <v>72.896333333333374</v>
      </c>
      <c r="AD15" s="238"/>
      <c r="AE15" s="238"/>
    </row>
    <row r="16" spans="2:31" s="4" customFormat="1" x14ac:dyDescent="0.3">
      <c r="B16" s="245" t="s">
        <v>45</v>
      </c>
      <c r="C16" s="245"/>
      <c r="D16" s="245"/>
      <c r="E16" s="231">
        <v>0</v>
      </c>
      <c r="F16" s="234">
        <v>0</v>
      </c>
      <c r="G16" s="231">
        <v>0</v>
      </c>
      <c r="H16" s="234">
        <v>0</v>
      </c>
      <c r="I16" s="231">
        <v>0</v>
      </c>
      <c r="J16" s="234">
        <v>0</v>
      </c>
      <c r="K16" s="231">
        <v>0</v>
      </c>
      <c r="L16" s="234">
        <v>0</v>
      </c>
      <c r="M16" s="231">
        <v>0.60799999999999998</v>
      </c>
      <c r="N16" s="234">
        <v>5.2568333333333328</v>
      </c>
      <c r="O16" s="231">
        <v>5.5370000000000026</v>
      </c>
      <c r="P16" s="234">
        <v>14.014500000000005</v>
      </c>
      <c r="Q16" s="231">
        <v>18.5</v>
      </c>
      <c r="R16" s="234">
        <v>14.726333333333338</v>
      </c>
      <c r="S16" s="231">
        <v>19.910000000000004</v>
      </c>
      <c r="T16" s="234">
        <v>20.080333333333336</v>
      </c>
      <c r="U16" s="231">
        <v>18.649999999999991</v>
      </c>
      <c r="V16" s="234">
        <v>0</v>
      </c>
      <c r="W16" s="231">
        <v>2.5748333333333311</v>
      </c>
      <c r="X16" s="234">
        <v>0.53216666666666668</v>
      </c>
      <c r="Y16" s="231">
        <v>0</v>
      </c>
      <c r="Z16" s="234">
        <v>0</v>
      </c>
      <c r="AA16" s="231">
        <v>0</v>
      </c>
      <c r="AB16" s="234">
        <v>0</v>
      </c>
      <c r="AC16" s="238">
        <f t="shared" si="0"/>
        <v>120.39</v>
      </c>
      <c r="AD16" s="238"/>
      <c r="AE16" s="238"/>
    </row>
    <row r="17" spans="2:31" s="4" customFormat="1" x14ac:dyDescent="0.3">
      <c r="B17" s="245" t="s">
        <v>46</v>
      </c>
      <c r="C17" s="245"/>
      <c r="D17" s="245"/>
      <c r="E17" s="231">
        <v>0</v>
      </c>
      <c r="F17" s="234">
        <v>0</v>
      </c>
      <c r="G17" s="231">
        <v>0</v>
      </c>
      <c r="H17" s="234">
        <v>0</v>
      </c>
      <c r="I17" s="231">
        <v>0</v>
      </c>
      <c r="J17" s="234">
        <v>0</v>
      </c>
      <c r="K17" s="231">
        <v>0</v>
      </c>
      <c r="L17" s="234">
        <v>0</v>
      </c>
      <c r="M17" s="231">
        <v>1.9161666666666666</v>
      </c>
      <c r="N17" s="234">
        <v>19.316333333333315</v>
      </c>
      <c r="O17" s="231">
        <v>22.443333333333328</v>
      </c>
      <c r="P17" s="234">
        <v>18.009499999999989</v>
      </c>
      <c r="Q17" s="231">
        <v>0</v>
      </c>
      <c r="R17" s="234">
        <v>0</v>
      </c>
      <c r="S17" s="231">
        <v>0</v>
      </c>
      <c r="T17" s="234">
        <v>39.220999999999989</v>
      </c>
      <c r="U17" s="231">
        <v>30.226166666666678</v>
      </c>
      <c r="V17" s="234">
        <v>3.3444999999999991</v>
      </c>
      <c r="W17" s="231">
        <v>0</v>
      </c>
      <c r="X17" s="234">
        <v>6.9166666666666668E-2</v>
      </c>
      <c r="Y17" s="231">
        <v>0</v>
      </c>
      <c r="Z17" s="234">
        <v>0</v>
      </c>
      <c r="AA17" s="231">
        <v>0</v>
      </c>
      <c r="AB17" s="234">
        <v>0</v>
      </c>
      <c r="AC17" s="238">
        <f t="shared" si="0"/>
        <v>134.54616666666664</v>
      </c>
      <c r="AD17" s="238"/>
      <c r="AE17" s="238"/>
    </row>
    <row r="18" spans="2:31" s="4" customFormat="1" x14ac:dyDescent="0.3">
      <c r="B18" s="245" t="s">
        <v>47</v>
      </c>
      <c r="C18" s="245"/>
      <c r="D18" s="245"/>
      <c r="E18" s="231">
        <v>0</v>
      </c>
      <c r="F18" s="234">
        <v>0</v>
      </c>
      <c r="G18" s="231">
        <v>0</v>
      </c>
      <c r="H18" s="234">
        <v>0</v>
      </c>
      <c r="I18" s="231">
        <v>0</v>
      </c>
      <c r="J18" s="234">
        <v>0</v>
      </c>
      <c r="K18" s="231">
        <v>0</v>
      </c>
      <c r="L18" s="234">
        <v>0</v>
      </c>
      <c r="M18" s="231">
        <v>0</v>
      </c>
      <c r="N18" s="234">
        <v>0</v>
      </c>
      <c r="O18" s="231">
        <v>0</v>
      </c>
      <c r="P18" s="234">
        <v>0.62499999999999956</v>
      </c>
      <c r="Q18" s="231">
        <v>1.6283333333333312</v>
      </c>
      <c r="R18" s="234">
        <v>4.6856666666666662</v>
      </c>
      <c r="S18" s="231">
        <v>10.700000000000005</v>
      </c>
      <c r="T18" s="234">
        <v>0</v>
      </c>
      <c r="U18" s="231">
        <v>0</v>
      </c>
      <c r="V18" s="234">
        <v>9.8000000000000025</v>
      </c>
      <c r="W18" s="231">
        <v>4</v>
      </c>
      <c r="X18" s="234">
        <v>6.6666666666666729E-4</v>
      </c>
      <c r="Y18" s="231">
        <v>0</v>
      </c>
      <c r="Z18" s="234">
        <v>0</v>
      </c>
      <c r="AA18" s="231">
        <v>0</v>
      </c>
      <c r="AB18" s="234">
        <v>0</v>
      </c>
      <c r="AC18" s="238">
        <f t="shared" si="0"/>
        <v>31.439666666666675</v>
      </c>
      <c r="AD18" s="238"/>
      <c r="AE18" s="238"/>
    </row>
    <row r="19" spans="2:31" s="4" customFormat="1" x14ac:dyDescent="0.3">
      <c r="B19" s="245" t="s">
        <v>48</v>
      </c>
      <c r="C19" s="245"/>
      <c r="D19" s="245"/>
      <c r="E19" s="231">
        <v>0</v>
      </c>
      <c r="F19" s="234">
        <v>0</v>
      </c>
      <c r="G19" s="231">
        <v>0</v>
      </c>
      <c r="H19" s="234">
        <v>0</v>
      </c>
      <c r="I19" s="231">
        <v>0</v>
      </c>
      <c r="J19" s="234">
        <v>0</v>
      </c>
      <c r="K19" s="231">
        <v>0</v>
      </c>
      <c r="L19" s="234">
        <v>0</v>
      </c>
      <c r="M19" s="231">
        <v>3.8499999999999833E-2</v>
      </c>
      <c r="N19" s="234">
        <v>5.099999999999992E-2</v>
      </c>
      <c r="O19" s="231">
        <v>7.583333333333328E-2</v>
      </c>
      <c r="P19" s="234">
        <v>0.55666666666666587</v>
      </c>
      <c r="Q19" s="231">
        <v>1.6299999999999966</v>
      </c>
      <c r="R19" s="234">
        <v>4.1836666666666629</v>
      </c>
      <c r="S19" s="231">
        <v>9.1399999999999899</v>
      </c>
      <c r="T19" s="234">
        <v>0</v>
      </c>
      <c r="U19" s="231">
        <v>0</v>
      </c>
      <c r="V19" s="234">
        <v>8.4399999999999977</v>
      </c>
      <c r="W19" s="231">
        <v>3.9191666666666607</v>
      </c>
      <c r="X19" s="234">
        <v>4.8333333333333483E-3</v>
      </c>
      <c r="Y19" s="231">
        <v>0</v>
      </c>
      <c r="Z19" s="234">
        <v>0</v>
      </c>
      <c r="AA19" s="231">
        <v>0</v>
      </c>
      <c r="AB19" s="234">
        <v>0</v>
      </c>
      <c r="AC19" s="238">
        <f t="shared" si="0"/>
        <v>28.039666666666644</v>
      </c>
      <c r="AD19" s="238"/>
      <c r="AE19" s="238"/>
    </row>
    <row r="20" spans="2:31" s="4" customFormat="1" x14ac:dyDescent="0.3">
      <c r="B20" s="245" t="s">
        <v>49</v>
      </c>
      <c r="C20" s="245"/>
      <c r="D20" s="245"/>
      <c r="E20" s="231">
        <v>0</v>
      </c>
      <c r="F20" s="234">
        <v>0</v>
      </c>
      <c r="G20" s="231">
        <v>0</v>
      </c>
      <c r="H20" s="234">
        <v>0</v>
      </c>
      <c r="I20" s="231">
        <v>0</v>
      </c>
      <c r="J20" s="234">
        <v>0</v>
      </c>
      <c r="K20" s="231">
        <v>0</v>
      </c>
      <c r="L20" s="234">
        <v>0</v>
      </c>
      <c r="M20" s="231">
        <v>5.8666666666666659E-2</v>
      </c>
      <c r="N20" s="234">
        <v>0.12883333333333322</v>
      </c>
      <c r="O20" s="231">
        <v>0.14683333333333326</v>
      </c>
      <c r="P20" s="234">
        <v>0.17416666666666672</v>
      </c>
      <c r="Q20" s="231">
        <v>0.19816666666666663</v>
      </c>
      <c r="R20" s="234">
        <v>0.17050000000000001</v>
      </c>
      <c r="S20" s="231">
        <v>7.2500000000000148E-2</v>
      </c>
      <c r="T20" s="234">
        <v>8.6333333333333512E-2</v>
      </c>
      <c r="U20" s="231">
        <v>9.533333333333352E-2</v>
      </c>
      <c r="V20" s="234">
        <v>0.11916666666666662</v>
      </c>
      <c r="W20" s="231">
        <v>0.1176666666666665</v>
      </c>
      <c r="X20" s="234">
        <v>0</v>
      </c>
      <c r="Y20" s="231">
        <v>0</v>
      </c>
      <c r="Z20" s="234">
        <v>0</v>
      </c>
      <c r="AA20" s="231">
        <v>0</v>
      </c>
      <c r="AB20" s="234">
        <v>0</v>
      </c>
      <c r="AC20" s="238">
        <f t="shared" si="0"/>
        <v>1.3681666666666668</v>
      </c>
      <c r="AD20" s="238"/>
      <c r="AE20" s="238"/>
    </row>
    <row r="21" spans="2:31" s="4" customFormat="1" x14ac:dyDescent="0.3">
      <c r="B21" s="245" t="s">
        <v>50</v>
      </c>
      <c r="C21" s="245"/>
      <c r="D21" s="245"/>
      <c r="E21" s="231">
        <v>0</v>
      </c>
      <c r="F21" s="234">
        <v>0</v>
      </c>
      <c r="G21" s="231">
        <v>0</v>
      </c>
      <c r="H21" s="234">
        <v>0</v>
      </c>
      <c r="I21" s="231">
        <v>0</v>
      </c>
      <c r="J21" s="234">
        <v>0</v>
      </c>
      <c r="K21" s="231">
        <v>0</v>
      </c>
      <c r="L21" s="234">
        <v>0</v>
      </c>
      <c r="M21" s="231">
        <v>0</v>
      </c>
      <c r="N21" s="234">
        <v>1.5641666666666658</v>
      </c>
      <c r="O21" s="231">
        <v>22.435000000000006</v>
      </c>
      <c r="P21" s="234">
        <v>19.586499999999997</v>
      </c>
      <c r="Q21" s="231">
        <v>19.009</v>
      </c>
      <c r="R21" s="234">
        <v>18.457333333333349</v>
      </c>
      <c r="S21" s="231">
        <v>18.225000000000005</v>
      </c>
      <c r="T21" s="234">
        <v>18.779666666666675</v>
      </c>
      <c r="U21" s="231">
        <v>17.754833333333341</v>
      </c>
      <c r="V21" s="234">
        <v>21.322666666666674</v>
      </c>
      <c r="W21" s="231">
        <v>17.172000000000001</v>
      </c>
      <c r="X21" s="234">
        <v>0</v>
      </c>
      <c r="Y21" s="231">
        <v>0</v>
      </c>
      <c r="Z21" s="234">
        <v>0</v>
      </c>
      <c r="AA21" s="231">
        <v>0</v>
      </c>
      <c r="AB21" s="234">
        <v>0</v>
      </c>
      <c r="AC21" s="238">
        <f t="shared" si="0"/>
        <v>174.30616666666671</v>
      </c>
      <c r="AD21" s="238"/>
      <c r="AE21" s="238"/>
    </row>
    <row r="22" spans="2:31" s="4" customFormat="1" x14ac:dyDescent="0.3">
      <c r="B22" s="245" t="s">
        <v>97</v>
      </c>
      <c r="C22" s="245"/>
      <c r="D22" s="245"/>
      <c r="E22" s="231">
        <v>0</v>
      </c>
      <c r="F22" s="234">
        <v>0</v>
      </c>
      <c r="G22" s="231">
        <v>0</v>
      </c>
      <c r="H22" s="234">
        <v>0</v>
      </c>
      <c r="I22" s="231">
        <v>0</v>
      </c>
      <c r="J22" s="234">
        <v>0</v>
      </c>
      <c r="K22" s="231">
        <v>0</v>
      </c>
      <c r="L22" s="234">
        <v>0</v>
      </c>
      <c r="M22" s="231">
        <v>0</v>
      </c>
      <c r="N22" s="234">
        <v>0</v>
      </c>
      <c r="O22" s="231">
        <v>0</v>
      </c>
      <c r="P22" s="234">
        <v>0</v>
      </c>
      <c r="Q22" s="231">
        <v>0</v>
      </c>
      <c r="R22" s="234">
        <v>0</v>
      </c>
      <c r="S22" s="231">
        <v>0</v>
      </c>
      <c r="T22" s="234">
        <v>0</v>
      </c>
      <c r="U22" s="231">
        <v>0</v>
      </c>
      <c r="V22" s="234">
        <v>0</v>
      </c>
      <c r="W22" s="231">
        <v>0</v>
      </c>
      <c r="X22" s="234">
        <v>0</v>
      </c>
      <c r="Y22" s="231">
        <v>0</v>
      </c>
      <c r="Z22" s="234">
        <v>0</v>
      </c>
      <c r="AA22" s="231">
        <v>0</v>
      </c>
      <c r="AB22" s="234">
        <v>0</v>
      </c>
      <c r="AC22" s="238">
        <f t="shared" si="0"/>
        <v>0</v>
      </c>
      <c r="AD22" s="238"/>
      <c r="AE22" s="238"/>
    </row>
    <row r="23" spans="2:31" s="4" customFormat="1" x14ac:dyDescent="0.3">
      <c r="B23" s="245" t="s">
        <v>51</v>
      </c>
      <c r="C23" s="245"/>
      <c r="D23" s="245"/>
      <c r="E23" s="231">
        <v>0</v>
      </c>
      <c r="F23" s="234">
        <v>0</v>
      </c>
      <c r="G23" s="231">
        <v>0</v>
      </c>
      <c r="H23" s="234">
        <v>0</v>
      </c>
      <c r="I23" s="231">
        <v>0</v>
      </c>
      <c r="J23" s="234">
        <v>0</v>
      </c>
      <c r="K23" s="231">
        <v>0</v>
      </c>
      <c r="L23" s="234">
        <v>0</v>
      </c>
      <c r="M23" s="231">
        <v>13.765333333333334</v>
      </c>
      <c r="N23" s="234">
        <v>37.942999999999991</v>
      </c>
      <c r="O23" s="231">
        <v>35.874500000000005</v>
      </c>
      <c r="P23" s="234">
        <v>36.673333333333325</v>
      </c>
      <c r="Q23" s="231">
        <v>41.751666666666665</v>
      </c>
      <c r="R23" s="234">
        <v>41.906500000000015</v>
      </c>
      <c r="S23" s="231">
        <v>41.68566666666667</v>
      </c>
      <c r="T23" s="234">
        <v>41.634999999999998</v>
      </c>
      <c r="U23" s="231">
        <v>41.659499999999994</v>
      </c>
      <c r="V23" s="234">
        <v>52.55083333333333</v>
      </c>
      <c r="W23" s="231">
        <v>38.162833333333325</v>
      </c>
      <c r="X23" s="234">
        <v>0.46233333333333348</v>
      </c>
      <c r="Y23" s="231">
        <v>0</v>
      </c>
      <c r="Z23" s="234">
        <v>0</v>
      </c>
      <c r="AA23" s="231">
        <v>0</v>
      </c>
      <c r="AB23" s="234">
        <v>0</v>
      </c>
      <c r="AC23" s="238">
        <f t="shared" si="0"/>
        <v>424.07049999999998</v>
      </c>
      <c r="AD23" s="238"/>
      <c r="AE23" s="238"/>
    </row>
    <row r="24" spans="2:31" s="4" customFormat="1" x14ac:dyDescent="0.3">
      <c r="B24" s="245" t="s">
        <v>52</v>
      </c>
      <c r="C24" s="245"/>
      <c r="D24" s="245"/>
      <c r="E24" s="231">
        <v>0</v>
      </c>
      <c r="F24" s="234">
        <v>0</v>
      </c>
      <c r="G24" s="231">
        <v>0</v>
      </c>
      <c r="H24" s="234">
        <v>0</v>
      </c>
      <c r="I24" s="231">
        <v>0</v>
      </c>
      <c r="J24" s="234">
        <v>0</v>
      </c>
      <c r="K24" s="231">
        <v>0</v>
      </c>
      <c r="L24" s="234">
        <v>0</v>
      </c>
      <c r="M24" s="231">
        <v>0</v>
      </c>
      <c r="N24" s="234">
        <v>0</v>
      </c>
      <c r="O24" s="231">
        <v>0</v>
      </c>
      <c r="P24" s="234">
        <v>0</v>
      </c>
      <c r="Q24" s="231">
        <v>0</v>
      </c>
      <c r="R24" s="234">
        <v>0</v>
      </c>
      <c r="S24" s="231">
        <v>0</v>
      </c>
      <c r="T24" s="234">
        <v>0</v>
      </c>
      <c r="U24" s="231">
        <v>0</v>
      </c>
      <c r="V24" s="234">
        <v>0</v>
      </c>
      <c r="W24" s="231">
        <v>0</v>
      </c>
      <c r="X24" s="234">
        <v>0</v>
      </c>
      <c r="Y24" s="231">
        <v>0</v>
      </c>
      <c r="Z24" s="234">
        <v>0</v>
      </c>
      <c r="AA24" s="231">
        <v>0</v>
      </c>
      <c r="AB24" s="234">
        <v>0</v>
      </c>
      <c r="AC24" s="238">
        <f t="shared" si="0"/>
        <v>0</v>
      </c>
      <c r="AD24" s="238"/>
      <c r="AE24" s="238"/>
    </row>
    <row r="25" spans="2:31" s="4" customFormat="1" x14ac:dyDescent="0.3">
      <c r="B25" s="245" t="s">
        <v>53</v>
      </c>
      <c r="C25" s="245"/>
      <c r="D25" s="245"/>
      <c r="E25" s="231">
        <v>0</v>
      </c>
      <c r="F25" s="234">
        <v>0</v>
      </c>
      <c r="G25" s="231">
        <v>0</v>
      </c>
      <c r="H25" s="234">
        <v>0</v>
      </c>
      <c r="I25" s="231">
        <v>0</v>
      </c>
      <c r="J25" s="234">
        <v>0</v>
      </c>
      <c r="K25" s="231">
        <v>0</v>
      </c>
      <c r="L25" s="234">
        <v>0</v>
      </c>
      <c r="M25" s="231">
        <v>0</v>
      </c>
      <c r="N25" s="234">
        <v>0</v>
      </c>
      <c r="O25" s="231">
        <v>0</v>
      </c>
      <c r="P25" s="234">
        <v>0</v>
      </c>
      <c r="Q25" s="231">
        <v>0</v>
      </c>
      <c r="R25" s="234">
        <v>0</v>
      </c>
      <c r="S25" s="231">
        <v>0</v>
      </c>
      <c r="T25" s="234">
        <v>2.2245000000000053</v>
      </c>
      <c r="U25" s="231">
        <v>3.5886666666666609</v>
      </c>
      <c r="V25" s="234">
        <v>5.4516666666666671</v>
      </c>
      <c r="W25" s="231">
        <v>5.0116666666666649</v>
      </c>
      <c r="X25" s="234">
        <v>2.4500000000000039E-2</v>
      </c>
      <c r="Y25" s="231">
        <v>0</v>
      </c>
      <c r="Z25" s="234">
        <v>0</v>
      </c>
      <c r="AA25" s="231">
        <v>0</v>
      </c>
      <c r="AB25" s="234">
        <v>0</v>
      </c>
      <c r="AC25" s="238">
        <f t="shared" si="0"/>
        <v>16.300999999999998</v>
      </c>
      <c r="AD25" s="238"/>
      <c r="AE25" s="238"/>
    </row>
    <row r="26" spans="2:31" s="4" customFormat="1" x14ac:dyDescent="0.3">
      <c r="B26" s="245" t="s">
        <v>54</v>
      </c>
      <c r="C26" s="245"/>
      <c r="D26" s="245"/>
      <c r="E26" s="231">
        <v>0</v>
      </c>
      <c r="F26" s="234">
        <v>0</v>
      </c>
      <c r="G26" s="231">
        <v>0</v>
      </c>
      <c r="H26" s="234">
        <v>0</v>
      </c>
      <c r="I26" s="231">
        <v>0</v>
      </c>
      <c r="J26" s="234">
        <v>0</v>
      </c>
      <c r="K26" s="231">
        <v>0</v>
      </c>
      <c r="L26" s="234">
        <v>0</v>
      </c>
      <c r="M26" s="231">
        <v>10.710999999999997</v>
      </c>
      <c r="N26" s="234">
        <v>26.506999999999987</v>
      </c>
      <c r="O26" s="231">
        <v>20.462500000000002</v>
      </c>
      <c r="P26" s="234">
        <v>14.614833333333328</v>
      </c>
      <c r="Q26" s="231">
        <v>14.168499999999993</v>
      </c>
      <c r="R26" s="234">
        <v>15.659999999999995</v>
      </c>
      <c r="S26" s="231">
        <v>16.187499999999993</v>
      </c>
      <c r="T26" s="234">
        <v>16.710833333333326</v>
      </c>
      <c r="U26" s="231">
        <v>14.694166666666655</v>
      </c>
      <c r="V26" s="234">
        <v>24.084833333333322</v>
      </c>
      <c r="W26" s="231">
        <v>16.861666666666665</v>
      </c>
      <c r="X26" s="234">
        <v>0</v>
      </c>
      <c r="Y26" s="231">
        <v>0</v>
      </c>
      <c r="Z26" s="234">
        <v>0</v>
      </c>
      <c r="AA26" s="231">
        <v>0</v>
      </c>
      <c r="AB26" s="234">
        <v>0</v>
      </c>
      <c r="AC26" s="238">
        <f t="shared" si="0"/>
        <v>190.66283333333331</v>
      </c>
      <c r="AD26" s="238"/>
      <c r="AE26" s="238"/>
    </row>
    <row r="27" spans="2:31" s="4" customFormat="1" x14ac:dyDescent="0.3">
      <c r="B27" s="245" t="s">
        <v>55</v>
      </c>
      <c r="C27" s="245"/>
      <c r="D27" s="245"/>
      <c r="E27" s="231">
        <v>0</v>
      </c>
      <c r="F27" s="234">
        <v>0</v>
      </c>
      <c r="G27" s="231">
        <v>0</v>
      </c>
      <c r="H27" s="234">
        <v>0</v>
      </c>
      <c r="I27" s="231">
        <v>0</v>
      </c>
      <c r="J27" s="234">
        <v>0</v>
      </c>
      <c r="K27" s="231">
        <v>0</v>
      </c>
      <c r="L27" s="234">
        <v>0</v>
      </c>
      <c r="M27" s="231">
        <v>12.433500000000004</v>
      </c>
      <c r="N27" s="234">
        <v>31.539999999999967</v>
      </c>
      <c r="O27" s="231">
        <v>31.846999999999969</v>
      </c>
      <c r="P27" s="234">
        <v>22.114833333333308</v>
      </c>
      <c r="Q27" s="231">
        <v>31.349999999999966</v>
      </c>
      <c r="R27" s="234">
        <v>32.150000000000034</v>
      </c>
      <c r="S27" s="231">
        <v>32.349999999999966</v>
      </c>
      <c r="T27" s="234">
        <v>31.701833333333333</v>
      </c>
      <c r="U27" s="231">
        <v>28.441333333333304</v>
      </c>
      <c r="V27" s="234">
        <v>42.468500000000027</v>
      </c>
      <c r="W27" s="231">
        <v>33.741333333333351</v>
      </c>
      <c r="X27" s="234">
        <v>0</v>
      </c>
      <c r="Y27" s="231">
        <v>0</v>
      </c>
      <c r="Z27" s="234">
        <v>0</v>
      </c>
      <c r="AA27" s="231">
        <v>0</v>
      </c>
      <c r="AB27" s="234">
        <v>0</v>
      </c>
      <c r="AC27" s="238">
        <f t="shared" si="0"/>
        <v>330.13833333333315</v>
      </c>
      <c r="AD27" s="238"/>
      <c r="AE27" s="238"/>
    </row>
    <row r="28" spans="2:31" s="4" customFormat="1" x14ac:dyDescent="0.3">
      <c r="B28" s="245" t="s">
        <v>56</v>
      </c>
      <c r="C28" s="245"/>
      <c r="D28" s="245"/>
      <c r="E28" s="231">
        <v>0</v>
      </c>
      <c r="F28" s="234">
        <v>0</v>
      </c>
      <c r="G28" s="231">
        <v>0</v>
      </c>
      <c r="H28" s="234">
        <v>0</v>
      </c>
      <c r="I28" s="231">
        <v>0</v>
      </c>
      <c r="J28" s="234">
        <v>0</v>
      </c>
      <c r="K28" s="231">
        <v>0</v>
      </c>
      <c r="L28" s="234">
        <v>0</v>
      </c>
      <c r="M28" s="231">
        <v>5.7823333333333355</v>
      </c>
      <c r="N28" s="234">
        <v>19.759000000000004</v>
      </c>
      <c r="O28" s="231">
        <v>13.774000000000001</v>
      </c>
      <c r="P28" s="234">
        <v>10.523333333333333</v>
      </c>
      <c r="Q28" s="231">
        <v>12.172666666666666</v>
      </c>
      <c r="R28" s="234">
        <v>12.481000000000003</v>
      </c>
      <c r="S28" s="231">
        <v>12.749666666666668</v>
      </c>
      <c r="T28" s="234">
        <v>12.963166666666666</v>
      </c>
      <c r="U28" s="231">
        <v>12.535</v>
      </c>
      <c r="V28" s="234">
        <v>15.860499999999996</v>
      </c>
      <c r="W28" s="231">
        <v>12.453666666666669</v>
      </c>
      <c r="X28" s="234">
        <v>0</v>
      </c>
      <c r="Y28" s="231">
        <v>0</v>
      </c>
      <c r="Z28" s="234">
        <v>0</v>
      </c>
      <c r="AA28" s="231">
        <v>0</v>
      </c>
      <c r="AB28" s="234">
        <v>0</v>
      </c>
      <c r="AC28" s="238">
        <f t="shared" si="0"/>
        <v>141.05433333333335</v>
      </c>
      <c r="AD28" s="238"/>
      <c r="AE28" s="238"/>
    </row>
    <row r="29" spans="2:31" s="4" customFormat="1" x14ac:dyDescent="0.3">
      <c r="B29" s="245" t="s">
        <v>94</v>
      </c>
      <c r="C29" s="245"/>
      <c r="D29" s="245"/>
      <c r="E29" s="231">
        <v>0</v>
      </c>
      <c r="F29" s="234">
        <v>0</v>
      </c>
      <c r="G29" s="231">
        <v>0</v>
      </c>
      <c r="H29" s="234">
        <v>0</v>
      </c>
      <c r="I29" s="231">
        <v>0</v>
      </c>
      <c r="J29" s="234">
        <v>0</v>
      </c>
      <c r="K29" s="231">
        <v>0</v>
      </c>
      <c r="L29" s="234">
        <v>0</v>
      </c>
      <c r="M29" s="231">
        <v>0</v>
      </c>
      <c r="N29" s="234">
        <v>0</v>
      </c>
      <c r="O29" s="231">
        <v>0</v>
      </c>
      <c r="P29" s="234">
        <v>0</v>
      </c>
      <c r="Q29" s="231">
        <v>0</v>
      </c>
      <c r="R29" s="234">
        <v>0</v>
      </c>
      <c r="S29" s="231">
        <v>0</v>
      </c>
      <c r="T29" s="234">
        <v>0</v>
      </c>
      <c r="U29" s="231">
        <v>0</v>
      </c>
      <c r="V29" s="234">
        <v>0</v>
      </c>
      <c r="W29" s="231">
        <v>0</v>
      </c>
      <c r="X29" s="234">
        <v>0</v>
      </c>
      <c r="Y29" s="231">
        <v>0</v>
      </c>
      <c r="Z29" s="234">
        <v>0</v>
      </c>
      <c r="AA29" s="231">
        <v>0</v>
      </c>
      <c r="AB29" s="234">
        <v>0</v>
      </c>
      <c r="AC29" s="238">
        <f t="shared" si="0"/>
        <v>0</v>
      </c>
      <c r="AD29" s="238"/>
      <c r="AE29" s="238"/>
    </row>
    <row r="30" spans="2:31" s="4" customFormat="1" x14ac:dyDescent="0.3">
      <c r="B30" s="245" t="s">
        <v>57</v>
      </c>
      <c r="C30" s="245"/>
      <c r="D30" s="245"/>
      <c r="E30" s="231">
        <v>0</v>
      </c>
      <c r="F30" s="234">
        <v>0</v>
      </c>
      <c r="G30" s="231">
        <v>0</v>
      </c>
      <c r="H30" s="234">
        <v>0</v>
      </c>
      <c r="I30" s="231">
        <v>0</v>
      </c>
      <c r="J30" s="234">
        <v>0</v>
      </c>
      <c r="K30" s="231">
        <v>0</v>
      </c>
      <c r="L30" s="234">
        <v>0</v>
      </c>
      <c r="M30" s="231">
        <v>2.7199999999999993</v>
      </c>
      <c r="N30" s="234">
        <v>7.5569999999999977</v>
      </c>
      <c r="O30" s="231">
        <v>7.7373333333333383</v>
      </c>
      <c r="P30" s="234">
        <v>0</v>
      </c>
      <c r="Q30" s="231">
        <v>0.10400000000000033</v>
      </c>
      <c r="R30" s="234">
        <v>0.36416666666666725</v>
      </c>
      <c r="S30" s="231">
        <v>0.66049999999999831</v>
      </c>
      <c r="T30" s="234">
        <v>8.9833333333332335E-2</v>
      </c>
      <c r="U30" s="231">
        <v>2.3333333333333426E-3</v>
      </c>
      <c r="V30" s="234">
        <v>2.6325000000000012</v>
      </c>
      <c r="W30" s="231">
        <v>0.35433333333333439</v>
      </c>
      <c r="X30" s="234">
        <v>0</v>
      </c>
      <c r="Y30" s="231">
        <v>0</v>
      </c>
      <c r="Z30" s="234">
        <v>0</v>
      </c>
      <c r="AA30" s="231">
        <v>0</v>
      </c>
      <c r="AB30" s="234">
        <v>0</v>
      </c>
      <c r="AC30" s="238">
        <f t="shared" si="0"/>
        <v>22.221999999999998</v>
      </c>
      <c r="AD30" s="238"/>
      <c r="AE30" s="238"/>
    </row>
    <row r="31" spans="2:31" s="4" customFormat="1" x14ac:dyDescent="0.3">
      <c r="B31" s="245" t="s">
        <v>58</v>
      </c>
      <c r="C31" s="245"/>
      <c r="D31" s="245"/>
      <c r="E31" s="231">
        <v>0</v>
      </c>
      <c r="F31" s="234">
        <v>0</v>
      </c>
      <c r="G31" s="231">
        <v>0</v>
      </c>
      <c r="H31" s="234">
        <v>0</v>
      </c>
      <c r="I31" s="231">
        <v>0</v>
      </c>
      <c r="J31" s="234">
        <v>0</v>
      </c>
      <c r="K31" s="231">
        <v>0</v>
      </c>
      <c r="L31" s="234">
        <v>0</v>
      </c>
      <c r="M31" s="231">
        <v>8.8848333333333258</v>
      </c>
      <c r="N31" s="234">
        <v>26.235500000000012</v>
      </c>
      <c r="O31" s="231">
        <v>26.158166666666695</v>
      </c>
      <c r="P31" s="234">
        <v>2.1009999999999933</v>
      </c>
      <c r="Q31" s="231">
        <v>3.6481666666666643</v>
      </c>
      <c r="R31" s="234">
        <v>3.6943333333333261</v>
      </c>
      <c r="S31" s="231">
        <v>5.8094999999999999</v>
      </c>
      <c r="T31" s="234">
        <v>2.0264999999999946</v>
      </c>
      <c r="U31" s="231">
        <v>0.81199999999999684</v>
      </c>
      <c r="V31" s="234">
        <v>11.493999999999987</v>
      </c>
      <c r="W31" s="231">
        <v>5.2776666666666694</v>
      </c>
      <c r="X31" s="234">
        <v>0</v>
      </c>
      <c r="Y31" s="231">
        <v>0</v>
      </c>
      <c r="Z31" s="234">
        <v>0</v>
      </c>
      <c r="AA31" s="231">
        <v>0</v>
      </c>
      <c r="AB31" s="234">
        <v>0</v>
      </c>
      <c r="AC31" s="238">
        <f t="shared" si="0"/>
        <v>96.14166666666668</v>
      </c>
      <c r="AD31" s="238"/>
      <c r="AE31" s="238"/>
    </row>
    <row r="32" spans="2:31" s="4" customFormat="1" x14ac:dyDescent="0.3">
      <c r="B32" s="245" t="s">
        <v>95</v>
      </c>
      <c r="C32" s="245"/>
      <c r="D32" s="245"/>
      <c r="E32" s="231">
        <v>0</v>
      </c>
      <c r="F32" s="234">
        <v>0</v>
      </c>
      <c r="G32" s="231">
        <v>0</v>
      </c>
      <c r="H32" s="234">
        <v>0</v>
      </c>
      <c r="I32" s="231">
        <v>0</v>
      </c>
      <c r="J32" s="234">
        <v>0</v>
      </c>
      <c r="K32" s="231">
        <v>0</v>
      </c>
      <c r="L32" s="234">
        <v>0</v>
      </c>
      <c r="M32" s="231">
        <v>0</v>
      </c>
      <c r="N32" s="234">
        <v>0</v>
      </c>
      <c r="O32" s="231">
        <v>0</v>
      </c>
      <c r="P32" s="234">
        <v>0</v>
      </c>
      <c r="Q32" s="231">
        <v>0</v>
      </c>
      <c r="R32" s="234">
        <v>0</v>
      </c>
      <c r="S32" s="231">
        <v>0</v>
      </c>
      <c r="T32" s="234">
        <v>0</v>
      </c>
      <c r="U32" s="231">
        <v>0</v>
      </c>
      <c r="V32" s="234">
        <v>0</v>
      </c>
      <c r="W32" s="231">
        <v>0</v>
      </c>
      <c r="X32" s="234">
        <v>0</v>
      </c>
      <c r="Y32" s="231">
        <v>0</v>
      </c>
      <c r="Z32" s="234">
        <v>0</v>
      </c>
      <c r="AA32" s="231">
        <v>0</v>
      </c>
      <c r="AB32" s="234">
        <v>0</v>
      </c>
      <c r="AC32" s="238">
        <f t="shared" si="0"/>
        <v>0</v>
      </c>
      <c r="AD32" s="238"/>
      <c r="AE32" s="238"/>
    </row>
    <row r="33" spans="2:31" s="4" customFormat="1" x14ac:dyDescent="0.3">
      <c r="B33" s="245" t="s">
        <v>59</v>
      </c>
      <c r="C33" s="245"/>
      <c r="D33" s="245"/>
      <c r="E33" s="231">
        <v>0</v>
      </c>
      <c r="F33" s="234">
        <v>0</v>
      </c>
      <c r="G33" s="231">
        <v>0</v>
      </c>
      <c r="H33" s="234">
        <v>0</v>
      </c>
      <c r="I33" s="231">
        <v>0</v>
      </c>
      <c r="J33" s="234">
        <v>0</v>
      </c>
      <c r="K33" s="231">
        <v>0</v>
      </c>
      <c r="L33" s="234">
        <v>0</v>
      </c>
      <c r="M33" s="231">
        <v>19.93566666666667</v>
      </c>
      <c r="N33" s="234">
        <v>35.054000000000038</v>
      </c>
      <c r="O33" s="231">
        <v>29.86883333333332</v>
      </c>
      <c r="P33" s="234">
        <v>27.153500000000001</v>
      </c>
      <c r="Q33" s="231">
        <v>0</v>
      </c>
      <c r="R33" s="234">
        <v>0</v>
      </c>
      <c r="S33" s="231">
        <v>0</v>
      </c>
      <c r="T33" s="234">
        <v>0</v>
      </c>
      <c r="U33" s="231">
        <v>0</v>
      </c>
      <c r="V33" s="234">
        <v>0</v>
      </c>
      <c r="W33" s="231">
        <v>0</v>
      </c>
      <c r="X33" s="234">
        <v>0.31283333333333296</v>
      </c>
      <c r="Y33" s="231">
        <v>0</v>
      </c>
      <c r="Z33" s="234">
        <v>0</v>
      </c>
      <c r="AA33" s="231">
        <v>0</v>
      </c>
      <c r="AB33" s="234">
        <v>0</v>
      </c>
      <c r="AC33" s="238">
        <f t="shared" si="0"/>
        <v>112.32483333333336</v>
      </c>
      <c r="AD33" s="238"/>
      <c r="AE33" s="238"/>
    </row>
    <row r="34" spans="2:31" x14ac:dyDescent="0.3">
      <c r="B34" s="245" t="s">
        <v>60</v>
      </c>
      <c r="C34" s="245"/>
      <c r="D34" s="245"/>
      <c r="E34" s="231">
        <v>0</v>
      </c>
      <c r="F34" s="234">
        <v>0</v>
      </c>
      <c r="G34" s="231">
        <v>0</v>
      </c>
      <c r="H34" s="234">
        <v>0</v>
      </c>
      <c r="I34" s="231">
        <v>0</v>
      </c>
      <c r="J34" s="234">
        <v>0</v>
      </c>
      <c r="K34" s="231">
        <v>0</v>
      </c>
      <c r="L34" s="234">
        <v>0</v>
      </c>
      <c r="M34" s="231">
        <v>9.9838333333333367</v>
      </c>
      <c r="N34" s="234">
        <v>19.017333333333337</v>
      </c>
      <c r="O34" s="231">
        <v>16.326000000000011</v>
      </c>
      <c r="P34" s="234">
        <v>15.912166666666666</v>
      </c>
      <c r="Q34" s="231">
        <v>0</v>
      </c>
      <c r="R34" s="234">
        <v>0</v>
      </c>
      <c r="S34" s="231">
        <v>0</v>
      </c>
      <c r="T34" s="234">
        <v>0</v>
      </c>
      <c r="U34" s="231">
        <v>0</v>
      </c>
      <c r="V34" s="234">
        <v>0</v>
      </c>
      <c r="W34" s="231">
        <v>0</v>
      </c>
      <c r="X34" s="234">
        <v>0</v>
      </c>
      <c r="Y34" s="231">
        <v>0</v>
      </c>
      <c r="Z34" s="234">
        <v>0</v>
      </c>
      <c r="AA34" s="231">
        <v>0</v>
      </c>
      <c r="AB34" s="234">
        <v>0</v>
      </c>
      <c r="AC34" s="238">
        <f t="shared" si="0"/>
        <v>61.239333333333349</v>
      </c>
      <c r="AD34" s="238"/>
      <c r="AE34" s="238"/>
    </row>
    <row r="35" spans="2:31" x14ac:dyDescent="0.3">
      <c r="B35" s="245" t="s">
        <v>61</v>
      </c>
      <c r="C35" s="245"/>
      <c r="D35" s="245"/>
      <c r="E35" s="231">
        <v>0</v>
      </c>
      <c r="F35" s="234">
        <v>0</v>
      </c>
      <c r="G35" s="231">
        <v>0</v>
      </c>
      <c r="H35" s="234">
        <v>0</v>
      </c>
      <c r="I35" s="231">
        <v>0</v>
      </c>
      <c r="J35" s="234">
        <v>0</v>
      </c>
      <c r="K35" s="231">
        <v>0</v>
      </c>
      <c r="L35" s="234">
        <v>0</v>
      </c>
      <c r="M35" s="231">
        <v>1.8770000000000004</v>
      </c>
      <c r="N35" s="234">
        <v>20.746333333333322</v>
      </c>
      <c r="O35" s="231">
        <v>13.373333333333335</v>
      </c>
      <c r="P35" s="234">
        <v>7.5091666666666592</v>
      </c>
      <c r="Q35" s="231">
        <v>0</v>
      </c>
      <c r="R35" s="234">
        <v>0</v>
      </c>
      <c r="S35" s="231">
        <v>0</v>
      </c>
      <c r="T35" s="234">
        <v>0</v>
      </c>
      <c r="U35" s="231">
        <v>0</v>
      </c>
      <c r="V35" s="234">
        <v>0</v>
      </c>
      <c r="W35" s="231">
        <v>0</v>
      </c>
      <c r="X35" s="234">
        <v>0</v>
      </c>
      <c r="Y35" s="231">
        <v>0</v>
      </c>
      <c r="Z35" s="234">
        <v>0</v>
      </c>
      <c r="AA35" s="231">
        <v>0</v>
      </c>
      <c r="AB35" s="234">
        <v>0</v>
      </c>
      <c r="AC35" s="238">
        <f t="shared" si="0"/>
        <v>43.505833333333314</v>
      </c>
      <c r="AD35" s="238"/>
      <c r="AE35" s="238"/>
    </row>
    <row r="36" spans="2:31" x14ac:dyDescent="0.3">
      <c r="B36" s="245" t="s">
        <v>62</v>
      </c>
      <c r="C36" s="245"/>
      <c r="D36" s="245"/>
      <c r="E36" s="231">
        <v>0</v>
      </c>
      <c r="F36" s="234">
        <v>0</v>
      </c>
      <c r="G36" s="231">
        <v>0</v>
      </c>
      <c r="H36" s="234">
        <v>0</v>
      </c>
      <c r="I36" s="231">
        <v>0</v>
      </c>
      <c r="J36" s="234">
        <v>0</v>
      </c>
      <c r="K36" s="231">
        <v>0</v>
      </c>
      <c r="L36" s="234">
        <v>0</v>
      </c>
      <c r="M36" s="231">
        <v>9.0318333333333349</v>
      </c>
      <c r="N36" s="234">
        <v>12.086333333333338</v>
      </c>
      <c r="O36" s="231">
        <v>4.6811666666666643</v>
      </c>
      <c r="P36" s="234">
        <v>10.007333333333342</v>
      </c>
      <c r="Q36" s="231">
        <v>14.897166666666681</v>
      </c>
      <c r="R36" s="234">
        <v>11.842833333333353</v>
      </c>
      <c r="S36" s="231">
        <v>12.425166666666659</v>
      </c>
      <c r="T36" s="234">
        <v>12.317833333333329</v>
      </c>
      <c r="U36" s="231">
        <v>0</v>
      </c>
      <c r="V36" s="234">
        <v>18.800833333333344</v>
      </c>
      <c r="W36" s="231">
        <v>18.20333333333334</v>
      </c>
      <c r="X36" s="234">
        <v>0</v>
      </c>
      <c r="Y36" s="231">
        <v>0</v>
      </c>
      <c r="Z36" s="234">
        <v>0</v>
      </c>
      <c r="AA36" s="231">
        <v>0</v>
      </c>
      <c r="AB36" s="234">
        <v>0</v>
      </c>
      <c r="AC36" s="238">
        <f t="shared" si="0"/>
        <v>124.2938333333334</v>
      </c>
      <c r="AD36" s="238"/>
      <c r="AE36" s="238"/>
    </row>
    <row r="37" spans="2:31" x14ac:dyDescent="0.3">
      <c r="B37" s="245" t="s">
        <v>63</v>
      </c>
      <c r="C37" s="245"/>
      <c r="D37" s="245"/>
      <c r="E37" s="231">
        <v>0</v>
      </c>
      <c r="F37" s="234">
        <v>0</v>
      </c>
      <c r="G37" s="231">
        <v>0</v>
      </c>
      <c r="H37" s="234">
        <v>0</v>
      </c>
      <c r="I37" s="231">
        <v>0</v>
      </c>
      <c r="J37" s="234">
        <v>0</v>
      </c>
      <c r="K37" s="231">
        <v>0</v>
      </c>
      <c r="L37" s="234">
        <v>0</v>
      </c>
      <c r="M37" s="231">
        <v>68.506</v>
      </c>
      <c r="N37" s="234">
        <v>101.3815</v>
      </c>
      <c r="O37" s="231">
        <v>99.176000000000002</v>
      </c>
      <c r="P37" s="234">
        <v>82.220499999999987</v>
      </c>
      <c r="Q37" s="231">
        <v>81.452833333333345</v>
      </c>
      <c r="R37" s="234">
        <v>81.438166666666646</v>
      </c>
      <c r="S37" s="231">
        <v>81.219999999999928</v>
      </c>
      <c r="T37" s="234">
        <v>81.16183333333332</v>
      </c>
      <c r="U37" s="231">
        <v>3.2273333333333301</v>
      </c>
      <c r="V37" s="234">
        <v>98.215333333333305</v>
      </c>
      <c r="W37" s="231">
        <v>109.62316666666666</v>
      </c>
      <c r="X37" s="234">
        <v>9.6608333333333309</v>
      </c>
      <c r="Y37" s="231">
        <v>0</v>
      </c>
      <c r="Z37" s="234">
        <v>0</v>
      </c>
      <c r="AA37" s="231">
        <v>0</v>
      </c>
      <c r="AB37" s="234">
        <v>0</v>
      </c>
      <c r="AC37" s="238">
        <f t="shared" si="0"/>
        <v>897.28349999999989</v>
      </c>
      <c r="AD37" s="238"/>
      <c r="AE37" s="238"/>
    </row>
    <row r="38" spans="2:31" x14ac:dyDescent="0.3">
      <c r="B38" s="245" t="s">
        <v>64</v>
      </c>
      <c r="C38" s="245"/>
      <c r="D38" s="245"/>
      <c r="E38" s="231">
        <v>0</v>
      </c>
      <c r="F38" s="234">
        <v>0</v>
      </c>
      <c r="G38" s="231">
        <v>0</v>
      </c>
      <c r="H38" s="234">
        <v>0</v>
      </c>
      <c r="I38" s="231">
        <v>0</v>
      </c>
      <c r="J38" s="234">
        <v>0</v>
      </c>
      <c r="K38" s="231">
        <v>0</v>
      </c>
      <c r="L38" s="234">
        <v>0</v>
      </c>
      <c r="M38" s="231">
        <v>15.378666666666666</v>
      </c>
      <c r="N38" s="234">
        <v>22.32766666666663</v>
      </c>
      <c r="O38" s="231">
        <v>21.7231666666667</v>
      </c>
      <c r="P38" s="234">
        <v>14.5525</v>
      </c>
      <c r="Q38" s="231">
        <v>16.658833333333313</v>
      </c>
      <c r="R38" s="234">
        <v>0</v>
      </c>
      <c r="S38" s="231">
        <v>0</v>
      </c>
      <c r="T38" s="234">
        <v>0</v>
      </c>
      <c r="U38" s="231">
        <v>0</v>
      </c>
      <c r="V38" s="234">
        <v>0</v>
      </c>
      <c r="W38" s="231">
        <v>0</v>
      </c>
      <c r="X38" s="234">
        <v>6.3833333333333367E-2</v>
      </c>
      <c r="Y38" s="231">
        <v>0</v>
      </c>
      <c r="Z38" s="234">
        <v>0</v>
      </c>
      <c r="AA38" s="231">
        <v>0</v>
      </c>
      <c r="AB38" s="234">
        <v>0</v>
      </c>
      <c r="AC38" s="238">
        <f t="shared" si="0"/>
        <v>90.704666666666654</v>
      </c>
      <c r="AD38" s="238"/>
      <c r="AE38" s="238"/>
    </row>
    <row r="39" spans="2:31" x14ac:dyDescent="0.3">
      <c r="B39" s="245" t="s">
        <v>96</v>
      </c>
      <c r="C39" s="245"/>
      <c r="D39" s="245"/>
      <c r="E39" s="231">
        <v>0</v>
      </c>
      <c r="F39" s="234">
        <v>0</v>
      </c>
      <c r="G39" s="231">
        <v>0</v>
      </c>
      <c r="H39" s="234">
        <v>0</v>
      </c>
      <c r="I39" s="231">
        <v>0</v>
      </c>
      <c r="J39" s="234">
        <v>0</v>
      </c>
      <c r="K39" s="231">
        <v>0</v>
      </c>
      <c r="L39" s="234">
        <v>0</v>
      </c>
      <c r="M39" s="231">
        <v>0</v>
      </c>
      <c r="N39" s="234">
        <v>0</v>
      </c>
      <c r="O39" s="231">
        <v>0</v>
      </c>
      <c r="P39" s="234">
        <v>0</v>
      </c>
      <c r="Q39" s="231">
        <v>0</v>
      </c>
      <c r="R39" s="234">
        <v>0</v>
      </c>
      <c r="S39" s="231">
        <v>0</v>
      </c>
      <c r="T39" s="234">
        <v>0</v>
      </c>
      <c r="U39" s="231">
        <v>0</v>
      </c>
      <c r="V39" s="234">
        <v>0</v>
      </c>
      <c r="W39" s="231">
        <v>0</v>
      </c>
      <c r="X39" s="234">
        <v>0</v>
      </c>
      <c r="Y39" s="231">
        <v>0</v>
      </c>
      <c r="Z39" s="234">
        <v>0</v>
      </c>
      <c r="AA39" s="231">
        <v>0</v>
      </c>
      <c r="AB39" s="234">
        <v>0</v>
      </c>
      <c r="AC39" s="238">
        <f t="shared" si="0"/>
        <v>0</v>
      </c>
      <c r="AD39" s="238"/>
      <c r="AE39" s="238"/>
    </row>
    <row r="40" spans="2:31" x14ac:dyDescent="0.3">
      <c r="B40" s="245" t="s">
        <v>65</v>
      </c>
      <c r="C40" s="245"/>
      <c r="D40" s="245"/>
      <c r="E40" s="231">
        <v>0</v>
      </c>
      <c r="F40" s="234">
        <v>0</v>
      </c>
      <c r="G40" s="231">
        <v>0</v>
      </c>
      <c r="H40" s="234">
        <v>0</v>
      </c>
      <c r="I40" s="231">
        <v>0</v>
      </c>
      <c r="J40" s="234">
        <v>0</v>
      </c>
      <c r="K40" s="231">
        <v>0</v>
      </c>
      <c r="L40" s="234">
        <v>0</v>
      </c>
      <c r="M40" s="231">
        <v>4.6353333333333344</v>
      </c>
      <c r="N40" s="234">
        <v>7.1133333333333333</v>
      </c>
      <c r="O40" s="231">
        <v>8.7535000000000061</v>
      </c>
      <c r="P40" s="234">
        <v>4.5539999999999976</v>
      </c>
      <c r="Q40" s="231">
        <v>4.0979999999999999</v>
      </c>
      <c r="R40" s="234">
        <v>4.3928333333333365</v>
      </c>
      <c r="S40" s="231">
        <v>0</v>
      </c>
      <c r="T40" s="234">
        <v>0</v>
      </c>
      <c r="U40" s="231">
        <v>0</v>
      </c>
      <c r="V40" s="234">
        <v>0</v>
      </c>
      <c r="W40" s="231">
        <v>0</v>
      </c>
      <c r="X40" s="234">
        <v>0</v>
      </c>
      <c r="Y40" s="231">
        <v>0</v>
      </c>
      <c r="Z40" s="234">
        <v>0</v>
      </c>
      <c r="AA40" s="231">
        <v>0</v>
      </c>
      <c r="AB40" s="234">
        <v>0</v>
      </c>
      <c r="AC40" s="238">
        <f t="shared" si="0"/>
        <v>33.547000000000011</v>
      </c>
      <c r="AD40" s="238"/>
      <c r="AE40" s="238"/>
    </row>
    <row r="41" spans="2:31" x14ac:dyDescent="0.3">
      <c r="B41" s="245" t="s">
        <v>66</v>
      </c>
      <c r="C41" s="245"/>
      <c r="D41" s="245"/>
      <c r="E41" s="231">
        <v>0</v>
      </c>
      <c r="F41" s="234">
        <v>0</v>
      </c>
      <c r="G41" s="231">
        <v>0</v>
      </c>
      <c r="H41" s="234">
        <v>0</v>
      </c>
      <c r="I41" s="231">
        <v>0</v>
      </c>
      <c r="J41" s="234">
        <v>0</v>
      </c>
      <c r="K41" s="231">
        <v>0</v>
      </c>
      <c r="L41" s="234">
        <v>0</v>
      </c>
      <c r="M41" s="231">
        <v>6.9188333333333372</v>
      </c>
      <c r="N41" s="234">
        <v>12.557333333333332</v>
      </c>
      <c r="O41" s="231">
        <v>7.388499999999997</v>
      </c>
      <c r="P41" s="234">
        <v>7.0758333333333354</v>
      </c>
      <c r="Q41" s="231">
        <v>7.9023333333333365</v>
      </c>
      <c r="R41" s="234">
        <v>0</v>
      </c>
      <c r="S41" s="231">
        <v>0</v>
      </c>
      <c r="T41" s="234">
        <v>0</v>
      </c>
      <c r="U41" s="231">
        <v>0</v>
      </c>
      <c r="V41" s="234">
        <v>0</v>
      </c>
      <c r="W41" s="231">
        <v>0</v>
      </c>
      <c r="X41" s="234">
        <v>0</v>
      </c>
      <c r="Y41" s="231">
        <v>0</v>
      </c>
      <c r="Z41" s="234">
        <v>0</v>
      </c>
      <c r="AA41" s="231">
        <v>0</v>
      </c>
      <c r="AB41" s="234">
        <v>0</v>
      </c>
      <c r="AC41" s="238">
        <f>SUM(E41:AB41)</f>
        <v>41.842833333333338</v>
      </c>
      <c r="AD41" s="238"/>
      <c r="AE41" s="238"/>
    </row>
    <row r="42" spans="2:31" x14ac:dyDescent="0.3">
      <c r="B42" s="245" t="s">
        <v>67</v>
      </c>
      <c r="C42" s="245"/>
      <c r="D42" s="245"/>
      <c r="E42" s="231">
        <v>0</v>
      </c>
      <c r="F42" s="234">
        <v>0</v>
      </c>
      <c r="G42" s="231">
        <v>0</v>
      </c>
      <c r="H42" s="234">
        <v>0</v>
      </c>
      <c r="I42" s="231">
        <v>0</v>
      </c>
      <c r="J42" s="234">
        <v>0</v>
      </c>
      <c r="K42" s="231">
        <v>0</v>
      </c>
      <c r="L42" s="234">
        <v>0</v>
      </c>
      <c r="M42" s="231">
        <v>0.91316666666666679</v>
      </c>
      <c r="N42" s="234">
        <v>0.21866666666666665</v>
      </c>
      <c r="O42" s="231">
        <v>0.83649999999999969</v>
      </c>
      <c r="P42" s="234">
        <v>1.0196666666666658</v>
      </c>
      <c r="Q42" s="231">
        <v>2.637999999999999</v>
      </c>
      <c r="R42" s="234">
        <v>0</v>
      </c>
      <c r="S42" s="231">
        <v>0</v>
      </c>
      <c r="T42" s="234">
        <v>0</v>
      </c>
      <c r="U42" s="231">
        <v>0</v>
      </c>
      <c r="V42" s="234">
        <v>0</v>
      </c>
      <c r="W42" s="231">
        <v>0</v>
      </c>
      <c r="X42" s="234">
        <v>7.4166666666666645E-2</v>
      </c>
      <c r="Y42" s="231">
        <v>0</v>
      </c>
      <c r="Z42" s="234">
        <v>0</v>
      </c>
      <c r="AA42" s="231">
        <v>0</v>
      </c>
      <c r="AB42" s="234">
        <v>0</v>
      </c>
      <c r="AC42" s="238">
        <f t="shared" ref="AC42:AC56" si="1">SUM(E42:AB42)</f>
        <v>5.7001666666666644</v>
      </c>
      <c r="AD42" s="238"/>
      <c r="AE42" s="238"/>
    </row>
    <row r="43" spans="2:31" x14ac:dyDescent="0.3">
      <c r="B43" s="245" t="s">
        <v>68</v>
      </c>
      <c r="C43" s="245"/>
      <c r="D43" s="245"/>
      <c r="E43" s="231">
        <v>0</v>
      </c>
      <c r="F43" s="234">
        <v>0</v>
      </c>
      <c r="G43" s="231">
        <v>0</v>
      </c>
      <c r="H43" s="234">
        <v>0</v>
      </c>
      <c r="I43" s="231">
        <v>0</v>
      </c>
      <c r="J43" s="234">
        <v>0</v>
      </c>
      <c r="K43" s="231">
        <v>0</v>
      </c>
      <c r="L43" s="234">
        <v>0</v>
      </c>
      <c r="M43" s="231">
        <v>3.9166666666666572E-2</v>
      </c>
      <c r="N43" s="234">
        <v>1.7046666666666661</v>
      </c>
      <c r="O43" s="231">
        <v>1.7136666666666671</v>
      </c>
      <c r="P43" s="234">
        <v>1.1505000000000023</v>
      </c>
      <c r="Q43" s="231">
        <v>0.45916666666666778</v>
      </c>
      <c r="R43" s="234">
        <v>1.5728333333333357</v>
      </c>
      <c r="S43" s="231">
        <v>2.339</v>
      </c>
      <c r="T43" s="234">
        <v>0</v>
      </c>
      <c r="U43" s="231">
        <v>0</v>
      </c>
      <c r="V43" s="234">
        <v>0</v>
      </c>
      <c r="W43" s="231">
        <v>0</v>
      </c>
      <c r="X43" s="234">
        <v>2.8333333333333322E-3</v>
      </c>
      <c r="Y43" s="231">
        <v>0</v>
      </c>
      <c r="Z43" s="234">
        <v>0</v>
      </c>
      <c r="AA43" s="231">
        <v>0</v>
      </c>
      <c r="AB43" s="234">
        <v>0</v>
      </c>
      <c r="AC43" s="238">
        <f t="shared" si="1"/>
        <v>8.9818333333333396</v>
      </c>
      <c r="AD43" s="238"/>
      <c r="AE43" s="238"/>
    </row>
    <row r="44" spans="2:31" x14ac:dyDescent="0.3">
      <c r="B44" s="245" t="s">
        <v>69</v>
      </c>
      <c r="C44" s="245"/>
      <c r="D44" s="245"/>
      <c r="E44" s="231">
        <v>0</v>
      </c>
      <c r="F44" s="234">
        <v>0</v>
      </c>
      <c r="G44" s="231">
        <v>0</v>
      </c>
      <c r="H44" s="234">
        <v>0</v>
      </c>
      <c r="I44" s="231">
        <v>0</v>
      </c>
      <c r="J44" s="234">
        <v>0</v>
      </c>
      <c r="K44" s="231">
        <v>0</v>
      </c>
      <c r="L44" s="234">
        <v>0</v>
      </c>
      <c r="M44" s="231">
        <v>14.757166666666668</v>
      </c>
      <c r="N44" s="234">
        <v>30.747833333333354</v>
      </c>
      <c r="O44" s="231">
        <v>28.257000000000001</v>
      </c>
      <c r="P44" s="234">
        <v>18.148500000000002</v>
      </c>
      <c r="Q44" s="231">
        <v>21.65483333333334</v>
      </c>
      <c r="R44" s="234">
        <v>21.777333333333328</v>
      </c>
      <c r="S44" s="231">
        <v>0</v>
      </c>
      <c r="T44" s="234">
        <v>0</v>
      </c>
      <c r="U44" s="231">
        <v>0</v>
      </c>
      <c r="V44" s="234">
        <v>0</v>
      </c>
      <c r="W44" s="231">
        <v>0</v>
      </c>
      <c r="X44" s="234">
        <v>2.6999999999999958E-2</v>
      </c>
      <c r="Y44" s="231">
        <v>0</v>
      </c>
      <c r="Z44" s="234">
        <v>0</v>
      </c>
      <c r="AA44" s="231">
        <v>0</v>
      </c>
      <c r="AB44" s="234">
        <v>0</v>
      </c>
      <c r="AC44" s="238">
        <f t="shared" si="1"/>
        <v>135.36966666666669</v>
      </c>
      <c r="AD44" s="238"/>
      <c r="AE44" s="238"/>
    </row>
    <row r="45" spans="2:31" x14ac:dyDescent="0.3">
      <c r="B45" s="245" t="s">
        <v>70</v>
      </c>
      <c r="C45" s="245"/>
      <c r="D45" s="245"/>
      <c r="E45" s="231">
        <v>0</v>
      </c>
      <c r="F45" s="234">
        <v>0</v>
      </c>
      <c r="G45" s="231">
        <v>0</v>
      </c>
      <c r="H45" s="234">
        <v>0</v>
      </c>
      <c r="I45" s="231">
        <v>0</v>
      </c>
      <c r="J45" s="234">
        <v>0</v>
      </c>
      <c r="K45" s="231">
        <v>0</v>
      </c>
      <c r="L45" s="234">
        <v>0</v>
      </c>
      <c r="M45" s="231">
        <v>0</v>
      </c>
      <c r="N45" s="234">
        <v>0</v>
      </c>
      <c r="O45" s="231">
        <v>0</v>
      </c>
      <c r="P45" s="234">
        <v>0</v>
      </c>
      <c r="Q45" s="231">
        <v>0</v>
      </c>
      <c r="R45" s="234">
        <v>0</v>
      </c>
      <c r="S45" s="231">
        <v>0</v>
      </c>
      <c r="T45" s="234">
        <v>5.2188333333333334</v>
      </c>
      <c r="U45" s="231">
        <v>17.230833333333337</v>
      </c>
      <c r="V45" s="234">
        <v>4.0061666666666627</v>
      </c>
      <c r="W45" s="231">
        <v>0</v>
      </c>
      <c r="X45" s="234">
        <v>0</v>
      </c>
      <c r="Y45" s="231">
        <v>0</v>
      </c>
      <c r="Z45" s="234">
        <v>0</v>
      </c>
      <c r="AA45" s="231">
        <v>0</v>
      </c>
      <c r="AB45" s="234">
        <v>0</v>
      </c>
      <c r="AC45" s="238">
        <f t="shared" si="1"/>
        <v>26.455833333333331</v>
      </c>
      <c r="AD45" s="238"/>
      <c r="AE45" s="238"/>
    </row>
    <row r="46" spans="2:31" x14ac:dyDescent="0.3">
      <c r="B46" s="245" t="s">
        <v>71</v>
      </c>
      <c r="C46" s="245"/>
      <c r="D46" s="245"/>
      <c r="E46" s="231">
        <v>0</v>
      </c>
      <c r="F46" s="234">
        <v>0</v>
      </c>
      <c r="G46" s="231">
        <v>0</v>
      </c>
      <c r="H46" s="234">
        <v>0</v>
      </c>
      <c r="I46" s="231">
        <v>0</v>
      </c>
      <c r="J46" s="234">
        <v>0</v>
      </c>
      <c r="K46" s="231">
        <v>0</v>
      </c>
      <c r="L46" s="234">
        <v>0</v>
      </c>
      <c r="M46" s="231">
        <v>3.7211666666666683</v>
      </c>
      <c r="N46" s="234">
        <v>5.7056666666666702</v>
      </c>
      <c r="O46" s="231">
        <v>0</v>
      </c>
      <c r="P46" s="234">
        <v>0</v>
      </c>
      <c r="Q46" s="231">
        <v>1.0886666666666722</v>
      </c>
      <c r="R46" s="234">
        <v>0.87733333333333097</v>
      </c>
      <c r="S46" s="231">
        <v>1.0306666666666728</v>
      </c>
      <c r="T46" s="234">
        <v>0.20050000000000548</v>
      </c>
      <c r="U46" s="231">
        <v>0</v>
      </c>
      <c r="V46" s="234">
        <v>9.2195</v>
      </c>
      <c r="W46" s="231">
        <v>3.0993333333333357</v>
      </c>
      <c r="X46" s="234">
        <v>0</v>
      </c>
      <c r="Y46" s="231">
        <v>0</v>
      </c>
      <c r="Z46" s="234">
        <v>0</v>
      </c>
      <c r="AA46" s="231">
        <v>0</v>
      </c>
      <c r="AB46" s="234">
        <v>0</v>
      </c>
      <c r="AC46" s="238">
        <f t="shared" si="1"/>
        <v>24.942833333333354</v>
      </c>
      <c r="AD46" s="238"/>
      <c r="AE46" s="238"/>
    </row>
    <row r="47" spans="2:31" x14ac:dyDescent="0.3">
      <c r="B47" s="245" t="s">
        <v>72</v>
      </c>
      <c r="C47" s="245"/>
      <c r="D47" s="245"/>
      <c r="E47" s="231">
        <v>0</v>
      </c>
      <c r="F47" s="234">
        <v>0</v>
      </c>
      <c r="G47" s="231">
        <v>0</v>
      </c>
      <c r="H47" s="234">
        <v>0</v>
      </c>
      <c r="I47" s="231">
        <v>0</v>
      </c>
      <c r="J47" s="234">
        <v>0</v>
      </c>
      <c r="K47" s="231">
        <v>0</v>
      </c>
      <c r="L47" s="234">
        <v>0</v>
      </c>
      <c r="M47" s="231">
        <v>0.63</v>
      </c>
      <c r="N47" s="234">
        <v>2.902333333333333</v>
      </c>
      <c r="O47" s="231">
        <v>0</v>
      </c>
      <c r="P47" s="234">
        <v>0</v>
      </c>
      <c r="Q47" s="231">
        <v>0.64533333333333076</v>
      </c>
      <c r="R47" s="234">
        <v>1.1593333333333324</v>
      </c>
      <c r="S47" s="231">
        <v>0</v>
      </c>
      <c r="T47" s="234">
        <v>0</v>
      </c>
      <c r="U47" s="231">
        <v>0</v>
      </c>
      <c r="V47" s="234">
        <v>0</v>
      </c>
      <c r="W47" s="231">
        <v>0</v>
      </c>
      <c r="X47" s="234">
        <v>0</v>
      </c>
      <c r="Y47" s="231">
        <v>0</v>
      </c>
      <c r="Z47" s="234">
        <v>0</v>
      </c>
      <c r="AA47" s="231">
        <v>0</v>
      </c>
      <c r="AB47" s="234">
        <v>0</v>
      </c>
      <c r="AC47" s="238">
        <f t="shared" si="1"/>
        <v>5.3369999999999962</v>
      </c>
      <c r="AD47" s="238"/>
      <c r="AE47" s="238"/>
    </row>
    <row r="48" spans="2:31" x14ac:dyDescent="0.3">
      <c r="B48" s="245" t="s">
        <v>73</v>
      </c>
      <c r="C48" s="245"/>
      <c r="D48" s="245"/>
      <c r="E48" s="231">
        <v>0</v>
      </c>
      <c r="F48" s="234">
        <v>0</v>
      </c>
      <c r="G48" s="231">
        <v>0</v>
      </c>
      <c r="H48" s="234">
        <v>0</v>
      </c>
      <c r="I48" s="231">
        <v>0</v>
      </c>
      <c r="J48" s="234">
        <v>0</v>
      </c>
      <c r="K48" s="231">
        <v>0</v>
      </c>
      <c r="L48" s="234">
        <v>0</v>
      </c>
      <c r="M48" s="231">
        <v>4.0328333333333335</v>
      </c>
      <c r="N48" s="234">
        <v>6.1999999999999979E-2</v>
      </c>
      <c r="O48" s="231">
        <v>0</v>
      </c>
      <c r="P48" s="234">
        <v>0.69266666666666388</v>
      </c>
      <c r="Q48" s="231">
        <v>4.8666666666667878E-2</v>
      </c>
      <c r="R48" s="234">
        <v>6.1000000000001366E-2</v>
      </c>
      <c r="S48" s="231">
        <v>5.3000000000001532E-2</v>
      </c>
      <c r="T48" s="234">
        <v>0.84216666666666862</v>
      </c>
      <c r="U48" s="231">
        <v>0.23383333333333384</v>
      </c>
      <c r="V48" s="234">
        <v>0.2606666666666636</v>
      </c>
      <c r="W48" s="231">
        <v>7.7873333333333346</v>
      </c>
      <c r="X48" s="234">
        <v>5.8323333333333336</v>
      </c>
      <c r="Y48" s="231">
        <v>0</v>
      </c>
      <c r="Z48" s="234">
        <v>0</v>
      </c>
      <c r="AA48" s="231">
        <v>0</v>
      </c>
      <c r="AB48" s="234">
        <v>0</v>
      </c>
      <c r="AC48" s="238">
        <f t="shared" si="1"/>
        <v>19.906500000000005</v>
      </c>
      <c r="AD48" s="238"/>
      <c r="AE48" s="238"/>
    </row>
    <row r="49" spans="2:31" x14ac:dyDescent="0.3">
      <c r="B49" s="245" t="s">
        <v>74</v>
      </c>
      <c r="C49" s="245"/>
      <c r="D49" s="245"/>
      <c r="E49" s="231">
        <v>0</v>
      </c>
      <c r="F49" s="234">
        <v>0</v>
      </c>
      <c r="G49" s="231">
        <v>0</v>
      </c>
      <c r="H49" s="234">
        <v>0</v>
      </c>
      <c r="I49" s="231">
        <v>0</v>
      </c>
      <c r="J49" s="234">
        <v>0</v>
      </c>
      <c r="K49" s="231">
        <v>0</v>
      </c>
      <c r="L49" s="234">
        <v>0</v>
      </c>
      <c r="M49" s="231">
        <v>3.2166666666666691E-2</v>
      </c>
      <c r="N49" s="234">
        <v>0.29683333333333312</v>
      </c>
      <c r="O49" s="231">
        <v>1.8903333333333332</v>
      </c>
      <c r="P49" s="234">
        <v>5.4029999999999951</v>
      </c>
      <c r="Q49" s="231">
        <v>13.039833333333332</v>
      </c>
      <c r="R49" s="234">
        <v>13.560333333333331</v>
      </c>
      <c r="S49" s="231">
        <v>12.697333333333338</v>
      </c>
      <c r="T49" s="234">
        <v>9.5806666666666676</v>
      </c>
      <c r="U49" s="231">
        <v>8.1091666666666686</v>
      </c>
      <c r="V49" s="234">
        <v>3.0080000000000013</v>
      </c>
      <c r="W49" s="231">
        <v>1.0833333333333333</v>
      </c>
      <c r="X49" s="234">
        <v>0.57266666666666666</v>
      </c>
      <c r="Y49" s="231">
        <v>0</v>
      </c>
      <c r="Z49" s="234">
        <v>0</v>
      </c>
      <c r="AA49" s="231">
        <v>0</v>
      </c>
      <c r="AB49" s="234">
        <v>0</v>
      </c>
      <c r="AC49" s="238">
        <f t="shared" si="1"/>
        <v>69.273666666666657</v>
      </c>
      <c r="AD49" s="238"/>
      <c r="AE49" s="238"/>
    </row>
    <row r="50" spans="2:31" x14ac:dyDescent="0.3">
      <c r="B50" s="245" t="s">
        <v>75</v>
      </c>
      <c r="C50" s="245"/>
      <c r="D50" s="245"/>
      <c r="E50" s="231">
        <v>0</v>
      </c>
      <c r="F50" s="234">
        <v>0</v>
      </c>
      <c r="G50" s="231">
        <v>0</v>
      </c>
      <c r="H50" s="234">
        <v>0</v>
      </c>
      <c r="I50" s="231">
        <v>0</v>
      </c>
      <c r="J50" s="234">
        <v>0</v>
      </c>
      <c r="K50" s="231">
        <v>0</v>
      </c>
      <c r="L50" s="234">
        <v>0</v>
      </c>
      <c r="M50" s="231">
        <v>7.004833333333333</v>
      </c>
      <c r="N50" s="234">
        <v>18.943999999999999</v>
      </c>
      <c r="O50" s="231">
        <v>59.687666666666701</v>
      </c>
      <c r="P50" s="234">
        <v>76.29783333333333</v>
      </c>
      <c r="Q50" s="231">
        <v>97.34333333333332</v>
      </c>
      <c r="R50" s="234">
        <v>96.276500000000027</v>
      </c>
      <c r="S50" s="231">
        <v>94.676666666666634</v>
      </c>
      <c r="T50" s="234">
        <v>0</v>
      </c>
      <c r="U50" s="231">
        <v>57.697500000000012</v>
      </c>
      <c r="V50" s="234">
        <v>0</v>
      </c>
      <c r="W50" s="231">
        <v>0</v>
      </c>
      <c r="X50" s="234">
        <v>3.3833333333333354E-2</v>
      </c>
      <c r="Y50" s="231">
        <v>0</v>
      </c>
      <c r="Z50" s="234">
        <v>0</v>
      </c>
      <c r="AA50" s="231">
        <v>0</v>
      </c>
      <c r="AB50" s="234">
        <v>0</v>
      </c>
      <c r="AC50" s="238">
        <f t="shared" si="1"/>
        <v>507.96216666666663</v>
      </c>
      <c r="AD50" s="238"/>
      <c r="AE50" s="238"/>
    </row>
    <row r="51" spans="2:31" x14ac:dyDescent="0.3">
      <c r="B51" s="245" t="s">
        <v>76</v>
      </c>
      <c r="C51" s="245"/>
      <c r="D51" s="245"/>
      <c r="E51" s="231">
        <v>0</v>
      </c>
      <c r="F51" s="234">
        <v>0</v>
      </c>
      <c r="G51" s="231">
        <v>0</v>
      </c>
      <c r="H51" s="234">
        <v>0</v>
      </c>
      <c r="I51" s="231">
        <v>0</v>
      </c>
      <c r="J51" s="234">
        <v>0</v>
      </c>
      <c r="K51" s="231">
        <v>0</v>
      </c>
      <c r="L51" s="234">
        <v>0</v>
      </c>
      <c r="M51" s="231">
        <v>0</v>
      </c>
      <c r="N51" s="234">
        <v>0</v>
      </c>
      <c r="O51" s="231">
        <v>0</v>
      </c>
      <c r="P51" s="234">
        <v>0</v>
      </c>
      <c r="Q51" s="231">
        <v>0</v>
      </c>
      <c r="R51" s="234">
        <v>0</v>
      </c>
      <c r="S51" s="231">
        <v>0</v>
      </c>
      <c r="T51" s="234">
        <v>0</v>
      </c>
      <c r="U51" s="231">
        <v>0</v>
      </c>
      <c r="V51" s="234">
        <v>0</v>
      </c>
      <c r="W51" s="231">
        <v>0</v>
      </c>
      <c r="X51" s="234">
        <v>0</v>
      </c>
      <c r="Y51" s="231">
        <v>0</v>
      </c>
      <c r="Z51" s="234">
        <v>0</v>
      </c>
      <c r="AA51" s="231">
        <v>0</v>
      </c>
      <c r="AB51" s="234">
        <v>0</v>
      </c>
      <c r="AC51" s="238">
        <f t="shared" si="1"/>
        <v>0</v>
      </c>
      <c r="AD51" s="238"/>
      <c r="AE51" s="238"/>
    </row>
    <row r="52" spans="2:31" x14ac:dyDescent="0.3">
      <c r="B52" s="245" t="s">
        <v>77</v>
      </c>
      <c r="C52" s="245"/>
      <c r="D52" s="245"/>
      <c r="E52" s="231">
        <v>0</v>
      </c>
      <c r="F52" s="234">
        <v>0</v>
      </c>
      <c r="G52" s="231">
        <v>0</v>
      </c>
      <c r="H52" s="234">
        <v>0</v>
      </c>
      <c r="I52" s="231">
        <v>0</v>
      </c>
      <c r="J52" s="234">
        <v>0</v>
      </c>
      <c r="K52" s="231">
        <v>0</v>
      </c>
      <c r="L52" s="234">
        <v>0</v>
      </c>
      <c r="M52" s="231">
        <v>4.4250000000000025</v>
      </c>
      <c r="N52" s="234">
        <v>21.427</v>
      </c>
      <c r="O52" s="231">
        <v>18.505333333333322</v>
      </c>
      <c r="P52" s="234">
        <v>12.59666666666666</v>
      </c>
      <c r="Q52" s="231">
        <v>14.431833333333346</v>
      </c>
      <c r="R52" s="234">
        <v>14.351333333333345</v>
      </c>
      <c r="S52" s="231">
        <v>13.780999999999979</v>
      </c>
      <c r="T52" s="234">
        <v>0</v>
      </c>
      <c r="U52" s="231">
        <v>11.152333333333313</v>
      </c>
      <c r="V52" s="234">
        <v>0</v>
      </c>
      <c r="W52" s="231">
        <v>0</v>
      </c>
      <c r="X52" s="234">
        <v>0.18216666666666695</v>
      </c>
      <c r="Y52" s="231">
        <v>0</v>
      </c>
      <c r="Z52" s="234">
        <v>0</v>
      </c>
      <c r="AA52" s="231">
        <v>0</v>
      </c>
      <c r="AB52" s="234">
        <v>0</v>
      </c>
      <c r="AC52" s="238">
        <f t="shared" si="1"/>
        <v>110.85266666666664</v>
      </c>
      <c r="AD52" s="238"/>
      <c r="AE52" s="238"/>
    </row>
    <row r="53" spans="2:31" x14ac:dyDescent="0.3">
      <c r="B53" s="245" t="s">
        <v>78</v>
      </c>
      <c r="C53" s="245"/>
      <c r="D53" s="245"/>
      <c r="E53" s="231">
        <v>0</v>
      </c>
      <c r="F53" s="234">
        <v>0</v>
      </c>
      <c r="G53" s="231">
        <v>0</v>
      </c>
      <c r="H53" s="234">
        <v>0</v>
      </c>
      <c r="I53" s="231">
        <v>0</v>
      </c>
      <c r="J53" s="234">
        <v>0</v>
      </c>
      <c r="K53" s="231">
        <v>0</v>
      </c>
      <c r="L53" s="234">
        <v>0</v>
      </c>
      <c r="M53" s="231">
        <v>0</v>
      </c>
      <c r="N53" s="234">
        <v>0</v>
      </c>
      <c r="O53" s="231">
        <v>0</v>
      </c>
      <c r="P53" s="234">
        <v>0</v>
      </c>
      <c r="Q53" s="231">
        <v>0</v>
      </c>
      <c r="R53" s="234">
        <v>0</v>
      </c>
      <c r="S53" s="231">
        <v>0</v>
      </c>
      <c r="T53" s="234">
        <v>0</v>
      </c>
      <c r="U53" s="231">
        <v>0</v>
      </c>
      <c r="V53" s="234">
        <v>0</v>
      </c>
      <c r="W53" s="231">
        <v>0</v>
      </c>
      <c r="X53" s="234">
        <v>0</v>
      </c>
      <c r="Y53" s="231">
        <v>0</v>
      </c>
      <c r="Z53" s="234">
        <v>0</v>
      </c>
      <c r="AA53" s="231">
        <v>0</v>
      </c>
      <c r="AB53" s="234">
        <v>0</v>
      </c>
      <c r="AC53" s="238">
        <f t="shared" si="1"/>
        <v>0</v>
      </c>
      <c r="AD53" s="238"/>
      <c r="AE53" s="238"/>
    </row>
    <row r="54" spans="2:31" x14ac:dyDescent="0.3">
      <c r="B54" s="245" t="s">
        <v>79</v>
      </c>
      <c r="C54" s="245"/>
      <c r="D54" s="245"/>
      <c r="E54" s="231">
        <v>0</v>
      </c>
      <c r="F54" s="234">
        <v>0</v>
      </c>
      <c r="G54" s="231">
        <v>0</v>
      </c>
      <c r="H54" s="234">
        <v>0</v>
      </c>
      <c r="I54" s="231">
        <v>0</v>
      </c>
      <c r="J54" s="234">
        <v>0</v>
      </c>
      <c r="K54" s="231">
        <v>0</v>
      </c>
      <c r="L54" s="234">
        <v>0</v>
      </c>
      <c r="M54" s="231">
        <v>5.2166666666666708E-2</v>
      </c>
      <c r="N54" s="234">
        <v>1.1995</v>
      </c>
      <c r="O54" s="231">
        <v>16.50599999999999</v>
      </c>
      <c r="P54" s="234">
        <v>32.802500000000016</v>
      </c>
      <c r="Q54" s="231">
        <v>40.412666666666674</v>
      </c>
      <c r="R54" s="234">
        <v>43.006833333333354</v>
      </c>
      <c r="S54" s="231">
        <v>41.078333333333298</v>
      </c>
      <c r="T54" s="234">
        <v>14.618666666666677</v>
      </c>
      <c r="U54" s="231">
        <v>2.2201666666666653</v>
      </c>
      <c r="V54" s="234">
        <v>0.90733333333333299</v>
      </c>
      <c r="W54" s="231">
        <v>1.5663333333333336</v>
      </c>
      <c r="X54" s="234">
        <v>0.12083333333333329</v>
      </c>
      <c r="Y54" s="231">
        <v>0</v>
      </c>
      <c r="Z54" s="234">
        <v>0</v>
      </c>
      <c r="AA54" s="231">
        <v>0</v>
      </c>
      <c r="AB54" s="234">
        <v>0</v>
      </c>
      <c r="AC54" s="238">
        <f t="shared" si="1"/>
        <v>194.49133333333336</v>
      </c>
      <c r="AD54" s="238"/>
      <c r="AE54" s="238"/>
    </row>
    <row r="55" spans="2:31" x14ac:dyDescent="0.3">
      <c r="B55" s="245" t="s">
        <v>80</v>
      </c>
      <c r="C55" s="245"/>
      <c r="D55" s="245"/>
      <c r="E55" s="231">
        <v>0</v>
      </c>
      <c r="F55" s="234">
        <v>0</v>
      </c>
      <c r="G55" s="231">
        <v>0</v>
      </c>
      <c r="H55" s="234">
        <v>0</v>
      </c>
      <c r="I55" s="231">
        <v>0</v>
      </c>
      <c r="J55" s="234">
        <v>0</v>
      </c>
      <c r="K55" s="231">
        <v>0</v>
      </c>
      <c r="L55" s="234">
        <v>0</v>
      </c>
      <c r="M55" s="231">
        <v>0</v>
      </c>
      <c r="N55" s="234">
        <v>13.78633333333333</v>
      </c>
      <c r="O55" s="231">
        <v>18.848333333333301</v>
      </c>
      <c r="P55" s="234">
        <v>16.932166666666657</v>
      </c>
      <c r="Q55" s="231">
        <v>24.548666666666641</v>
      </c>
      <c r="R55" s="234">
        <v>23.937500000000021</v>
      </c>
      <c r="S55" s="231">
        <v>23.330000000000002</v>
      </c>
      <c r="T55" s="234">
        <v>21.52999999999998</v>
      </c>
      <c r="U55" s="231">
        <v>13.830000000000032</v>
      </c>
      <c r="V55" s="234">
        <v>23.269166666666695</v>
      </c>
      <c r="W55" s="231">
        <v>10.293333333333344</v>
      </c>
      <c r="X55" s="234">
        <v>0</v>
      </c>
      <c r="Y55" s="231">
        <v>0</v>
      </c>
      <c r="Z55" s="234">
        <v>0</v>
      </c>
      <c r="AA55" s="231">
        <v>0</v>
      </c>
      <c r="AB55" s="234">
        <v>0</v>
      </c>
      <c r="AC55" s="238">
        <f t="shared" si="1"/>
        <v>190.30550000000005</v>
      </c>
      <c r="AD55" s="238"/>
      <c r="AE55" s="238"/>
    </row>
    <row r="56" spans="2:31" x14ac:dyDescent="0.3">
      <c r="B56" s="245" t="s">
        <v>93</v>
      </c>
      <c r="C56" s="245"/>
      <c r="D56" s="245"/>
      <c r="E56" s="231">
        <v>0</v>
      </c>
      <c r="F56" s="234">
        <v>0</v>
      </c>
      <c r="G56" s="231">
        <v>0</v>
      </c>
      <c r="H56" s="234">
        <v>0</v>
      </c>
      <c r="I56" s="231">
        <v>0</v>
      </c>
      <c r="J56" s="234">
        <v>0</v>
      </c>
      <c r="K56" s="231">
        <v>0</v>
      </c>
      <c r="L56" s="234">
        <v>0</v>
      </c>
      <c r="M56" s="231">
        <v>0.13699999999999993</v>
      </c>
      <c r="N56" s="234">
        <v>0.80816666666666703</v>
      </c>
      <c r="O56" s="231">
        <v>0.12166666666666673</v>
      </c>
      <c r="P56" s="234">
        <v>0.66366666666666674</v>
      </c>
      <c r="Q56" s="231">
        <v>1.8745000000000001</v>
      </c>
      <c r="R56" s="234">
        <v>2.5189999999999997</v>
      </c>
      <c r="S56" s="231">
        <v>3.7341666666666709</v>
      </c>
      <c r="T56" s="234">
        <v>3.7606666666666713</v>
      </c>
      <c r="U56" s="231">
        <v>3.7878333333333356</v>
      </c>
      <c r="V56" s="234">
        <v>3.6138333333333343</v>
      </c>
      <c r="W56" s="231">
        <v>1.5404999999999989</v>
      </c>
      <c r="X56" s="234">
        <v>0</v>
      </c>
      <c r="Y56" s="231">
        <v>0</v>
      </c>
      <c r="Z56" s="234">
        <v>0</v>
      </c>
      <c r="AA56" s="231">
        <v>0</v>
      </c>
      <c r="AB56" s="234">
        <v>0</v>
      </c>
      <c r="AC56" s="238">
        <f t="shared" si="1"/>
        <v>22.561000000000011</v>
      </c>
      <c r="AD56" s="238"/>
      <c r="AE56" s="238"/>
    </row>
    <row r="57" spans="2:31" x14ac:dyDescent="0.3">
      <c r="B57" s="14" t="s">
        <v>2</v>
      </c>
      <c r="C57" s="14"/>
      <c r="D57" s="14"/>
      <c r="E57" s="15">
        <f t="shared" ref="E57:AB57" si="2">SUM(E8:E56)</f>
        <v>0</v>
      </c>
      <c r="F57" s="15">
        <f t="shared" si="2"/>
        <v>0</v>
      </c>
      <c r="G57" s="15">
        <f t="shared" si="2"/>
        <v>0</v>
      </c>
      <c r="H57" s="15">
        <f t="shared" si="2"/>
        <v>0</v>
      </c>
      <c r="I57" s="15">
        <f t="shared" si="2"/>
        <v>0</v>
      </c>
      <c r="J57" s="15">
        <f t="shared" si="2"/>
        <v>0</v>
      </c>
      <c r="K57" s="15">
        <f t="shared" si="2"/>
        <v>0</v>
      </c>
      <c r="L57" s="15">
        <f t="shared" si="2"/>
        <v>0</v>
      </c>
      <c r="M57" s="15">
        <f t="shared" si="2"/>
        <v>276.74283333333335</v>
      </c>
      <c r="N57" s="15">
        <f t="shared" si="2"/>
        <v>653.27499999999986</v>
      </c>
      <c r="O57" s="15">
        <f t="shared" si="2"/>
        <v>674.21966666666663</v>
      </c>
      <c r="P57" s="15">
        <f t="shared" si="2"/>
        <v>609.25549999999998</v>
      </c>
      <c r="Q57" s="15">
        <f t="shared" si="2"/>
        <v>642.08166666666671</v>
      </c>
      <c r="R57" s="15">
        <f t="shared" si="2"/>
        <v>629.73666666666679</v>
      </c>
      <c r="S57" s="15">
        <f t="shared" si="2"/>
        <v>611.91783333333308</v>
      </c>
      <c r="T57" s="15">
        <f t="shared" si="2"/>
        <v>387.38933333333335</v>
      </c>
      <c r="U57" s="15">
        <f t="shared" si="2"/>
        <v>321.92333333333329</v>
      </c>
      <c r="V57" s="15">
        <f t="shared" si="2"/>
        <v>410.94600000000003</v>
      </c>
      <c r="W57" s="15">
        <f t="shared" si="2"/>
        <v>401.3773333333333</v>
      </c>
      <c r="X57" s="15">
        <f t="shared" si="2"/>
        <v>18.737666666666666</v>
      </c>
      <c r="Y57" s="15">
        <f t="shared" si="2"/>
        <v>0</v>
      </c>
      <c r="Z57" s="15">
        <f t="shared" si="2"/>
        <v>0</v>
      </c>
      <c r="AA57" s="15">
        <f t="shared" si="2"/>
        <v>0</v>
      </c>
      <c r="AB57" s="15">
        <f t="shared" si="2"/>
        <v>0</v>
      </c>
      <c r="AC57" s="249">
        <f>SUM(AC8:AE56)</f>
        <v>5637.6028333333334</v>
      </c>
      <c r="AD57" s="249"/>
      <c r="AE57" s="249"/>
    </row>
    <row r="58" spans="2:31" x14ac:dyDescent="0.3">
      <c r="B58" s="16"/>
      <c r="C58" s="17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2:31" x14ac:dyDescent="0.3">
      <c r="B59" s="16"/>
      <c r="C59" s="17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2:31" x14ac:dyDescent="0.3">
      <c r="B60" s="8">
        <f>'Resumen-Mensual'!$F$22</f>
        <v>44563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49"/>
      <c r="AD60" s="49"/>
      <c r="AE60" s="49"/>
    </row>
    <row r="61" spans="2:31" x14ac:dyDescent="0.3">
      <c r="B61" s="8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49"/>
      <c r="AD61" s="49"/>
      <c r="AE61" s="49"/>
    </row>
    <row r="62" spans="2:31" x14ac:dyDescent="0.3">
      <c r="B62" s="9" t="s">
        <v>81</v>
      </c>
      <c r="C62" s="10"/>
      <c r="D62" s="10"/>
      <c r="E62" s="11">
        <v>1</v>
      </c>
      <c r="F62" s="11">
        <v>2</v>
      </c>
      <c r="G62" s="11">
        <v>3</v>
      </c>
      <c r="H62" s="11">
        <v>4</v>
      </c>
      <c r="I62" s="11">
        <v>5</v>
      </c>
      <c r="J62" s="11">
        <v>6</v>
      </c>
      <c r="K62" s="11">
        <v>7</v>
      </c>
      <c r="L62" s="11">
        <v>8</v>
      </c>
      <c r="M62" s="11">
        <v>9</v>
      </c>
      <c r="N62" s="11">
        <v>10</v>
      </c>
      <c r="O62" s="11">
        <v>11</v>
      </c>
      <c r="P62" s="11">
        <v>12</v>
      </c>
      <c r="Q62" s="11">
        <v>13</v>
      </c>
      <c r="R62" s="11">
        <v>14</v>
      </c>
      <c r="S62" s="11">
        <v>15</v>
      </c>
      <c r="T62" s="11">
        <v>16</v>
      </c>
      <c r="U62" s="11">
        <v>17</v>
      </c>
      <c r="V62" s="11">
        <v>18</v>
      </c>
      <c r="W62" s="11">
        <v>19</v>
      </c>
      <c r="X62" s="11">
        <v>20</v>
      </c>
      <c r="Y62" s="11">
        <v>21</v>
      </c>
      <c r="Z62" s="11">
        <v>22</v>
      </c>
      <c r="AA62" s="11">
        <v>23</v>
      </c>
      <c r="AB62" s="11">
        <v>24</v>
      </c>
      <c r="AC62" s="248" t="s">
        <v>2</v>
      </c>
      <c r="AD62" s="248"/>
      <c r="AE62" s="248"/>
    </row>
    <row r="63" spans="2:31" x14ac:dyDescent="0.3">
      <c r="B63" s="245" t="s">
        <v>37</v>
      </c>
      <c r="C63" s="245"/>
      <c r="D63" s="245"/>
      <c r="E63" s="231">
        <v>0</v>
      </c>
      <c r="F63" s="234">
        <v>0</v>
      </c>
      <c r="G63" s="231">
        <v>0</v>
      </c>
      <c r="H63" s="234">
        <v>0</v>
      </c>
      <c r="I63" s="231">
        <v>0</v>
      </c>
      <c r="J63" s="234">
        <v>0</v>
      </c>
      <c r="K63" s="231">
        <v>0</v>
      </c>
      <c r="L63" s="234">
        <v>0</v>
      </c>
      <c r="M63" s="231">
        <v>0</v>
      </c>
      <c r="N63" s="234">
        <v>0.93216666666666681</v>
      </c>
      <c r="O63" s="231">
        <v>1.3774999999999999</v>
      </c>
      <c r="P63" s="234">
        <v>1.3031666666666668</v>
      </c>
      <c r="Q63" s="231">
        <v>0</v>
      </c>
      <c r="R63" s="234">
        <v>0.38100000000000045</v>
      </c>
      <c r="S63" s="231">
        <v>0</v>
      </c>
      <c r="T63" s="234">
        <v>0.59283333333333366</v>
      </c>
      <c r="U63" s="231">
        <v>0.71883333333333377</v>
      </c>
      <c r="V63" s="234">
        <v>0.66916666666666691</v>
      </c>
      <c r="W63" s="231">
        <v>3.0000000000000058E-2</v>
      </c>
      <c r="X63" s="234">
        <v>0</v>
      </c>
      <c r="Y63" s="231">
        <v>0</v>
      </c>
      <c r="Z63" s="234">
        <v>0</v>
      </c>
      <c r="AA63" s="231">
        <v>0</v>
      </c>
      <c r="AB63" s="234">
        <v>0</v>
      </c>
      <c r="AC63" s="238">
        <f t="shared" ref="AC63:AC95" si="3">SUM(E63:AB63)</f>
        <v>6.0046666666666679</v>
      </c>
      <c r="AD63" s="238"/>
      <c r="AE63" s="238"/>
    </row>
    <row r="64" spans="2:31" x14ac:dyDescent="0.3">
      <c r="B64" s="245" t="s">
        <v>38</v>
      </c>
      <c r="C64" s="245"/>
      <c r="D64" s="245"/>
      <c r="E64" s="231">
        <v>0</v>
      </c>
      <c r="F64" s="234">
        <v>0</v>
      </c>
      <c r="G64" s="231">
        <v>0</v>
      </c>
      <c r="H64" s="234">
        <v>0</v>
      </c>
      <c r="I64" s="231">
        <v>0</v>
      </c>
      <c r="J64" s="234">
        <v>0</v>
      </c>
      <c r="K64" s="231">
        <v>0</v>
      </c>
      <c r="L64" s="234">
        <v>0</v>
      </c>
      <c r="M64" s="231">
        <v>0</v>
      </c>
      <c r="N64" s="234">
        <v>0</v>
      </c>
      <c r="O64" s="231">
        <v>1.711833333333334</v>
      </c>
      <c r="P64" s="234">
        <v>1.9560000000000017</v>
      </c>
      <c r="Q64" s="231">
        <v>0</v>
      </c>
      <c r="R64" s="234">
        <v>0.12383333333333366</v>
      </c>
      <c r="S64" s="231">
        <v>0</v>
      </c>
      <c r="T64" s="234">
        <v>0.21483333333333257</v>
      </c>
      <c r="U64" s="231">
        <v>0.32966666666666644</v>
      </c>
      <c r="V64" s="234">
        <v>0.46766666666666595</v>
      </c>
      <c r="W64" s="231">
        <v>0.27649999999999969</v>
      </c>
      <c r="X64" s="234">
        <v>0</v>
      </c>
      <c r="Y64" s="231">
        <v>0</v>
      </c>
      <c r="Z64" s="234">
        <v>0</v>
      </c>
      <c r="AA64" s="231">
        <v>0</v>
      </c>
      <c r="AB64" s="234">
        <v>0</v>
      </c>
      <c r="AC64" s="238">
        <f t="shared" si="3"/>
        <v>5.0803333333333347</v>
      </c>
      <c r="AD64" s="238"/>
      <c r="AE64" s="238"/>
    </row>
    <row r="65" spans="2:31" x14ac:dyDescent="0.3">
      <c r="B65" s="245" t="s">
        <v>39</v>
      </c>
      <c r="C65" s="245"/>
      <c r="D65" s="245"/>
      <c r="E65" s="231">
        <v>0</v>
      </c>
      <c r="F65" s="234">
        <v>0</v>
      </c>
      <c r="G65" s="231">
        <v>0</v>
      </c>
      <c r="H65" s="234">
        <v>0</v>
      </c>
      <c r="I65" s="231">
        <v>0</v>
      </c>
      <c r="J65" s="234">
        <v>0</v>
      </c>
      <c r="K65" s="231">
        <v>0</v>
      </c>
      <c r="L65" s="234">
        <v>0</v>
      </c>
      <c r="M65" s="231">
        <v>3.7166666666666702E-2</v>
      </c>
      <c r="N65" s="234">
        <v>3.9124999999999983</v>
      </c>
      <c r="O65" s="231">
        <v>10.664333333333337</v>
      </c>
      <c r="P65" s="234">
        <v>8.6603333333333339</v>
      </c>
      <c r="Q65" s="231">
        <v>0</v>
      </c>
      <c r="R65" s="234">
        <v>7.3499999999999988</v>
      </c>
      <c r="S65" s="231">
        <v>0</v>
      </c>
      <c r="T65" s="234">
        <v>0.18816666666666695</v>
      </c>
      <c r="U65" s="231">
        <v>0.23083333333333356</v>
      </c>
      <c r="V65" s="234">
        <v>0.53883333333333294</v>
      </c>
      <c r="W65" s="231">
        <v>0.94366666666666654</v>
      </c>
      <c r="X65" s="234">
        <v>1.7166666666666643E-2</v>
      </c>
      <c r="Y65" s="231">
        <v>0</v>
      </c>
      <c r="Z65" s="234">
        <v>0</v>
      </c>
      <c r="AA65" s="231">
        <v>0</v>
      </c>
      <c r="AB65" s="234">
        <v>0</v>
      </c>
      <c r="AC65" s="238">
        <f t="shared" si="3"/>
        <v>32.543000000000006</v>
      </c>
      <c r="AD65" s="238"/>
      <c r="AE65" s="238"/>
    </row>
    <row r="66" spans="2:31" x14ac:dyDescent="0.3">
      <c r="B66" s="245" t="s">
        <v>40</v>
      </c>
      <c r="C66" s="245"/>
      <c r="D66" s="245"/>
      <c r="E66" s="231">
        <v>0</v>
      </c>
      <c r="F66" s="234">
        <v>0</v>
      </c>
      <c r="G66" s="231">
        <v>0</v>
      </c>
      <c r="H66" s="234">
        <v>0</v>
      </c>
      <c r="I66" s="231">
        <v>0</v>
      </c>
      <c r="J66" s="234">
        <v>0</v>
      </c>
      <c r="K66" s="231">
        <v>0</v>
      </c>
      <c r="L66" s="234">
        <v>0</v>
      </c>
      <c r="M66" s="231">
        <v>25.320666666666657</v>
      </c>
      <c r="N66" s="234">
        <v>36.65166666666665</v>
      </c>
      <c r="O66" s="231">
        <v>41.316833333333335</v>
      </c>
      <c r="P66" s="234">
        <v>0</v>
      </c>
      <c r="Q66" s="231">
        <v>0</v>
      </c>
      <c r="R66" s="234">
        <v>8.7564999999999884</v>
      </c>
      <c r="S66" s="231">
        <v>8.2623333333333395</v>
      </c>
      <c r="T66" s="234">
        <v>7.7029999999999932</v>
      </c>
      <c r="U66" s="231">
        <v>2.4244999999999992</v>
      </c>
      <c r="V66" s="234">
        <v>0</v>
      </c>
      <c r="W66" s="231">
        <v>0</v>
      </c>
      <c r="X66" s="234">
        <v>0</v>
      </c>
      <c r="Y66" s="231">
        <v>0</v>
      </c>
      <c r="Z66" s="234">
        <v>0</v>
      </c>
      <c r="AA66" s="231">
        <v>0</v>
      </c>
      <c r="AB66" s="234">
        <v>0</v>
      </c>
      <c r="AC66" s="238">
        <f t="shared" si="3"/>
        <v>130.43549999999996</v>
      </c>
      <c r="AD66" s="238"/>
      <c r="AE66" s="238"/>
    </row>
    <row r="67" spans="2:31" x14ac:dyDescent="0.3">
      <c r="B67" s="245" t="s">
        <v>41</v>
      </c>
      <c r="C67" s="245"/>
      <c r="D67" s="245"/>
      <c r="E67" s="231">
        <v>0</v>
      </c>
      <c r="F67" s="234">
        <v>0</v>
      </c>
      <c r="G67" s="231">
        <v>0</v>
      </c>
      <c r="H67" s="234">
        <v>0</v>
      </c>
      <c r="I67" s="231">
        <v>0</v>
      </c>
      <c r="J67" s="234">
        <v>0</v>
      </c>
      <c r="K67" s="231">
        <v>0</v>
      </c>
      <c r="L67" s="234">
        <v>0</v>
      </c>
      <c r="M67" s="231">
        <v>8.2871666666666695</v>
      </c>
      <c r="N67" s="234">
        <v>0.81833333333333624</v>
      </c>
      <c r="O67" s="231">
        <v>10.813000000000001</v>
      </c>
      <c r="P67" s="234">
        <v>11.136499999999995</v>
      </c>
      <c r="Q67" s="231">
        <v>0</v>
      </c>
      <c r="R67" s="234">
        <v>0</v>
      </c>
      <c r="S67" s="231">
        <v>0</v>
      </c>
      <c r="T67" s="234">
        <v>0</v>
      </c>
      <c r="U67" s="231">
        <v>0</v>
      </c>
      <c r="V67" s="234">
        <v>1.4876666666666665</v>
      </c>
      <c r="W67" s="231">
        <v>4.0453333333333328</v>
      </c>
      <c r="X67" s="234">
        <v>0</v>
      </c>
      <c r="Y67" s="231">
        <v>0</v>
      </c>
      <c r="Z67" s="234">
        <v>0</v>
      </c>
      <c r="AA67" s="231">
        <v>0</v>
      </c>
      <c r="AB67" s="234">
        <v>0</v>
      </c>
      <c r="AC67" s="238">
        <f t="shared" si="3"/>
        <v>36.588000000000001</v>
      </c>
      <c r="AD67" s="238"/>
      <c r="AE67" s="238"/>
    </row>
    <row r="68" spans="2:31" x14ac:dyDescent="0.3">
      <c r="B68" s="245" t="s">
        <v>42</v>
      </c>
      <c r="C68" s="245"/>
      <c r="D68" s="245"/>
      <c r="E68" s="231">
        <v>0</v>
      </c>
      <c r="F68" s="234">
        <v>0</v>
      </c>
      <c r="G68" s="231">
        <v>0</v>
      </c>
      <c r="H68" s="234">
        <v>0</v>
      </c>
      <c r="I68" s="231">
        <v>0</v>
      </c>
      <c r="J68" s="234">
        <v>0</v>
      </c>
      <c r="K68" s="231">
        <v>0</v>
      </c>
      <c r="L68" s="234">
        <v>0</v>
      </c>
      <c r="M68" s="231">
        <v>0</v>
      </c>
      <c r="N68" s="234">
        <v>0</v>
      </c>
      <c r="O68" s="231">
        <v>0</v>
      </c>
      <c r="P68" s="234">
        <v>8.3404999999999987</v>
      </c>
      <c r="Q68" s="231">
        <v>1.7503333333333329</v>
      </c>
      <c r="R68" s="234">
        <v>0</v>
      </c>
      <c r="S68" s="231">
        <v>0</v>
      </c>
      <c r="T68" s="234">
        <v>0</v>
      </c>
      <c r="U68" s="231">
        <v>0</v>
      </c>
      <c r="V68" s="234">
        <v>0</v>
      </c>
      <c r="W68" s="231">
        <v>0</v>
      </c>
      <c r="X68" s="234">
        <v>0</v>
      </c>
      <c r="Y68" s="231">
        <v>0</v>
      </c>
      <c r="Z68" s="234">
        <v>0</v>
      </c>
      <c r="AA68" s="231">
        <v>0</v>
      </c>
      <c r="AB68" s="234">
        <v>0</v>
      </c>
      <c r="AC68" s="238">
        <f t="shared" si="3"/>
        <v>10.090833333333332</v>
      </c>
      <c r="AD68" s="238"/>
      <c r="AE68" s="238"/>
    </row>
    <row r="69" spans="2:31" x14ac:dyDescent="0.3">
      <c r="B69" s="245" t="s">
        <v>43</v>
      </c>
      <c r="C69" s="245"/>
      <c r="D69" s="245"/>
      <c r="E69" s="231">
        <v>0</v>
      </c>
      <c r="F69" s="234">
        <v>0</v>
      </c>
      <c r="G69" s="231">
        <v>0</v>
      </c>
      <c r="H69" s="234">
        <v>0</v>
      </c>
      <c r="I69" s="231">
        <v>0</v>
      </c>
      <c r="J69" s="234">
        <v>0</v>
      </c>
      <c r="K69" s="231">
        <v>0</v>
      </c>
      <c r="L69" s="234">
        <v>0</v>
      </c>
      <c r="M69" s="231">
        <v>16.025166666666667</v>
      </c>
      <c r="N69" s="234">
        <v>61.975333333333346</v>
      </c>
      <c r="O69" s="231">
        <v>60.235666666666624</v>
      </c>
      <c r="P69" s="234">
        <v>27.126999999999999</v>
      </c>
      <c r="Q69" s="231">
        <v>11.166500000000015</v>
      </c>
      <c r="R69" s="234">
        <v>0</v>
      </c>
      <c r="S69" s="231">
        <v>7.3141666666666616</v>
      </c>
      <c r="T69" s="234">
        <v>6.9503333333333464</v>
      </c>
      <c r="U69" s="231">
        <v>5.086333333333334</v>
      </c>
      <c r="V69" s="234">
        <v>4.2233333333333292</v>
      </c>
      <c r="W69" s="231">
        <v>2.2001666666666657</v>
      </c>
      <c r="X69" s="234">
        <v>0</v>
      </c>
      <c r="Y69" s="231">
        <v>0</v>
      </c>
      <c r="Z69" s="234">
        <v>0</v>
      </c>
      <c r="AA69" s="231">
        <v>0</v>
      </c>
      <c r="AB69" s="234">
        <v>0</v>
      </c>
      <c r="AC69" s="238">
        <f t="shared" si="3"/>
        <v>202.30399999999997</v>
      </c>
      <c r="AD69" s="238"/>
      <c r="AE69" s="238"/>
    </row>
    <row r="70" spans="2:31" x14ac:dyDescent="0.3">
      <c r="B70" s="245" t="s">
        <v>44</v>
      </c>
      <c r="C70" s="245"/>
      <c r="D70" s="245"/>
      <c r="E70" s="231">
        <v>0</v>
      </c>
      <c r="F70" s="234">
        <v>0</v>
      </c>
      <c r="G70" s="231">
        <v>0</v>
      </c>
      <c r="H70" s="234">
        <v>0</v>
      </c>
      <c r="I70" s="231">
        <v>0</v>
      </c>
      <c r="J70" s="234">
        <v>0</v>
      </c>
      <c r="K70" s="231">
        <v>0</v>
      </c>
      <c r="L70" s="234">
        <v>0</v>
      </c>
      <c r="M70" s="231">
        <v>7.3325000000000005</v>
      </c>
      <c r="N70" s="234">
        <v>16.210666666666647</v>
      </c>
      <c r="O70" s="231">
        <v>0</v>
      </c>
      <c r="P70" s="234">
        <v>15.597000000000014</v>
      </c>
      <c r="Q70" s="231">
        <v>2.6921666666666679</v>
      </c>
      <c r="R70" s="234">
        <v>7.9999999999995925E-3</v>
      </c>
      <c r="S70" s="231">
        <v>0</v>
      </c>
      <c r="T70" s="234">
        <v>1.0868333333333309</v>
      </c>
      <c r="U70" s="231">
        <v>1.3068333333333393</v>
      </c>
      <c r="V70" s="234">
        <v>0</v>
      </c>
      <c r="W70" s="231">
        <v>0</v>
      </c>
      <c r="X70" s="234">
        <v>0</v>
      </c>
      <c r="Y70" s="231">
        <v>0</v>
      </c>
      <c r="Z70" s="234">
        <v>0</v>
      </c>
      <c r="AA70" s="231">
        <v>0</v>
      </c>
      <c r="AB70" s="234">
        <v>0</v>
      </c>
      <c r="AC70" s="238">
        <f t="shared" si="3"/>
        <v>44.233999999999995</v>
      </c>
      <c r="AD70" s="238"/>
      <c r="AE70" s="238"/>
    </row>
    <row r="71" spans="2:31" x14ac:dyDescent="0.3">
      <c r="B71" s="245" t="s">
        <v>45</v>
      </c>
      <c r="C71" s="245"/>
      <c r="D71" s="245"/>
      <c r="E71" s="231">
        <v>0</v>
      </c>
      <c r="F71" s="234">
        <v>0</v>
      </c>
      <c r="G71" s="231">
        <v>0</v>
      </c>
      <c r="H71" s="234">
        <v>0</v>
      </c>
      <c r="I71" s="231">
        <v>0</v>
      </c>
      <c r="J71" s="234">
        <v>0</v>
      </c>
      <c r="K71" s="231">
        <v>0</v>
      </c>
      <c r="L71" s="234">
        <v>0</v>
      </c>
      <c r="M71" s="231">
        <v>2.8930000000000002</v>
      </c>
      <c r="N71" s="234">
        <v>1.7311666666666661</v>
      </c>
      <c r="O71" s="231">
        <v>10.330000000000004</v>
      </c>
      <c r="P71" s="234">
        <v>14.843</v>
      </c>
      <c r="Q71" s="231">
        <v>9.1279999999999895</v>
      </c>
      <c r="R71" s="234">
        <v>0</v>
      </c>
      <c r="S71" s="231">
        <v>0</v>
      </c>
      <c r="T71" s="234">
        <v>0</v>
      </c>
      <c r="U71" s="231">
        <v>18.34</v>
      </c>
      <c r="V71" s="234">
        <v>7.2400000000000055</v>
      </c>
      <c r="W71" s="231">
        <v>0</v>
      </c>
      <c r="X71" s="234">
        <v>9.8666666666666666E-2</v>
      </c>
      <c r="Y71" s="231">
        <v>0</v>
      </c>
      <c r="Z71" s="234">
        <v>0</v>
      </c>
      <c r="AA71" s="231">
        <v>0</v>
      </c>
      <c r="AB71" s="234">
        <v>0</v>
      </c>
      <c r="AC71" s="238">
        <f t="shared" si="3"/>
        <v>64.603833333333341</v>
      </c>
      <c r="AD71" s="238"/>
      <c r="AE71" s="238"/>
    </row>
    <row r="72" spans="2:31" x14ac:dyDescent="0.3">
      <c r="B72" s="245" t="s">
        <v>46</v>
      </c>
      <c r="C72" s="245"/>
      <c r="D72" s="245"/>
      <c r="E72" s="231">
        <v>0</v>
      </c>
      <c r="F72" s="234">
        <v>0</v>
      </c>
      <c r="G72" s="231">
        <v>0</v>
      </c>
      <c r="H72" s="234">
        <v>0</v>
      </c>
      <c r="I72" s="231">
        <v>0</v>
      </c>
      <c r="J72" s="234">
        <v>0</v>
      </c>
      <c r="K72" s="231">
        <v>0</v>
      </c>
      <c r="L72" s="234">
        <v>0</v>
      </c>
      <c r="M72" s="231">
        <v>8.926499999999999</v>
      </c>
      <c r="N72" s="234">
        <v>16.575166666666643</v>
      </c>
      <c r="O72" s="231">
        <v>21.762999999999991</v>
      </c>
      <c r="P72" s="234">
        <v>24.867666666666661</v>
      </c>
      <c r="Q72" s="231">
        <v>15.493500000000006</v>
      </c>
      <c r="R72" s="234">
        <v>44.200666666666685</v>
      </c>
      <c r="S72" s="231">
        <v>42.939666666666653</v>
      </c>
      <c r="T72" s="234">
        <v>37.661833333333362</v>
      </c>
      <c r="U72" s="231">
        <v>0</v>
      </c>
      <c r="V72" s="234">
        <v>0</v>
      </c>
      <c r="W72" s="231">
        <v>0</v>
      </c>
      <c r="X72" s="234">
        <v>0</v>
      </c>
      <c r="Y72" s="231">
        <v>0</v>
      </c>
      <c r="Z72" s="234">
        <v>0</v>
      </c>
      <c r="AA72" s="231">
        <v>0</v>
      </c>
      <c r="AB72" s="234">
        <v>0</v>
      </c>
      <c r="AC72" s="238">
        <f t="shared" si="3"/>
        <v>212.428</v>
      </c>
      <c r="AD72" s="238"/>
      <c r="AE72" s="238"/>
    </row>
    <row r="73" spans="2:31" x14ac:dyDescent="0.3">
      <c r="B73" s="245" t="s">
        <v>47</v>
      </c>
      <c r="C73" s="245"/>
      <c r="D73" s="245"/>
      <c r="E73" s="231">
        <v>0</v>
      </c>
      <c r="F73" s="234">
        <v>0</v>
      </c>
      <c r="G73" s="231">
        <v>0</v>
      </c>
      <c r="H73" s="234">
        <v>0</v>
      </c>
      <c r="I73" s="231">
        <v>0</v>
      </c>
      <c r="J73" s="234">
        <v>0</v>
      </c>
      <c r="K73" s="231">
        <v>0</v>
      </c>
      <c r="L73" s="234">
        <v>0</v>
      </c>
      <c r="M73" s="231">
        <v>1.8279999999999992</v>
      </c>
      <c r="N73" s="234">
        <v>9.6699999999999982</v>
      </c>
      <c r="O73" s="231">
        <v>9.4254999999999978</v>
      </c>
      <c r="P73" s="234">
        <v>4.8203333333333296</v>
      </c>
      <c r="Q73" s="231">
        <v>1.0258333333333358</v>
      </c>
      <c r="R73" s="234">
        <v>5.6998333333333324</v>
      </c>
      <c r="S73" s="231">
        <v>11.169999999999993</v>
      </c>
      <c r="T73" s="234">
        <v>11.470000000000017</v>
      </c>
      <c r="U73" s="231">
        <v>10.970000000000017</v>
      </c>
      <c r="V73" s="234">
        <v>10.070000000000002</v>
      </c>
      <c r="W73" s="231">
        <v>4.1094999999999953</v>
      </c>
      <c r="X73" s="234">
        <v>0</v>
      </c>
      <c r="Y73" s="231">
        <v>0</v>
      </c>
      <c r="Z73" s="234">
        <v>0</v>
      </c>
      <c r="AA73" s="231">
        <v>0</v>
      </c>
      <c r="AB73" s="234">
        <v>0</v>
      </c>
      <c r="AC73" s="238">
        <f t="shared" si="3"/>
        <v>80.259000000000029</v>
      </c>
      <c r="AD73" s="238"/>
      <c r="AE73" s="238"/>
    </row>
    <row r="74" spans="2:31" x14ac:dyDescent="0.3">
      <c r="B74" s="245" t="s">
        <v>48</v>
      </c>
      <c r="C74" s="245"/>
      <c r="D74" s="245"/>
      <c r="E74" s="231">
        <v>0</v>
      </c>
      <c r="F74" s="234">
        <v>0</v>
      </c>
      <c r="G74" s="231">
        <v>0</v>
      </c>
      <c r="H74" s="234">
        <v>0</v>
      </c>
      <c r="I74" s="231">
        <v>0</v>
      </c>
      <c r="J74" s="234">
        <v>0</v>
      </c>
      <c r="K74" s="231">
        <v>0</v>
      </c>
      <c r="L74" s="234">
        <v>0</v>
      </c>
      <c r="M74" s="231">
        <v>1.6</v>
      </c>
      <c r="N74" s="234">
        <v>8.0791666666666586</v>
      </c>
      <c r="O74" s="231">
        <v>7.8450000000000042</v>
      </c>
      <c r="P74" s="234">
        <v>4.0628333333333284</v>
      </c>
      <c r="Q74" s="231">
        <v>0.82999999999999829</v>
      </c>
      <c r="R74" s="234">
        <v>9.1421666666666681</v>
      </c>
      <c r="S74" s="231">
        <v>9.3799999999999972</v>
      </c>
      <c r="T74" s="234">
        <v>9.68</v>
      </c>
      <c r="U74" s="231">
        <v>4.3799999999999972</v>
      </c>
      <c r="V74" s="234">
        <v>8.680000000000005</v>
      </c>
      <c r="W74" s="231">
        <v>4.0975000000000046</v>
      </c>
      <c r="X74" s="234">
        <v>0</v>
      </c>
      <c r="Y74" s="231">
        <v>0</v>
      </c>
      <c r="Z74" s="234">
        <v>0</v>
      </c>
      <c r="AA74" s="231">
        <v>0</v>
      </c>
      <c r="AB74" s="234">
        <v>0</v>
      </c>
      <c r="AC74" s="238">
        <f t="shared" si="3"/>
        <v>67.776666666666657</v>
      </c>
      <c r="AD74" s="238"/>
      <c r="AE74" s="238"/>
    </row>
    <row r="75" spans="2:31" x14ac:dyDescent="0.3">
      <c r="B75" s="245" t="s">
        <v>49</v>
      </c>
      <c r="C75" s="245"/>
      <c r="D75" s="245"/>
      <c r="E75" s="231">
        <v>0</v>
      </c>
      <c r="F75" s="234">
        <v>0</v>
      </c>
      <c r="G75" s="231">
        <v>0</v>
      </c>
      <c r="H75" s="234">
        <v>0</v>
      </c>
      <c r="I75" s="231">
        <v>0</v>
      </c>
      <c r="J75" s="234">
        <v>0</v>
      </c>
      <c r="K75" s="231">
        <v>0</v>
      </c>
      <c r="L75" s="234">
        <v>0</v>
      </c>
      <c r="M75" s="231">
        <v>3.7333333333333336E-2</v>
      </c>
      <c r="N75" s="234">
        <v>0.10083333333333332</v>
      </c>
      <c r="O75" s="231">
        <v>0.17916666666666659</v>
      </c>
      <c r="P75" s="234">
        <v>4.1078333333333337</v>
      </c>
      <c r="Q75" s="231">
        <v>4.1373333333333342</v>
      </c>
      <c r="R75" s="234">
        <v>4.1444999999999999</v>
      </c>
      <c r="S75" s="231">
        <v>4.1534999999999993</v>
      </c>
      <c r="T75" s="234">
        <v>4.1165000000000003</v>
      </c>
      <c r="U75" s="231">
        <v>4.1228333333333342</v>
      </c>
      <c r="V75" s="234">
        <v>4.0879999999999992</v>
      </c>
      <c r="W75" s="231">
        <v>2.3331666666666662</v>
      </c>
      <c r="X75" s="234">
        <v>0</v>
      </c>
      <c r="Y75" s="231">
        <v>0</v>
      </c>
      <c r="Z75" s="234">
        <v>0</v>
      </c>
      <c r="AA75" s="231">
        <v>0</v>
      </c>
      <c r="AB75" s="234">
        <v>0</v>
      </c>
      <c r="AC75" s="238">
        <f t="shared" si="3"/>
        <v>31.521000000000004</v>
      </c>
      <c r="AD75" s="238"/>
      <c r="AE75" s="238"/>
    </row>
    <row r="76" spans="2:31" x14ac:dyDescent="0.3">
      <c r="B76" s="245" t="s">
        <v>50</v>
      </c>
      <c r="C76" s="245"/>
      <c r="D76" s="245"/>
      <c r="E76" s="231">
        <v>0</v>
      </c>
      <c r="F76" s="234">
        <v>0</v>
      </c>
      <c r="G76" s="231">
        <v>0</v>
      </c>
      <c r="H76" s="234">
        <v>0</v>
      </c>
      <c r="I76" s="231">
        <v>0</v>
      </c>
      <c r="J76" s="234">
        <v>0</v>
      </c>
      <c r="K76" s="231">
        <v>0</v>
      </c>
      <c r="L76" s="234">
        <v>0</v>
      </c>
      <c r="M76" s="231">
        <v>9.586333333333334</v>
      </c>
      <c r="N76" s="234">
        <v>42.085333333333338</v>
      </c>
      <c r="O76" s="231">
        <v>34.022166666666664</v>
      </c>
      <c r="P76" s="234">
        <v>17.334499999999988</v>
      </c>
      <c r="Q76" s="231">
        <v>2.8273333333333306</v>
      </c>
      <c r="R76" s="234">
        <v>3.9681666666666673</v>
      </c>
      <c r="S76" s="231">
        <v>0</v>
      </c>
      <c r="T76" s="234">
        <v>0</v>
      </c>
      <c r="U76" s="231">
        <v>0</v>
      </c>
      <c r="V76" s="234">
        <v>1.545333333333331</v>
      </c>
      <c r="W76" s="231">
        <v>1.7333333333333201E-2</v>
      </c>
      <c r="X76" s="234">
        <v>0</v>
      </c>
      <c r="Y76" s="231">
        <v>0</v>
      </c>
      <c r="Z76" s="234">
        <v>0</v>
      </c>
      <c r="AA76" s="231">
        <v>0</v>
      </c>
      <c r="AB76" s="234">
        <v>0</v>
      </c>
      <c r="AC76" s="238">
        <f t="shared" si="3"/>
        <v>111.38649999999998</v>
      </c>
      <c r="AD76" s="238"/>
      <c r="AE76" s="238"/>
    </row>
    <row r="77" spans="2:31" x14ac:dyDescent="0.3">
      <c r="B77" s="245" t="s">
        <v>97</v>
      </c>
      <c r="C77" s="245"/>
      <c r="D77" s="245"/>
      <c r="E77" s="231">
        <v>0</v>
      </c>
      <c r="F77" s="234">
        <v>0</v>
      </c>
      <c r="G77" s="231">
        <v>0</v>
      </c>
      <c r="H77" s="234">
        <v>0</v>
      </c>
      <c r="I77" s="231">
        <v>0</v>
      </c>
      <c r="J77" s="234">
        <v>0</v>
      </c>
      <c r="K77" s="231">
        <v>0</v>
      </c>
      <c r="L77" s="234">
        <v>0</v>
      </c>
      <c r="M77" s="231">
        <v>0</v>
      </c>
      <c r="N77" s="234">
        <v>0</v>
      </c>
      <c r="O77" s="231">
        <v>0</v>
      </c>
      <c r="P77" s="234">
        <v>0</v>
      </c>
      <c r="Q77" s="231">
        <v>0</v>
      </c>
      <c r="R77" s="234">
        <v>0</v>
      </c>
      <c r="S77" s="231">
        <v>0</v>
      </c>
      <c r="T77" s="234">
        <v>0</v>
      </c>
      <c r="U77" s="231">
        <v>0</v>
      </c>
      <c r="V77" s="234">
        <v>0</v>
      </c>
      <c r="W77" s="231">
        <v>0</v>
      </c>
      <c r="X77" s="234">
        <v>0</v>
      </c>
      <c r="Y77" s="231">
        <v>0</v>
      </c>
      <c r="Z77" s="234">
        <v>0</v>
      </c>
      <c r="AA77" s="231">
        <v>0</v>
      </c>
      <c r="AB77" s="234">
        <v>0</v>
      </c>
      <c r="AC77" s="238">
        <f t="shared" si="3"/>
        <v>0</v>
      </c>
      <c r="AD77" s="238"/>
      <c r="AE77" s="238"/>
    </row>
    <row r="78" spans="2:31" x14ac:dyDescent="0.3">
      <c r="B78" s="245" t="s">
        <v>51</v>
      </c>
      <c r="C78" s="245"/>
      <c r="D78" s="245"/>
      <c r="E78" s="231">
        <v>0</v>
      </c>
      <c r="F78" s="234">
        <v>0</v>
      </c>
      <c r="G78" s="231">
        <v>0</v>
      </c>
      <c r="H78" s="234">
        <v>0</v>
      </c>
      <c r="I78" s="231">
        <v>0</v>
      </c>
      <c r="J78" s="234">
        <v>0</v>
      </c>
      <c r="K78" s="231">
        <v>0</v>
      </c>
      <c r="L78" s="234">
        <v>0</v>
      </c>
      <c r="M78" s="231">
        <v>11.354833333333328</v>
      </c>
      <c r="N78" s="234">
        <v>40.322833333333342</v>
      </c>
      <c r="O78" s="231">
        <v>41.302333333333351</v>
      </c>
      <c r="P78" s="234">
        <v>43.125500000000002</v>
      </c>
      <c r="Q78" s="231">
        <v>42.57650000000001</v>
      </c>
      <c r="R78" s="234">
        <v>37.907666666666657</v>
      </c>
      <c r="S78" s="231">
        <v>38.144333333333336</v>
      </c>
      <c r="T78" s="234">
        <v>39.468166666666676</v>
      </c>
      <c r="U78" s="231">
        <v>44.524166666666673</v>
      </c>
      <c r="V78" s="234">
        <v>44.404666666666657</v>
      </c>
      <c r="W78" s="231">
        <v>26.089999999999993</v>
      </c>
      <c r="X78" s="234">
        <v>0</v>
      </c>
      <c r="Y78" s="231">
        <v>0</v>
      </c>
      <c r="Z78" s="234">
        <v>0</v>
      </c>
      <c r="AA78" s="231">
        <v>0</v>
      </c>
      <c r="AB78" s="234">
        <v>0</v>
      </c>
      <c r="AC78" s="238">
        <f t="shared" si="3"/>
        <v>409.22100000000006</v>
      </c>
      <c r="AD78" s="238"/>
      <c r="AE78" s="238"/>
    </row>
    <row r="79" spans="2:31" x14ac:dyDescent="0.3">
      <c r="B79" s="245" t="s">
        <v>52</v>
      </c>
      <c r="C79" s="245"/>
      <c r="D79" s="245"/>
      <c r="E79" s="231">
        <v>0</v>
      </c>
      <c r="F79" s="234">
        <v>0</v>
      </c>
      <c r="G79" s="231">
        <v>0</v>
      </c>
      <c r="H79" s="234">
        <v>0</v>
      </c>
      <c r="I79" s="231">
        <v>0</v>
      </c>
      <c r="J79" s="234">
        <v>0</v>
      </c>
      <c r="K79" s="231">
        <v>0</v>
      </c>
      <c r="L79" s="234">
        <v>0</v>
      </c>
      <c r="M79" s="231">
        <v>0</v>
      </c>
      <c r="N79" s="234">
        <v>0</v>
      </c>
      <c r="O79" s="231">
        <v>0</v>
      </c>
      <c r="P79" s="234">
        <v>0</v>
      </c>
      <c r="Q79" s="231">
        <v>0</v>
      </c>
      <c r="R79" s="234">
        <v>0</v>
      </c>
      <c r="S79" s="231">
        <v>0</v>
      </c>
      <c r="T79" s="234">
        <v>0</v>
      </c>
      <c r="U79" s="231">
        <v>0</v>
      </c>
      <c r="V79" s="234">
        <v>0</v>
      </c>
      <c r="W79" s="231">
        <v>0</v>
      </c>
      <c r="X79" s="234">
        <v>0</v>
      </c>
      <c r="Y79" s="231">
        <v>0</v>
      </c>
      <c r="Z79" s="234">
        <v>0</v>
      </c>
      <c r="AA79" s="231">
        <v>0</v>
      </c>
      <c r="AB79" s="234">
        <v>0</v>
      </c>
      <c r="AC79" s="238">
        <f t="shared" si="3"/>
        <v>0</v>
      </c>
      <c r="AD79" s="238"/>
      <c r="AE79" s="238"/>
    </row>
    <row r="80" spans="2:31" x14ac:dyDescent="0.3">
      <c r="B80" s="245" t="s">
        <v>53</v>
      </c>
      <c r="C80" s="245"/>
      <c r="D80" s="245"/>
      <c r="E80" s="231">
        <v>0</v>
      </c>
      <c r="F80" s="234">
        <v>0</v>
      </c>
      <c r="G80" s="231">
        <v>0</v>
      </c>
      <c r="H80" s="234">
        <v>0</v>
      </c>
      <c r="I80" s="231">
        <v>0</v>
      </c>
      <c r="J80" s="234">
        <v>0</v>
      </c>
      <c r="K80" s="231">
        <v>0</v>
      </c>
      <c r="L80" s="234">
        <v>0</v>
      </c>
      <c r="M80" s="231">
        <v>0</v>
      </c>
      <c r="N80" s="234">
        <v>0.42216666666666497</v>
      </c>
      <c r="O80" s="231">
        <v>1.5269999999999941</v>
      </c>
      <c r="P80" s="234">
        <v>2.3918333333333268</v>
      </c>
      <c r="Q80" s="231">
        <v>1.3996666666666633</v>
      </c>
      <c r="R80" s="234">
        <v>0.12633333333333424</v>
      </c>
      <c r="S80" s="231">
        <v>0.1230000000000049</v>
      </c>
      <c r="T80" s="234">
        <v>0.63700000000000234</v>
      </c>
      <c r="U80" s="231">
        <v>0.45999999999999325</v>
      </c>
      <c r="V80" s="234">
        <v>4.7499999999999667E-2</v>
      </c>
      <c r="W80" s="231">
        <v>3.7576666666666645</v>
      </c>
      <c r="X80" s="234">
        <v>0</v>
      </c>
      <c r="Y80" s="231">
        <v>0</v>
      </c>
      <c r="Z80" s="234">
        <v>0</v>
      </c>
      <c r="AA80" s="231">
        <v>0</v>
      </c>
      <c r="AB80" s="234">
        <v>0</v>
      </c>
      <c r="AC80" s="238">
        <f t="shared" si="3"/>
        <v>10.892166666666647</v>
      </c>
      <c r="AD80" s="238"/>
      <c r="AE80" s="238"/>
    </row>
    <row r="81" spans="2:31" x14ac:dyDescent="0.3">
      <c r="B81" s="245" t="s">
        <v>54</v>
      </c>
      <c r="C81" s="245"/>
      <c r="D81" s="245"/>
      <c r="E81" s="231">
        <v>0</v>
      </c>
      <c r="F81" s="234">
        <v>0</v>
      </c>
      <c r="G81" s="231">
        <v>0</v>
      </c>
      <c r="H81" s="234">
        <v>0</v>
      </c>
      <c r="I81" s="231">
        <v>0</v>
      </c>
      <c r="J81" s="234">
        <v>0</v>
      </c>
      <c r="K81" s="231">
        <v>0</v>
      </c>
      <c r="L81" s="234">
        <v>0</v>
      </c>
      <c r="M81" s="231">
        <v>14.175333333333333</v>
      </c>
      <c r="N81" s="234">
        <v>29.46766666666667</v>
      </c>
      <c r="O81" s="231">
        <v>25.962500000000013</v>
      </c>
      <c r="P81" s="234">
        <v>27.509166666666655</v>
      </c>
      <c r="Q81" s="231">
        <v>11.215000000000002</v>
      </c>
      <c r="R81" s="234">
        <v>8.0599999999999987</v>
      </c>
      <c r="S81" s="231">
        <v>8.570666666666666</v>
      </c>
      <c r="T81" s="234">
        <v>7.409499999999996</v>
      </c>
      <c r="U81" s="231">
        <v>5.9088333333333294</v>
      </c>
      <c r="V81" s="234">
        <v>2.9276666666666649</v>
      </c>
      <c r="W81" s="231">
        <v>6.7499999999999713E-2</v>
      </c>
      <c r="X81" s="234">
        <v>0</v>
      </c>
      <c r="Y81" s="231">
        <v>0</v>
      </c>
      <c r="Z81" s="234">
        <v>0</v>
      </c>
      <c r="AA81" s="231">
        <v>0</v>
      </c>
      <c r="AB81" s="234">
        <v>0</v>
      </c>
      <c r="AC81" s="238">
        <f t="shared" si="3"/>
        <v>141.2738333333333</v>
      </c>
      <c r="AD81" s="238"/>
      <c r="AE81" s="238"/>
    </row>
    <row r="82" spans="2:31" x14ac:dyDescent="0.3">
      <c r="B82" s="245" t="s">
        <v>55</v>
      </c>
      <c r="C82" s="245"/>
      <c r="D82" s="245"/>
      <c r="E82" s="231">
        <v>0</v>
      </c>
      <c r="F82" s="234">
        <v>0</v>
      </c>
      <c r="G82" s="231">
        <v>0</v>
      </c>
      <c r="H82" s="234">
        <v>0</v>
      </c>
      <c r="I82" s="231">
        <v>0</v>
      </c>
      <c r="J82" s="234">
        <v>0</v>
      </c>
      <c r="K82" s="231">
        <v>0</v>
      </c>
      <c r="L82" s="234">
        <v>0</v>
      </c>
      <c r="M82" s="231">
        <v>21.811999999999994</v>
      </c>
      <c r="N82" s="234">
        <v>27.367833333333369</v>
      </c>
      <c r="O82" s="231">
        <v>31.069999999999983</v>
      </c>
      <c r="P82" s="234">
        <v>30.128500000000006</v>
      </c>
      <c r="Q82" s="231">
        <v>15.299833333333343</v>
      </c>
      <c r="R82" s="234">
        <v>10.83</v>
      </c>
      <c r="S82" s="231">
        <v>11.129999999999995</v>
      </c>
      <c r="T82" s="234">
        <v>9.8299999999999947</v>
      </c>
      <c r="U82" s="231">
        <v>7.1299999999999955</v>
      </c>
      <c r="V82" s="234">
        <v>1.9300000000000068</v>
      </c>
      <c r="W82" s="231">
        <v>6.6666666666653405E-4</v>
      </c>
      <c r="X82" s="234">
        <v>0</v>
      </c>
      <c r="Y82" s="231">
        <v>0</v>
      </c>
      <c r="Z82" s="234">
        <v>0</v>
      </c>
      <c r="AA82" s="231">
        <v>0</v>
      </c>
      <c r="AB82" s="234">
        <v>0</v>
      </c>
      <c r="AC82" s="238">
        <f t="shared" si="3"/>
        <v>166.52883333333332</v>
      </c>
      <c r="AD82" s="238"/>
      <c r="AE82" s="238"/>
    </row>
    <row r="83" spans="2:31" x14ac:dyDescent="0.3">
      <c r="B83" s="245" t="s">
        <v>56</v>
      </c>
      <c r="C83" s="245"/>
      <c r="D83" s="245"/>
      <c r="E83" s="231">
        <v>0</v>
      </c>
      <c r="F83" s="234">
        <v>0</v>
      </c>
      <c r="G83" s="231">
        <v>0</v>
      </c>
      <c r="H83" s="234">
        <v>0</v>
      </c>
      <c r="I83" s="231">
        <v>0</v>
      </c>
      <c r="J83" s="234">
        <v>0</v>
      </c>
      <c r="K83" s="231">
        <v>0</v>
      </c>
      <c r="L83" s="234">
        <v>0</v>
      </c>
      <c r="M83" s="231">
        <v>11.32433333333333</v>
      </c>
      <c r="N83" s="234">
        <v>41.505166666666632</v>
      </c>
      <c r="O83" s="231">
        <v>30.640333333333338</v>
      </c>
      <c r="P83" s="234">
        <v>17.481333333333335</v>
      </c>
      <c r="Q83" s="231">
        <v>9.3176666666666677</v>
      </c>
      <c r="R83" s="234">
        <v>7.3958333333333277</v>
      </c>
      <c r="S83" s="231">
        <v>7.7266666666666701</v>
      </c>
      <c r="T83" s="234">
        <v>8.0563333333333329</v>
      </c>
      <c r="U83" s="231">
        <v>7.5406666666666631</v>
      </c>
      <c r="V83" s="234">
        <v>6.2521666666666675</v>
      </c>
      <c r="W83" s="231">
        <v>0</v>
      </c>
      <c r="X83" s="234">
        <v>0</v>
      </c>
      <c r="Y83" s="231">
        <v>0</v>
      </c>
      <c r="Z83" s="234">
        <v>0</v>
      </c>
      <c r="AA83" s="231">
        <v>0</v>
      </c>
      <c r="AB83" s="234">
        <v>0</v>
      </c>
      <c r="AC83" s="238">
        <f t="shared" si="3"/>
        <v>147.24049999999994</v>
      </c>
      <c r="AD83" s="238"/>
      <c r="AE83" s="238"/>
    </row>
    <row r="84" spans="2:31" x14ac:dyDescent="0.3">
      <c r="B84" s="245" t="s">
        <v>94</v>
      </c>
      <c r="C84" s="245"/>
      <c r="D84" s="245"/>
      <c r="E84" s="231">
        <v>0</v>
      </c>
      <c r="F84" s="234">
        <v>0</v>
      </c>
      <c r="G84" s="231">
        <v>0</v>
      </c>
      <c r="H84" s="234">
        <v>0</v>
      </c>
      <c r="I84" s="231">
        <v>0</v>
      </c>
      <c r="J84" s="234">
        <v>0</v>
      </c>
      <c r="K84" s="231">
        <v>0</v>
      </c>
      <c r="L84" s="234">
        <v>0</v>
      </c>
      <c r="M84" s="231">
        <v>0</v>
      </c>
      <c r="N84" s="234">
        <v>0</v>
      </c>
      <c r="O84" s="231">
        <v>0</v>
      </c>
      <c r="P84" s="234">
        <v>0</v>
      </c>
      <c r="Q84" s="231">
        <v>0</v>
      </c>
      <c r="R84" s="234">
        <v>0</v>
      </c>
      <c r="S84" s="231">
        <v>0</v>
      </c>
      <c r="T84" s="234">
        <v>0</v>
      </c>
      <c r="U84" s="231">
        <v>0</v>
      </c>
      <c r="V84" s="234">
        <v>0</v>
      </c>
      <c r="W84" s="231">
        <v>0</v>
      </c>
      <c r="X84" s="234">
        <v>0</v>
      </c>
      <c r="Y84" s="231">
        <v>0</v>
      </c>
      <c r="Z84" s="234">
        <v>0</v>
      </c>
      <c r="AA84" s="231">
        <v>0</v>
      </c>
      <c r="AB84" s="234">
        <v>0</v>
      </c>
      <c r="AC84" s="238">
        <f t="shared" si="3"/>
        <v>0</v>
      </c>
      <c r="AD84" s="238"/>
      <c r="AE84" s="238"/>
    </row>
    <row r="85" spans="2:31" x14ac:dyDescent="0.3">
      <c r="B85" s="245" t="s">
        <v>57</v>
      </c>
      <c r="C85" s="245"/>
      <c r="D85" s="245"/>
      <c r="E85" s="231">
        <v>0</v>
      </c>
      <c r="F85" s="234">
        <v>0</v>
      </c>
      <c r="G85" s="231">
        <v>0</v>
      </c>
      <c r="H85" s="234">
        <v>0</v>
      </c>
      <c r="I85" s="231">
        <v>0</v>
      </c>
      <c r="J85" s="234">
        <v>0</v>
      </c>
      <c r="K85" s="231">
        <v>0</v>
      </c>
      <c r="L85" s="234">
        <v>0</v>
      </c>
      <c r="M85" s="231">
        <v>3.9001666666666663</v>
      </c>
      <c r="N85" s="234">
        <v>14.61033333333334</v>
      </c>
      <c r="O85" s="231">
        <v>7.9556666666666693</v>
      </c>
      <c r="P85" s="234">
        <v>3.7876666666666652</v>
      </c>
      <c r="Q85" s="231">
        <v>1.272166666666666</v>
      </c>
      <c r="R85" s="234">
        <v>0.19200000000000095</v>
      </c>
      <c r="S85" s="231">
        <v>8.4999999999999069E-3</v>
      </c>
      <c r="T85" s="234">
        <v>0.42083333333333311</v>
      </c>
      <c r="U85" s="231">
        <v>1.1718333333333331</v>
      </c>
      <c r="V85" s="234">
        <v>0.33750000000000091</v>
      </c>
      <c r="W85" s="231">
        <v>0</v>
      </c>
      <c r="X85" s="234">
        <v>0</v>
      </c>
      <c r="Y85" s="231">
        <v>0</v>
      </c>
      <c r="Z85" s="234">
        <v>0</v>
      </c>
      <c r="AA85" s="231">
        <v>0</v>
      </c>
      <c r="AB85" s="234">
        <v>0</v>
      </c>
      <c r="AC85" s="238">
        <f t="shared" si="3"/>
        <v>33.656666666666673</v>
      </c>
      <c r="AD85" s="238"/>
      <c r="AE85" s="238"/>
    </row>
    <row r="86" spans="2:31" x14ac:dyDescent="0.3">
      <c r="B86" s="245" t="s">
        <v>58</v>
      </c>
      <c r="C86" s="245"/>
      <c r="D86" s="245"/>
      <c r="E86" s="231">
        <v>0</v>
      </c>
      <c r="F86" s="234">
        <v>0</v>
      </c>
      <c r="G86" s="231">
        <v>0</v>
      </c>
      <c r="H86" s="234">
        <v>0</v>
      </c>
      <c r="I86" s="231">
        <v>0</v>
      </c>
      <c r="J86" s="234">
        <v>0</v>
      </c>
      <c r="K86" s="231">
        <v>0</v>
      </c>
      <c r="L86" s="234">
        <v>0</v>
      </c>
      <c r="M86" s="231">
        <v>11.036</v>
      </c>
      <c r="N86" s="234">
        <v>46.20883333333331</v>
      </c>
      <c r="O86" s="231">
        <v>29.95916666666669</v>
      </c>
      <c r="P86" s="234">
        <v>17.034499999999994</v>
      </c>
      <c r="Q86" s="231">
        <v>8.1190000000000015</v>
      </c>
      <c r="R86" s="234">
        <v>1.6245000000000034</v>
      </c>
      <c r="S86" s="231">
        <v>1.2900000000000063</v>
      </c>
      <c r="T86" s="234">
        <v>3.2065000000000028</v>
      </c>
      <c r="U86" s="231">
        <v>8.1298333333333286</v>
      </c>
      <c r="V86" s="234">
        <v>7.2188333333333254</v>
      </c>
      <c r="W86" s="231">
        <v>3.4333333333333368E-2</v>
      </c>
      <c r="X86" s="234">
        <v>0</v>
      </c>
      <c r="Y86" s="231">
        <v>0</v>
      </c>
      <c r="Z86" s="234">
        <v>0</v>
      </c>
      <c r="AA86" s="231">
        <v>0</v>
      </c>
      <c r="AB86" s="234">
        <v>0</v>
      </c>
      <c r="AC86" s="238">
        <f t="shared" si="3"/>
        <v>133.86150000000001</v>
      </c>
      <c r="AD86" s="238"/>
      <c r="AE86" s="238"/>
    </row>
    <row r="87" spans="2:31" x14ac:dyDescent="0.3">
      <c r="B87" s="245" t="s">
        <v>95</v>
      </c>
      <c r="C87" s="245"/>
      <c r="D87" s="245"/>
      <c r="E87" s="231">
        <v>0</v>
      </c>
      <c r="F87" s="234">
        <v>0</v>
      </c>
      <c r="G87" s="231">
        <v>0</v>
      </c>
      <c r="H87" s="234">
        <v>0</v>
      </c>
      <c r="I87" s="231">
        <v>0</v>
      </c>
      <c r="J87" s="234">
        <v>0</v>
      </c>
      <c r="K87" s="231">
        <v>0</v>
      </c>
      <c r="L87" s="234">
        <v>0</v>
      </c>
      <c r="M87" s="231">
        <v>0</v>
      </c>
      <c r="N87" s="234">
        <v>0</v>
      </c>
      <c r="O87" s="231">
        <v>0</v>
      </c>
      <c r="P87" s="234">
        <v>0</v>
      </c>
      <c r="Q87" s="231">
        <v>0</v>
      </c>
      <c r="R87" s="234">
        <v>0</v>
      </c>
      <c r="S87" s="231">
        <v>0</v>
      </c>
      <c r="T87" s="234">
        <v>0</v>
      </c>
      <c r="U87" s="231">
        <v>0</v>
      </c>
      <c r="V87" s="234">
        <v>0</v>
      </c>
      <c r="W87" s="231">
        <v>0</v>
      </c>
      <c r="X87" s="234">
        <v>0</v>
      </c>
      <c r="Y87" s="231">
        <v>0</v>
      </c>
      <c r="Z87" s="234">
        <v>0</v>
      </c>
      <c r="AA87" s="231">
        <v>0</v>
      </c>
      <c r="AB87" s="234">
        <v>0</v>
      </c>
      <c r="AC87" s="238">
        <f t="shared" si="3"/>
        <v>0</v>
      </c>
      <c r="AD87" s="238"/>
      <c r="AE87" s="238"/>
    </row>
    <row r="88" spans="2:31" x14ac:dyDescent="0.3">
      <c r="B88" s="245" t="s">
        <v>59</v>
      </c>
      <c r="C88" s="245"/>
      <c r="D88" s="245"/>
      <c r="E88" s="231">
        <v>0</v>
      </c>
      <c r="F88" s="234">
        <v>0</v>
      </c>
      <c r="G88" s="231">
        <v>0</v>
      </c>
      <c r="H88" s="234">
        <v>0</v>
      </c>
      <c r="I88" s="231">
        <v>0</v>
      </c>
      <c r="J88" s="234">
        <v>0</v>
      </c>
      <c r="K88" s="231">
        <v>0</v>
      </c>
      <c r="L88" s="234">
        <v>0</v>
      </c>
      <c r="M88" s="231">
        <v>13.260999999999997</v>
      </c>
      <c r="N88" s="234">
        <v>18.442333333333337</v>
      </c>
      <c r="O88" s="231">
        <v>14.871</v>
      </c>
      <c r="P88" s="234">
        <v>16.041666666666668</v>
      </c>
      <c r="Q88" s="231">
        <v>16.986499999999999</v>
      </c>
      <c r="R88" s="234">
        <v>13.90066666666667</v>
      </c>
      <c r="S88" s="231">
        <v>15.67</v>
      </c>
      <c r="T88" s="234">
        <v>16.865833333333345</v>
      </c>
      <c r="U88" s="231">
        <v>16.641833333333345</v>
      </c>
      <c r="V88" s="234">
        <v>0</v>
      </c>
      <c r="W88" s="231">
        <v>8.7015000000000029</v>
      </c>
      <c r="X88" s="234">
        <v>0</v>
      </c>
      <c r="Y88" s="231">
        <v>0</v>
      </c>
      <c r="Z88" s="234">
        <v>0</v>
      </c>
      <c r="AA88" s="231">
        <v>0</v>
      </c>
      <c r="AB88" s="234">
        <v>0</v>
      </c>
      <c r="AC88" s="238">
        <f t="shared" si="3"/>
        <v>151.38233333333335</v>
      </c>
      <c r="AD88" s="238"/>
      <c r="AE88" s="238"/>
    </row>
    <row r="89" spans="2:31" x14ac:dyDescent="0.3">
      <c r="B89" s="245" t="s">
        <v>60</v>
      </c>
      <c r="C89" s="245"/>
      <c r="D89" s="245"/>
      <c r="E89" s="231">
        <v>0</v>
      </c>
      <c r="F89" s="234">
        <v>0</v>
      </c>
      <c r="G89" s="231">
        <v>0</v>
      </c>
      <c r="H89" s="234">
        <v>0</v>
      </c>
      <c r="I89" s="231">
        <v>0</v>
      </c>
      <c r="J89" s="234">
        <v>0</v>
      </c>
      <c r="K89" s="231">
        <v>0</v>
      </c>
      <c r="L89" s="234">
        <v>0</v>
      </c>
      <c r="M89" s="231">
        <v>9.6666666666666661</v>
      </c>
      <c r="N89" s="234">
        <v>15.767500000000002</v>
      </c>
      <c r="O89" s="231">
        <v>0</v>
      </c>
      <c r="P89" s="234">
        <v>0</v>
      </c>
      <c r="Q89" s="231">
        <v>0</v>
      </c>
      <c r="R89" s="234">
        <v>0</v>
      </c>
      <c r="S89" s="231">
        <v>0</v>
      </c>
      <c r="T89" s="234">
        <v>0.70483333333333331</v>
      </c>
      <c r="U89" s="231">
        <v>2.5001666666666664</v>
      </c>
      <c r="V89" s="234">
        <v>0</v>
      </c>
      <c r="W89" s="231">
        <v>0</v>
      </c>
      <c r="X89" s="234">
        <v>0</v>
      </c>
      <c r="Y89" s="231">
        <v>0</v>
      </c>
      <c r="Z89" s="234">
        <v>0</v>
      </c>
      <c r="AA89" s="231">
        <v>0</v>
      </c>
      <c r="AB89" s="234">
        <v>0</v>
      </c>
      <c r="AC89" s="238">
        <f t="shared" si="3"/>
        <v>28.639166666666668</v>
      </c>
      <c r="AD89" s="238"/>
      <c r="AE89" s="238"/>
    </row>
    <row r="90" spans="2:31" x14ac:dyDescent="0.3">
      <c r="B90" s="245" t="s">
        <v>61</v>
      </c>
      <c r="C90" s="245"/>
      <c r="D90" s="245"/>
      <c r="E90" s="231">
        <v>0</v>
      </c>
      <c r="F90" s="234">
        <v>0</v>
      </c>
      <c r="G90" s="231">
        <v>0</v>
      </c>
      <c r="H90" s="234">
        <v>0</v>
      </c>
      <c r="I90" s="231">
        <v>0</v>
      </c>
      <c r="J90" s="234">
        <v>0</v>
      </c>
      <c r="K90" s="231">
        <v>0</v>
      </c>
      <c r="L90" s="234">
        <v>0</v>
      </c>
      <c r="M90" s="231">
        <v>9.525166666666669</v>
      </c>
      <c r="N90" s="234">
        <v>11.118166666666665</v>
      </c>
      <c r="O90" s="231">
        <v>0</v>
      </c>
      <c r="P90" s="234">
        <v>0</v>
      </c>
      <c r="Q90" s="231">
        <v>0</v>
      </c>
      <c r="R90" s="234">
        <v>0</v>
      </c>
      <c r="S90" s="231">
        <v>0</v>
      </c>
      <c r="T90" s="234">
        <v>0</v>
      </c>
      <c r="U90" s="231">
        <v>0</v>
      </c>
      <c r="V90" s="234">
        <v>0</v>
      </c>
      <c r="W90" s="231">
        <v>0</v>
      </c>
      <c r="X90" s="234">
        <v>0</v>
      </c>
      <c r="Y90" s="231">
        <v>0</v>
      </c>
      <c r="Z90" s="234">
        <v>0</v>
      </c>
      <c r="AA90" s="231">
        <v>0</v>
      </c>
      <c r="AB90" s="234">
        <v>0</v>
      </c>
      <c r="AC90" s="238">
        <f t="shared" si="3"/>
        <v>20.643333333333334</v>
      </c>
      <c r="AD90" s="238"/>
      <c r="AE90" s="238"/>
    </row>
    <row r="91" spans="2:31" x14ac:dyDescent="0.3">
      <c r="B91" s="245" t="s">
        <v>62</v>
      </c>
      <c r="C91" s="245"/>
      <c r="D91" s="245"/>
      <c r="E91" s="231">
        <v>0</v>
      </c>
      <c r="F91" s="234">
        <v>0</v>
      </c>
      <c r="G91" s="231">
        <v>0</v>
      </c>
      <c r="H91" s="234">
        <v>0</v>
      </c>
      <c r="I91" s="231">
        <v>0</v>
      </c>
      <c r="J91" s="234">
        <v>0</v>
      </c>
      <c r="K91" s="231">
        <v>0</v>
      </c>
      <c r="L91" s="234">
        <v>0</v>
      </c>
      <c r="M91" s="231">
        <v>7.1341666666666672</v>
      </c>
      <c r="N91" s="234">
        <v>3.978166666666668</v>
      </c>
      <c r="O91" s="231">
        <v>11.14849999999999</v>
      </c>
      <c r="P91" s="234">
        <v>12.016166666666662</v>
      </c>
      <c r="Q91" s="231">
        <v>6.4466666666666717</v>
      </c>
      <c r="R91" s="234">
        <v>2.7764999999999991</v>
      </c>
      <c r="S91" s="231">
        <v>3.4044999999999987</v>
      </c>
      <c r="T91" s="234">
        <v>3.2956666666666616</v>
      </c>
      <c r="U91" s="231">
        <v>3.2835000000000005</v>
      </c>
      <c r="V91" s="234">
        <v>2.9703333333333357</v>
      </c>
      <c r="W91" s="231">
        <v>5.0000000000001898E-4</v>
      </c>
      <c r="X91" s="234">
        <v>0</v>
      </c>
      <c r="Y91" s="231">
        <v>0</v>
      </c>
      <c r="Z91" s="234">
        <v>0</v>
      </c>
      <c r="AA91" s="231">
        <v>0</v>
      </c>
      <c r="AB91" s="234">
        <v>0</v>
      </c>
      <c r="AC91" s="238">
        <f t="shared" si="3"/>
        <v>56.454666666666661</v>
      </c>
      <c r="AD91" s="238"/>
      <c r="AE91" s="238"/>
    </row>
    <row r="92" spans="2:31" x14ac:dyDescent="0.3">
      <c r="B92" s="245" t="s">
        <v>63</v>
      </c>
      <c r="C92" s="245"/>
      <c r="D92" s="245"/>
      <c r="E92" s="231">
        <v>0</v>
      </c>
      <c r="F92" s="234">
        <v>0</v>
      </c>
      <c r="G92" s="231">
        <v>0</v>
      </c>
      <c r="H92" s="234">
        <v>0</v>
      </c>
      <c r="I92" s="231">
        <v>0</v>
      </c>
      <c r="J92" s="234">
        <v>0</v>
      </c>
      <c r="K92" s="231">
        <v>0</v>
      </c>
      <c r="L92" s="234">
        <v>0</v>
      </c>
      <c r="M92" s="231">
        <v>54.470833333333317</v>
      </c>
      <c r="N92" s="234">
        <v>84.944500000000005</v>
      </c>
      <c r="O92" s="231">
        <v>73.110833333333346</v>
      </c>
      <c r="P92" s="234">
        <v>60.655333333333346</v>
      </c>
      <c r="Q92" s="231">
        <v>23.602000000000015</v>
      </c>
      <c r="R92" s="234">
        <v>23.453666666666688</v>
      </c>
      <c r="S92" s="231">
        <v>23.260999999999989</v>
      </c>
      <c r="T92" s="234">
        <v>23.242499999999996</v>
      </c>
      <c r="U92" s="231">
        <v>23.331666666666646</v>
      </c>
      <c r="V92" s="234">
        <v>23.680500000000009</v>
      </c>
      <c r="W92" s="231">
        <v>17.569333333333326</v>
      </c>
      <c r="X92" s="234">
        <v>0</v>
      </c>
      <c r="Y92" s="231">
        <v>0</v>
      </c>
      <c r="Z92" s="234">
        <v>0</v>
      </c>
      <c r="AA92" s="231">
        <v>0</v>
      </c>
      <c r="AB92" s="234">
        <v>0</v>
      </c>
      <c r="AC92" s="238">
        <f t="shared" si="3"/>
        <v>431.32216666666665</v>
      </c>
      <c r="AD92" s="238"/>
      <c r="AE92" s="238"/>
    </row>
    <row r="93" spans="2:31" x14ac:dyDescent="0.3">
      <c r="B93" s="245" t="s">
        <v>64</v>
      </c>
      <c r="C93" s="245"/>
      <c r="D93" s="245"/>
      <c r="E93" s="231">
        <v>0</v>
      </c>
      <c r="F93" s="234">
        <v>0</v>
      </c>
      <c r="G93" s="231">
        <v>0</v>
      </c>
      <c r="H93" s="234">
        <v>0</v>
      </c>
      <c r="I93" s="231">
        <v>0</v>
      </c>
      <c r="J93" s="234">
        <v>0</v>
      </c>
      <c r="K93" s="231">
        <v>0</v>
      </c>
      <c r="L93" s="234">
        <v>0</v>
      </c>
      <c r="M93" s="231">
        <v>11.924333333333333</v>
      </c>
      <c r="N93" s="234">
        <v>10.005833333333335</v>
      </c>
      <c r="O93" s="231">
        <v>21.178000000000001</v>
      </c>
      <c r="P93" s="234">
        <v>19.257500000000004</v>
      </c>
      <c r="Q93" s="231">
        <v>8.6818333333333353</v>
      </c>
      <c r="R93" s="234">
        <v>2.4860000000000051</v>
      </c>
      <c r="S93" s="231">
        <v>2.3796666666666657</v>
      </c>
      <c r="T93" s="234">
        <v>3.8333333333333353</v>
      </c>
      <c r="U93" s="231">
        <v>7.0291666666666721</v>
      </c>
      <c r="V93" s="234">
        <v>5.9433333333333298</v>
      </c>
      <c r="W93" s="231">
        <v>0.99249999999999916</v>
      </c>
      <c r="X93" s="234">
        <v>0</v>
      </c>
      <c r="Y93" s="231">
        <v>0</v>
      </c>
      <c r="Z93" s="234">
        <v>0</v>
      </c>
      <c r="AA93" s="231">
        <v>0</v>
      </c>
      <c r="AB93" s="234">
        <v>0</v>
      </c>
      <c r="AC93" s="238">
        <f t="shared" si="3"/>
        <v>93.711499999999987</v>
      </c>
      <c r="AD93" s="238"/>
      <c r="AE93" s="238"/>
    </row>
    <row r="94" spans="2:31" x14ac:dyDescent="0.3">
      <c r="B94" s="245" t="s">
        <v>96</v>
      </c>
      <c r="C94" s="245"/>
      <c r="D94" s="245"/>
      <c r="E94" s="231">
        <v>0</v>
      </c>
      <c r="F94" s="234">
        <v>0</v>
      </c>
      <c r="G94" s="231">
        <v>0</v>
      </c>
      <c r="H94" s="234">
        <v>0</v>
      </c>
      <c r="I94" s="231">
        <v>0</v>
      </c>
      <c r="J94" s="234">
        <v>0</v>
      </c>
      <c r="K94" s="231">
        <v>0</v>
      </c>
      <c r="L94" s="234">
        <v>0</v>
      </c>
      <c r="M94" s="231">
        <v>0</v>
      </c>
      <c r="N94" s="234">
        <v>0</v>
      </c>
      <c r="O94" s="231">
        <v>0</v>
      </c>
      <c r="P94" s="234">
        <v>0</v>
      </c>
      <c r="Q94" s="231">
        <v>0</v>
      </c>
      <c r="R94" s="234">
        <v>0</v>
      </c>
      <c r="S94" s="231">
        <v>0</v>
      </c>
      <c r="T94" s="234">
        <v>0</v>
      </c>
      <c r="U94" s="231">
        <v>0</v>
      </c>
      <c r="V94" s="234">
        <v>0</v>
      </c>
      <c r="W94" s="231">
        <v>0</v>
      </c>
      <c r="X94" s="234">
        <v>0</v>
      </c>
      <c r="Y94" s="231">
        <v>0</v>
      </c>
      <c r="Z94" s="234">
        <v>0</v>
      </c>
      <c r="AA94" s="231">
        <v>0</v>
      </c>
      <c r="AB94" s="234">
        <v>0</v>
      </c>
      <c r="AC94" s="238">
        <f t="shared" si="3"/>
        <v>0</v>
      </c>
      <c r="AD94" s="238"/>
      <c r="AE94" s="238"/>
    </row>
    <row r="95" spans="2:31" x14ac:dyDescent="0.3">
      <c r="B95" s="245" t="s">
        <v>65</v>
      </c>
      <c r="C95" s="245"/>
      <c r="D95" s="245"/>
      <c r="E95" s="231">
        <v>0</v>
      </c>
      <c r="F95" s="234">
        <v>0</v>
      </c>
      <c r="G95" s="231">
        <v>0</v>
      </c>
      <c r="H95" s="234">
        <v>0</v>
      </c>
      <c r="I95" s="231">
        <v>0</v>
      </c>
      <c r="J95" s="234">
        <v>0</v>
      </c>
      <c r="K95" s="231">
        <v>0</v>
      </c>
      <c r="L95" s="234">
        <v>0</v>
      </c>
      <c r="M95" s="231">
        <v>4.2399999999999984</v>
      </c>
      <c r="N95" s="234">
        <v>23</v>
      </c>
      <c r="O95" s="231">
        <v>15.800000000000018</v>
      </c>
      <c r="P95" s="234">
        <v>9.6280000000000037</v>
      </c>
      <c r="Q95" s="231">
        <v>3.6381666666666632</v>
      </c>
      <c r="R95" s="234">
        <v>0.99349999999999761</v>
      </c>
      <c r="S95" s="231">
        <v>1.0368333333333317</v>
      </c>
      <c r="T95" s="234">
        <v>0.87099999999999744</v>
      </c>
      <c r="U95" s="231">
        <v>1.8648333333333313</v>
      </c>
      <c r="V95" s="234">
        <v>0.32666666666666522</v>
      </c>
      <c r="W95" s="231">
        <v>1.2004999999999997</v>
      </c>
      <c r="X95" s="234">
        <v>0</v>
      </c>
      <c r="Y95" s="231">
        <v>0</v>
      </c>
      <c r="Z95" s="234">
        <v>0</v>
      </c>
      <c r="AA95" s="231">
        <v>0</v>
      </c>
      <c r="AB95" s="234">
        <v>0</v>
      </c>
      <c r="AC95" s="238">
        <f t="shared" si="3"/>
        <v>62.599500000000006</v>
      </c>
      <c r="AD95" s="238"/>
      <c r="AE95" s="238"/>
    </row>
    <row r="96" spans="2:31" x14ac:dyDescent="0.3">
      <c r="B96" s="245" t="s">
        <v>66</v>
      </c>
      <c r="C96" s="245"/>
      <c r="D96" s="245"/>
      <c r="E96" s="231">
        <v>0</v>
      </c>
      <c r="F96" s="234">
        <v>0</v>
      </c>
      <c r="G96" s="231">
        <v>0</v>
      </c>
      <c r="H96" s="234">
        <v>0</v>
      </c>
      <c r="I96" s="231">
        <v>0</v>
      </c>
      <c r="J96" s="234">
        <v>0</v>
      </c>
      <c r="K96" s="231">
        <v>0</v>
      </c>
      <c r="L96" s="234">
        <v>0</v>
      </c>
      <c r="M96" s="231">
        <v>11.564333333333332</v>
      </c>
      <c r="N96" s="234">
        <v>13.550666666666666</v>
      </c>
      <c r="O96" s="231">
        <v>19.016499999999997</v>
      </c>
      <c r="P96" s="234">
        <v>16.455500000000015</v>
      </c>
      <c r="Q96" s="231">
        <v>6.3655000000000062</v>
      </c>
      <c r="R96" s="234">
        <v>1.2628333333333319</v>
      </c>
      <c r="S96" s="231">
        <v>1.1716666666666682</v>
      </c>
      <c r="T96" s="234">
        <v>3.687666666666666</v>
      </c>
      <c r="U96" s="231">
        <v>6.8058333333333358</v>
      </c>
      <c r="V96" s="234">
        <v>5.1471666666666653</v>
      </c>
      <c r="W96" s="231">
        <v>0.86600000000000044</v>
      </c>
      <c r="X96" s="234">
        <v>0</v>
      </c>
      <c r="Y96" s="231">
        <v>0</v>
      </c>
      <c r="Z96" s="234">
        <v>0</v>
      </c>
      <c r="AA96" s="231">
        <v>0</v>
      </c>
      <c r="AB96" s="234">
        <v>0</v>
      </c>
      <c r="AC96" s="238">
        <f>SUM(E96:AB96)</f>
        <v>85.893666666666689</v>
      </c>
      <c r="AD96" s="238"/>
      <c r="AE96" s="238"/>
    </row>
    <row r="97" spans="2:31" x14ac:dyDescent="0.3">
      <c r="B97" s="245" t="s">
        <v>67</v>
      </c>
      <c r="C97" s="245"/>
      <c r="D97" s="245"/>
      <c r="E97" s="231">
        <v>0</v>
      </c>
      <c r="F97" s="234">
        <v>0</v>
      </c>
      <c r="G97" s="231">
        <v>0</v>
      </c>
      <c r="H97" s="234">
        <v>0</v>
      </c>
      <c r="I97" s="231">
        <v>0</v>
      </c>
      <c r="J97" s="234">
        <v>0</v>
      </c>
      <c r="K97" s="231">
        <v>0</v>
      </c>
      <c r="L97" s="234">
        <v>0</v>
      </c>
      <c r="M97" s="231">
        <v>0.14983333333333324</v>
      </c>
      <c r="N97" s="234">
        <v>0.27733333333333338</v>
      </c>
      <c r="O97" s="231">
        <v>0.83966666666666612</v>
      </c>
      <c r="P97" s="234">
        <v>0.6869999999999995</v>
      </c>
      <c r="Q97" s="231">
        <v>0.50100000000000033</v>
      </c>
      <c r="R97" s="234">
        <v>0</v>
      </c>
      <c r="S97" s="231">
        <v>0</v>
      </c>
      <c r="T97" s="234">
        <v>0.20050000000000001</v>
      </c>
      <c r="U97" s="231">
        <v>1.7538333333333351</v>
      </c>
      <c r="V97" s="234">
        <v>3.6423333333333323</v>
      </c>
      <c r="W97" s="231">
        <v>2.2658333333333336</v>
      </c>
      <c r="X97" s="234">
        <v>0</v>
      </c>
      <c r="Y97" s="231">
        <v>0</v>
      </c>
      <c r="Z97" s="234">
        <v>0</v>
      </c>
      <c r="AA97" s="231">
        <v>0</v>
      </c>
      <c r="AB97" s="234">
        <v>0</v>
      </c>
      <c r="AC97" s="238">
        <f t="shared" ref="AC97:AC111" si="4">SUM(E97:AB97)</f>
        <v>10.317333333333334</v>
      </c>
      <c r="AD97" s="238"/>
      <c r="AE97" s="238"/>
    </row>
    <row r="98" spans="2:31" x14ac:dyDescent="0.3">
      <c r="B98" s="245" t="s">
        <v>68</v>
      </c>
      <c r="C98" s="245"/>
      <c r="D98" s="245"/>
      <c r="E98" s="231">
        <v>0</v>
      </c>
      <c r="F98" s="234">
        <v>0</v>
      </c>
      <c r="G98" s="231">
        <v>0</v>
      </c>
      <c r="H98" s="234">
        <v>0</v>
      </c>
      <c r="I98" s="231">
        <v>0</v>
      </c>
      <c r="J98" s="234">
        <v>0</v>
      </c>
      <c r="K98" s="231">
        <v>0</v>
      </c>
      <c r="L98" s="234">
        <v>0</v>
      </c>
      <c r="M98" s="231">
        <v>0</v>
      </c>
      <c r="N98" s="234">
        <v>1.5768333333333326</v>
      </c>
      <c r="O98" s="231">
        <v>1.2691666666666654</v>
      </c>
      <c r="P98" s="234">
        <v>0.73916666666666708</v>
      </c>
      <c r="Q98" s="231">
        <v>0.4121666666666659</v>
      </c>
      <c r="R98" s="234">
        <v>0.1161666666666664</v>
      </c>
      <c r="S98" s="231">
        <v>0</v>
      </c>
      <c r="T98" s="234">
        <v>0.54816666666666558</v>
      </c>
      <c r="U98" s="231">
        <v>1.3968333333333334</v>
      </c>
      <c r="V98" s="234">
        <v>1.6941666666666666</v>
      </c>
      <c r="W98" s="231">
        <v>1.5246666666666673</v>
      </c>
      <c r="X98" s="234">
        <v>0</v>
      </c>
      <c r="Y98" s="231">
        <v>0</v>
      </c>
      <c r="Z98" s="234">
        <v>0</v>
      </c>
      <c r="AA98" s="231">
        <v>0</v>
      </c>
      <c r="AB98" s="234">
        <v>0</v>
      </c>
      <c r="AC98" s="238">
        <f t="shared" si="4"/>
        <v>9.2773333333333312</v>
      </c>
      <c r="AD98" s="238"/>
      <c r="AE98" s="238"/>
    </row>
    <row r="99" spans="2:31" x14ac:dyDescent="0.3">
      <c r="B99" s="245" t="s">
        <v>69</v>
      </c>
      <c r="C99" s="245"/>
      <c r="D99" s="245"/>
      <c r="E99" s="231">
        <v>0</v>
      </c>
      <c r="F99" s="234">
        <v>0</v>
      </c>
      <c r="G99" s="231">
        <v>0</v>
      </c>
      <c r="H99" s="234">
        <v>0</v>
      </c>
      <c r="I99" s="231">
        <v>0</v>
      </c>
      <c r="J99" s="234">
        <v>0</v>
      </c>
      <c r="K99" s="231">
        <v>0</v>
      </c>
      <c r="L99" s="234">
        <v>0</v>
      </c>
      <c r="M99" s="231">
        <v>8.8713333333333306</v>
      </c>
      <c r="N99" s="234">
        <v>44.663000000000004</v>
      </c>
      <c r="O99" s="231">
        <v>49.584833333333329</v>
      </c>
      <c r="P99" s="234">
        <v>33.862666666666669</v>
      </c>
      <c r="Q99" s="231">
        <v>20.497333333333344</v>
      </c>
      <c r="R99" s="234">
        <v>11.892666666666665</v>
      </c>
      <c r="S99" s="231">
        <v>11.248333333333331</v>
      </c>
      <c r="T99" s="234">
        <v>13.291</v>
      </c>
      <c r="U99" s="231">
        <v>17.649000000000001</v>
      </c>
      <c r="V99" s="234">
        <v>13.817166666666674</v>
      </c>
      <c r="W99" s="231">
        <v>9.1979999999999986</v>
      </c>
      <c r="X99" s="234">
        <v>0</v>
      </c>
      <c r="Y99" s="231">
        <v>0</v>
      </c>
      <c r="Z99" s="234">
        <v>0</v>
      </c>
      <c r="AA99" s="231">
        <v>0</v>
      </c>
      <c r="AB99" s="234">
        <v>0</v>
      </c>
      <c r="AC99" s="238">
        <f t="shared" si="4"/>
        <v>234.57533333333336</v>
      </c>
      <c r="AD99" s="238"/>
      <c r="AE99" s="238"/>
    </row>
    <row r="100" spans="2:31" x14ac:dyDescent="0.3">
      <c r="B100" s="245" t="s">
        <v>70</v>
      </c>
      <c r="C100" s="245"/>
      <c r="D100" s="245"/>
      <c r="E100" s="231">
        <v>0</v>
      </c>
      <c r="F100" s="234">
        <v>0</v>
      </c>
      <c r="G100" s="231">
        <v>0</v>
      </c>
      <c r="H100" s="234">
        <v>0</v>
      </c>
      <c r="I100" s="231">
        <v>0</v>
      </c>
      <c r="J100" s="234">
        <v>0</v>
      </c>
      <c r="K100" s="231">
        <v>0</v>
      </c>
      <c r="L100" s="234">
        <v>0</v>
      </c>
      <c r="M100" s="231">
        <v>2.4333333333333228E-2</v>
      </c>
      <c r="N100" s="234">
        <v>35.583833333333345</v>
      </c>
      <c r="O100" s="231">
        <v>4.0678333333333345</v>
      </c>
      <c r="P100" s="234">
        <v>0.39450000000000002</v>
      </c>
      <c r="Q100" s="231">
        <v>0</v>
      </c>
      <c r="R100" s="234">
        <v>0</v>
      </c>
      <c r="S100" s="231">
        <v>6.1970000000000001</v>
      </c>
      <c r="T100" s="234">
        <v>15.354499999999998</v>
      </c>
      <c r="U100" s="231">
        <v>5.216666666666659E-2</v>
      </c>
      <c r="V100" s="234">
        <v>0</v>
      </c>
      <c r="W100" s="231">
        <v>17.871500000000008</v>
      </c>
      <c r="X100" s="234">
        <v>0</v>
      </c>
      <c r="Y100" s="231">
        <v>0</v>
      </c>
      <c r="Z100" s="234">
        <v>0</v>
      </c>
      <c r="AA100" s="231">
        <v>0</v>
      </c>
      <c r="AB100" s="234">
        <v>0</v>
      </c>
      <c r="AC100" s="238">
        <f t="shared" si="4"/>
        <v>79.545666666666691</v>
      </c>
      <c r="AD100" s="238"/>
      <c r="AE100" s="238"/>
    </row>
    <row r="101" spans="2:31" x14ac:dyDescent="0.3">
      <c r="B101" s="245" t="s">
        <v>71</v>
      </c>
      <c r="C101" s="245"/>
      <c r="D101" s="245"/>
      <c r="E101" s="231">
        <v>0</v>
      </c>
      <c r="F101" s="234">
        <v>0</v>
      </c>
      <c r="G101" s="231">
        <v>0</v>
      </c>
      <c r="H101" s="234">
        <v>0</v>
      </c>
      <c r="I101" s="231">
        <v>0</v>
      </c>
      <c r="J101" s="234">
        <v>0</v>
      </c>
      <c r="K101" s="231">
        <v>0</v>
      </c>
      <c r="L101" s="234">
        <v>0</v>
      </c>
      <c r="M101" s="231">
        <v>11.896666666666665</v>
      </c>
      <c r="N101" s="234">
        <v>52.692999999999998</v>
      </c>
      <c r="O101" s="231">
        <v>54.244000000000021</v>
      </c>
      <c r="P101" s="234">
        <v>26.510666666666694</v>
      </c>
      <c r="Q101" s="231">
        <v>13.089499999999999</v>
      </c>
      <c r="R101" s="234">
        <v>9.0971666666666806</v>
      </c>
      <c r="S101" s="231">
        <v>8.7043333333333202</v>
      </c>
      <c r="T101" s="234">
        <v>7.6150000000000055</v>
      </c>
      <c r="U101" s="231">
        <v>5.2114999999999929</v>
      </c>
      <c r="V101" s="234">
        <v>2.5618333333333396</v>
      </c>
      <c r="W101" s="231">
        <v>5.3666666666666411E-2</v>
      </c>
      <c r="X101" s="234">
        <v>0</v>
      </c>
      <c r="Y101" s="231">
        <v>0</v>
      </c>
      <c r="Z101" s="234">
        <v>0</v>
      </c>
      <c r="AA101" s="231">
        <v>0</v>
      </c>
      <c r="AB101" s="234">
        <v>0</v>
      </c>
      <c r="AC101" s="238">
        <f t="shared" si="4"/>
        <v>191.67733333333339</v>
      </c>
      <c r="AD101" s="238"/>
      <c r="AE101" s="238"/>
    </row>
    <row r="102" spans="2:31" x14ac:dyDescent="0.3">
      <c r="B102" s="245" t="s">
        <v>72</v>
      </c>
      <c r="C102" s="245"/>
      <c r="D102" s="245"/>
      <c r="E102" s="231">
        <v>0</v>
      </c>
      <c r="F102" s="234">
        <v>0</v>
      </c>
      <c r="G102" s="231">
        <v>0</v>
      </c>
      <c r="H102" s="234">
        <v>0</v>
      </c>
      <c r="I102" s="231">
        <v>0</v>
      </c>
      <c r="J102" s="234">
        <v>0</v>
      </c>
      <c r="K102" s="231">
        <v>0</v>
      </c>
      <c r="L102" s="234">
        <v>0</v>
      </c>
      <c r="M102" s="231">
        <v>4.3020000000000005</v>
      </c>
      <c r="N102" s="234">
        <v>23.246833333333335</v>
      </c>
      <c r="O102" s="231">
        <v>11.093833333333334</v>
      </c>
      <c r="P102" s="234">
        <v>7.9003333333333385</v>
      </c>
      <c r="Q102" s="231">
        <v>3.8778333333333426</v>
      </c>
      <c r="R102" s="234">
        <v>2.5221666666666702</v>
      </c>
      <c r="S102" s="231">
        <v>3.0513333333333383</v>
      </c>
      <c r="T102" s="234">
        <v>3.5141666666666649</v>
      </c>
      <c r="U102" s="231">
        <v>5.4976666666666629</v>
      </c>
      <c r="V102" s="234">
        <v>4.0746666666666709</v>
      </c>
      <c r="W102" s="231">
        <v>7.8000000000000055E-2</v>
      </c>
      <c r="X102" s="234">
        <v>0</v>
      </c>
      <c r="Y102" s="231">
        <v>0</v>
      </c>
      <c r="Z102" s="234">
        <v>0</v>
      </c>
      <c r="AA102" s="231">
        <v>0</v>
      </c>
      <c r="AB102" s="234">
        <v>0</v>
      </c>
      <c r="AC102" s="238">
        <f t="shared" si="4"/>
        <v>69.158833333333362</v>
      </c>
      <c r="AD102" s="238"/>
      <c r="AE102" s="238"/>
    </row>
    <row r="103" spans="2:31" x14ac:dyDescent="0.3">
      <c r="B103" s="245" t="s">
        <v>73</v>
      </c>
      <c r="C103" s="245"/>
      <c r="D103" s="245"/>
      <c r="E103" s="231">
        <v>0</v>
      </c>
      <c r="F103" s="234">
        <v>0</v>
      </c>
      <c r="G103" s="231">
        <v>0</v>
      </c>
      <c r="H103" s="234">
        <v>0</v>
      </c>
      <c r="I103" s="231">
        <v>0</v>
      </c>
      <c r="J103" s="234">
        <v>0</v>
      </c>
      <c r="K103" s="231">
        <v>0</v>
      </c>
      <c r="L103" s="234">
        <v>0</v>
      </c>
      <c r="M103" s="231">
        <v>1.0666666666666677E-2</v>
      </c>
      <c r="N103" s="234">
        <v>0.44799999999999851</v>
      </c>
      <c r="O103" s="231">
        <v>1.4173333333333238</v>
      </c>
      <c r="P103" s="234">
        <v>0.46883333333333516</v>
      </c>
      <c r="Q103" s="231">
        <v>3.5333333333333883E-2</v>
      </c>
      <c r="R103" s="234">
        <v>0.11533333333333359</v>
      </c>
      <c r="S103" s="231">
        <v>5.8166666666665874E-2</v>
      </c>
      <c r="T103" s="234">
        <v>0.38716666666666605</v>
      </c>
      <c r="U103" s="231">
        <v>0.82683333333333409</v>
      </c>
      <c r="V103" s="234">
        <v>2.2999999999998976E-2</v>
      </c>
      <c r="W103" s="231">
        <v>7.0958333333333314</v>
      </c>
      <c r="X103" s="234">
        <v>4.033333333333336E-2</v>
      </c>
      <c r="Y103" s="231">
        <v>0</v>
      </c>
      <c r="Z103" s="234">
        <v>0</v>
      </c>
      <c r="AA103" s="231">
        <v>0</v>
      </c>
      <c r="AB103" s="234">
        <v>0</v>
      </c>
      <c r="AC103" s="238">
        <f t="shared" si="4"/>
        <v>10.92683333333332</v>
      </c>
      <c r="AD103" s="238"/>
      <c r="AE103" s="238"/>
    </row>
    <row r="104" spans="2:31" x14ac:dyDescent="0.3">
      <c r="B104" s="245" t="s">
        <v>74</v>
      </c>
      <c r="C104" s="245"/>
      <c r="D104" s="245"/>
      <c r="E104" s="231">
        <v>0</v>
      </c>
      <c r="F104" s="234">
        <v>0</v>
      </c>
      <c r="G104" s="231">
        <v>0</v>
      </c>
      <c r="H104" s="234">
        <v>0</v>
      </c>
      <c r="I104" s="231">
        <v>0</v>
      </c>
      <c r="J104" s="234">
        <v>0</v>
      </c>
      <c r="K104" s="231">
        <v>0</v>
      </c>
      <c r="L104" s="234">
        <v>0</v>
      </c>
      <c r="M104" s="231">
        <v>0</v>
      </c>
      <c r="N104" s="234">
        <v>3.5021666666666658</v>
      </c>
      <c r="O104" s="231">
        <v>6.1739999999999986</v>
      </c>
      <c r="P104" s="234">
        <v>8.7241666666666671</v>
      </c>
      <c r="Q104" s="231">
        <v>7.8660000000000014</v>
      </c>
      <c r="R104" s="234">
        <v>7.5573333333333323</v>
      </c>
      <c r="S104" s="231">
        <v>7.6294999999999993</v>
      </c>
      <c r="T104" s="234">
        <v>5.9364999999999988</v>
      </c>
      <c r="U104" s="231">
        <v>2.4921666666666669</v>
      </c>
      <c r="V104" s="234">
        <v>0.99416666666666664</v>
      </c>
      <c r="W104" s="231">
        <v>1.7571666666666668</v>
      </c>
      <c r="X104" s="234">
        <v>0.13499999999999998</v>
      </c>
      <c r="Y104" s="231">
        <v>0</v>
      </c>
      <c r="Z104" s="234">
        <v>0</v>
      </c>
      <c r="AA104" s="231">
        <v>0</v>
      </c>
      <c r="AB104" s="234">
        <v>0</v>
      </c>
      <c r="AC104" s="238">
        <f t="shared" si="4"/>
        <v>52.768166666666659</v>
      </c>
      <c r="AD104" s="238"/>
      <c r="AE104" s="238"/>
    </row>
    <row r="105" spans="2:31" x14ac:dyDescent="0.3">
      <c r="B105" s="245" t="s">
        <v>75</v>
      </c>
      <c r="C105" s="245"/>
      <c r="D105" s="245"/>
      <c r="E105" s="231">
        <v>0</v>
      </c>
      <c r="F105" s="234">
        <v>0</v>
      </c>
      <c r="G105" s="231">
        <v>0</v>
      </c>
      <c r="H105" s="234">
        <v>0</v>
      </c>
      <c r="I105" s="231">
        <v>0</v>
      </c>
      <c r="J105" s="234">
        <v>0</v>
      </c>
      <c r="K105" s="231">
        <v>0</v>
      </c>
      <c r="L105" s="234">
        <v>0</v>
      </c>
      <c r="M105" s="231">
        <v>10.3565</v>
      </c>
      <c r="N105" s="234">
        <v>7.3559999999999999</v>
      </c>
      <c r="O105" s="231">
        <v>16.946666666666694</v>
      </c>
      <c r="P105" s="234">
        <v>40.251499999999986</v>
      </c>
      <c r="Q105" s="231">
        <v>24.44750000000003</v>
      </c>
      <c r="R105" s="234">
        <v>22.611166666666676</v>
      </c>
      <c r="S105" s="231">
        <v>20.374833333333335</v>
      </c>
      <c r="T105" s="234">
        <v>11.585333333333342</v>
      </c>
      <c r="U105" s="231">
        <v>1.7516666666666632</v>
      </c>
      <c r="V105" s="234">
        <v>2.9606666666666688</v>
      </c>
      <c r="W105" s="231">
        <v>5.4121666666666695</v>
      </c>
      <c r="X105" s="234">
        <v>0</v>
      </c>
      <c r="Y105" s="231">
        <v>0</v>
      </c>
      <c r="Z105" s="234">
        <v>0</v>
      </c>
      <c r="AA105" s="231">
        <v>0</v>
      </c>
      <c r="AB105" s="234">
        <v>0</v>
      </c>
      <c r="AC105" s="238">
        <f t="shared" si="4"/>
        <v>164.05400000000009</v>
      </c>
      <c r="AD105" s="238"/>
      <c r="AE105" s="238"/>
    </row>
    <row r="106" spans="2:31" x14ac:dyDescent="0.3">
      <c r="B106" s="245" t="s">
        <v>76</v>
      </c>
      <c r="C106" s="245"/>
      <c r="D106" s="245"/>
      <c r="E106" s="231">
        <v>0</v>
      </c>
      <c r="F106" s="234">
        <v>0</v>
      </c>
      <c r="G106" s="231">
        <v>0</v>
      </c>
      <c r="H106" s="234">
        <v>0</v>
      </c>
      <c r="I106" s="231">
        <v>0</v>
      </c>
      <c r="J106" s="234">
        <v>0</v>
      </c>
      <c r="K106" s="231">
        <v>0</v>
      </c>
      <c r="L106" s="234">
        <v>0</v>
      </c>
      <c r="M106" s="231">
        <v>31.616333333333333</v>
      </c>
      <c r="N106" s="234">
        <v>42.933999999999962</v>
      </c>
      <c r="O106" s="231">
        <v>42.737166666666681</v>
      </c>
      <c r="P106" s="234">
        <v>34.184666666666665</v>
      </c>
      <c r="Q106" s="231">
        <v>16.309000000000005</v>
      </c>
      <c r="R106" s="234">
        <v>7.5066666666666553</v>
      </c>
      <c r="S106" s="231">
        <v>8.0223333333333287</v>
      </c>
      <c r="T106" s="234">
        <v>12.25283333333333</v>
      </c>
      <c r="U106" s="231">
        <v>19.571666666666626</v>
      </c>
      <c r="V106" s="234">
        <v>0</v>
      </c>
      <c r="W106" s="231">
        <v>24.553666666666661</v>
      </c>
      <c r="X106" s="234">
        <v>6.5099999999999989</v>
      </c>
      <c r="Y106" s="231">
        <v>0</v>
      </c>
      <c r="Z106" s="234">
        <v>0</v>
      </c>
      <c r="AA106" s="231">
        <v>0</v>
      </c>
      <c r="AB106" s="234">
        <v>0</v>
      </c>
      <c r="AC106" s="238">
        <f t="shared" si="4"/>
        <v>246.19833333333327</v>
      </c>
      <c r="AD106" s="238"/>
      <c r="AE106" s="238"/>
    </row>
    <row r="107" spans="2:31" x14ac:dyDescent="0.3">
      <c r="B107" s="245" t="s">
        <v>77</v>
      </c>
      <c r="C107" s="245"/>
      <c r="D107" s="245"/>
      <c r="E107" s="231">
        <v>0</v>
      </c>
      <c r="F107" s="234">
        <v>0</v>
      </c>
      <c r="G107" s="231">
        <v>0</v>
      </c>
      <c r="H107" s="234">
        <v>0</v>
      </c>
      <c r="I107" s="231">
        <v>0</v>
      </c>
      <c r="J107" s="234">
        <v>0</v>
      </c>
      <c r="K107" s="231">
        <v>0</v>
      </c>
      <c r="L107" s="234">
        <v>0</v>
      </c>
      <c r="M107" s="231">
        <v>9.7533333333333339</v>
      </c>
      <c r="N107" s="234">
        <v>13.36000000000001</v>
      </c>
      <c r="O107" s="231">
        <v>22.66833333333334</v>
      </c>
      <c r="P107" s="234">
        <v>23.275499999999983</v>
      </c>
      <c r="Q107" s="231">
        <v>8.1300000000000026</v>
      </c>
      <c r="R107" s="234">
        <v>1.9833333333333057E-2</v>
      </c>
      <c r="S107" s="231">
        <v>1.8166666666668146E-2</v>
      </c>
      <c r="T107" s="234">
        <v>2.2555000000000027</v>
      </c>
      <c r="U107" s="231">
        <v>5.3651666666666706</v>
      </c>
      <c r="V107" s="234">
        <v>3.5593333333333317</v>
      </c>
      <c r="W107" s="231">
        <v>2.2401666666666658</v>
      </c>
      <c r="X107" s="234">
        <v>0</v>
      </c>
      <c r="Y107" s="231">
        <v>0</v>
      </c>
      <c r="Z107" s="234">
        <v>0</v>
      </c>
      <c r="AA107" s="231">
        <v>0</v>
      </c>
      <c r="AB107" s="234">
        <v>0</v>
      </c>
      <c r="AC107" s="238">
        <f t="shared" si="4"/>
        <v>90.645333333333326</v>
      </c>
      <c r="AD107" s="238"/>
      <c r="AE107" s="238"/>
    </row>
    <row r="108" spans="2:31" x14ac:dyDescent="0.3">
      <c r="B108" s="245" t="s">
        <v>78</v>
      </c>
      <c r="C108" s="245"/>
      <c r="D108" s="245"/>
      <c r="E108" s="231">
        <v>0</v>
      </c>
      <c r="F108" s="234">
        <v>0</v>
      </c>
      <c r="G108" s="231">
        <v>0</v>
      </c>
      <c r="H108" s="234">
        <v>0</v>
      </c>
      <c r="I108" s="231">
        <v>0</v>
      </c>
      <c r="J108" s="234">
        <v>0</v>
      </c>
      <c r="K108" s="231">
        <v>0</v>
      </c>
      <c r="L108" s="234">
        <v>0</v>
      </c>
      <c r="M108" s="231">
        <v>0</v>
      </c>
      <c r="N108" s="234">
        <v>0</v>
      </c>
      <c r="O108" s="231">
        <v>0</v>
      </c>
      <c r="P108" s="234">
        <v>0</v>
      </c>
      <c r="Q108" s="231">
        <v>0</v>
      </c>
      <c r="R108" s="234">
        <v>0</v>
      </c>
      <c r="S108" s="231">
        <v>0</v>
      </c>
      <c r="T108" s="234">
        <v>0</v>
      </c>
      <c r="U108" s="231">
        <v>0</v>
      </c>
      <c r="V108" s="234">
        <v>0</v>
      </c>
      <c r="W108" s="231">
        <v>0</v>
      </c>
      <c r="X108" s="234">
        <v>0</v>
      </c>
      <c r="Y108" s="231">
        <v>0</v>
      </c>
      <c r="Z108" s="234">
        <v>0</v>
      </c>
      <c r="AA108" s="231">
        <v>0</v>
      </c>
      <c r="AB108" s="234">
        <v>0</v>
      </c>
      <c r="AC108" s="238">
        <f t="shared" si="4"/>
        <v>0</v>
      </c>
      <c r="AD108" s="238"/>
      <c r="AE108" s="238"/>
    </row>
    <row r="109" spans="2:31" x14ac:dyDescent="0.3">
      <c r="B109" s="245" t="s">
        <v>79</v>
      </c>
      <c r="C109" s="245"/>
      <c r="D109" s="245"/>
      <c r="E109" s="231">
        <v>0</v>
      </c>
      <c r="F109" s="234">
        <v>0</v>
      </c>
      <c r="G109" s="231">
        <v>0</v>
      </c>
      <c r="H109" s="234">
        <v>0</v>
      </c>
      <c r="I109" s="231">
        <v>0</v>
      </c>
      <c r="J109" s="234">
        <v>0</v>
      </c>
      <c r="K109" s="231">
        <v>0</v>
      </c>
      <c r="L109" s="234">
        <v>0</v>
      </c>
      <c r="M109" s="231">
        <v>0</v>
      </c>
      <c r="N109" s="234">
        <v>1.6988333333333343</v>
      </c>
      <c r="O109" s="231">
        <v>0.58283333333333309</v>
      </c>
      <c r="P109" s="234">
        <v>0.15166666666666609</v>
      </c>
      <c r="Q109" s="231">
        <v>0</v>
      </c>
      <c r="R109" s="234">
        <v>0</v>
      </c>
      <c r="S109" s="231">
        <v>0</v>
      </c>
      <c r="T109" s="234">
        <v>9.2866666666666653</v>
      </c>
      <c r="U109" s="231">
        <v>11.338500000000003</v>
      </c>
      <c r="V109" s="234">
        <v>0.7340000000000001</v>
      </c>
      <c r="W109" s="231">
        <v>1.3198333333333341</v>
      </c>
      <c r="X109" s="234">
        <v>0</v>
      </c>
      <c r="Y109" s="231">
        <v>0</v>
      </c>
      <c r="Z109" s="234">
        <v>0</v>
      </c>
      <c r="AA109" s="231">
        <v>0</v>
      </c>
      <c r="AB109" s="234">
        <v>0</v>
      </c>
      <c r="AC109" s="238">
        <f t="shared" si="4"/>
        <v>25.112333333333339</v>
      </c>
      <c r="AD109" s="238"/>
      <c r="AE109" s="238"/>
    </row>
    <row r="110" spans="2:31" x14ac:dyDescent="0.3">
      <c r="B110" s="245" t="s">
        <v>80</v>
      </c>
      <c r="C110" s="245"/>
      <c r="D110" s="245"/>
      <c r="E110" s="231">
        <v>0</v>
      </c>
      <c r="F110" s="234">
        <v>0</v>
      </c>
      <c r="G110" s="231">
        <v>0</v>
      </c>
      <c r="H110" s="234">
        <v>0</v>
      </c>
      <c r="I110" s="231">
        <v>0</v>
      </c>
      <c r="J110" s="234">
        <v>0</v>
      </c>
      <c r="K110" s="231">
        <v>0</v>
      </c>
      <c r="L110" s="234">
        <v>0</v>
      </c>
      <c r="M110" s="231">
        <v>2.4569999999999985</v>
      </c>
      <c r="N110" s="234">
        <v>8.2695000000000043</v>
      </c>
      <c r="O110" s="231">
        <v>20.958500000000029</v>
      </c>
      <c r="P110" s="234">
        <v>23.052999999999965</v>
      </c>
      <c r="Q110" s="231">
        <v>28.416000000000007</v>
      </c>
      <c r="R110" s="234">
        <v>6.5638333333333314</v>
      </c>
      <c r="S110" s="231">
        <v>5.7246666666666668</v>
      </c>
      <c r="T110" s="234">
        <v>13.609333333333336</v>
      </c>
      <c r="U110" s="231">
        <v>23.819999999999958</v>
      </c>
      <c r="V110" s="234">
        <v>20.228666666666683</v>
      </c>
      <c r="W110" s="231">
        <v>2.2030000000000043</v>
      </c>
      <c r="X110" s="234">
        <v>0</v>
      </c>
      <c r="Y110" s="231">
        <v>0</v>
      </c>
      <c r="Z110" s="234">
        <v>0</v>
      </c>
      <c r="AA110" s="231">
        <v>0</v>
      </c>
      <c r="AB110" s="234">
        <v>0</v>
      </c>
      <c r="AC110" s="238">
        <f t="shared" si="4"/>
        <v>155.30350000000001</v>
      </c>
      <c r="AD110" s="238"/>
      <c r="AE110" s="238"/>
    </row>
    <row r="111" spans="2:31" x14ac:dyDescent="0.3">
      <c r="B111" s="245" t="s">
        <v>93</v>
      </c>
      <c r="C111" s="245"/>
      <c r="D111" s="245"/>
      <c r="E111" s="231">
        <v>0</v>
      </c>
      <c r="F111" s="234">
        <v>0</v>
      </c>
      <c r="G111" s="231">
        <v>0</v>
      </c>
      <c r="H111" s="234">
        <v>0</v>
      </c>
      <c r="I111" s="231">
        <v>0</v>
      </c>
      <c r="J111" s="234">
        <v>0</v>
      </c>
      <c r="K111" s="231">
        <v>0</v>
      </c>
      <c r="L111" s="234">
        <v>0</v>
      </c>
      <c r="M111" s="231">
        <v>0</v>
      </c>
      <c r="N111" s="234">
        <v>0.73999999999999966</v>
      </c>
      <c r="O111" s="231">
        <v>0.93999999999999961</v>
      </c>
      <c r="P111" s="234">
        <v>0.87733333333333308</v>
      </c>
      <c r="Q111" s="231">
        <v>0</v>
      </c>
      <c r="R111" s="234">
        <v>3.4966666666666648</v>
      </c>
      <c r="S111" s="231">
        <v>3.7441666666666649</v>
      </c>
      <c r="T111" s="234">
        <v>3.7710000000000004</v>
      </c>
      <c r="U111" s="231">
        <v>3.7988333333333357</v>
      </c>
      <c r="V111" s="234">
        <v>3.6254999999999966</v>
      </c>
      <c r="W111" s="231">
        <v>1.5521666666666667</v>
      </c>
      <c r="X111" s="234">
        <v>0</v>
      </c>
      <c r="Y111" s="231">
        <v>0</v>
      </c>
      <c r="Z111" s="234">
        <v>0</v>
      </c>
      <c r="AA111" s="231">
        <v>0</v>
      </c>
      <c r="AB111" s="234">
        <v>0</v>
      </c>
      <c r="AC111" s="238">
        <f t="shared" si="4"/>
        <v>22.545666666666662</v>
      </c>
      <c r="AD111" s="238"/>
      <c r="AE111" s="238"/>
    </row>
    <row r="112" spans="2:31" x14ac:dyDescent="0.3">
      <c r="B112" s="14" t="s">
        <v>2</v>
      </c>
      <c r="C112" s="14"/>
      <c r="D112" s="14"/>
      <c r="E112" s="15">
        <f t="shared" ref="E112:AB112" si="5">SUM(E63:E111)</f>
        <v>0</v>
      </c>
      <c r="F112" s="15">
        <f t="shared" si="5"/>
        <v>0</v>
      </c>
      <c r="G112" s="15">
        <f t="shared" si="5"/>
        <v>0</v>
      </c>
      <c r="H112" s="15">
        <f t="shared" si="5"/>
        <v>0</v>
      </c>
      <c r="I112" s="15">
        <f t="shared" si="5"/>
        <v>0</v>
      </c>
      <c r="J112" s="15">
        <f t="shared" si="5"/>
        <v>0</v>
      </c>
      <c r="K112" s="15">
        <f t="shared" si="5"/>
        <v>0</v>
      </c>
      <c r="L112" s="15">
        <f t="shared" si="5"/>
        <v>0</v>
      </c>
      <c r="M112" s="15">
        <f t="shared" si="5"/>
        <v>356.70099999999991</v>
      </c>
      <c r="N112" s="15">
        <f t="shared" si="5"/>
        <v>815.80366666666657</v>
      </c>
      <c r="O112" s="15">
        <f t="shared" si="5"/>
        <v>766.75000000000023</v>
      </c>
      <c r="P112" s="15">
        <f t="shared" si="5"/>
        <v>620.75033333333329</v>
      </c>
      <c r="Q112" s="15">
        <f t="shared" si="5"/>
        <v>327.55316666666681</v>
      </c>
      <c r="R112" s="15">
        <f t="shared" si="5"/>
        <v>266.28316666666672</v>
      </c>
      <c r="S112" s="15">
        <f t="shared" si="5"/>
        <v>271.90933333333334</v>
      </c>
      <c r="T112" s="15">
        <f t="shared" si="5"/>
        <v>300.80116666666675</v>
      </c>
      <c r="U112" s="15">
        <f t="shared" si="5"/>
        <v>284.75799999999998</v>
      </c>
      <c r="V112" s="15">
        <f t="shared" si="5"/>
        <v>198.11183333333338</v>
      </c>
      <c r="W112" s="15">
        <f t="shared" si="5"/>
        <v>154.45933333333329</v>
      </c>
      <c r="X112" s="15">
        <f t="shared" si="5"/>
        <v>6.8011666666666653</v>
      </c>
      <c r="Y112" s="15">
        <f t="shared" si="5"/>
        <v>0</v>
      </c>
      <c r="Z112" s="15">
        <f t="shared" si="5"/>
        <v>0</v>
      </c>
      <c r="AA112" s="15">
        <f t="shared" si="5"/>
        <v>0</v>
      </c>
      <c r="AB112" s="15">
        <f t="shared" si="5"/>
        <v>0</v>
      </c>
      <c r="AC112" s="249">
        <f>SUM(AC63:AE111)</f>
        <v>4370.6821666666674</v>
      </c>
      <c r="AD112" s="249"/>
      <c r="AE112" s="249"/>
    </row>
    <row r="113" spans="2:31" x14ac:dyDescent="0.3">
      <c r="B113" s="16"/>
      <c r="C113" s="17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2:31" x14ac:dyDescent="0.3">
      <c r="B114" s="16"/>
      <c r="C114" s="17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2:31" x14ac:dyDescent="0.3">
      <c r="B115" s="8">
        <f>'Resumen-Mensual'!$G$22</f>
        <v>44564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53"/>
      <c r="AD115" s="53"/>
      <c r="AE115" s="53"/>
    </row>
    <row r="116" spans="2:31" x14ac:dyDescent="0.3">
      <c r="B116" s="8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53"/>
      <c r="AD116" s="53"/>
      <c r="AE116" s="53"/>
    </row>
    <row r="117" spans="2:31" x14ac:dyDescent="0.3">
      <c r="B117" s="9" t="s">
        <v>81</v>
      </c>
      <c r="C117" s="10"/>
      <c r="D117" s="10"/>
      <c r="E117" s="11">
        <v>1</v>
      </c>
      <c r="F117" s="11">
        <v>2</v>
      </c>
      <c r="G117" s="11">
        <v>3</v>
      </c>
      <c r="H117" s="11">
        <v>4</v>
      </c>
      <c r="I117" s="11">
        <v>5</v>
      </c>
      <c r="J117" s="11">
        <v>6</v>
      </c>
      <c r="K117" s="11">
        <v>7</v>
      </c>
      <c r="L117" s="11">
        <v>8</v>
      </c>
      <c r="M117" s="11">
        <v>9</v>
      </c>
      <c r="N117" s="11">
        <v>10</v>
      </c>
      <c r="O117" s="11">
        <v>11</v>
      </c>
      <c r="P117" s="11">
        <v>12</v>
      </c>
      <c r="Q117" s="11">
        <v>13</v>
      </c>
      <c r="R117" s="11">
        <v>14</v>
      </c>
      <c r="S117" s="11">
        <v>15</v>
      </c>
      <c r="T117" s="11">
        <v>16</v>
      </c>
      <c r="U117" s="11">
        <v>17</v>
      </c>
      <c r="V117" s="11">
        <v>18</v>
      </c>
      <c r="W117" s="11">
        <v>19</v>
      </c>
      <c r="X117" s="11">
        <v>20</v>
      </c>
      <c r="Y117" s="11">
        <v>21</v>
      </c>
      <c r="Z117" s="11">
        <v>22</v>
      </c>
      <c r="AA117" s="11">
        <v>23</v>
      </c>
      <c r="AB117" s="11">
        <v>24</v>
      </c>
      <c r="AC117" s="248" t="s">
        <v>2</v>
      </c>
      <c r="AD117" s="248"/>
      <c r="AE117" s="248"/>
    </row>
    <row r="118" spans="2:31" x14ac:dyDescent="0.3">
      <c r="B118" s="245" t="s">
        <v>37</v>
      </c>
      <c r="C118" s="245"/>
      <c r="D118" s="245"/>
      <c r="E118" s="59">
        <v>0</v>
      </c>
      <c r="F118" s="60">
        <v>0</v>
      </c>
      <c r="G118" s="59">
        <v>0</v>
      </c>
      <c r="H118" s="60">
        <v>0</v>
      </c>
      <c r="I118" s="59">
        <v>0</v>
      </c>
      <c r="J118" s="60">
        <v>0</v>
      </c>
      <c r="K118" s="59">
        <v>0</v>
      </c>
      <c r="L118" s="60">
        <v>0</v>
      </c>
      <c r="M118" s="59">
        <v>0</v>
      </c>
      <c r="N118" s="60">
        <v>0</v>
      </c>
      <c r="O118" s="59">
        <v>0</v>
      </c>
      <c r="P118" s="60">
        <v>0</v>
      </c>
      <c r="Q118" s="59">
        <v>0</v>
      </c>
      <c r="R118" s="60">
        <v>0</v>
      </c>
      <c r="S118" s="59">
        <v>0</v>
      </c>
      <c r="T118" s="60">
        <v>0</v>
      </c>
      <c r="U118" s="59">
        <v>0.1785000000000001</v>
      </c>
      <c r="V118" s="60">
        <v>0.79816666666666691</v>
      </c>
      <c r="W118" s="59">
        <v>0</v>
      </c>
      <c r="X118" s="60">
        <v>0</v>
      </c>
      <c r="Y118" s="59">
        <v>0</v>
      </c>
      <c r="Z118" s="60">
        <v>0</v>
      </c>
      <c r="AA118" s="59">
        <v>0</v>
      </c>
      <c r="AB118" s="60">
        <v>0</v>
      </c>
      <c r="AC118" s="238">
        <f t="shared" ref="AC118:AC150" si="6">SUM(E118:AB118)</f>
        <v>0.97666666666666702</v>
      </c>
      <c r="AD118" s="238"/>
      <c r="AE118" s="238"/>
    </row>
    <row r="119" spans="2:31" x14ac:dyDescent="0.3">
      <c r="B119" s="245" t="s">
        <v>38</v>
      </c>
      <c r="C119" s="245"/>
      <c r="D119" s="245"/>
      <c r="E119" s="59">
        <v>0</v>
      </c>
      <c r="F119" s="60">
        <v>0</v>
      </c>
      <c r="G119" s="59">
        <v>0</v>
      </c>
      <c r="H119" s="60">
        <v>0</v>
      </c>
      <c r="I119" s="59">
        <v>0</v>
      </c>
      <c r="J119" s="60">
        <v>0</v>
      </c>
      <c r="K119" s="59">
        <v>0</v>
      </c>
      <c r="L119" s="60">
        <v>0</v>
      </c>
      <c r="M119" s="59">
        <v>0</v>
      </c>
      <c r="N119" s="60">
        <v>0</v>
      </c>
      <c r="O119" s="59">
        <v>0</v>
      </c>
      <c r="P119" s="60">
        <v>0</v>
      </c>
      <c r="Q119" s="59">
        <v>0</v>
      </c>
      <c r="R119" s="60">
        <v>0</v>
      </c>
      <c r="S119" s="59">
        <v>0</v>
      </c>
      <c r="T119" s="60">
        <v>0</v>
      </c>
      <c r="U119" s="59">
        <v>5.7500000000000197E-2</v>
      </c>
      <c r="V119" s="60">
        <v>0.12150000000000032</v>
      </c>
      <c r="W119" s="59">
        <v>0</v>
      </c>
      <c r="X119" s="60">
        <v>0</v>
      </c>
      <c r="Y119" s="59">
        <v>0</v>
      </c>
      <c r="Z119" s="60">
        <v>0</v>
      </c>
      <c r="AA119" s="59">
        <v>0</v>
      </c>
      <c r="AB119" s="60">
        <v>0</v>
      </c>
      <c r="AC119" s="238">
        <f t="shared" si="6"/>
        <v>0.17900000000000052</v>
      </c>
      <c r="AD119" s="238"/>
      <c r="AE119" s="238"/>
    </row>
    <row r="120" spans="2:31" x14ac:dyDescent="0.3">
      <c r="B120" s="245" t="s">
        <v>39</v>
      </c>
      <c r="C120" s="245"/>
      <c r="D120" s="245"/>
      <c r="E120" s="59">
        <v>0</v>
      </c>
      <c r="F120" s="60">
        <v>0</v>
      </c>
      <c r="G120" s="59">
        <v>0</v>
      </c>
      <c r="H120" s="60">
        <v>0</v>
      </c>
      <c r="I120" s="59">
        <v>0</v>
      </c>
      <c r="J120" s="60">
        <v>0</v>
      </c>
      <c r="K120" s="59">
        <v>0</v>
      </c>
      <c r="L120" s="60">
        <v>0</v>
      </c>
      <c r="M120" s="59">
        <v>0</v>
      </c>
      <c r="N120" s="60">
        <v>0</v>
      </c>
      <c r="O120" s="59">
        <v>0</v>
      </c>
      <c r="P120" s="60">
        <v>0</v>
      </c>
      <c r="Q120" s="59">
        <v>0</v>
      </c>
      <c r="R120" s="60">
        <v>0</v>
      </c>
      <c r="S120" s="59">
        <v>0</v>
      </c>
      <c r="T120" s="60">
        <v>0</v>
      </c>
      <c r="U120" s="59">
        <v>0.22166666666666701</v>
      </c>
      <c r="V120" s="60">
        <v>0.34883333333333327</v>
      </c>
      <c r="W120" s="59">
        <v>0</v>
      </c>
      <c r="X120" s="60">
        <v>0</v>
      </c>
      <c r="Y120" s="59">
        <v>0</v>
      </c>
      <c r="Z120" s="60">
        <v>0</v>
      </c>
      <c r="AA120" s="59">
        <v>0</v>
      </c>
      <c r="AB120" s="60">
        <v>0</v>
      </c>
      <c r="AC120" s="238">
        <f t="shared" si="6"/>
        <v>0.57050000000000023</v>
      </c>
      <c r="AD120" s="238"/>
      <c r="AE120" s="238"/>
    </row>
    <row r="121" spans="2:31" x14ac:dyDescent="0.3">
      <c r="B121" s="245" t="s">
        <v>40</v>
      </c>
      <c r="C121" s="245"/>
      <c r="D121" s="245"/>
      <c r="E121" s="59">
        <v>0</v>
      </c>
      <c r="F121" s="60">
        <v>0</v>
      </c>
      <c r="G121" s="59">
        <v>0</v>
      </c>
      <c r="H121" s="60">
        <v>0</v>
      </c>
      <c r="I121" s="59">
        <v>0</v>
      </c>
      <c r="J121" s="60">
        <v>0</v>
      </c>
      <c r="K121" s="59">
        <v>0</v>
      </c>
      <c r="L121" s="60">
        <v>0</v>
      </c>
      <c r="M121" s="59">
        <v>0</v>
      </c>
      <c r="N121" s="60">
        <v>0</v>
      </c>
      <c r="O121" s="59">
        <v>0</v>
      </c>
      <c r="P121" s="60">
        <v>0</v>
      </c>
      <c r="Q121" s="59">
        <v>0</v>
      </c>
      <c r="R121" s="60">
        <v>0</v>
      </c>
      <c r="S121" s="59">
        <v>0</v>
      </c>
      <c r="T121" s="60">
        <v>0</v>
      </c>
      <c r="U121" s="59">
        <v>0</v>
      </c>
      <c r="V121" s="60">
        <v>0</v>
      </c>
      <c r="W121" s="59">
        <v>0</v>
      </c>
      <c r="X121" s="60">
        <v>0</v>
      </c>
      <c r="Y121" s="59">
        <v>0</v>
      </c>
      <c r="Z121" s="60">
        <v>0</v>
      </c>
      <c r="AA121" s="59">
        <v>0</v>
      </c>
      <c r="AB121" s="60">
        <v>0</v>
      </c>
      <c r="AC121" s="238">
        <f t="shared" si="6"/>
        <v>0</v>
      </c>
      <c r="AD121" s="238"/>
      <c r="AE121" s="238"/>
    </row>
    <row r="122" spans="2:31" x14ac:dyDescent="0.3">
      <c r="B122" s="245" t="s">
        <v>41</v>
      </c>
      <c r="C122" s="245"/>
      <c r="D122" s="245"/>
      <c r="E122" s="59">
        <v>0</v>
      </c>
      <c r="F122" s="60">
        <v>0</v>
      </c>
      <c r="G122" s="59">
        <v>0</v>
      </c>
      <c r="H122" s="60">
        <v>0</v>
      </c>
      <c r="I122" s="59">
        <v>0</v>
      </c>
      <c r="J122" s="60">
        <v>0</v>
      </c>
      <c r="K122" s="59">
        <v>0</v>
      </c>
      <c r="L122" s="60">
        <v>0</v>
      </c>
      <c r="M122" s="59">
        <v>0</v>
      </c>
      <c r="N122" s="60">
        <v>0</v>
      </c>
      <c r="O122" s="59">
        <v>0</v>
      </c>
      <c r="P122" s="60">
        <v>0</v>
      </c>
      <c r="Q122" s="59">
        <v>0</v>
      </c>
      <c r="R122" s="60">
        <v>0</v>
      </c>
      <c r="S122" s="59">
        <v>0</v>
      </c>
      <c r="T122" s="60">
        <v>1.2646666666666666</v>
      </c>
      <c r="U122" s="59">
        <v>0</v>
      </c>
      <c r="V122" s="60">
        <v>2.0918333333333359</v>
      </c>
      <c r="W122" s="59">
        <v>8.333333333334044E-4</v>
      </c>
      <c r="X122" s="60">
        <v>0</v>
      </c>
      <c r="Y122" s="59">
        <v>0</v>
      </c>
      <c r="Z122" s="60">
        <v>0</v>
      </c>
      <c r="AA122" s="59">
        <v>0</v>
      </c>
      <c r="AB122" s="60">
        <v>0</v>
      </c>
      <c r="AC122" s="238">
        <f t="shared" si="6"/>
        <v>3.3573333333333357</v>
      </c>
      <c r="AD122" s="238"/>
      <c r="AE122" s="238"/>
    </row>
    <row r="123" spans="2:31" x14ac:dyDescent="0.3">
      <c r="B123" s="245" t="s">
        <v>42</v>
      </c>
      <c r="C123" s="245"/>
      <c r="D123" s="245"/>
      <c r="E123" s="59">
        <v>0</v>
      </c>
      <c r="F123" s="60">
        <v>0</v>
      </c>
      <c r="G123" s="59">
        <v>0</v>
      </c>
      <c r="H123" s="60">
        <v>0</v>
      </c>
      <c r="I123" s="59">
        <v>0</v>
      </c>
      <c r="J123" s="60">
        <v>0</v>
      </c>
      <c r="K123" s="59">
        <v>0</v>
      </c>
      <c r="L123" s="60">
        <v>0</v>
      </c>
      <c r="M123" s="59">
        <v>0</v>
      </c>
      <c r="N123" s="60">
        <v>0</v>
      </c>
      <c r="O123" s="59">
        <v>0</v>
      </c>
      <c r="P123" s="60">
        <v>0</v>
      </c>
      <c r="Q123" s="59">
        <v>0</v>
      </c>
      <c r="R123" s="60">
        <v>0</v>
      </c>
      <c r="S123" s="59">
        <v>0</v>
      </c>
      <c r="T123" s="60">
        <v>0</v>
      </c>
      <c r="U123" s="59">
        <v>0</v>
      </c>
      <c r="V123" s="60">
        <v>0</v>
      </c>
      <c r="W123" s="59">
        <v>0</v>
      </c>
      <c r="X123" s="60">
        <v>0</v>
      </c>
      <c r="Y123" s="59">
        <v>0</v>
      </c>
      <c r="Z123" s="60">
        <v>0</v>
      </c>
      <c r="AA123" s="59">
        <v>0</v>
      </c>
      <c r="AB123" s="60">
        <v>0</v>
      </c>
      <c r="AC123" s="238">
        <f t="shared" si="6"/>
        <v>0</v>
      </c>
      <c r="AD123" s="238"/>
      <c r="AE123" s="238"/>
    </row>
    <row r="124" spans="2:31" x14ac:dyDescent="0.3">
      <c r="B124" s="245" t="s">
        <v>43</v>
      </c>
      <c r="C124" s="245"/>
      <c r="D124" s="245"/>
      <c r="E124" s="59">
        <v>0</v>
      </c>
      <c r="F124" s="60">
        <v>0</v>
      </c>
      <c r="G124" s="59">
        <v>0</v>
      </c>
      <c r="H124" s="60">
        <v>0</v>
      </c>
      <c r="I124" s="59">
        <v>0</v>
      </c>
      <c r="J124" s="60">
        <v>0</v>
      </c>
      <c r="K124" s="59">
        <v>0</v>
      </c>
      <c r="L124" s="60">
        <v>0</v>
      </c>
      <c r="M124" s="59">
        <v>0</v>
      </c>
      <c r="N124" s="60">
        <v>0</v>
      </c>
      <c r="O124" s="59">
        <v>1.045000000000003</v>
      </c>
      <c r="P124" s="60">
        <v>0.18949999999999748</v>
      </c>
      <c r="Q124" s="59">
        <v>0</v>
      </c>
      <c r="R124" s="60">
        <v>0</v>
      </c>
      <c r="S124" s="59">
        <v>0</v>
      </c>
      <c r="T124" s="60">
        <v>3.8961666666666739</v>
      </c>
      <c r="U124" s="59">
        <v>0</v>
      </c>
      <c r="V124" s="60">
        <v>0.95333333333334069</v>
      </c>
      <c r="W124" s="59">
        <v>0</v>
      </c>
      <c r="X124" s="60">
        <v>0</v>
      </c>
      <c r="Y124" s="59">
        <v>0</v>
      </c>
      <c r="Z124" s="60">
        <v>0</v>
      </c>
      <c r="AA124" s="59">
        <v>0</v>
      </c>
      <c r="AB124" s="60">
        <v>0</v>
      </c>
      <c r="AC124" s="238">
        <f t="shared" si="6"/>
        <v>6.0840000000000156</v>
      </c>
      <c r="AD124" s="238"/>
      <c r="AE124" s="238"/>
    </row>
    <row r="125" spans="2:31" x14ac:dyDescent="0.3">
      <c r="B125" s="245" t="s">
        <v>44</v>
      </c>
      <c r="C125" s="245"/>
      <c r="D125" s="245"/>
      <c r="E125" s="59">
        <v>0</v>
      </c>
      <c r="F125" s="60">
        <v>0</v>
      </c>
      <c r="G125" s="59">
        <v>0</v>
      </c>
      <c r="H125" s="60">
        <v>0</v>
      </c>
      <c r="I125" s="59">
        <v>0</v>
      </c>
      <c r="J125" s="60">
        <v>0</v>
      </c>
      <c r="K125" s="59">
        <v>0</v>
      </c>
      <c r="L125" s="60">
        <v>0</v>
      </c>
      <c r="M125" s="59">
        <v>0</v>
      </c>
      <c r="N125" s="60">
        <v>0</v>
      </c>
      <c r="O125" s="59">
        <v>0</v>
      </c>
      <c r="P125" s="60">
        <v>0</v>
      </c>
      <c r="Q125" s="59">
        <v>0</v>
      </c>
      <c r="R125" s="60">
        <v>0</v>
      </c>
      <c r="S125" s="59">
        <v>0</v>
      </c>
      <c r="T125" s="60">
        <v>0</v>
      </c>
      <c r="U125" s="59">
        <v>0</v>
      </c>
      <c r="V125" s="60">
        <v>0</v>
      </c>
      <c r="W125" s="59">
        <v>0</v>
      </c>
      <c r="X125" s="60">
        <v>0</v>
      </c>
      <c r="Y125" s="59">
        <v>0</v>
      </c>
      <c r="Z125" s="60">
        <v>0</v>
      </c>
      <c r="AA125" s="59">
        <v>0</v>
      </c>
      <c r="AB125" s="60">
        <v>0</v>
      </c>
      <c r="AC125" s="238">
        <f t="shared" si="6"/>
        <v>0</v>
      </c>
      <c r="AD125" s="238"/>
      <c r="AE125" s="238"/>
    </row>
    <row r="126" spans="2:31" x14ac:dyDescent="0.3">
      <c r="B126" s="245" t="s">
        <v>45</v>
      </c>
      <c r="C126" s="245"/>
      <c r="D126" s="245"/>
      <c r="E126" s="59">
        <v>0</v>
      </c>
      <c r="F126" s="60">
        <v>0</v>
      </c>
      <c r="G126" s="59">
        <v>0</v>
      </c>
      <c r="H126" s="60">
        <v>0</v>
      </c>
      <c r="I126" s="59">
        <v>0</v>
      </c>
      <c r="J126" s="60">
        <v>0</v>
      </c>
      <c r="K126" s="59">
        <v>0</v>
      </c>
      <c r="L126" s="60">
        <v>0</v>
      </c>
      <c r="M126" s="59">
        <v>0</v>
      </c>
      <c r="N126" s="60">
        <v>0</v>
      </c>
      <c r="O126" s="59">
        <v>0</v>
      </c>
      <c r="P126" s="60">
        <v>0</v>
      </c>
      <c r="Q126" s="59">
        <v>12.336666666666677</v>
      </c>
      <c r="R126" s="60">
        <v>16.807333333333339</v>
      </c>
      <c r="S126" s="59">
        <v>0</v>
      </c>
      <c r="T126" s="60">
        <v>13.938833333333342</v>
      </c>
      <c r="U126" s="59">
        <v>17.445500000000013</v>
      </c>
      <c r="V126" s="60">
        <v>8.1999999999999904</v>
      </c>
      <c r="W126" s="59">
        <v>1.8099999999999992</v>
      </c>
      <c r="X126" s="60">
        <v>0.39833333333333321</v>
      </c>
      <c r="Y126" s="59">
        <v>0</v>
      </c>
      <c r="Z126" s="60">
        <v>0</v>
      </c>
      <c r="AA126" s="59">
        <v>0</v>
      </c>
      <c r="AB126" s="60">
        <v>0</v>
      </c>
      <c r="AC126" s="238">
        <f t="shared" si="6"/>
        <v>70.936666666666682</v>
      </c>
      <c r="AD126" s="238"/>
      <c r="AE126" s="238"/>
    </row>
    <row r="127" spans="2:31" x14ac:dyDescent="0.3">
      <c r="B127" s="245" t="s">
        <v>46</v>
      </c>
      <c r="C127" s="245"/>
      <c r="D127" s="245"/>
      <c r="E127" s="59">
        <v>0</v>
      </c>
      <c r="F127" s="60">
        <v>0</v>
      </c>
      <c r="G127" s="59">
        <v>0</v>
      </c>
      <c r="H127" s="60">
        <v>0</v>
      </c>
      <c r="I127" s="59">
        <v>0</v>
      </c>
      <c r="J127" s="60">
        <v>0</v>
      </c>
      <c r="K127" s="59">
        <v>0</v>
      </c>
      <c r="L127" s="60">
        <v>0</v>
      </c>
      <c r="M127" s="59">
        <v>0</v>
      </c>
      <c r="N127" s="60">
        <v>0</v>
      </c>
      <c r="O127" s="59">
        <v>0</v>
      </c>
      <c r="P127" s="60">
        <v>0</v>
      </c>
      <c r="Q127" s="59">
        <v>13.152166666666657</v>
      </c>
      <c r="R127" s="60">
        <v>11.018166666666669</v>
      </c>
      <c r="S127" s="59">
        <v>43.574499999999965</v>
      </c>
      <c r="T127" s="60">
        <v>0</v>
      </c>
      <c r="U127" s="59">
        <v>0</v>
      </c>
      <c r="V127" s="60">
        <v>0</v>
      </c>
      <c r="W127" s="59">
        <v>0</v>
      </c>
      <c r="X127" s="60">
        <v>2.7166666666666651E-2</v>
      </c>
      <c r="Y127" s="59">
        <v>0</v>
      </c>
      <c r="Z127" s="60">
        <v>0</v>
      </c>
      <c r="AA127" s="59">
        <v>0</v>
      </c>
      <c r="AB127" s="60">
        <v>0</v>
      </c>
      <c r="AC127" s="238">
        <f t="shared" si="6"/>
        <v>67.771999999999963</v>
      </c>
      <c r="AD127" s="238"/>
      <c r="AE127" s="238"/>
    </row>
    <row r="128" spans="2:31" x14ac:dyDescent="0.3">
      <c r="B128" s="245" t="s">
        <v>47</v>
      </c>
      <c r="C128" s="245"/>
      <c r="D128" s="245"/>
      <c r="E128" s="59">
        <v>0</v>
      </c>
      <c r="F128" s="60">
        <v>0</v>
      </c>
      <c r="G128" s="59">
        <v>0</v>
      </c>
      <c r="H128" s="60">
        <v>0</v>
      </c>
      <c r="I128" s="59">
        <v>0</v>
      </c>
      <c r="J128" s="60">
        <v>0</v>
      </c>
      <c r="K128" s="59">
        <v>0</v>
      </c>
      <c r="L128" s="60">
        <v>0</v>
      </c>
      <c r="M128" s="59">
        <v>0</v>
      </c>
      <c r="N128" s="60">
        <v>0</v>
      </c>
      <c r="O128" s="59">
        <v>0</v>
      </c>
      <c r="P128" s="60">
        <v>0</v>
      </c>
      <c r="Q128" s="59">
        <v>2.5816666666666697</v>
      </c>
      <c r="R128" s="60">
        <v>7.8780000000000028</v>
      </c>
      <c r="S128" s="59">
        <v>9.7200000000000149</v>
      </c>
      <c r="T128" s="60">
        <v>10.019999999999991</v>
      </c>
      <c r="U128" s="59">
        <v>9.6200000000000028</v>
      </c>
      <c r="V128" s="60">
        <v>8.7200000000000113</v>
      </c>
      <c r="W128" s="59">
        <v>2.5819999999999985</v>
      </c>
      <c r="X128" s="60">
        <v>0</v>
      </c>
      <c r="Y128" s="59">
        <v>0</v>
      </c>
      <c r="Z128" s="60">
        <v>0</v>
      </c>
      <c r="AA128" s="59">
        <v>0</v>
      </c>
      <c r="AB128" s="60">
        <v>0</v>
      </c>
      <c r="AC128" s="238">
        <f t="shared" si="6"/>
        <v>51.121666666666698</v>
      </c>
      <c r="AD128" s="238"/>
      <c r="AE128" s="238"/>
    </row>
    <row r="129" spans="2:31" x14ac:dyDescent="0.3">
      <c r="B129" s="245" t="s">
        <v>48</v>
      </c>
      <c r="C129" s="245"/>
      <c r="D129" s="245"/>
      <c r="E129" s="59">
        <v>0</v>
      </c>
      <c r="F129" s="60">
        <v>0</v>
      </c>
      <c r="G129" s="59">
        <v>0</v>
      </c>
      <c r="H129" s="60">
        <v>0</v>
      </c>
      <c r="I129" s="59">
        <v>0</v>
      </c>
      <c r="J129" s="60">
        <v>0</v>
      </c>
      <c r="K129" s="59">
        <v>0</v>
      </c>
      <c r="L129" s="60">
        <v>0</v>
      </c>
      <c r="M129" s="59">
        <v>0</v>
      </c>
      <c r="N129" s="60">
        <v>0</v>
      </c>
      <c r="O129" s="59">
        <v>0</v>
      </c>
      <c r="P129" s="60">
        <v>0</v>
      </c>
      <c r="Q129" s="59">
        <v>2.3288333333333306</v>
      </c>
      <c r="R129" s="60">
        <v>6.8381666666666705</v>
      </c>
      <c r="S129" s="59">
        <v>8.3799999999999972</v>
      </c>
      <c r="T129" s="60">
        <v>8.680000000000005</v>
      </c>
      <c r="U129" s="59">
        <v>8.2799999999999869</v>
      </c>
      <c r="V129" s="60">
        <v>7.5799999999999965</v>
      </c>
      <c r="W129" s="59">
        <v>2.8091666666666666</v>
      </c>
      <c r="X129" s="60">
        <v>3.3333333333334102E-4</v>
      </c>
      <c r="Y129" s="59">
        <v>0</v>
      </c>
      <c r="Z129" s="60">
        <v>0</v>
      </c>
      <c r="AA129" s="59">
        <v>0</v>
      </c>
      <c r="AB129" s="60">
        <v>0</v>
      </c>
      <c r="AC129" s="238">
        <f t="shared" si="6"/>
        <v>44.896499999999989</v>
      </c>
      <c r="AD129" s="238"/>
      <c r="AE129" s="238"/>
    </row>
    <row r="130" spans="2:31" x14ac:dyDescent="0.3">
      <c r="B130" s="245" t="s">
        <v>49</v>
      </c>
      <c r="C130" s="245"/>
      <c r="D130" s="245"/>
      <c r="E130" s="59">
        <v>0</v>
      </c>
      <c r="F130" s="60">
        <v>0</v>
      </c>
      <c r="G130" s="59">
        <v>0</v>
      </c>
      <c r="H130" s="60">
        <v>0</v>
      </c>
      <c r="I130" s="59">
        <v>0</v>
      </c>
      <c r="J130" s="60">
        <v>0</v>
      </c>
      <c r="K130" s="59">
        <v>0</v>
      </c>
      <c r="L130" s="60">
        <v>0</v>
      </c>
      <c r="M130" s="59">
        <v>0</v>
      </c>
      <c r="N130" s="60">
        <v>1.6666666666666607E-3</v>
      </c>
      <c r="O130" s="59">
        <v>0</v>
      </c>
      <c r="P130" s="60">
        <v>0</v>
      </c>
      <c r="Q130" s="59">
        <v>0</v>
      </c>
      <c r="R130" s="60">
        <v>0</v>
      </c>
      <c r="S130" s="59">
        <v>0</v>
      </c>
      <c r="T130" s="60">
        <v>0</v>
      </c>
      <c r="U130" s="59">
        <v>0</v>
      </c>
      <c r="V130" s="60">
        <v>0</v>
      </c>
      <c r="W130" s="59">
        <v>2.4999999999999911E-2</v>
      </c>
      <c r="X130" s="60">
        <v>0</v>
      </c>
      <c r="Y130" s="59">
        <v>0</v>
      </c>
      <c r="Z130" s="60">
        <v>0</v>
      </c>
      <c r="AA130" s="59">
        <v>0</v>
      </c>
      <c r="AB130" s="60">
        <v>0</v>
      </c>
      <c r="AC130" s="238">
        <f t="shared" si="6"/>
        <v>2.6666666666666571E-2</v>
      </c>
      <c r="AD130" s="238"/>
      <c r="AE130" s="238"/>
    </row>
    <row r="131" spans="2:31" x14ac:dyDescent="0.3">
      <c r="B131" s="245" t="s">
        <v>50</v>
      </c>
      <c r="C131" s="245"/>
      <c r="D131" s="245"/>
      <c r="E131" s="59">
        <v>0</v>
      </c>
      <c r="F131" s="60">
        <v>0</v>
      </c>
      <c r="G131" s="59">
        <v>0</v>
      </c>
      <c r="H131" s="60">
        <v>0</v>
      </c>
      <c r="I131" s="59">
        <v>0</v>
      </c>
      <c r="J131" s="60">
        <v>0</v>
      </c>
      <c r="K131" s="59">
        <v>0</v>
      </c>
      <c r="L131" s="60">
        <v>0</v>
      </c>
      <c r="M131" s="59">
        <v>0</v>
      </c>
      <c r="N131" s="60">
        <v>0</v>
      </c>
      <c r="O131" s="59">
        <v>1.750666666666665</v>
      </c>
      <c r="P131" s="60">
        <v>2.2018333333333349</v>
      </c>
      <c r="Q131" s="59">
        <v>1.8791666666666653</v>
      </c>
      <c r="R131" s="60">
        <v>2.1241666666666683</v>
      </c>
      <c r="S131" s="59">
        <v>2.327000000000004</v>
      </c>
      <c r="T131" s="60">
        <v>0</v>
      </c>
      <c r="U131" s="59">
        <v>1.0565</v>
      </c>
      <c r="V131" s="60">
        <v>0</v>
      </c>
      <c r="W131" s="59">
        <v>0</v>
      </c>
      <c r="X131" s="60">
        <v>0</v>
      </c>
      <c r="Y131" s="59">
        <v>0</v>
      </c>
      <c r="Z131" s="60">
        <v>0</v>
      </c>
      <c r="AA131" s="59">
        <v>0</v>
      </c>
      <c r="AB131" s="60">
        <v>0</v>
      </c>
      <c r="AC131" s="238">
        <f t="shared" si="6"/>
        <v>11.339333333333338</v>
      </c>
      <c r="AD131" s="238"/>
      <c r="AE131" s="238"/>
    </row>
    <row r="132" spans="2:31" x14ac:dyDescent="0.3">
      <c r="B132" s="245" t="s">
        <v>97</v>
      </c>
      <c r="C132" s="245"/>
      <c r="D132" s="245"/>
      <c r="E132" s="59">
        <v>0</v>
      </c>
      <c r="F132" s="60">
        <v>0</v>
      </c>
      <c r="G132" s="59">
        <v>0</v>
      </c>
      <c r="H132" s="60">
        <v>0</v>
      </c>
      <c r="I132" s="59">
        <v>0</v>
      </c>
      <c r="J132" s="60">
        <v>0</v>
      </c>
      <c r="K132" s="59">
        <v>0</v>
      </c>
      <c r="L132" s="60">
        <v>0</v>
      </c>
      <c r="M132" s="59">
        <v>0</v>
      </c>
      <c r="N132" s="60">
        <v>0</v>
      </c>
      <c r="O132" s="59">
        <v>0</v>
      </c>
      <c r="P132" s="60">
        <v>0</v>
      </c>
      <c r="Q132" s="59">
        <v>0</v>
      </c>
      <c r="R132" s="60">
        <v>0</v>
      </c>
      <c r="S132" s="59">
        <v>0</v>
      </c>
      <c r="T132" s="60">
        <v>0</v>
      </c>
      <c r="U132" s="59">
        <v>0</v>
      </c>
      <c r="V132" s="60">
        <v>0</v>
      </c>
      <c r="W132" s="59">
        <v>0</v>
      </c>
      <c r="X132" s="60">
        <v>0</v>
      </c>
      <c r="Y132" s="59">
        <v>0</v>
      </c>
      <c r="Z132" s="60">
        <v>0</v>
      </c>
      <c r="AA132" s="59">
        <v>0</v>
      </c>
      <c r="AB132" s="60">
        <v>0</v>
      </c>
      <c r="AC132" s="238">
        <f t="shared" si="6"/>
        <v>0</v>
      </c>
      <c r="AD132" s="238"/>
      <c r="AE132" s="238"/>
    </row>
    <row r="133" spans="2:31" x14ac:dyDescent="0.3">
      <c r="B133" s="245" t="s">
        <v>51</v>
      </c>
      <c r="C133" s="245"/>
      <c r="D133" s="245"/>
      <c r="E133" s="59">
        <v>0</v>
      </c>
      <c r="F133" s="60">
        <v>0</v>
      </c>
      <c r="G133" s="59">
        <v>0</v>
      </c>
      <c r="H133" s="60">
        <v>0</v>
      </c>
      <c r="I133" s="59">
        <v>0</v>
      </c>
      <c r="J133" s="60">
        <v>0</v>
      </c>
      <c r="K133" s="59">
        <v>0</v>
      </c>
      <c r="L133" s="60">
        <v>0</v>
      </c>
      <c r="M133" s="59">
        <v>0</v>
      </c>
      <c r="N133" s="60">
        <v>0</v>
      </c>
      <c r="O133" s="59">
        <v>0</v>
      </c>
      <c r="P133" s="60">
        <v>0</v>
      </c>
      <c r="Q133" s="59">
        <v>0</v>
      </c>
      <c r="R133" s="60">
        <v>0</v>
      </c>
      <c r="S133" s="59">
        <v>0</v>
      </c>
      <c r="T133" s="60">
        <v>0</v>
      </c>
      <c r="U133" s="59">
        <v>7.5954999999999995</v>
      </c>
      <c r="V133" s="60">
        <v>60.840833333333329</v>
      </c>
      <c r="W133" s="59">
        <v>12.284333333333333</v>
      </c>
      <c r="X133" s="60">
        <v>0</v>
      </c>
      <c r="Y133" s="59">
        <v>0</v>
      </c>
      <c r="Z133" s="60">
        <v>0</v>
      </c>
      <c r="AA133" s="59">
        <v>0</v>
      </c>
      <c r="AB133" s="60">
        <v>0</v>
      </c>
      <c r="AC133" s="238">
        <f t="shared" si="6"/>
        <v>80.720666666666659</v>
      </c>
      <c r="AD133" s="238"/>
      <c r="AE133" s="238"/>
    </row>
    <row r="134" spans="2:31" x14ac:dyDescent="0.3">
      <c r="B134" s="245" t="s">
        <v>52</v>
      </c>
      <c r="C134" s="245"/>
      <c r="D134" s="245"/>
      <c r="E134" s="59">
        <v>0</v>
      </c>
      <c r="F134" s="60">
        <v>0</v>
      </c>
      <c r="G134" s="59">
        <v>0</v>
      </c>
      <c r="H134" s="60">
        <v>0</v>
      </c>
      <c r="I134" s="59">
        <v>0</v>
      </c>
      <c r="J134" s="60">
        <v>0</v>
      </c>
      <c r="K134" s="59">
        <v>0</v>
      </c>
      <c r="L134" s="60">
        <v>0</v>
      </c>
      <c r="M134" s="59">
        <v>0</v>
      </c>
      <c r="N134" s="60">
        <v>0</v>
      </c>
      <c r="O134" s="59">
        <v>0</v>
      </c>
      <c r="P134" s="60">
        <v>0</v>
      </c>
      <c r="Q134" s="59">
        <v>0</v>
      </c>
      <c r="R134" s="60">
        <v>0</v>
      </c>
      <c r="S134" s="59">
        <v>0</v>
      </c>
      <c r="T134" s="60">
        <v>0</v>
      </c>
      <c r="U134" s="59">
        <v>0</v>
      </c>
      <c r="V134" s="60">
        <v>0</v>
      </c>
      <c r="W134" s="59">
        <v>0</v>
      </c>
      <c r="X134" s="60">
        <v>0</v>
      </c>
      <c r="Y134" s="59">
        <v>0</v>
      </c>
      <c r="Z134" s="60">
        <v>0</v>
      </c>
      <c r="AA134" s="59">
        <v>0</v>
      </c>
      <c r="AB134" s="60">
        <v>0</v>
      </c>
      <c r="AC134" s="238">
        <f t="shared" si="6"/>
        <v>0</v>
      </c>
      <c r="AD134" s="238"/>
      <c r="AE134" s="238"/>
    </row>
    <row r="135" spans="2:31" x14ac:dyDescent="0.3">
      <c r="B135" s="245" t="s">
        <v>53</v>
      </c>
      <c r="C135" s="245"/>
      <c r="D135" s="245"/>
      <c r="E135" s="59">
        <v>0</v>
      </c>
      <c r="F135" s="60">
        <v>0</v>
      </c>
      <c r="G135" s="59">
        <v>0</v>
      </c>
      <c r="H135" s="60">
        <v>0</v>
      </c>
      <c r="I135" s="59">
        <v>0</v>
      </c>
      <c r="J135" s="60">
        <v>0</v>
      </c>
      <c r="K135" s="59">
        <v>0</v>
      </c>
      <c r="L135" s="60">
        <v>0</v>
      </c>
      <c r="M135" s="59">
        <v>0</v>
      </c>
      <c r="N135" s="60">
        <v>0</v>
      </c>
      <c r="O135" s="59">
        <v>0</v>
      </c>
      <c r="P135" s="60">
        <v>0</v>
      </c>
      <c r="Q135" s="59">
        <v>0</v>
      </c>
      <c r="R135" s="60">
        <v>0</v>
      </c>
      <c r="S135" s="59">
        <v>0</v>
      </c>
      <c r="T135" s="60">
        <v>0</v>
      </c>
      <c r="U135" s="59">
        <v>0.70699999999999974</v>
      </c>
      <c r="V135" s="60">
        <v>5.121999999999999</v>
      </c>
      <c r="W135" s="59">
        <v>0</v>
      </c>
      <c r="X135" s="60">
        <v>0</v>
      </c>
      <c r="Y135" s="59">
        <v>0</v>
      </c>
      <c r="Z135" s="60">
        <v>0</v>
      </c>
      <c r="AA135" s="59">
        <v>0</v>
      </c>
      <c r="AB135" s="60">
        <v>0</v>
      </c>
      <c r="AC135" s="238">
        <f t="shared" si="6"/>
        <v>5.8289999999999988</v>
      </c>
      <c r="AD135" s="238"/>
      <c r="AE135" s="238"/>
    </row>
    <row r="136" spans="2:31" x14ac:dyDescent="0.3">
      <c r="B136" s="245" t="s">
        <v>54</v>
      </c>
      <c r="C136" s="245"/>
      <c r="D136" s="245"/>
      <c r="E136" s="59">
        <v>0</v>
      </c>
      <c r="F136" s="60">
        <v>0</v>
      </c>
      <c r="G136" s="59">
        <v>0</v>
      </c>
      <c r="H136" s="60">
        <v>0</v>
      </c>
      <c r="I136" s="59">
        <v>0</v>
      </c>
      <c r="J136" s="60">
        <v>0</v>
      </c>
      <c r="K136" s="59">
        <v>0</v>
      </c>
      <c r="L136" s="60">
        <v>0</v>
      </c>
      <c r="M136" s="59">
        <v>0</v>
      </c>
      <c r="N136" s="60">
        <v>0</v>
      </c>
      <c r="O136" s="59">
        <v>0</v>
      </c>
      <c r="P136" s="60">
        <v>0</v>
      </c>
      <c r="Q136" s="59">
        <v>0</v>
      </c>
      <c r="R136" s="60">
        <v>0</v>
      </c>
      <c r="S136" s="59">
        <v>0</v>
      </c>
      <c r="T136" s="60">
        <v>0</v>
      </c>
      <c r="U136" s="59">
        <v>0.14633333333333334</v>
      </c>
      <c r="V136" s="60">
        <v>1.4866666666666668</v>
      </c>
      <c r="W136" s="59">
        <v>0</v>
      </c>
      <c r="X136" s="60">
        <v>0</v>
      </c>
      <c r="Y136" s="59">
        <v>0</v>
      </c>
      <c r="Z136" s="60">
        <v>0</v>
      </c>
      <c r="AA136" s="59">
        <v>0</v>
      </c>
      <c r="AB136" s="60">
        <v>0</v>
      </c>
      <c r="AC136" s="238">
        <f t="shared" si="6"/>
        <v>1.6330000000000002</v>
      </c>
      <c r="AD136" s="238"/>
      <c r="AE136" s="238"/>
    </row>
    <row r="137" spans="2:31" x14ac:dyDescent="0.3">
      <c r="B137" s="245" t="s">
        <v>55</v>
      </c>
      <c r="C137" s="245"/>
      <c r="D137" s="245"/>
      <c r="E137" s="59">
        <v>0</v>
      </c>
      <c r="F137" s="60">
        <v>0</v>
      </c>
      <c r="G137" s="59">
        <v>0</v>
      </c>
      <c r="H137" s="60">
        <v>0</v>
      </c>
      <c r="I137" s="59">
        <v>0</v>
      </c>
      <c r="J137" s="60">
        <v>0</v>
      </c>
      <c r="K137" s="59">
        <v>0</v>
      </c>
      <c r="L137" s="60">
        <v>0</v>
      </c>
      <c r="M137" s="59">
        <v>0</v>
      </c>
      <c r="N137" s="60">
        <v>0</v>
      </c>
      <c r="O137" s="59">
        <v>0</v>
      </c>
      <c r="P137" s="60">
        <v>0</v>
      </c>
      <c r="Q137" s="59">
        <v>0</v>
      </c>
      <c r="R137" s="60">
        <v>0</v>
      </c>
      <c r="S137" s="59">
        <v>0</v>
      </c>
      <c r="T137" s="60">
        <v>0</v>
      </c>
      <c r="U137" s="59">
        <v>0</v>
      </c>
      <c r="V137" s="60">
        <v>0</v>
      </c>
      <c r="W137" s="59">
        <v>0</v>
      </c>
      <c r="X137" s="60">
        <v>0</v>
      </c>
      <c r="Y137" s="59">
        <v>0</v>
      </c>
      <c r="Z137" s="60">
        <v>0</v>
      </c>
      <c r="AA137" s="59">
        <v>0</v>
      </c>
      <c r="AB137" s="60">
        <v>0</v>
      </c>
      <c r="AC137" s="238">
        <f t="shared" si="6"/>
        <v>0</v>
      </c>
      <c r="AD137" s="238"/>
      <c r="AE137" s="238"/>
    </row>
    <row r="138" spans="2:31" x14ac:dyDescent="0.3">
      <c r="B138" s="245" t="s">
        <v>56</v>
      </c>
      <c r="C138" s="245"/>
      <c r="D138" s="245"/>
      <c r="E138" s="59">
        <v>0</v>
      </c>
      <c r="F138" s="60">
        <v>0</v>
      </c>
      <c r="G138" s="59">
        <v>0</v>
      </c>
      <c r="H138" s="60">
        <v>0</v>
      </c>
      <c r="I138" s="59">
        <v>0</v>
      </c>
      <c r="J138" s="60">
        <v>0</v>
      </c>
      <c r="K138" s="59">
        <v>0</v>
      </c>
      <c r="L138" s="60">
        <v>0</v>
      </c>
      <c r="M138" s="59">
        <v>0</v>
      </c>
      <c r="N138" s="60">
        <v>0</v>
      </c>
      <c r="O138" s="59">
        <v>0</v>
      </c>
      <c r="P138" s="60">
        <v>0</v>
      </c>
      <c r="Q138" s="59">
        <v>0</v>
      </c>
      <c r="R138" s="60">
        <v>0</v>
      </c>
      <c r="S138" s="59">
        <v>0</v>
      </c>
      <c r="T138" s="60">
        <v>0</v>
      </c>
      <c r="U138" s="59">
        <v>3.5666666666666673E-2</v>
      </c>
      <c r="V138" s="60">
        <v>1.2333333333333604E-2</v>
      </c>
      <c r="W138" s="59">
        <v>0</v>
      </c>
      <c r="X138" s="60">
        <v>0</v>
      </c>
      <c r="Y138" s="59">
        <v>0</v>
      </c>
      <c r="Z138" s="60">
        <v>0</v>
      </c>
      <c r="AA138" s="59">
        <v>0</v>
      </c>
      <c r="AB138" s="60">
        <v>0</v>
      </c>
      <c r="AC138" s="238">
        <f t="shared" si="6"/>
        <v>4.8000000000000279E-2</v>
      </c>
      <c r="AD138" s="238"/>
      <c r="AE138" s="238"/>
    </row>
    <row r="139" spans="2:31" x14ac:dyDescent="0.3">
      <c r="B139" s="245" t="s">
        <v>94</v>
      </c>
      <c r="C139" s="245"/>
      <c r="D139" s="245"/>
      <c r="E139" s="59">
        <v>0</v>
      </c>
      <c r="F139" s="60">
        <v>0</v>
      </c>
      <c r="G139" s="59">
        <v>0</v>
      </c>
      <c r="H139" s="60">
        <v>0</v>
      </c>
      <c r="I139" s="59">
        <v>0</v>
      </c>
      <c r="J139" s="60">
        <v>0</v>
      </c>
      <c r="K139" s="59">
        <v>0</v>
      </c>
      <c r="L139" s="60">
        <v>0</v>
      </c>
      <c r="M139" s="59">
        <v>0</v>
      </c>
      <c r="N139" s="60">
        <v>0</v>
      </c>
      <c r="O139" s="59">
        <v>0</v>
      </c>
      <c r="P139" s="60">
        <v>0</v>
      </c>
      <c r="Q139" s="59">
        <v>0</v>
      </c>
      <c r="R139" s="60">
        <v>0</v>
      </c>
      <c r="S139" s="59">
        <v>0</v>
      </c>
      <c r="T139" s="60">
        <v>0</v>
      </c>
      <c r="U139" s="59">
        <v>0</v>
      </c>
      <c r="V139" s="60">
        <v>0</v>
      </c>
      <c r="W139" s="59">
        <v>0</v>
      </c>
      <c r="X139" s="60">
        <v>0</v>
      </c>
      <c r="Y139" s="59">
        <v>0</v>
      </c>
      <c r="Z139" s="60">
        <v>0</v>
      </c>
      <c r="AA139" s="59">
        <v>0</v>
      </c>
      <c r="AB139" s="60">
        <v>0</v>
      </c>
      <c r="AC139" s="238">
        <f t="shared" si="6"/>
        <v>0</v>
      </c>
      <c r="AD139" s="238"/>
      <c r="AE139" s="238"/>
    </row>
    <row r="140" spans="2:31" x14ac:dyDescent="0.3">
      <c r="B140" s="245" t="s">
        <v>57</v>
      </c>
      <c r="C140" s="245"/>
      <c r="D140" s="245"/>
      <c r="E140" s="59">
        <v>0</v>
      </c>
      <c r="F140" s="60">
        <v>0</v>
      </c>
      <c r="G140" s="59">
        <v>0</v>
      </c>
      <c r="H140" s="60">
        <v>0</v>
      </c>
      <c r="I140" s="59">
        <v>0</v>
      </c>
      <c r="J140" s="60">
        <v>0</v>
      </c>
      <c r="K140" s="59">
        <v>0</v>
      </c>
      <c r="L140" s="60">
        <v>0</v>
      </c>
      <c r="M140" s="59">
        <v>0</v>
      </c>
      <c r="N140" s="60">
        <v>0</v>
      </c>
      <c r="O140" s="59">
        <v>0</v>
      </c>
      <c r="P140" s="60">
        <v>0</v>
      </c>
      <c r="Q140" s="59">
        <v>0</v>
      </c>
      <c r="R140" s="60">
        <v>0</v>
      </c>
      <c r="S140" s="59">
        <v>0</v>
      </c>
      <c r="T140" s="60">
        <v>0</v>
      </c>
      <c r="U140" s="59">
        <v>3.4999999999999844E-2</v>
      </c>
      <c r="V140" s="60">
        <v>0</v>
      </c>
      <c r="W140" s="59">
        <v>0</v>
      </c>
      <c r="X140" s="60">
        <v>0</v>
      </c>
      <c r="Y140" s="59">
        <v>0</v>
      </c>
      <c r="Z140" s="60">
        <v>0</v>
      </c>
      <c r="AA140" s="59">
        <v>0</v>
      </c>
      <c r="AB140" s="60">
        <v>0</v>
      </c>
      <c r="AC140" s="238">
        <f t="shared" si="6"/>
        <v>3.4999999999999844E-2</v>
      </c>
      <c r="AD140" s="238"/>
      <c r="AE140" s="238"/>
    </row>
    <row r="141" spans="2:31" x14ac:dyDescent="0.3">
      <c r="B141" s="245" t="s">
        <v>58</v>
      </c>
      <c r="C141" s="245"/>
      <c r="D141" s="245"/>
      <c r="E141" s="59">
        <v>0</v>
      </c>
      <c r="F141" s="60">
        <v>0</v>
      </c>
      <c r="G141" s="59">
        <v>0</v>
      </c>
      <c r="H141" s="60">
        <v>0</v>
      </c>
      <c r="I141" s="59">
        <v>0</v>
      </c>
      <c r="J141" s="60">
        <v>0</v>
      </c>
      <c r="K141" s="59">
        <v>0</v>
      </c>
      <c r="L141" s="60">
        <v>0</v>
      </c>
      <c r="M141" s="59">
        <v>0</v>
      </c>
      <c r="N141" s="60">
        <v>0</v>
      </c>
      <c r="O141" s="59">
        <v>0</v>
      </c>
      <c r="P141" s="60">
        <v>0</v>
      </c>
      <c r="Q141" s="59">
        <v>0</v>
      </c>
      <c r="R141" s="60">
        <v>0</v>
      </c>
      <c r="S141" s="59">
        <v>0</v>
      </c>
      <c r="T141" s="60">
        <v>0</v>
      </c>
      <c r="U141" s="59">
        <v>1.9999999999999574E-2</v>
      </c>
      <c r="V141" s="60">
        <v>0.78050000000000186</v>
      </c>
      <c r="W141" s="59">
        <v>0</v>
      </c>
      <c r="X141" s="60">
        <v>0</v>
      </c>
      <c r="Y141" s="59">
        <v>0</v>
      </c>
      <c r="Z141" s="60">
        <v>0</v>
      </c>
      <c r="AA141" s="59">
        <v>0</v>
      </c>
      <c r="AB141" s="60">
        <v>0</v>
      </c>
      <c r="AC141" s="238">
        <f t="shared" si="6"/>
        <v>0.80050000000000143</v>
      </c>
      <c r="AD141" s="238"/>
      <c r="AE141" s="238"/>
    </row>
    <row r="142" spans="2:31" x14ac:dyDescent="0.3">
      <c r="B142" s="245" t="s">
        <v>95</v>
      </c>
      <c r="C142" s="245"/>
      <c r="D142" s="245"/>
      <c r="E142" s="59">
        <v>0</v>
      </c>
      <c r="F142" s="60">
        <v>0</v>
      </c>
      <c r="G142" s="59">
        <v>0</v>
      </c>
      <c r="H142" s="60">
        <v>0</v>
      </c>
      <c r="I142" s="59">
        <v>0</v>
      </c>
      <c r="J142" s="60">
        <v>0</v>
      </c>
      <c r="K142" s="59">
        <v>0</v>
      </c>
      <c r="L142" s="60">
        <v>0</v>
      </c>
      <c r="M142" s="59">
        <v>0</v>
      </c>
      <c r="N142" s="60">
        <v>0</v>
      </c>
      <c r="O142" s="59">
        <v>0</v>
      </c>
      <c r="P142" s="60">
        <v>0</v>
      </c>
      <c r="Q142" s="59">
        <v>0</v>
      </c>
      <c r="R142" s="60">
        <v>0</v>
      </c>
      <c r="S142" s="59">
        <v>0</v>
      </c>
      <c r="T142" s="60">
        <v>0</v>
      </c>
      <c r="U142" s="59">
        <v>0</v>
      </c>
      <c r="V142" s="60">
        <v>0</v>
      </c>
      <c r="W142" s="59">
        <v>0</v>
      </c>
      <c r="X142" s="60">
        <v>0</v>
      </c>
      <c r="Y142" s="59">
        <v>0</v>
      </c>
      <c r="Z142" s="60">
        <v>0</v>
      </c>
      <c r="AA142" s="59">
        <v>0</v>
      </c>
      <c r="AB142" s="60">
        <v>0</v>
      </c>
      <c r="AC142" s="238">
        <f t="shared" si="6"/>
        <v>0</v>
      </c>
      <c r="AD142" s="238"/>
      <c r="AE142" s="238"/>
    </row>
    <row r="143" spans="2:31" x14ac:dyDescent="0.3">
      <c r="B143" s="245" t="s">
        <v>59</v>
      </c>
      <c r="C143" s="245"/>
      <c r="D143" s="245"/>
      <c r="E143" s="59">
        <v>0</v>
      </c>
      <c r="F143" s="60">
        <v>0</v>
      </c>
      <c r="G143" s="59">
        <v>0</v>
      </c>
      <c r="H143" s="60">
        <v>0</v>
      </c>
      <c r="I143" s="59">
        <v>0</v>
      </c>
      <c r="J143" s="60">
        <v>0</v>
      </c>
      <c r="K143" s="59">
        <v>0</v>
      </c>
      <c r="L143" s="60">
        <v>0</v>
      </c>
      <c r="M143" s="59">
        <v>0</v>
      </c>
      <c r="N143" s="60">
        <v>0</v>
      </c>
      <c r="O143" s="59">
        <v>0</v>
      </c>
      <c r="P143" s="60">
        <v>0</v>
      </c>
      <c r="Q143" s="59">
        <v>0</v>
      </c>
      <c r="R143" s="60">
        <v>0</v>
      </c>
      <c r="S143" s="59">
        <v>5.8058333333333341</v>
      </c>
      <c r="T143" s="60">
        <v>17.956166666666665</v>
      </c>
      <c r="U143" s="59">
        <v>16.778666666666666</v>
      </c>
      <c r="V143" s="60">
        <v>14.976833333333333</v>
      </c>
      <c r="W143" s="59">
        <v>2.4168333333333316</v>
      </c>
      <c r="X143" s="60">
        <v>0</v>
      </c>
      <c r="Y143" s="59">
        <v>0</v>
      </c>
      <c r="Z143" s="60">
        <v>0</v>
      </c>
      <c r="AA143" s="59">
        <v>0</v>
      </c>
      <c r="AB143" s="60">
        <v>0</v>
      </c>
      <c r="AC143" s="238">
        <f t="shared" si="6"/>
        <v>57.934333333333328</v>
      </c>
      <c r="AD143" s="238"/>
      <c r="AE143" s="238"/>
    </row>
    <row r="144" spans="2:31" x14ac:dyDescent="0.3">
      <c r="B144" s="245" t="s">
        <v>60</v>
      </c>
      <c r="C144" s="245"/>
      <c r="D144" s="245"/>
      <c r="E144" s="59">
        <v>0</v>
      </c>
      <c r="F144" s="60">
        <v>0</v>
      </c>
      <c r="G144" s="59">
        <v>0</v>
      </c>
      <c r="H144" s="60">
        <v>0</v>
      </c>
      <c r="I144" s="59">
        <v>0</v>
      </c>
      <c r="J144" s="60">
        <v>0</v>
      </c>
      <c r="K144" s="59">
        <v>0</v>
      </c>
      <c r="L144" s="60">
        <v>0</v>
      </c>
      <c r="M144" s="59">
        <v>0</v>
      </c>
      <c r="N144" s="60">
        <v>0</v>
      </c>
      <c r="O144" s="59">
        <v>0</v>
      </c>
      <c r="P144" s="60">
        <v>0</v>
      </c>
      <c r="Q144" s="59">
        <v>0</v>
      </c>
      <c r="R144" s="60">
        <v>0</v>
      </c>
      <c r="S144" s="59">
        <v>0</v>
      </c>
      <c r="T144" s="60">
        <v>0</v>
      </c>
      <c r="U144" s="59">
        <v>0</v>
      </c>
      <c r="V144" s="60">
        <v>0</v>
      </c>
      <c r="W144" s="59">
        <v>0</v>
      </c>
      <c r="X144" s="60">
        <v>0</v>
      </c>
      <c r="Y144" s="59">
        <v>0</v>
      </c>
      <c r="Z144" s="60">
        <v>0</v>
      </c>
      <c r="AA144" s="59">
        <v>0</v>
      </c>
      <c r="AB144" s="60">
        <v>0</v>
      </c>
      <c r="AC144" s="238">
        <f t="shared" si="6"/>
        <v>0</v>
      </c>
      <c r="AD144" s="238"/>
      <c r="AE144" s="238"/>
    </row>
    <row r="145" spans="2:31" x14ac:dyDescent="0.3">
      <c r="B145" s="245" t="s">
        <v>61</v>
      </c>
      <c r="C145" s="245"/>
      <c r="D145" s="245"/>
      <c r="E145" s="59">
        <v>0</v>
      </c>
      <c r="F145" s="60">
        <v>0</v>
      </c>
      <c r="G145" s="59">
        <v>0</v>
      </c>
      <c r="H145" s="60">
        <v>0</v>
      </c>
      <c r="I145" s="59">
        <v>0</v>
      </c>
      <c r="J145" s="60">
        <v>0</v>
      </c>
      <c r="K145" s="59">
        <v>0</v>
      </c>
      <c r="L145" s="60">
        <v>0</v>
      </c>
      <c r="M145" s="59">
        <v>0</v>
      </c>
      <c r="N145" s="60">
        <v>0</v>
      </c>
      <c r="O145" s="59">
        <v>0</v>
      </c>
      <c r="P145" s="60">
        <v>0</v>
      </c>
      <c r="Q145" s="59">
        <v>0</v>
      </c>
      <c r="R145" s="60">
        <v>0</v>
      </c>
      <c r="S145" s="59">
        <v>0</v>
      </c>
      <c r="T145" s="60">
        <v>0</v>
      </c>
      <c r="U145" s="59">
        <v>0</v>
      </c>
      <c r="V145" s="60">
        <v>0</v>
      </c>
      <c r="W145" s="59">
        <v>0</v>
      </c>
      <c r="X145" s="60">
        <v>0</v>
      </c>
      <c r="Y145" s="59">
        <v>0</v>
      </c>
      <c r="Z145" s="60">
        <v>0</v>
      </c>
      <c r="AA145" s="59">
        <v>0</v>
      </c>
      <c r="AB145" s="60">
        <v>0</v>
      </c>
      <c r="AC145" s="238">
        <f t="shared" si="6"/>
        <v>0</v>
      </c>
      <c r="AD145" s="238"/>
      <c r="AE145" s="238"/>
    </row>
    <row r="146" spans="2:31" x14ac:dyDescent="0.3">
      <c r="B146" s="245" t="s">
        <v>62</v>
      </c>
      <c r="C146" s="245"/>
      <c r="D146" s="245"/>
      <c r="E146" s="59">
        <v>0</v>
      </c>
      <c r="F146" s="60">
        <v>0</v>
      </c>
      <c r="G146" s="59">
        <v>0</v>
      </c>
      <c r="H146" s="60">
        <v>0</v>
      </c>
      <c r="I146" s="59">
        <v>0</v>
      </c>
      <c r="J146" s="60">
        <v>0</v>
      </c>
      <c r="K146" s="59">
        <v>0</v>
      </c>
      <c r="L146" s="60">
        <v>0</v>
      </c>
      <c r="M146" s="59">
        <v>0</v>
      </c>
      <c r="N146" s="60">
        <v>0</v>
      </c>
      <c r="O146" s="59">
        <v>0</v>
      </c>
      <c r="P146" s="60">
        <v>0</v>
      </c>
      <c r="Q146" s="59">
        <v>0</v>
      </c>
      <c r="R146" s="60">
        <v>0</v>
      </c>
      <c r="S146" s="59">
        <v>0</v>
      </c>
      <c r="T146" s="60">
        <v>0</v>
      </c>
      <c r="U146" s="59">
        <v>0</v>
      </c>
      <c r="V146" s="60">
        <v>0</v>
      </c>
      <c r="W146" s="59">
        <v>0</v>
      </c>
      <c r="X146" s="60">
        <v>0</v>
      </c>
      <c r="Y146" s="59">
        <v>0</v>
      </c>
      <c r="Z146" s="60">
        <v>0</v>
      </c>
      <c r="AA146" s="59">
        <v>0</v>
      </c>
      <c r="AB146" s="60">
        <v>0</v>
      </c>
      <c r="AC146" s="238">
        <f t="shared" si="6"/>
        <v>0</v>
      </c>
      <c r="AD146" s="238"/>
      <c r="AE146" s="238"/>
    </row>
    <row r="147" spans="2:31" x14ac:dyDescent="0.3">
      <c r="B147" s="245" t="s">
        <v>63</v>
      </c>
      <c r="C147" s="245"/>
      <c r="D147" s="245"/>
      <c r="E147" s="59">
        <v>0</v>
      </c>
      <c r="F147" s="60">
        <v>0</v>
      </c>
      <c r="G147" s="59">
        <v>0</v>
      </c>
      <c r="H147" s="60">
        <v>0</v>
      </c>
      <c r="I147" s="59">
        <v>0</v>
      </c>
      <c r="J147" s="60">
        <v>0</v>
      </c>
      <c r="K147" s="59">
        <v>0</v>
      </c>
      <c r="L147" s="60">
        <v>0</v>
      </c>
      <c r="M147" s="59">
        <v>0</v>
      </c>
      <c r="N147" s="60">
        <v>0</v>
      </c>
      <c r="O147" s="59">
        <v>0</v>
      </c>
      <c r="P147" s="60">
        <v>0</v>
      </c>
      <c r="Q147" s="59">
        <v>0</v>
      </c>
      <c r="R147" s="60">
        <v>0</v>
      </c>
      <c r="S147" s="59">
        <v>0</v>
      </c>
      <c r="T147" s="60">
        <v>0</v>
      </c>
      <c r="U147" s="59">
        <v>0</v>
      </c>
      <c r="V147" s="60">
        <v>1.9999999999996019E-3</v>
      </c>
      <c r="W147" s="59">
        <v>0</v>
      </c>
      <c r="X147" s="60">
        <v>0</v>
      </c>
      <c r="Y147" s="59">
        <v>0</v>
      </c>
      <c r="Z147" s="60">
        <v>0</v>
      </c>
      <c r="AA147" s="59">
        <v>0</v>
      </c>
      <c r="AB147" s="60">
        <v>0</v>
      </c>
      <c r="AC147" s="238">
        <f t="shared" si="6"/>
        <v>1.9999999999996019E-3</v>
      </c>
      <c r="AD147" s="238"/>
      <c r="AE147" s="238"/>
    </row>
    <row r="148" spans="2:31" x14ac:dyDescent="0.3">
      <c r="B148" s="245" t="s">
        <v>64</v>
      </c>
      <c r="C148" s="245"/>
      <c r="D148" s="245"/>
      <c r="E148" s="59">
        <v>0</v>
      </c>
      <c r="F148" s="60">
        <v>0</v>
      </c>
      <c r="G148" s="59">
        <v>0</v>
      </c>
      <c r="H148" s="60">
        <v>0</v>
      </c>
      <c r="I148" s="59">
        <v>0</v>
      </c>
      <c r="J148" s="60">
        <v>0</v>
      </c>
      <c r="K148" s="59">
        <v>0</v>
      </c>
      <c r="L148" s="60">
        <v>0</v>
      </c>
      <c r="M148" s="59">
        <v>0</v>
      </c>
      <c r="N148" s="60">
        <v>0</v>
      </c>
      <c r="O148" s="59">
        <v>0</v>
      </c>
      <c r="P148" s="60">
        <v>0</v>
      </c>
      <c r="Q148" s="59">
        <v>0</v>
      </c>
      <c r="R148" s="60">
        <v>0</v>
      </c>
      <c r="S148" s="59">
        <v>0</v>
      </c>
      <c r="T148" s="60">
        <v>0</v>
      </c>
      <c r="U148" s="59">
        <v>0.18116666666666698</v>
      </c>
      <c r="V148" s="60">
        <v>1.8251666666666666</v>
      </c>
      <c r="W148" s="59">
        <v>0</v>
      </c>
      <c r="X148" s="60">
        <v>0</v>
      </c>
      <c r="Y148" s="59">
        <v>0</v>
      </c>
      <c r="Z148" s="60">
        <v>0</v>
      </c>
      <c r="AA148" s="59">
        <v>0</v>
      </c>
      <c r="AB148" s="60">
        <v>0</v>
      </c>
      <c r="AC148" s="238">
        <f t="shared" si="6"/>
        <v>2.0063333333333335</v>
      </c>
      <c r="AD148" s="238"/>
      <c r="AE148" s="238"/>
    </row>
    <row r="149" spans="2:31" x14ac:dyDescent="0.3">
      <c r="B149" s="245" t="s">
        <v>96</v>
      </c>
      <c r="C149" s="245"/>
      <c r="D149" s="245"/>
      <c r="E149" s="59">
        <v>0</v>
      </c>
      <c r="F149" s="60">
        <v>0</v>
      </c>
      <c r="G149" s="59">
        <v>0</v>
      </c>
      <c r="H149" s="60">
        <v>0</v>
      </c>
      <c r="I149" s="59">
        <v>0</v>
      </c>
      <c r="J149" s="60">
        <v>0</v>
      </c>
      <c r="K149" s="59">
        <v>0</v>
      </c>
      <c r="L149" s="60">
        <v>0</v>
      </c>
      <c r="M149" s="59">
        <v>0</v>
      </c>
      <c r="N149" s="60">
        <v>0</v>
      </c>
      <c r="O149" s="59">
        <v>0</v>
      </c>
      <c r="P149" s="60">
        <v>0</v>
      </c>
      <c r="Q149" s="59">
        <v>0</v>
      </c>
      <c r="R149" s="60">
        <v>0</v>
      </c>
      <c r="S149" s="59">
        <v>0</v>
      </c>
      <c r="T149" s="60">
        <v>0</v>
      </c>
      <c r="U149" s="59">
        <v>0</v>
      </c>
      <c r="V149" s="60">
        <v>0</v>
      </c>
      <c r="W149" s="59">
        <v>0</v>
      </c>
      <c r="X149" s="60">
        <v>0</v>
      </c>
      <c r="Y149" s="59">
        <v>0</v>
      </c>
      <c r="Z149" s="60">
        <v>0</v>
      </c>
      <c r="AA149" s="59">
        <v>0</v>
      </c>
      <c r="AB149" s="60">
        <v>0</v>
      </c>
      <c r="AC149" s="238">
        <f t="shared" si="6"/>
        <v>0</v>
      </c>
      <c r="AD149" s="238"/>
      <c r="AE149" s="238"/>
    </row>
    <row r="150" spans="2:31" x14ac:dyDescent="0.3">
      <c r="B150" s="245" t="s">
        <v>65</v>
      </c>
      <c r="C150" s="245"/>
      <c r="D150" s="245"/>
      <c r="E150" s="59">
        <v>0</v>
      </c>
      <c r="F150" s="60">
        <v>0</v>
      </c>
      <c r="G150" s="59">
        <v>0</v>
      </c>
      <c r="H150" s="60">
        <v>0</v>
      </c>
      <c r="I150" s="59">
        <v>0</v>
      </c>
      <c r="J150" s="60">
        <v>0</v>
      </c>
      <c r="K150" s="59">
        <v>0</v>
      </c>
      <c r="L150" s="60">
        <v>0</v>
      </c>
      <c r="M150" s="59">
        <v>0</v>
      </c>
      <c r="N150" s="60">
        <v>0</v>
      </c>
      <c r="O150" s="59">
        <v>0</v>
      </c>
      <c r="P150" s="60">
        <v>0</v>
      </c>
      <c r="Q150" s="59">
        <v>0</v>
      </c>
      <c r="R150" s="60">
        <v>0</v>
      </c>
      <c r="S150" s="59">
        <v>0</v>
      </c>
      <c r="T150" s="60">
        <v>0</v>
      </c>
      <c r="U150" s="59">
        <v>3.8333333333332928E-2</v>
      </c>
      <c r="V150" s="60">
        <v>0</v>
      </c>
      <c r="W150" s="59">
        <v>0</v>
      </c>
      <c r="X150" s="60">
        <v>0</v>
      </c>
      <c r="Y150" s="59">
        <v>0</v>
      </c>
      <c r="Z150" s="60">
        <v>0</v>
      </c>
      <c r="AA150" s="59">
        <v>0</v>
      </c>
      <c r="AB150" s="60">
        <v>0</v>
      </c>
      <c r="AC150" s="238">
        <f t="shared" si="6"/>
        <v>3.8333333333332928E-2</v>
      </c>
      <c r="AD150" s="238"/>
      <c r="AE150" s="238"/>
    </row>
    <row r="151" spans="2:31" x14ac:dyDescent="0.3">
      <c r="B151" s="245" t="s">
        <v>66</v>
      </c>
      <c r="C151" s="245"/>
      <c r="D151" s="245"/>
      <c r="E151" s="59">
        <v>0</v>
      </c>
      <c r="F151" s="60">
        <v>0</v>
      </c>
      <c r="G151" s="59">
        <v>0</v>
      </c>
      <c r="H151" s="60">
        <v>0</v>
      </c>
      <c r="I151" s="59">
        <v>0</v>
      </c>
      <c r="J151" s="60">
        <v>0</v>
      </c>
      <c r="K151" s="59">
        <v>0</v>
      </c>
      <c r="L151" s="60">
        <v>0</v>
      </c>
      <c r="M151" s="59">
        <v>0</v>
      </c>
      <c r="N151" s="60">
        <v>0</v>
      </c>
      <c r="O151" s="59">
        <v>0</v>
      </c>
      <c r="P151" s="60">
        <v>0</v>
      </c>
      <c r="Q151" s="59">
        <v>0</v>
      </c>
      <c r="R151" s="60">
        <v>0</v>
      </c>
      <c r="S151" s="59">
        <v>0</v>
      </c>
      <c r="T151" s="60">
        <v>0</v>
      </c>
      <c r="U151" s="59">
        <v>0.58450000000000002</v>
      </c>
      <c r="V151" s="60">
        <v>2.3190000000000035</v>
      </c>
      <c r="W151" s="59">
        <v>0</v>
      </c>
      <c r="X151" s="60">
        <v>0</v>
      </c>
      <c r="Y151" s="59">
        <v>0</v>
      </c>
      <c r="Z151" s="60">
        <v>0</v>
      </c>
      <c r="AA151" s="59">
        <v>0</v>
      </c>
      <c r="AB151" s="60">
        <v>0</v>
      </c>
      <c r="AC151" s="238">
        <f>SUM(E151:AB151)</f>
        <v>2.9035000000000037</v>
      </c>
      <c r="AD151" s="238"/>
      <c r="AE151" s="238"/>
    </row>
    <row r="152" spans="2:31" x14ac:dyDescent="0.3">
      <c r="B152" s="245" t="s">
        <v>67</v>
      </c>
      <c r="C152" s="245"/>
      <c r="D152" s="245"/>
      <c r="E152" s="59">
        <v>0</v>
      </c>
      <c r="F152" s="60">
        <v>0</v>
      </c>
      <c r="G152" s="59">
        <v>0</v>
      </c>
      <c r="H152" s="60">
        <v>0</v>
      </c>
      <c r="I152" s="59">
        <v>0</v>
      </c>
      <c r="J152" s="60">
        <v>0</v>
      </c>
      <c r="K152" s="59">
        <v>0</v>
      </c>
      <c r="L152" s="60">
        <v>0</v>
      </c>
      <c r="M152" s="59">
        <v>0</v>
      </c>
      <c r="N152" s="60">
        <v>0</v>
      </c>
      <c r="O152" s="59">
        <v>0</v>
      </c>
      <c r="P152" s="60">
        <v>0</v>
      </c>
      <c r="Q152" s="59">
        <v>0</v>
      </c>
      <c r="R152" s="60">
        <v>0</v>
      </c>
      <c r="S152" s="59">
        <v>0</v>
      </c>
      <c r="T152" s="60">
        <v>0</v>
      </c>
      <c r="U152" s="59">
        <v>0.74183333333333323</v>
      </c>
      <c r="V152" s="60">
        <v>3.7413333333333316</v>
      </c>
      <c r="W152" s="59">
        <v>0.20300000000000018</v>
      </c>
      <c r="X152" s="60">
        <v>0</v>
      </c>
      <c r="Y152" s="59">
        <v>0</v>
      </c>
      <c r="Z152" s="60">
        <v>0</v>
      </c>
      <c r="AA152" s="59">
        <v>0</v>
      </c>
      <c r="AB152" s="60">
        <v>0</v>
      </c>
      <c r="AC152" s="238">
        <f t="shared" ref="AC152:AC166" si="7">SUM(E152:AB152)</f>
        <v>4.686166666666665</v>
      </c>
      <c r="AD152" s="238"/>
      <c r="AE152" s="238"/>
    </row>
    <row r="153" spans="2:31" x14ac:dyDescent="0.3">
      <c r="B153" s="245" t="s">
        <v>68</v>
      </c>
      <c r="C153" s="245"/>
      <c r="D153" s="245"/>
      <c r="E153" s="59">
        <v>0</v>
      </c>
      <c r="F153" s="60">
        <v>0</v>
      </c>
      <c r="G153" s="59">
        <v>0</v>
      </c>
      <c r="H153" s="60">
        <v>0</v>
      </c>
      <c r="I153" s="59">
        <v>0</v>
      </c>
      <c r="J153" s="60">
        <v>0</v>
      </c>
      <c r="K153" s="59">
        <v>0</v>
      </c>
      <c r="L153" s="60">
        <v>0</v>
      </c>
      <c r="M153" s="59">
        <v>0</v>
      </c>
      <c r="N153" s="60">
        <v>0</v>
      </c>
      <c r="O153" s="59">
        <v>0</v>
      </c>
      <c r="P153" s="60">
        <v>0</v>
      </c>
      <c r="Q153" s="59">
        <v>0</v>
      </c>
      <c r="R153" s="60">
        <v>0</v>
      </c>
      <c r="S153" s="59">
        <v>0</v>
      </c>
      <c r="T153" s="60">
        <v>0</v>
      </c>
      <c r="U153" s="59">
        <v>0.64399999999999968</v>
      </c>
      <c r="V153" s="60">
        <v>1.2498333333333334</v>
      </c>
      <c r="W153" s="59">
        <v>0</v>
      </c>
      <c r="X153" s="60">
        <v>0</v>
      </c>
      <c r="Y153" s="59">
        <v>0</v>
      </c>
      <c r="Z153" s="60">
        <v>0</v>
      </c>
      <c r="AA153" s="59">
        <v>0</v>
      </c>
      <c r="AB153" s="60">
        <v>0</v>
      </c>
      <c r="AC153" s="238">
        <f t="shared" si="7"/>
        <v>1.893833333333333</v>
      </c>
      <c r="AD153" s="238"/>
      <c r="AE153" s="238"/>
    </row>
    <row r="154" spans="2:31" x14ac:dyDescent="0.3">
      <c r="B154" s="245" t="s">
        <v>69</v>
      </c>
      <c r="C154" s="245"/>
      <c r="D154" s="245"/>
      <c r="E154" s="59">
        <v>0</v>
      </c>
      <c r="F154" s="60">
        <v>0</v>
      </c>
      <c r="G154" s="59">
        <v>0</v>
      </c>
      <c r="H154" s="60">
        <v>0</v>
      </c>
      <c r="I154" s="59">
        <v>0</v>
      </c>
      <c r="J154" s="60">
        <v>0</v>
      </c>
      <c r="K154" s="59">
        <v>0</v>
      </c>
      <c r="L154" s="60">
        <v>0</v>
      </c>
      <c r="M154" s="59">
        <v>0</v>
      </c>
      <c r="N154" s="60">
        <v>0</v>
      </c>
      <c r="O154" s="59">
        <v>0</v>
      </c>
      <c r="P154" s="60">
        <v>0</v>
      </c>
      <c r="Q154" s="59">
        <v>0</v>
      </c>
      <c r="R154" s="60">
        <v>0</v>
      </c>
      <c r="S154" s="59">
        <v>0</v>
      </c>
      <c r="T154" s="60">
        <v>0</v>
      </c>
      <c r="U154" s="59">
        <v>0.89950000000000097</v>
      </c>
      <c r="V154" s="60">
        <v>3.6866666666666634</v>
      </c>
      <c r="W154" s="59">
        <v>0</v>
      </c>
      <c r="X154" s="60">
        <v>0</v>
      </c>
      <c r="Y154" s="59">
        <v>0</v>
      </c>
      <c r="Z154" s="60">
        <v>0</v>
      </c>
      <c r="AA154" s="59">
        <v>0</v>
      </c>
      <c r="AB154" s="60">
        <v>0</v>
      </c>
      <c r="AC154" s="238">
        <f t="shared" si="7"/>
        <v>4.5861666666666645</v>
      </c>
      <c r="AD154" s="238"/>
      <c r="AE154" s="238"/>
    </row>
    <row r="155" spans="2:31" x14ac:dyDescent="0.3">
      <c r="B155" s="245" t="s">
        <v>70</v>
      </c>
      <c r="C155" s="245"/>
      <c r="D155" s="245"/>
      <c r="E155" s="59">
        <v>0</v>
      </c>
      <c r="F155" s="60">
        <v>0</v>
      </c>
      <c r="G155" s="59">
        <v>0</v>
      </c>
      <c r="H155" s="60">
        <v>0</v>
      </c>
      <c r="I155" s="59">
        <v>0</v>
      </c>
      <c r="J155" s="60">
        <v>0</v>
      </c>
      <c r="K155" s="59">
        <v>0</v>
      </c>
      <c r="L155" s="60">
        <v>0</v>
      </c>
      <c r="M155" s="59">
        <v>0</v>
      </c>
      <c r="N155" s="60">
        <v>0</v>
      </c>
      <c r="O155" s="59">
        <v>0</v>
      </c>
      <c r="P155" s="60">
        <v>0</v>
      </c>
      <c r="Q155" s="59">
        <v>0</v>
      </c>
      <c r="R155" s="60">
        <v>0</v>
      </c>
      <c r="S155" s="59">
        <v>0</v>
      </c>
      <c r="T155" s="60">
        <v>0</v>
      </c>
      <c r="U155" s="59">
        <v>9.9935000000000027</v>
      </c>
      <c r="V155" s="60">
        <v>2.5156666666666676</v>
      </c>
      <c r="W155" s="59">
        <v>0</v>
      </c>
      <c r="X155" s="60">
        <v>0</v>
      </c>
      <c r="Y155" s="59">
        <v>0</v>
      </c>
      <c r="Z155" s="60">
        <v>0</v>
      </c>
      <c r="AA155" s="59">
        <v>0</v>
      </c>
      <c r="AB155" s="60">
        <v>0</v>
      </c>
      <c r="AC155" s="238">
        <f t="shared" si="7"/>
        <v>12.509166666666671</v>
      </c>
      <c r="AD155" s="238"/>
      <c r="AE155" s="238"/>
    </row>
    <row r="156" spans="2:31" x14ac:dyDescent="0.3">
      <c r="B156" s="245" t="s">
        <v>71</v>
      </c>
      <c r="C156" s="245"/>
      <c r="D156" s="245"/>
      <c r="E156" s="59">
        <v>0</v>
      </c>
      <c r="F156" s="60">
        <v>0</v>
      </c>
      <c r="G156" s="59">
        <v>0</v>
      </c>
      <c r="H156" s="60">
        <v>0</v>
      </c>
      <c r="I156" s="59">
        <v>0</v>
      </c>
      <c r="J156" s="60">
        <v>0</v>
      </c>
      <c r="K156" s="59">
        <v>0</v>
      </c>
      <c r="L156" s="60">
        <v>0</v>
      </c>
      <c r="M156" s="59">
        <v>0</v>
      </c>
      <c r="N156" s="60">
        <v>0</v>
      </c>
      <c r="O156" s="59">
        <v>0</v>
      </c>
      <c r="P156" s="60">
        <v>0</v>
      </c>
      <c r="Q156" s="59">
        <v>0</v>
      </c>
      <c r="R156" s="60">
        <v>0</v>
      </c>
      <c r="S156" s="59">
        <v>0</v>
      </c>
      <c r="T156" s="60">
        <v>0</v>
      </c>
      <c r="U156" s="59">
        <v>0</v>
      </c>
      <c r="V156" s="60">
        <v>0</v>
      </c>
      <c r="W156" s="59">
        <v>0</v>
      </c>
      <c r="X156" s="60">
        <v>0</v>
      </c>
      <c r="Y156" s="59">
        <v>0</v>
      </c>
      <c r="Z156" s="60">
        <v>0</v>
      </c>
      <c r="AA156" s="59">
        <v>0</v>
      </c>
      <c r="AB156" s="60">
        <v>0</v>
      </c>
      <c r="AC156" s="238">
        <f t="shared" si="7"/>
        <v>0</v>
      </c>
      <c r="AD156" s="238"/>
      <c r="AE156" s="238"/>
    </row>
    <row r="157" spans="2:31" x14ac:dyDescent="0.3">
      <c r="B157" s="245" t="s">
        <v>72</v>
      </c>
      <c r="C157" s="245"/>
      <c r="D157" s="245"/>
      <c r="E157" s="59">
        <v>0</v>
      </c>
      <c r="F157" s="60">
        <v>0</v>
      </c>
      <c r="G157" s="59">
        <v>0</v>
      </c>
      <c r="H157" s="60">
        <v>0</v>
      </c>
      <c r="I157" s="59">
        <v>0</v>
      </c>
      <c r="J157" s="60">
        <v>0</v>
      </c>
      <c r="K157" s="59">
        <v>0</v>
      </c>
      <c r="L157" s="60">
        <v>0</v>
      </c>
      <c r="M157" s="59">
        <v>0</v>
      </c>
      <c r="N157" s="60">
        <v>0</v>
      </c>
      <c r="O157" s="59">
        <v>0</v>
      </c>
      <c r="P157" s="60">
        <v>0</v>
      </c>
      <c r="Q157" s="59">
        <v>0</v>
      </c>
      <c r="R157" s="60">
        <v>0</v>
      </c>
      <c r="S157" s="59">
        <v>0</v>
      </c>
      <c r="T157" s="60">
        <v>0</v>
      </c>
      <c r="U157" s="59">
        <v>0</v>
      </c>
      <c r="V157" s="60">
        <v>3.2666666666666802E-2</v>
      </c>
      <c r="W157" s="59">
        <v>0</v>
      </c>
      <c r="X157" s="60">
        <v>0</v>
      </c>
      <c r="Y157" s="59">
        <v>0</v>
      </c>
      <c r="Z157" s="60">
        <v>0</v>
      </c>
      <c r="AA157" s="59">
        <v>0</v>
      </c>
      <c r="AB157" s="60">
        <v>0</v>
      </c>
      <c r="AC157" s="238">
        <f t="shared" si="7"/>
        <v>3.2666666666666802E-2</v>
      </c>
      <c r="AD157" s="238"/>
      <c r="AE157" s="238"/>
    </row>
    <row r="158" spans="2:31" x14ac:dyDescent="0.3">
      <c r="B158" s="245" t="s">
        <v>73</v>
      </c>
      <c r="C158" s="245"/>
      <c r="D158" s="245"/>
      <c r="E158" s="59">
        <v>0</v>
      </c>
      <c r="F158" s="60">
        <v>0</v>
      </c>
      <c r="G158" s="59">
        <v>0</v>
      </c>
      <c r="H158" s="60">
        <v>0</v>
      </c>
      <c r="I158" s="59">
        <v>0</v>
      </c>
      <c r="J158" s="60">
        <v>0</v>
      </c>
      <c r="K158" s="59">
        <v>0</v>
      </c>
      <c r="L158" s="60">
        <v>0</v>
      </c>
      <c r="M158" s="59">
        <v>0</v>
      </c>
      <c r="N158" s="60">
        <v>0</v>
      </c>
      <c r="O158" s="59">
        <v>0</v>
      </c>
      <c r="P158" s="60">
        <v>0</v>
      </c>
      <c r="Q158" s="59">
        <v>0</v>
      </c>
      <c r="R158" s="60">
        <v>0</v>
      </c>
      <c r="S158" s="59">
        <v>0</v>
      </c>
      <c r="T158" s="60">
        <v>0</v>
      </c>
      <c r="U158" s="59">
        <v>1.033333333333341E-2</v>
      </c>
      <c r="V158" s="60">
        <v>0</v>
      </c>
      <c r="W158" s="59">
        <v>0</v>
      </c>
      <c r="X158" s="60">
        <v>0</v>
      </c>
      <c r="Y158" s="59">
        <v>0</v>
      </c>
      <c r="Z158" s="60">
        <v>0</v>
      </c>
      <c r="AA158" s="59">
        <v>0</v>
      </c>
      <c r="AB158" s="60">
        <v>0</v>
      </c>
      <c r="AC158" s="238">
        <f t="shared" si="7"/>
        <v>1.033333333333341E-2</v>
      </c>
      <c r="AD158" s="238"/>
      <c r="AE158" s="238"/>
    </row>
    <row r="159" spans="2:31" x14ac:dyDescent="0.3">
      <c r="B159" s="245" t="s">
        <v>74</v>
      </c>
      <c r="C159" s="245"/>
      <c r="D159" s="245"/>
      <c r="E159" s="59">
        <v>0</v>
      </c>
      <c r="F159" s="60">
        <v>0</v>
      </c>
      <c r="G159" s="59">
        <v>0</v>
      </c>
      <c r="H159" s="60">
        <v>0</v>
      </c>
      <c r="I159" s="59">
        <v>0</v>
      </c>
      <c r="J159" s="60">
        <v>0</v>
      </c>
      <c r="K159" s="59">
        <v>0</v>
      </c>
      <c r="L159" s="60">
        <v>0</v>
      </c>
      <c r="M159" s="59">
        <v>0</v>
      </c>
      <c r="N159" s="60">
        <v>0</v>
      </c>
      <c r="O159" s="59">
        <v>0</v>
      </c>
      <c r="P159" s="60">
        <v>0</v>
      </c>
      <c r="Q159" s="59">
        <v>0</v>
      </c>
      <c r="R159" s="60">
        <v>0</v>
      </c>
      <c r="S159" s="59">
        <v>0</v>
      </c>
      <c r="T159" s="60">
        <v>0</v>
      </c>
      <c r="U159" s="59">
        <v>0.52483333333333326</v>
      </c>
      <c r="V159" s="60">
        <v>0.38849999999999979</v>
      </c>
      <c r="W159" s="59">
        <v>0.2213333333333333</v>
      </c>
      <c r="X159" s="60">
        <v>0</v>
      </c>
      <c r="Y159" s="59">
        <v>0</v>
      </c>
      <c r="Z159" s="60">
        <v>0</v>
      </c>
      <c r="AA159" s="59">
        <v>0</v>
      </c>
      <c r="AB159" s="60">
        <v>0</v>
      </c>
      <c r="AC159" s="238">
        <f t="shared" si="7"/>
        <v>1.1346666666666665</v>
      </c>
      <c r="AD159" s="238"/>
      <c r="AE159" s="238"/>
    </row>
    <row r="160" spans="2:31" x14ac:dyDescent="0.3">
      <c r="B160" s="245" t="s">
        <v>75</v>
      </c>
      <c r="C160" s="245"/>
      <c r="D160" s="245"/>
      <c r="E160" s="59">
        <v>0</v>
      </c>
      <c r="F160" s="60">
        <v>0</v>
      </c>
      <c r="G160" s="59">
        <v>0</v>
      </c>
      <c r="H160" s="60">
        <v>0</v>
      </c>
      <c r="I160" s="59">
        <v>0</v>
      </c>
      <c r="J160" s="60">
        <v>0</v>
      </c>
      <c r="K160" s="59">
        <v>0</v>
      </c>
      <c r="L160" s="60">
        <v>0</v>
      </c>
      <c r="M160" s="59">
        <v>0</v>
      </c>
      <c r="N160" s="60">
        <v>0</v>
      </c>
      <c r="O160" s="59">
        <v>0</v>
      </c>
      <c r="P160" s="60">
        <v>0</v>
      </c>
      <c r="Q160" s="59">
        <v>0</v>
      </c>
      <c r="R160" s="60">
        <v>0</v>
      </c>
      <c r="S160" s="59">
        <v>0</v>
      </c>
      <c r="T160" s="60">
        <v>0</v>
      </c>
      <c r="U160" s="59">
        <v>1.5811666666666686</v>
      </c>
      <c r="V160" s="60">
        <v>2.8446666666666656</v>
      </c>
      <c r="W160" s="59">
        <v>0</v>
      </c>
      <c r="X160" s="60">
        <v>0</v>
      </c>
      <c r="Y160" s="59">
        <v>0</v>
      </c>
      <c r="Z160" s="60">
        <v>0</v>
      </c>
      <c r="AA160" s="59">
        <v>0</v>
      </c>
      <c r="AB160" s="60">
        <v>0</v>
      </c>
      <c r="AC160" s="238">
        <f t="shared" si="7"/>
        <v>4.4258333333333342</v>
      </c>
      <c r="AD160" s="238"/>
      <c r="AE160" s="238"/>
    </row>
    <row r="161" spans="2:31" x14ac:dyDescent="0.3">
      <c r="B161" s="245" t="s">
        <v>76</v>
      </c>
      <c r="C161" s="245"/>
      <c r="D161" s="245"/>
      <c r="E161" s="59">
        <v>0</v>
      </c>
      <c r="F161" s="60">
        <v>0</v>
      </c>
      <c r="G161" s="59">
        <v>0</v>
      </c>
      <c r="H161" s="60">
        <v>0</v>
      </c>
      <c r="I161" s="59">
        <v>0</v>
      </c>
      <c r="J161" s="60">
        <v>0</v>
      </c>
      <c r="K161" s="59">
        <v>0</v>
      </c>
      <c r="L161" s="60">
        <v>0</v>
      </c>
      <c r="M161" s="59">
        <v>0</v>
      </c>
      <c r="N161" s="60">
        <v>0</v>
      </c>
      <c r="O161" s="59">
        <v>0</v>
      </c>
      <c r="P161" s="60">
        <v>0</v>
      </c>
      <c r="Q161" s="59">
        <v>0</v>
      </c>
      <c r="R161" s="60">
        <v>0</v>
      </c>
      <c r="S161" s="59">
        <v>0</v>
      </c>
      <c r="T161" s="60">
        <v>0</v>
      </c>
      <c r="U161" s="59">
        <v>2.2181666666666655</v>
      </c>
      <c r="V161" s="60">
        <v>12.572833333333328</v>
      </c>
      <c r="W161" s="59">
        <v>6.5369999999999973</v>
      </c>
      <c r="X161" s="60">
        <v>0</v>
      </c>
      <c r="Y161" s="59">
        <v>0</v>
      </c>
      <c r="Z161" s="60">
        <v>0</v>
      </c>
      <c r="AA161" s="59">
        <v>0</v>
      </c>
      <c r="AB161" s="60">
        <v>0</v>
      </c>
      <c r="AC161" s="238">
        <f t="shared" si="7"/>
        <v>21.327999999999989</v>
      </c>
      <c r="AD161" s="238"/>
      <c r="AE161" s="238"/>
    </row>
    <row r="162" spans="2:31" x14ac:dyDescent="0.3">
      <c r="B162" s="245" t="s">
        <v>77</v>
      </c>
      <c r="C162" s="245"/>
      <c r="D162" s="245"/>
      <c r="E162" s="59">
        <v>0</v>
      </c>
      <c r="F162" s="60">
        <v>0</v>
      </c>
      <c r="G162" s="59">
        <v>0</v>
      </c>
      <c r="H162" s="60">
        <v>0</v>
      </c>
      <c r="I162" s="59">
        <v>0</v>
      </c>
      <c r="J162" s="60">
        <v>0</v>
      </c>
      <c r="K162" s="59">
        <v>0</v>
      </c>
      <c r="L162" s="60">
        <v>0</v>
      </c>
      <c r="M162" s="59">
        <v>0</v>
      </c>
      <c r="N162" s="60">
        <v>0</v>
      </c>
      <c r="O162" s="59">
        <v>0</v>
      </c>
      <c r="P162" s="60">
        <v>0</v>
      </c>
      <c r="Q162" s="59">
        <v>0</v>
      </c>
      <c r="R162" s="60">
        <v>0</v>
      </c>
      <c r="S162" s="59">
        <v>0</v>
      </c>
      <c r="T162" s="60">
        <v>0</v>
      </c>
      <c r="U162" s="59">
        <v>0.25950000000000034</v>
      </c>
      <c r="V162" s="60">
        <v>6.2500000000000236E-2</v>
      </c>
      <c r="W162" s="59">
        <v>0</v>
      </c>
      <c r="X162" s="60">
        <v>0</v>
      </c>
      <c r="Y162" s="59">
        <v>0</v>
      </c>
      <c r="Z162" s="60">
        <v>0</v>
      </c>
      <c r="AA162" s="59">
        <v>0</v>
      </c>
      <c r="AB162" s="60">
        <v>0</v>
      </c>
      <c r="AC162" s="238">
        <f t="shared" si="7"/>
        <v>0.32200000000000056</v>
      </c>
      <c r="AD162" s="238"/>
      <c r="AE162" s="238"/>
    </row>
    <row r="163" spans="2:31" x14ac:dyDescent="0.3">
      <c r="B163" s="245" t="s">
        <v>78</v>
      </c>
      <c r="C163" s="245"/>
      <c r="D163" s="245"/>
      <c r="E163" s="59">
        <v>0</v>
      </c>
      <c r="F163" s="60">
        <v>0</v>
      </c>
      <c r="G163" s="59">
        <v>0</v>
      </c>
      <c r="H163" s="60">
        <v>0</v>
      </c>
      <c r="I163" s="59">
        <v>0</v>
      </c>
      <c r="J163" s="60">
        <v>0</v>
      </c>
      <c r="K163" s="59">
        <v>0</v>
      </c>
      <c r="L163" s="60">
        <v>0</v>
      </c>
      <c r="M163" s="59">
        <v>0</v>
      </c>
      <c r="N163" s="60">
        <v>0</v>
      </c>
      <c r="O163" s="59">
        <v>0</v>
      </c>
      <c r="P163" s="60">
        <v>0</v>
      </c>
      <c r="Q163" s="59">
        <v>0</v>
      </c>
      <c r="R163" s="60">
        <v>0</v>
      </c>
      <c r="S163" s="59">
        <v>0</v>
      </c>
      <c r="T163" s="60">
        <v>0</v>
      </c>
      <c r="U163" s="59">
        <v>0.61099999999999965</v>
      </c>
      <c r="V163" s="60">
        <v>1.2988333333333331</v>
      </c>
      <c r="W163" s="59">
        <v>0</v>
      </c>
      <c r="X163" s="60">
        <v>0</v>
      </c>
      <c r="Y163" s="59">
        <v>0</v>
      </c>
      <c r="Z163" s="60">
        <v>0</v>
      </c>
      <c r="AA163" s="59">
        <v>0</v>
      </c>
      <c r="AB163" s="60">
        <v>0</v>
      </c>
      <c r="AC163" s="238">
        <f t="shared" si="7"/>
        <v>1.9098333333333328</v>
      </c>
      <c r="AD163" s="238"/>
      <c r="AE163" s="238"/>
    </row>
    <row r="164" spans="2:31" x14ac:dyDescent="0.3">
      <c r="B164" s="245" t="s">
        <v>79</v>
      </c>
      <c r="C164" s="245"/>
      <c r="D164" s="245"/>
      <c r="E164" s="59">
        <v>0</v>
      </c>
      <c r="F164" s="60">
        <v>0</v>
      </c>
      <c r="G164" s="59">
        <v>0</v>
      </c>
      <c r="H164" s="60">
        <v>0</v>
      </c>
      <c r="I164" s="59">
        <v>0</v>
      </c>
      <c r="J164" s="60">
        <v>0</v>
      </c>
      <c r="K164" s="59">
        <v>0</v>
      </c>
      <c r="L164" s="60">
        <v>0</v>
      </c>
      <c r="M164" s="59">
        <v>0</v>
      </c>
      <c r="N164" s="60">
        <v>0</v>
      </c>
      <c r="O164" s="59">
        <v>0</v>
      </c>
      <c r="P164" s="60">
        <v>0</v>
      </c>
      <c r="Q164" s="59">
        <v>0</v>
      </c>
      <c r="R164" s="60">
        <v>0</v>
      </c>
      <c r="S164" s="59">
        <v>0</v>
      </c>
      <c r="T164" s="60">
        <v>0</v>
      </c>
      <c r="U164" s="59">
        <v>0</v>
      </c>
      <c r="V164" s="60">
        <v>0</v>
      </c>
      <c r="W164" s="59">
        <v>0</v>
      </c>
      <c r="X164" s="60">
        <v>0</v>
      </c>
      <c r="Y164" s="59">
        <v>0</v>
      </c>
      <c r="Z164" s="60">
        <v>0</v>
      </c>
      <c r="AA164" s="59">
        <v>0</v>
      </c>
      <c r="AB164" s="60">
        <v>0</v>
      </c>
      <c r="AC164" s="238">
        <f t="shared" si="7"/>
        <v>0</v>
      </c>
      <c r="AD164" s="238"/>
      <c r="AE164" s="238"/>
    </row>
    <row r="165" spans="2:31" x14ac:dyDescent="0.3">
      <c r="B165" s="245" t="s">
        <v>80</v>
      </c>
      <c r="C165" s="245"/>
      <c r="D165" s="245"/>
      <c r="E165" s="59">
        <v>0</v>
      </c>
      <c r="F165" s="60">
        <v>0</v>
      </c>
      <c r="G165" s="59">
        <v>0</v>
      </c>
      <c r="H165" s="60">
        <v>0</v>
      </c>
      <c r="I165" s="59">
        <v>0</v>
      </c>
      <c r="J165" s="60">
        <v>0</v>
      </c>
      <c r="K165" s="59">
        <v>0</v>
      </c>
      <c r="L165" s="60">
        <v>0</v>
      </c>
      <c r="M165" s="59">
        <v>0</v>
      </c>
      <c r="N165" s="60">
        <v>0</v>
      </c>
      <c r="O165" s="59">
        <v>0</v>
      </c>
      <c r="P165" s="60">
        <v>0</v>
      </c>
      <c r="Q165" s="59">
        <v>0</v>
      </c>
      <c r="R165" s="60">
        <v>0</v>
      </c>
      <c r="S165" s="59">
        <v>0</v>
      </c>
      <c r="T165" s="60">
        <v>0</v>
      </c>
      <c r="U165" s="59">
        <v>0</v>
      </c>
      <c r="V165" s="60">
        <v>0</v>
      </c>
      <c r="W165" s="59">
        <v>0</v>
      </c>
      <c r="X165" s="60">
        <v>0</v>
      </c>
      <c r="Y165" s="59">
        <v>0</v>
      </c>
      <c r="Z165" s="60">
        <v>0</v>
      </c>
      <c r="AA165" s="59">
        <v>0</v>
      </c>
      <c r="AB165" s="60">
        <v>0</v>
      </c>
      <c r="AC165" s="238">
        <f t="shared" si="7"/>
        <v>0</v>
      </c>
      <c r="AD165" s="238"/>
      <c r="AE165" s="238"/>
    </row>
    <row r="166" spans="2:31" x14ac:dyDescent="0.3">
      <c r="B166" s="245" t="s">
        <v>93</v>
      </c>
      <c r="C166" s="245"/>
      <c r="D166" s="245"/>
      <c r="E166" s="59">
        <v>0</v>
      </c>
      <c r="F166" s="60">
        <v>0</v>
      </c>
      <c r="G166" s="59">
        <v>0</v>
      </c>
      <c r="H166" s="60">
        <v>0</v>
      </c>
      <c r="I166" s="59">
        <v>0</v>
      </c>
      <c r="J166" s="60">
        <v>0</v>
      </c>
      <c r="K166" s="59">
        <v>0</v>
      </c>
      <c r="L166" s="60">
        <v>0</v>
      </c>
      <c r="M166" s="59">
        <v>0</v>
      </c>
      <c r="N166" s="60">
        <v>0</v>
      </c>
      <c r="O166" s="59">
        <v>0</v>
      </c>
      <c r="P166" s="60">
        <v>0</v>
      </c>
      <c r="Q166" s="59">
        <v>1.4091666666666669</v>
      </c>
      <c r="R166" s="60">
        <v>3.0510000000000033</v>
      </c>
      <c r="S166" s="59">
        <v>3.8643333333333354</v>
      </c>
      <c r="T166" s="60">
        <v>3.8700000000000041</v>
      </c>
      <c r="U166" s="59">
        <v>3.8700000000000041</v>
      </c>
      <c r="V166" s="60">
        <v>3.6699999999999955</v>
      </c>
      <c r="W166" s="59">
        <v>1.5763333333333323</v>
      </c>
      <c r="X166" s="60">
        <v>0</v>
      </c>
      <c r="Y166" s="59">
        <v>0</v>
      </c>
      <c r="Z166" s="60">
        <v>0</v>
      </c>
      <c r="AA166" s="59">
        <v>0</v>
      </c>
      <c r="AB166" s="60">
        <v>0</v>
      </c>
      <c r="AC166" s="238">
        <f t="shared" si="7"/>
        <v>21.310833333333338</v>
      </c>
      <c r="AD166" s="238"/>
      <c r="AE166" s="238"/>
    </row>
    <row r="167" spans="2:31" x14ac:dyDescent="0.3">
      <c r="B167" s="14" t="s">
        <v>2</v>
      </c>
      <c r="C167" s="14"/>
      <c r="D167" s="14"/>
      <c r="E167" s="15">
        <f t="shared" ref="E167:AB167" si="8">SUM(E118:E166)</f>
        <v>0</v>
      </c>
      <c r="F167" s="15">
        <f t="shared" si="8"/>
        <v>0</v>
      </c>
      <c r="G167" s="15">
        <f t="shared" si="8"/>
        <v>0</v>
      </c>
      <c r="H167" s="15">
        <f t="shared" si="8"/>
        <v>0</v>
      </c>
      <c r="I167" s="15">
        <f t="shared" si="8"/>
        <v>0</v>
      </c>
      <c r="J167" s="15">
        <f t="shared" si="8"/>
        <v>0</v>
      </c>
      <c r="K167" s="15">
        <f t="shared" si="8"/>
        <v>0</v>
      </c>
      <c r="L167" s="15">
        <f t="shared" si="8"/>
        <v>0</v>
      </c>
      <c r="M167" s="15">
        <f t="shared" si="8"/>
        <v>0</v>
      </c>
      <c r="N167" s="15">
        <f t="shared" si="8"/>
        <v>1.6666666666666607E-3</v>
      </c>
      <c r="O167" s="15">
        <f t="shared" si="8"/>
        <v>2.7956666666666683</v>
      </c>
      <c r="P167" s="15">
        <f t="shared" si="8"/>
        <v>2.3913333333333324</v>
      </c>
      <c r="Q167" s="15">
        <f t="shared" si="8"/>
        <v>33.687666666666665</v>
      </c>
      <c r="R167" s="15">
        <f t="shared" si="8"/>
        <v>47.716833333333355</v>
      </c>
      <c r="S167" s="15">
        <f t="shared" si="8"/>
        <v>73.671666666666653</v>
      </c>
      <c r="T167" s="15">
        <f t="shared" si="8"/>
        <v>59.625833333333347</v>
      </c>
      <c r="U167" s="15">
        <f t="shared" si="8"/>
        <v>84.335666666666683</v>
      </c>
      <c r="V167" s="15">
        <f t="shared" si="8"/>
        <v>148.24249999999998</v>
      </c>
      <c r="W167" s="15">
        <f t="shared" si="8"/>
        <v>30.465833333333329</v>
      </c>
      <c r="X167" s="15">
        <f t="shared" si="8"/>
        <v>0.42583333333333323</v>
      </c>
      <c r="Y167" s="15">
        <f t="shared" si="8"/>
        <v>0</v>
      </c>
      <c r="Z167" s="15">
        <f t="shared" si="8"/>
        <v>0</v>
      </c>
      <c r="AA167" s="15">
        <f t="shared" si="8"/>
        <v>0</v>
      </c>
      <c r="AB167" s="15">
        <f t="shared" si="8"/>
        <v>0</v>
      </c>
      <c r="AC167" s="249">
        <f>SUM(AC118:AE166)</f>
        <v>483.36049999999994</v>
      </c>
      <c r="AD167" s="249"/>
      <c r="AE167" s="249"/>
    </row>
    <row r="168" spans="2:31" x14ac:dyDescent="0.3">
      <c r="B168" s="16"/>
      <c r="C168" s="17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2:31" x14ac:dyDescent="0.3">
      <c r="B169" s="16"/>
      <c r="C169" s="17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2:31" x14ac:dyDescent="0.3">
      <c r="B170" s="8">
        <f>'Resumen-Mensual'!$H$22</f>
        <v>44565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58"/>
      <c r="AD170" s="58"/>
      <c r="AE170" s="58"/>
    </row>
    <row r="171" spans="2:31" x14ac:dyDescent="0.3">
      <c r="B171" s="8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58"/>
      <c r="AD171" s="58"/>
      <c r="AE171" s="58"/>
    </row>
    <row r="172" spans="2:31" x14ac:dyDescent="0.3">
      <c r="B172" s="9" t="s">
        <v>81</v>
      </c>
      <c r="C172" s="10"/>
      <c r="D172" s="10"/>
      <c r="E172" s="11">
        <v>1</v>
      </c>
      <c r="F172" s="11">
        <v>2</v>
      </c>
      <c r="G172" s="11">
        <v>3</v>
      </c>
      <c r="H172" s="11">
        <v>4</v>
      </c>
      <c r="I172" s="11">
        <v>5</v>
      </c>
      <c r="J172" s="11">
        <v>6</v>
      </c>
      <c r="K172" s="11">
        <v>7</v>
      </c>
      <c r="L172" s="11">
        <v>8</v>
      </c>
      <c r="M172" s="11">
        <v>9</v>
      </c>
      <c r="N172" s="11">
        <v>10</v>
      </c>
      <c r="O172" s="11">
        <v>11</v>
      </c>
      <c r="P172" s="11">
        <v>12</v>
      </c>
      <c r="Q172" s="11">
        <v>13</v>
      </c>
      <c r="R172" s="11">
        <v>14</v>
      </c>
      <c r="S172" s="11">
        <v>15</v>
      </c>
      <c r="T172" s="11">
        <v>16</v>
      </c>
      <c r="U172" s="11">
        <v>17</v>
      </c>
      <c r="V172" s="11">
        <v>18</v>
      </c>
      <c r="W172" s="11">
        <v>19</v>
      </c>
      <c r="X172" s="11">
        <v>20</v>
      </c>
      <c r="Y172" s="11">
        <v>21</v>
      </c>
      <c r="Z172" s="11">
        <v>22</v>
      </c>
      <c r="AA172" s="11">
        <v>23</v>
      </c>
      <c r="AB172" s="11">
        <v>24</v>
      </c>
      <c r="AC172" s="248" t="s">
        <v>2</v>
      </c>
      <c r="AD172" s="248"/>
      <c r="AE172" s="248"/>
    </row>
    <row r="173" spans="2:31" x14ac:dyDescent="0.3">
      <c r="B173" s="245" t="s">
        <v>37</v>
      </c>
      <c r="C173" s="245"/>
      <c r="D173" s="245"/>
      <c r="E173" s="231">
        <v>0</v>
      </c>
      <c r="F173" s="234">
        <v>0</v>
      </c>
      <c r="G173" s="231">
        <v>0</v>
      </c>
      <c r="H173" s="234">
        <v>0</v>
      </c>
      <c r="I173" s="231">
        <v>0</v>
      </c>
      <c r="J173" s="234">
        <v>0</v>
      </c>
      <c r="K173" s="231">
        <v>0</v>
      </c>
      <c r="L173" s="234">
        <v>0</v>
      </c>
      <c r="M173" s="231">
        <v>0</v>
      </c>
      <c r="N173" s="234">
        <v>0</v>
      </c>
      <c r="O173" s="231">
        <v>0</v>
      </c>
      <c r="P173" s="234">
        <v>0</v>
      </c>
      <c r="Q173" s="231">
        <v>0</v>
      </c>
      <c r="R173" s="234">
        <v>0</v>
      </c>
      <c r="S173" s="231">
        <v>0</v>
      </c>
      <c r="T173" s="234">
        <v>0</v>
      </c>
      <c r="U173" s="231">
        <v>1.4013333333333335</v>
      </c>
      <c r="V173" s="234">
        <v>1.4145000000000001</v>
      </c>
      <c r="W173" s="231">
        <v>2.6728333333333336</v>
      </c>
      <c r="X173" s="234">
        <v>2.5000000000000001E-2</v>
      </c>
      <c r="Y173" s="231">
        <v>0</v>
      </c>
      <c r="Z173" s="234">
        <v>0</v>
      </c>
      <c r="AA173" s="231">
        <v>0</v>
      </c>
      <c r="AB173" s="234">
        <v>0</v>
      </c>
      <c r="AC173" s="238">
        <f t="shared" ref="AC173:AC205" si="9">SUM(E173:AB173)</f>
        <v>5.5136666666666674</v>
      </c>
      <c r="AD173" s="238"/>
      <c r="AE173" s="238"/>
    </row>
    <row r="174" spans="2:31" x14ac:dyDescent="0.3">
      <c r="B174" s="245" t="s">
        <v>38</v>
      </c>
      <c r="C174" s="245"/>
      <c r="D174" s="245"/>
      <c r="E174" s="231">
        <v>0</v>
      </c>
      <c r="F174" s="234">
        <v>0</v>
      </c>
      <c r="G174" s="231">
        <v>0</v>
      </c>
      <c r="H174" s="234">
        <v>0</v>
      </c>
      <c r="I174" s="231">
        <v>0</v>
      </c>
      <c r="J174" s="234">
        <v>0</v>
      </c>
      <c r="K174" s="231">
        <v>0</v>
      </c>
      <c r="L174" s="234">
        <v>0</v>
      </c>
      <c r="M174" s="231">
        <v>0</v>
      </c>
      <c r="N174" s="234">
        <v>0</v>
      </c>
      <c r="O174" s="231">
        <v>0</v>
      </c>
      <c r="P174" s="234">
        <v>0</v>
      </c>
      <c r="Q174" s="231">
        <v>0</v>
      </c>
      <c r="R174" s="234">
        <v>0</v>
      </c>
      <c r="S174" s="231">
        <v>0</v>
      </c>
      <c r="T174" s="234">
        <v>0</v>
      </c>
      <c r="U174" s="231">
        <v>1.337833333333333</v>
      </c>
      <c r="V174" s="234">
        <v>1.7466666666666664</v>
      </c>
      <c r="W174" s="231">
        <v>5.743833333333332</v>
      </c>
      <c r="X174" s="234">
        <v>7.8333333333333338E-2</v>
      </c>
      <c r="Y174" s="231">
        <v>0</v>
      </c>
      <c r="Z174" s="234">
        <v>0</v>
      </c>
      <c r="AA174" s="231">
        <v>0</v>
      </c>
      <c r="AB174" s="234">
        <v>0</v>
      </c>
      <c r="AC174" s="238">
        <f t="shared" si="9"/>
        <v>8.9066666666666645</v>
      </c>
      <c r="AD174" s="238"/>
      <c r="AE174" s="238"/>
    </row>
    <row r="175" spans="2:31" x14ac:dyDescent="0.3">
      <c r="B175" s="245" t="s">
        <v>39</v>
      </c>
      <c r="C175" s="245"/>
      <c r="D175" s="245"/>
      <c r="E175" s="231">
        <v>0</v>
      </c>
      <c r="F175" s="234">
        <v>0</v>
      </c>
      <c r="G175" s="231">
        <v>0</v>
      </c>
      <c r="H175" s="234">
        <v>0</v>
      </c>
      <c r="I175" s="231">
        <v>0</v>
      </c>
      <c r="J175" s="234">
        <v>0</v>
      </c>
      <c r="K175" s="231">
        <v>0</v>
      </c>
      <c r="L175" s="234">
        <v>0</v>
      </c>
      <c r="M175" s="231">
        <v>0</v>
      </c>
      <c r="N175" s="234">
        <v>0</v>
      </c>
      <c r="O175" s="231">
        <v>0</v>
      </c>
      <c r="P175" s="234">
        <v>0</v>
      </c>
      <c r="Q175" s="231">
        <v>0</v>
      </c>
      <c r="R175" s="234">
        <v>0</v>
      </c>
      <c r="S175" s="231">
        <v>0</v>
      </c>
      <c r="T175" s="234">
        <v>0</v>
      </c>
      <c r="U175" s="231">
        <v>4.2783333333333315</v>
      </c>
      <c r="V175" s="234">
        <v>6.2006666666666668</v>
      </c>
      <c r="W175" s="231">
        <v>6.1761666666666715</v>
      </c>
      <c r="X175" s="234">
        <v>4.8333333333333332E-2</v>
      </c>
      <c r="Y175" s="231">
        <v>0</v>
      </c>
      <c r="Z175" s="234">
        <v>0</v>
      </c>
      <c r="AA175" s="231">
        <v>0</v>
      </c>
      <c r="AB175" s="234">
        <v>0</v>
      </c>
      <c r="AC175" s="238">
        <f t="shared" si="9"/>
        <v>16.703500000000002</v>
      </c>
      <c r="AD175" s="238"/>
      <c r="AE175" s="238"/>
    </row>
    <row r="176" spans="2:31" x14ac:dyDescent="0.3">
      <c r="B176" s="245" t="s">
        <v>40</v>
      </c>
      <c r="C176" s="245"/>
      <c r="D176" s="245"/>
      <c r="E176" s="231">
        <v>0</v>
      </c>
      <c r="F176" s="234">
        <v>0</v>
      </c>
      <c r="G176" s="231">
        <v>0</v>
      </c>
      <c r="H176" s="234">
        <v>0</v>
      </c>
      <c r="I176" s="231">
        <v>0</v>
      </c>
      <c r="J176" s="234">
        <v>0</v>
      </c>
      <c r="K176" s="231">
        <v>0</v>
      </c>
      <c r="L176" s="234">
        <v>0</v>
      </c>
      <c r="M176" s="231">
        <v>0</v>
      </c>
      <c r="N176" s="234">
        <v>0</v>
      </c>
      <c r="O176" s="231">
        <v>0</v>
      </c>
      <c r="P176" s="234">
        <v>0</v>
      </c>
      <c r="Q176" s="231">
        <v>0</v>
      </c>
      <c r="R176" s="234">
        <v>0</v>
      </c>
      <c r="S176" s="231">
        <v>2.4509999999999978</v>
      </c>
      <c r="T176" s="234">
        <v>0</v>
      </c>
      <c r="U176" s="231">
        <v>0</v>
      </c>
      <c r="V176" s="234">
        <v>0</v>
      </c>
      <c r="W176" s="231">
        <v>45.281500000000001</v>
      </c>
      <c r="X176" s="234">
        <v>0.64216666666666666</v>
      </c>
      <c r="Y176" s="231">
        <v>0</v>
      </c>
      <c r="Z176" s="234">
        <v>0</v>
      </c>
      <c r="AA176" s="231">
        <v>0</v>
      </c>
      <c r="AB176" s="234">
        <v>0</v>
      </c>
      <c r="AC176" s="238">
        <f t="shared" si="9"/>
        <v>48.37466666666667</v>
      </c>
      <c r="AD176" s="238"/>
      <c r="AE176" s="238"/>
    </row>
    <row r="177" spans="2:31" x14ac:dyDescent="0.3">
      <c r="B177" s="245" t="s">
        <v>41</v>
      </c>
      <c r="C177" s="245"/>
      <c r="D177" s="245"/>
      <c r="E177" s="231">
        <v>0</v>
      </c>
      <c r="F177" s="234">
        <v>0</v>
      </c>
      <c r="G177" s="231">
        <v>0</v>
      </c>
      <c r="H177" s="234">
        <v>0</v>
      </c>
      <c r="I177" s="231">
        <v>0</v>
      </c>
      <c r="J177" s="234">
        <v>0</v>
      </c>
      <c r="K177" s="231">
        <v>0</v>
      </c>
      <c r="L177" s="234">
        <v>0</v>
      </c>
      <c r="M177" s="231">
        <v>0</v>
      </c>
      <c r="N177" s="234">
        <v>0</v>
      </c>
      <c r="O177" s="231">
        <v>0</v>
      </c>
      <c r="P177" s="234">
        <v>0</v>
      </c>
      <c r="Q177" s="231">
        <v>0</v>
      </c>
      <c r="R177" s="234">
        <v>0</v>
      </c>
      <c r="S177" s="231">
        <v>0</v>
      </c>
      <c r="T177" s="234">
        <v>1.5281666666666609</v>
      </c>
      <c r="U177" s="231">
        <v>0</v>
      </c>
      <c r="V177" s="234">
        <v>21.669166666666666</v>
      </c>
      <c r="W177" s="231">
        <v>31.292000000000009</v>
      </c>
      <c r="X177" s="234">
        <v>0.2111666666666667</v>
      </c>
      <c r="Y177" s="231">
        <v>0</v>
      </c>
      <c r="Z177" s="234">
        <v>0</v>
      </c>
      <c r="AA177" s="231">
        <v>0</v>
      </c>
      <c r="AB177" s="234">
        <v>0</v>
      </c>
      <c r="AC177" s="238">
        <f t="shared" si="9"/>
        <v>54.700499999999998</v>
      </c>
      <c r="AD177" s="238"/>
      <c r="AE177" s="238"/>
    </row>
    <row r="178" spans="2:31" x14ac:dyDescent="0.3">
      <c r="B178" s="245" t="s">
        <v>42</v>
      </c>
      <c r="C178" s="245"/>
      <c r="D178" s="245"/>
      <c r="E178" s="231">
        <v>0</v>
      </c>
      <c r="F178" s="234">
        <v>0</v>
      </c>
      <c r="G178" s="231">
        <v>0</v>
      </c>
      <c r="H178" s="234">
        <v>0</v>
      </c>
      <c r="I178" s="231">
        <v>0</v>
      </c>
      <c r="J178" s="234">
        <v>0</v>
      </c>
      <c r="K178" s="231">
        <v>0</v>
      </c>
      <c r="L178" s="234">
        <v>0</v>
      </c>
      <c r="M178" s="231">
        <v>0</v>
      </c>
      <c r="N178" s="234">
        <v>0</v>
      </c>
      <c r="O178" s="231">
        <v>0</v>
      </c>
      <c r="P178" s="234">
        <v>0</v>
      </c>
      <c r="Q178" s="231">
        <v>0</v>
      </c>
      <c r="R178" s="234">
        <v>0</v>
      </c>
      <c r="S178" s="231">
        <v>0</v>
      </c>
      <c r="T178" s="234">
        <v>0</v>
      </c>
      <c r="U178" s="231">
        <v>0.16350000000000003</v>
      </c>
      <c r="V178" s="234">
        <v>0</v>
      </c>
      <c r="W178" s="231">
        <v>7.6465000000000014</v>
      </c>
      <c r="X178" s="234">
        <v>0.15716666666666665</v>
      </c>
      <c r="Y178" s="231">
        <v>0</v>
      </c>
      <c r="Z178" s="234">
        <v>0</v>
      </c>
      <c r="AA178" s="231">
        <v>0</v>
      </c>
      <c r="AB178" s="234">
        <v>0</v>
      </c>
      <c r="AC178" s="238">
        <f t="shared" si="9"/>
        <v>7.9671666666666683</v>
      </c>
      <c r="AD178" s="238"/>
      <c r="AE178" s="238"/>
    </row>
    <row r="179" spans="2:31" x14ac:dyDescent="0.3">
      <c r="B179" s="245" t="s">
        <v>43</v>
      </c>
      <c r="C179" s="245"/>
      <c r="D179" s="245"/>
      <c r="E179" s="231">
        <v>0</v>
      </c>
      <c r="F179" s="234">
        <v>0</v>
      </c>
      <c r="G179" s="231">
        <v>0</v>
      </c>
      <c r="H179" s="234">
        <v>0</v>
      </c>
      <c r="I179" s="231">
        <v>0</v>
      </c>
      <c r="J179" s="234">
        <v>0</v>
      </c>
      <c r="K179" s="231">
        <v>0</v>
      </c>
      <c r="L179" s="234">
        <v>0</v>
      </c>
      <c r="M179" s="231">
        <v>0</v>
      </c>
      <c r="N179" s="234">
        <v>0</v>
      </c>
      <c r="O179" s="231">
        <v>0</v>
      </c>
      <c r="P179" s="234">
        <v>0.6348333333333358</v>
      </c>
      <c r="Q179" s="231">
        <v>2.9899999999999989</v>
      </c>
      <c r="R179" s="234">
        <v>0</v>
      </c>
      <c r="S179" s="231">
        <v>0</v>
      </c>
      <c r="T179" s="234">
        <v>3.3033333333333323</v>
      </c>
      <c r="U179" s="231">
        <v>0.35633333333333339</v>
      </c>
      <c r="V179" s="234">
        <v>11.155000000000001</v>
      </c>
      <c r="W179" s="231">
        <v>40.043333333333322</v>
      </c>
      <c r="X179" s="234">
        <v>0.41399999999999998</v>
      </c>
      <c r="Y179" s="231">
        <v>0</v>
      </c>
      <c r="Z179" s="234">
        <v>0</v>
      </c>
      <c r="AA179" s="231">
        <v>0</v>
      </c>
      <c r="AB179" s="234">
        <v>0</v>
      </c>
      <c r="AC179" s="238">
        <f t="shared" si="9"/>
        <v>58.896833333333326</v>
      </c>
      <c r="AD179" s="238"/>
      <c r="AE179" s="238"/>
    </row>
    <row r="180" spans="2:31" x14ac:dyDescent="0.3">
      <c r="B180" s="245" t="s">
        <v>44</v>
      </c>
      <c r="C180" s="245"/>
      <c r="D180" s="245"/>
      <c r="E180" s="231">
        <v>0</v>
      </c>
      <c r="F180" s="234">
        <v>0</v>
      </c>
      <c r="G180" s="231">
        <v>0</v>
      </c>
      <c r="H180" s="234">
        <v>0</v>
      </c>
      <c r="I180" s="231">
        <v>0</v>
      </c>
      <c r="J180" s="234">
        <v>0</v>
      </c>
      <c r="K180" s="231">
        <v>0</v>
      </c>
      <c r="L180" s="234">
        <v>0</v>
      </c>
      <c r="M180" s="231">
        <v>0</v>
      </c>
      <c r="N180" s="234">
        <v>0</v>
      </c>
      <c r="O180" s="231">
        <v>0</v>
      </c>
      <c r="P180" s="234">
        <v>0</v>
      </c>
      <c r="Q180" s="231">
        <v>0</v>
      </c>
      <c r="R180" s="234">
        <v>0</v>
      </c>
      <c r="S180" s="231">
        <v>1.5655000000000012</v>
      </c>
      <c r="T180" s="234">
        <v>2.540166666666666</v>
      </c>
      <c r="U180" s="231">
        <v>1.829500000000003</v>
      </c>
      <c r="V180" s="234">
        <v>0.96683333333333432</v>
      </c>
      <c r="W180" s="231">
        <v>25.990499999999997</v>
      </c>
      <c r="X180" s="234">
        <v>0.48299999999999998</v>
      </c>
      <c r="Y180" s="231">
        <v>0</v>
      </c>
      <c r="Z180" s="234">
        <v>0</v>
      </c>
      <c r="AA180" s="231">
        <v>0</v>
      </c>
      <c r="AB180" s="234">
        <v>0</v>
      </c>
      <c r="AC180" s="238">
        <f t="shared" si="9"/>
        <v>33.375499999999995</v>
      </c>
      <c r="AD180" s="238"/>
      <c r="AE180" s="238"/>
    </row>
    <row r="181" spans="2:31" x14ac:dyDescent="0.3">
      <c r="B181" s="245" t="s">
        <v>45</v>
      </c>
      <c r="C181" s="245"/>
      <c r="D181" s="245"/>
      <c r="E181" s="231">
        <v>0</v>
      </c>
      <c r="F181" s="234">
        <v>0</v>
      </c>
      <c r="G181" s="231">
        <v>0</v>
      </c>
      <c r="H181" s="234">
        <v>0</v>
      </c>
      <c r="I181" s="231">
        <v>0</v>
      </c>
      <c r="J181" s="234">
        <v>0</v>
      </c>
      <c r="K181" s="231">
        <v>0</v>
      </c>
      <c r="L181" s="234">
        <v>0</v>
      </c>
      <c r="M181" s="231">
        <v>0</v>
      </c>
      <c r="N181" s="234">
        <v>0</v>
      </c>
      <c r="O181" s="231">
        <v>0</v>
      </c>
      <c r="P181" s="234">
        <v>0</v>
      </c>
      <c r="Q181" s="231">
        <v>4.2149999999999981</v>
      </c>
      <c r="R181" s="234">
        <v>27.440000000000037</v>
      </c>
      <c r="S181" s="231">
        <v>0</v>
      </c>
      <c r="T181" s="234">
        <v>29.82699999999998</v>
      </c>
      <c r="U181" s="231">
        <v>23.922333333333338</v>
      </c>
      <c r="V181" s="234">
        <v>15.569666666666665</v>
      </c>
      <c r="W181" s="231">
        <v>0.81900000000000039</v>
      </c>
      <c r="X181" s="234">
        <v>3.9200000000000035</v>
      </c>
      <c r="Y181" s="231">
        <v>0</v>
      </c>
      <c r="Z181" s="234">
        <v>0</v>
      </c>
      <c r="AA181" s="231">
        <v>0</v>
      </c>
      <c r="AB181" s="234">
        <v>0</v>
      </c>
      <c r="AC181" s="238">
        <f t="shared" si="9"/>
        <v>105.71300000000002</v>
      </c>
      <c r="AD181" s="238"/>
      <c r="AE181" s="238"/>
    </row>
    <row r="182" spans="2:31" x14ac:dyDescent="0.3">
      <c r="B182" s="245" t="s">
        <v>46</v>
      </c>
      <c r="C182" s="245"/>
      <c r="D182" s="245"/>
      <c r="E182" s="231">
        <v>0</v>
      </c>
      <c r="F182" s="234">
        <v>0</v>
      </c>
      <c r="G182" s="231">
        <v>0</v>
      </c>
      <c r="H182" s="234">
        <v>0</v>
      </c>
      <c r="I182" s="231">
        <v>0</v>
      </c>
      <c r="J182" s="234">
        <v>0</v>
      </c>
      <c r="K182" s="231">
        <v>0</v>
      </c>
      <c r="L182" s="234">
        <v>0</v>
      </c>
      <c r="M182" s="231">
        <v>0</v>
      </c>
      <c r="N182" s="234">
        <v>0</v>
      </c>
      <c r="O182" s="231">
        <v>0</v>
      </c>
      <c r="P182" s="234">
        <v>0</v>
      </c>
      <c r="Q182" s="231">
        <v>30.054166666666649</v>
      </c>
      <c r="R182" s="234">
        <v>0</v>
      </c>
      <c r="S182" s="231">
        <v>43.693166666666656</v>
      </c>
      <c r="T182" s="234">
        <v>0</v>
      </c>
      <c r="U182" s="231">
        <v>28.376833333333305</v>
      </c>
      <c r="V182" s="234">
        <v>13.491500000000018</v>
      </c>
      <c r="W182" s="231">
        <v>16.092333333333336</v>
      </c>
      <c r="X182" s="234">
        <v>10.517166666666659</v>
      </c>
      <c r="Y182" s="231">
        <v>0</v>
      </c>
      <c r="Z182" s="234">
        <v>0</v>
      </c>
      <c r="AA182" s="231">
        <v>0</v>
      </c>
      <c r="AB182" s="234">
        <v>0</v>
      </c>
      <c r="AC182" s="238">
        <f t="shared" si="9"/>
        <v>142.22516666666664</v>
      </c>
      <c r="AD182" s="238"/>
      <c r="AE182" s="238"/>
    </row>
    <row r="183" spans="2:31" x14ac:dyDescent="0.3">
      <c r="B183" s="245" t="s">
        <v>47</v>
      </c>
      <c r="C183" s="245"/>
      <c r="D183" s="245"/>
      <c r="E183" s="231">
        <v>0</v>
      </c>
      <c r="F183" s="234">
        <v>0</v>
      </c>
      <c r="G183" s="231">
        <v>0</v>
      </c>
      <c r="H183" s="234">
        <v>0</v>
      </c>
      <c r="I183" s="231">
        <v>0</v>
      </c>
      <c r="J183" s="234">
        <v>0</v>
      </c>
      <c r="K183" s="231">
        <v>0</v>
      </c>
      <c r="L183" s="234">
        <v>0</v>
      </c>
      <c r="M183" s="231">
        <v>0</v>
      </c>
      <c r="N183" s="234">
        <v>0</v>
      </c>
      <c r="O183" s="231">
        <v>0</v>
      </c>
      <c r="P183" s="234">
        <v>0</v>
      </c>
      <c r="Q183" s="231">
        <v>4.8101666666666656</v>
      </c>
      <c r="R183" s="234">
        <v>10.529999999999983</v>
      </c>
      <c r="S183" s="231">
        <v>10.929999999999994</v>
      </c>
      <c r="T183" s="234">
        <v>11.181000000000012</v>
      </c>
      <c r="U183" s="231">
        <v>10.528333333333341</v>
      </c>
      <c r="V183" s="234">
        <v>7.8370000000000077</v>
      </c>
      <c r="W183" s="231">
        <v>5.6961666666666684</v>
      </c>
      <c r="X183" s="234">
        <v>6.0003333333333329</v>
      </c>
      <c r="Y183" s="231">
        <v>0</v>
      </c>
      <c r="Z183" s="234">
        <v>0</v>
      </c>
      <c r="AA183" s="231">
        <v>0</v>
      </c>
      <c r="AB183" s="234">
        <v>0</v>
      </c>
      <c r="AC183" s="238">
        <f t="shared" si="9"/>
        <v>67.513000000000005</v>
      </c>
      <c r="AD183" s="238"/>
      <c r="AE183" s="238"/>
    </row>
    <row r="184" spans="2:31" x14ac:dyDescent="0.3">
      <c r="B184" s="245" t="s">
        <v>48</v>
      </c>
      <c r="C184" s="245"/>
      <c r="D184" s="245"/>
      <c r="E184" s="231">
        <v>0</v>
      </c>
      <c r="F184" s="234">
        <v>0</v>
      </c>
      <c r="G184" s="231">
        <v>0</v>
      </c>
      <c r="H184" s="234">
        <v>0</v>
      </c>
      <c r="I184" s="231">
        <v>0</v>
      </c>
      <c r="J184" s="234">
        <v>0</v>
      </c>
      <c r="K184" s="231">
        <v>0</v>
      </c>
      <c r="L184" s="234">
        <v>0</v>
      </c>
      <c r="M184" s="231">
        <v>0</v>
      </c>
      <c r="N184" s="234">
        <v>0</v>
      </c>
      <c r="O184" s="231">
        <v>0</v>
      </c>
      <c r="P184" s="234">
        <v>0</v>
      </c>
      <c r="Q184" s="231">
        <v>4.4200000000000008</v>
      </c>
      <c r="R184" s="234">
        <v>9.1900000000000031</v>
      </c>
      <c r="S184" s="231">
        <v>9.3233333333333395</v>
      </c>
      <c r="T184" s="234">
        <v>9.3655000000000026</v>
      </c>
      <c r="U184" s="231">
        <v>0</v>
      </c>
      <c r="V184" s="234">
        <v>6.9754999999999923</v>
      </c>
      <c r="W184" s="231">
        <v>4.4596666666666662</v>
      </c>
      <c r="X184" s="234">
        <v>4.5211666666666641</v>
      </c>
      <c r="Y184" s="231">
        <v>0</v>
      </c>
      <c r="Z184" s="234">
        <v>0</v>
      </c>
      <c r="AA184" s="231">
        <v>0</v>
      </c>
      <c r="AB184" s="234">
        <v>0</v>
      </c>
      <c r="AC184" s="238">
        <f t="shared" si="9"/>
        <v>48.255166666666668</v>
      </c>
      <c r="AD184" s="238"/>
      <c r="AE184" s="238"/>
    </row>
    <row r="185" spans="2:31" x14ac:dyDescent="0.3">
      <c r="B185" s="245" t="s">
        <v>49</v>
      </c>
      <c r="C185" s="245"/>
      <c r="D185" s="245"/>
      <c r="E185" s="231">
        <v>0</v>
      </c>
      <c r="F185" s="234">
        <v>0</v>
      </c>
      <c r="G185" s="231">
        <v>0</v>
      </c>
      <c r="H185" s="234">
        <v>0</v>
      </c>
      <c r="I185" s="231">
        <v>0</v>
      </c>
      <c r="J185" s="234">
        <v>0</v>
      </c>
      <c r="K185" s="231">
        <v>0</v>
      </c>
      <c r="L185" s="234">
        <v>0</v>
      </c>
      <c r="M185" s="231">
        <v>0</v>
      </c>
      <c r="N185" s="234">
        <v>0.10466666666666669</v>
      </c>
      <c r="O185" s="231">
        <v>0</v>
      </c>
      <c r="P185" s="234">
        <v>0</v>
      </c>
      <c r="Q185" s="231">
        <v>0</v>
      </c>
      <c r="R185" s="234">
        <v>0</v>
      </c>
      <c r="S185" s="231">
        <v>0</v>
      </c>
      <c r="T185" s="234">
        <v>0</v>
      </c>
      <c r="U185" s="231">
        <v>0</v>
      </c>
      <c r="V185" s="234">
        <v>0.14449999999999996</v>
      </c>
      <c r="W185" s="231">
        <v>0.15733333333333344</v>
      </c>
      <c r="X185" s="234">
        <v>1.3333333333333346E-3</v>
      </c>
      <c r="Y185" s="231">
        <v>0</v>
      </c>
      <c r="Z185" s="234">
        <v>0</v>
      </c>
      <c r="AA185" s="231">
        <v>0</v>
      </c>
      <c r="AB185" s="234">
        <v>0</v>
      </c>
      <c r="AC185" s="238">
        <f t="shared" si="9"/>
        <v>0.40783333333333344</v>
      </c>
      <c r="AD185" s="238"/>
      <c r="AE185" s="238"/>
    </row>
    <row r="186" spans="2:31" x14ac:dyDescent="0.3">
      <c r="B186" s="245" t="s">
        <v>50</v>
      </c>
      <c r="C186" s="245"/>
      <c r="D186" s="245"/>
      <c r="E186" s="231">
        <v>0</v>
      </c>
      <c r="F186" s="234">
        <v>0</v>
      </c>
      <c r="G186" s="231">
        <v>0</v>
      </c>
      <c r="H186" s="234">
        <v>0</v>
      </c>
      <c r="I186" s="231">
        <v>0</v>
      </c>
      <c r="J186" s="234">
        <v>0</v>
      </c>
      <c r="K186" s="231">
        <v>0</v>
      </c>
      <c r="L186" s="234">
        <v>0</v>
      </c>
      <c r="M186" s="231">
        <v>0</v>
      </c>
      <c r="N186" s="234">
        <v>0</v>
      </c>
      <c r="O186" s="231">
        <v>0</v>
      </c>
      <c r="P186" s="234">
        <v>0</v>
      </c>
      <c r="Q186" s="231">
        <v>0</v>
      </c>
      <c r="R186" s="234">
        <v>1.1796666666666638</v>
      </c>
      <c r="S186" s="231">
        <v>1.5328333333333342</v>
      </c>
      <c r="T186" s="234">
        <v>0</v>
      </c>
      <c r="U186" s="231">
        <v>23.518000000000008</v>
      </c>
      <c r="V186" s="234">
        <v>42.5</v>
      </c>
      <c r="W186" s="231">
        <v>40.799999999999997</v>
      </c>
      <c r="X186" s="234">
        <v>0.22166666666666668</v>
      </c>
      <c r="Y186" s="231">
        <v>0</v>
      </c>
      <c r="Z186" s="234">
        <v>0</v>
      </c>
      <c r="AA186" s="231">
        <v>0</v>
      </c>
      <c r="AB186" s="234">
        <v>0</v>
      </c>
      <c r="AC186" s="238">
        <f t="shared" si="9"/>
        <v>109.75216666666667</v>
      </c>
      <c r="AD186" s="238"/>
      <c r="AE186" s="238"/>
    </row>
    <row r="187" spans="2:31" x14ac:dyDescent="0.3">
      <c r="B187" s="245" t="s">
        <v>97</v>
      </c>
      <c r="C187" s="245"/>
      <c r="D187" s="245"/>
      <c r="E187" s="231">
        <v>0</v>
      </c>
      <c r="F187" s="234">
        <v>0</v>
      </c>
      <c r="G187" s="231">
        <v>0</v>
      </c>
      <c r="H187" s="234">
        <v>0</v>
      </c>
      <c r="I187" s="231">
        <v>0</v>
      </c>
      <c r="J187" s="234">
        <v>0</v>
      </c>
      <c r="K187" s="231">
        <v>0</v>
      </c>
      <c r="L187" s="234">
        <v>0</v>
      </c>
      <c r="M187" s="231">
        <v>0</v>
      </c>
      <c r="N187" s="234">
        <v>0</v>
      </c>
      <c r="O187" s="231">
        <v>0</v>
      </c>
      <c r="P187" s="234">
        <v>0</v>
      </c>
      <c r="Q187" s="231">
        <v>0</v>
      </c>
      <c r="R187" s="234">
        <v>0</v>
      </c>
      <c r="S187" s="231">
        <v>0</v>
      </c>
      <c r="T187" s="234">
        <v>0</v>
      </c>
      <c r="U187" s="231">
        <v>0</v>
      </c>
      <c r="V187" s="234">
        <v>0</v>
      </c>
      <c r="W187" s="231">
        <v>0</v>
      </c>
      <c r="X187" s="234">
        <v>0</v>
      </c>
      <c r="Y187" s="231">
        <v>0</v>
      </c>
      <c r="Z187" s="234">
        <v>0</v>
      </c>
      <c r="AA187" s="231">
        <v>0</v>
      </c>
      <c r="AB187" s="234">
        <v>0</v>
      </c>
      <c r="AC187" s="238">
        <f t="shared" si="9"/>
        <v>0</v>
      </c>
      <c r="AD187" s="238"/>
      <c r="AE187" s="238"/>
    </row>
    <row r="188" spans="2:31" x14ac:dyDescent="0.3">
      <c r="B188" s="245" t="s">
        <v>51</v>
      </c>
      <c r="C188" s="245"/>
      <c r="D188" s="245"/>
      <c r="E188" s="231">
        <v>0</v>
      </c>
      <c r="F188" s="234">
        <v>0</v>
      </c>
      <c r="G188" s="231">
        <v>0</v>
      </c>
      <c r="H188" s="234">
        <v>0</v>
      </c>
      <c r="I188" s="231">
        <v>0</v>
      </c>
      <c r="J188" s="234">
        <v>0</v>
      </c>
      <c r="K188" s="231">
        <v>0</v>
      </c>
      <c r="L188" s="234">
        <v>0</v>
      </c>
      <c r="M188" s="231">
        <v>0</v>
      </c>
      <c r="N188" s="234">
        <v>0</v>
      </c>
      <c r="O188" s="231">
        <v>0</v>
      </c>
      <c r="P188" s="234">
        <v>0</v>
      </c>
      <c r="Q188" s="231">
        <v>0</v>
      </c>
      <c r="R188" s="234">
        <v>53.451666666666675</v>
      </c>
      <c r="S188" s="231">
        <v>58.400333333333336</v>
      </c>
      <c r="T188" s="234">
        <v>58.370999999999995</v>
      </c>
      <c r="U188" s="231">
        <v>59.813833333333342</v>
      </c>
      <c r="V188" s="234">
        <v>50.10883333333333</v>
      </c>
      <c r="W188" s="231">
        <v>50.793166666666664</v>
      </c>
      <c r="X188" s="234">
        <v>0.4286666666666667</v>
      </c>
      <c r="Y188" s="231">
        <v>0</v>
      </c>
      <c r="Z188" s="234">
        <v>0</v>
      </c>
      <c r="AA188" s="231">
        <v>0</v>
      </c>
      <c r="AB188" s="234">
        <v>0</v>
      </c>
      <c r="AC188" s="238">
        <f t="shared" si="9"/>
        <v>331.36750000000001</v>
      </c>
      <c r="AD188" s="238"/>
      <c r="AE188" s="238"/>
    </row>
    <row r="189" spans="2:31" x14ac:dyDescent="0.3">
      <c r="B189" s="245" t="s">
        <v>52</v>
      </c>
      <c r="C189" s="245"/>
      <c r="D189" s="245"/>
      <c r="E189" s="231">
        <v>0</v>
      </c>
      <c r="F189" s="234">
        <v>0</v>
      </c>
      <c r="G189" s="231">
        <v>0</v>
      </c>
      <c r="H189" s="234">
        <v>0</v>
      </c>
      <c r="I189" s="231">
        <v>0</v>
      </c>
      <c r="J189" s="234">
        <v>0</v>
      </c>
      <c r="K189" s="231">
        <v>0</v>
      </c>
      <c r="L189" s="234">
        <v>0</v>
      </c>
      <c r="M189" s="231">
        <v>0</v>
      </c>
      <c r="N189" s="234">
        <v>0</v>
      </c>
      <c r="O189" s="231">
        <v>0</v>
      </c>
      <c r="P189" s="234">
        <v>0</v>
      </c>
      <c r="Q189" s="231">
        <v>0</v>
      </c>
      <c r="R189" s="234">
        <v>0</v>
      </c>
      <c r="S189" s="231">
        <v>0</v>
      </c>
      <c r="T189" s="234">
        <v>0</v>
      </c>
      <c r="U189" s="231">
        <v>0</v>
      </c>
      <c r="V189" s="234">
        <v>0</v>
      </c>
      <c r="W189" s="231">
        <v>0</v>
      </c>
      <c r="X189" s="234">
        <v>0</v>
      </c>
      <c r="Y189" s="231">
        <v>0</v>
      </c>
      <c r="Z189" s="234">
        <v>0</v>
      </c>
      <c r="AA189" s="231">
        <v>0</v>
      </c>
      <c r="AB189" s="234">
        <v>0</v>
      </c>
      <c r="AC189" s="238">
        <f t="shared" si="9"/>
        <v>0</v>
      </c>
      <c r="AD189" s="238"/>
      <c r="AE189" s="238"/>
    </row>
    <row r="190" spans="2:31" x14ac:dyDescent="0.3">
      <c r="B190" s="245" t="s">
        <v>53</v>
      </c>
      <c r="C190" s="245"/>
      <c r="D190" s="245"/>
      <c r="E190" s="231">
        <v>0</v>
      </c>
      <c r="F190" s="234">
        <v>0</v>
      </c>
      <c r="G190" s="231">
        <v>0</v>
      </c>
      <c r="H190" s="234">
        <v>0</v>
      </c>
      <c r="I190" s="231">
        <v>0</v>
      </c>
      <c r="J190" s="234">
        <v>0</v>
      </c>
      <c r="K190" s="231">
        <v>0</v>
      </c>
      <c r="L190" s="234">
        <v>0</v>
      </c>
      <c r="M190" s="231">
        <v>0</v>
      </c>
      <c r="N190" s="234">
        <v>0</v>
      </c>
      <c r="O190" s="231">
        <v>0</v>
      </c>
      <c r="P190" s="234">
        <v>0</v>
      </c>
      <c r="Q190" s="231">
        <v>0</v>
      </c>
      <c r="R190" s="234">
        <v>0</v>
      </c>
      <c r="S190" s="231">
        <v>0</v>
      </c>
      <c r="T190" s="234">
        <v>0</v>
      </c>
      <c r="U190" s="231">
        <v>0</v>
      </c>
      <c r="V190" s="234">
        <v>0</v>
      </c>
      <c r="W190" s="231">
        <v>11.612333333333334</v>
      </c>
      <c r="X190" s="234">
        <v>0</v>
      </c>
      <c r="Y190" s="231">
        <v>0</v>
      </c>
      <c r="Z190" s="234">
        <v>0</v>
      </c>
      <c r="AA190" s="231">
        <v>0</v>
      </c>
      <c r="AB190" s="234">
        <v>0</v>
      </c>
      <c r="AC190" s="238">
        <f t="shared" si="9"/>
        <v>11.612333333333334</v>
      </c>
      <c r="AD190" s="238"/>
      <c r="AE190" s="238"/>
    </row>
    <row r="191" spans="2:31" x14ac:dyDescent="0.3">
      <c r="B191" s="245" t="s">
        <v>54</v>
      </c>
      <c r="C191" s="245"/>
      <c r="D191" s="245"/>
      <c r="E191" s="231">
        <v>0</v>
      </c>
      <c r="F191" s="234">
        <v>0</v>
      </c>
      <c r="G191" s="231">
        <v>0</v>
      </c>
      <c r="H191" s="234">
        <v>0</v>
      </c>
      <c r="I191" s="231">
        <v>0</v>
      </c>
      <c r="J191" s="234">
        <v>0</v>
      </c>
      <c r="K191" s="231">
        <v>0</v>
      </c>
      <c r="L191" s="234">
        <v>0</v>
      </c>
      <c r="M191" s="231">
        <v>0</v>
      </c>
      <c r="N191" s="234">
        <v>0</v>
      </c>
      <c r="O191" s="231">
        <v>0</v>
      </c>
      <c r="P191" s="234">
        <v>0</v>
      </c>
      <c r="Q191" s="231">
        <v>0</v>
      </c>
      <c r="R191" s="234">
        <v>5.2593333333333314</v>
      </c>
      <c r="S191" s="231">
        <v>5.8406666666666691</v>
      </c>
      <c r="T191" s="234">
        <v>12.839666666666671</v>
      </c>
      <c r="U191" s="231">
        <v>11.862833333333334</v>
      </c>
      <c r="V191" s="234">
        <v>11.546999999999999</v>
      </c>
      <c r="W191" s="231">
        <v>42.425666666666665</v>
      </c>
      <c r="X191" s="234">
        <v>0.32883333333333326</v>
      </c>
      <c r="Y191" s="231">
        <v>0</v>
      </c>
      <c r="Z191" s="234">
        <v>0</v>
      </c>
      <c r="AA191" s="231">
        <v>0</v>
      </c>
      <c r="AB191" s="234">
        <v>0</v>
      </c>
      <c r="AC191" s="238">
        <f t="shared" si="9"/>
        <v>90.104000000000013</v>
      </c>
      <c r="AD191" s="238"/>
      <c r="AE191" s="238"/>
    </row>
    <row r="192" spans="2:31" x14ac:dyDescent="0.3">
      <c r="B192" s="245" t="s">
        <v>55</v>
      </c>
      <c r="C192" s="245"/>
      <c r="D192" s="245"/>
      <c r="E192" s="231">
        <v>0</v>
      </c>
      <c r="F192" s="234">
        <v>0</v>
      </c>
      <c r="G192" s="231">
        <v>0</v>
      </c>
      <c r="H192" s="234">
        <v>0</v>
      </c>
      <c r="I192" s="231">
        <v>0</v>
      </c>
      <c r="J192" s="234">
        <v>0</v>
      </c>
      <c r="K192" s="231">
        <v>0</v>
      </c>
      <c r="L192" s="234">
        <v>0</v>
      </c>
      <c r="M192" s="231">
        <v>0</v>
      </c>
      <c r="N192" s="234">
        <v>0</v>
      </c>
      <c r="O192" s="231">
        <v>0</v>
      </c>
      <c r="P192" s="234">
        <v>0</v>
      </c>
      <c r="Q192" s="231">
        <v>0</v>
      </c>
      <c r="R192" s="234">
        <v>0</v>
      </c>
      <c r="S192" s="231">
        <v>2.3776666666666655</v>
      </c>
      <c r="T192" s="234">
        <v>10.779999999999983</v>
      </c>
      <c r="U192" s="231">
        <v>8.6758333333333244</v>
      </c>
      <c r="V192" s="234">
        <v>4.8909999999999956</v>
      </c>
      <c r="W192" s="231">
        <v>45.283333333333324</v>
      </c>
      <c r="X192" s="234">
        <v>0.52749999999999997</v>
      </c>
      <c r="Y192" s="231">
        <v>0</v>
      </c>
      <c r="Z192" s="234">
        <v>0</v>
      </c>
      <c r="AA192" s="231">
        <v>0</v>
      </c>
      <c r="AB192" s="234">
        <v>0</v>
      </c>
      <c r="AC192" s="238">
        <f t="shared" si="9"/>
        <v>72.535333333333298</v>
      </c>
      <c r="AD192" s="238"/>
      <c r="AE192" s="238"/>
    </row>
    <row r="193" spans="2:31" x14ac:dyDescent="0.3">
      <c r="B193" s="245" t="s">
        <v>56</v>
      </c>
      <c r="C193" s="245"/>
      <c r="D193" s="245"/>
      <c r="E193" s="231">
        <v>0</v>
      </c>
      <c r="F193" s="234">
        <v>0</v>
      </c>
      <c r="G193" s="231">
        <v>0</v>
      </c>
      <c r="H193" s="234">
        <v>0</v>
      </c>
      <c r="I193" s="231">
        <v>0</v>
      </c>
      <c r="J193" s="234">
        <v>0</v>
      </c>
      <c r="K193" s="231">
        <v>0</v>
      </c>
      <c r="L193" s="234">
        <v>0</v>
      </c>
      <c r="M193" s="231">
        <v>0</v>
      </c>
      <c r="N193" s="234">
        <v>0</v>
      </c>
      <c r="O193" s="231">
        <v>0</v>
      </c>
      <c r="P193" s="234">
        <v>0</v>
      </c>
      <c r="Q193" s="231">
        <v>0</v>
      </c>
      <c r="R193" s="234">
        <v>0</v>
      </c>
      <c r="S193" s="231">
        <v>0.66733333333333333</v>
      </c>
      <c r="T193" s="234">
        <v>4.8113333333333363</v>
      </c>
      <c r="U193" s="231">
        <v>4.8173333333333339</v>
      </c>
      <c r="V193" s="234">
        <v>4.2665000000000006</v>
      </c>
      <c r="W193" s="231">
        <v>13.271499999999998</v>
      </c>
      <c r="X193" s="234">
        <v>0.17933333333333337</v>
      </c>
      <c r="Y193" s="231">
        <v>0</v>
      </c>
      <c r="Z193" s="234">
        <v>0</v>
      </c>
      <c r="AA193" s="231">
        <v>0</v>
      </c>
      <c r="AB193" s="234">
        <v>0</v>
      </c>
      <c r="AC193" s="238">
        <f t="shared" si="9"/>
        <v>28.013333333333335</v>
      </c>
      <c r="AD193" s="238"/>
      <c r="AE193" s="238"/>
    </row>
    <row r="194" spans="2:31" x14ac:dyDescent="0.3">
      <c r="B194" s="245" t="s">
        <v>94</v>
      </c>
      <c r="C194" s="245"/>
      <c r="D194" s="245"/>
      <c r="E194" s="231">
        <v>0</v>
      </c>
      <c r="F194" s="234">
        <v>0</v>
      </c>
      <c r="G194" s="231">
        <v>0</v>
      </c>
      <c r="H194" s="234">
        <v>0</v>
      </c>
      <c r="I194" s="231">
        <v>0</v>
      </c>
      <c r="J194" s="234">
        <v>0</v>
      </c>
      <c r="K194" s="231">
        <v>0</v>
      </c>
      <c r="L194" s="234">
        <v>0</v>
      </c>
      <c r="M194" s="231">
        <v>0</v>
      </c>
      <c r="N194" s="234">
        <v>0</v>
      </c>
      <c r="O194" s="231">
        <v>0</v>
      </c>
      <c r="P194" s="234">
        <v>0</v>
      </c>
      <c r="Q194" s="231">
        <v>0</v>
      </c>
      <c r="R194" s="234">
        <v>0</v>
      </c>
      <c r="S194" s="231">
        <v>0</v>
      </c>
      <c r="T194" s="234">
        <v>0</v>
      </c>
      <c r="U194" s="231">
        <v>0</v>
      </c>
      <c r="V194" s="234">
        <v>0</v>
      </c>
      <c r="W194" s="231">
        <v>0</v>
      </c>
      <c r="X194" s="234">
        <v>0</v>
      </c>
      <c r="Y194" s="231">
        <v>0</v>
      </c>
      <c r="Z194" s="234">
        <v>0</v>
      </c>
      <c r="AA194" s="231">
        <v>0</v>
      </c>
      <c r="AB194" s="234">
        <v>0</v>
      </c>
      <c r="AC194" s="238">
        <f t="shared" si="9"/>
        <v>0</v>
      </c>
      <c r="AD194" s="238"/>
      <c r="AE194" s="238"/>
    </row>
    <row r="195" spans="2:31" x14ac:dyDescent="0.3">
      <c r="B195" s="245" t="s">
        <v>57</v>
      </c>
      <c r="C195" s="245"/>
      <c r="D195" s="245"/>
      <c r="E195" s="231">
        <v>0</v>
      </c>
      <c r="F195" s="234">
        <v>0</v>
      </c>
      <c r="G195" s="231">
        <v>0</v>
      </c>
      <c r="H195" s="234">
        <v>0</v>
      </c>
      <c r="I195" s="231">
        <v>0</v>
      </c>
      <c r="J195" s="234">
        <v>0</v>
      </c>
      <c r="K195" s="231">
        <v>0</v>
      </c>
      <c r="L195" s="234">
        <v>0</v>
      </c>
      <c r="M195" s="231">
        <v>0</v>
      </c>
      <c r="N195" s="234">
        <v>0</v>
      </c>
      <c r="O195" s="231">
        <v>0</v>
      </c>
      <c r="P195" s="234">
        <v>0</v>
      </c>
      <c r="Q195" s="231">
        <v>0</v>
      </c>
      <c r="R195" s="234">
        <v>0.85683333333333234</v>
      </c>
      <c r="S195" s="231">
        <v>1.202333333333335</v>
      </c>
      <c r="T195" s="234">
        <v>1.9151666666666676</v>
      </c>
      <c r="U195" s="231">
        <v>2.9636666666666645</v>
      </c>
      <c r="V195" s="234">
        <v>2.3460000000000014</v>
      </c>
      <c r="W195" s="231">
        <v>7.2956666666666683</v>
      </c>
      <c r="X195" s="234">
        <v>7.9166666666666663E-2</v>
      </c>
      <c r="Y195" s="231">
        <v>0</v>
      </c>
      <c r="Z195" s="234">
        <v>0</v>
      </c>
      <c r="AA195" s="231">
        <v>0</v>
      </c>
      <c r="AB195" s="234">
        <v>0</v>
      </c>
      <c r="AC195" s="238">
        <f t="shared" si="9"/>
        <v>16.658833333333334</v>
      </c>
      <c r="AD195" s="238"/>
      <c r="AE195" s="238"/>
    </row>
    <row r="196" spans="2:31" x14ac:dyDescent="0.3">
      <c r="B196" s="245" t="s">
        <v>58</v>
      </c>
      <c r="C196" s="245"/>
      <c r="D196" s="245"/>
      <c r="E196" s="231">
        <v>0</v>
      </c>
      <c r="F196" s="234">
        <v>0</v>
      </c>
      <c r="G196" s="231">
        <v>0</v>
      </c>
      <c r="H196" s="234">
        <v>0</v>
      </c>
      <c r="I196" s="231">
        <v>0</v>
      </c>
      <c r="J196" s="234">
        <v>0</v>
      </c>
      <c r="K196" s="231">
        <v>0</v>
      </c>
      <c r="L196" s="234">
        <v>0</v>
      </c>
      <c r="M196" s="231">
        <v>0</v>
      </c>
      <c r="N196" s="234">
        <v>0</v>
      </c>
      <c r="O196" s="231">
        <v>0</v>
      </c>
      <c r="P196" s="234">
        <v>0</v>
      </c>
      <c r="Q196" s="231">
        <v>0</v>
      </c>
      <c r="R196" s="234">
        <v>0.28033333333333893</v>
      </c>
      <c r="S196" s="231">
        <v>0.11550000000000106</v>
      </c>
      <c r="T196" s="234">
        <v>4.450333333333333</v>
      </c>
      <c r="U196" s="231">
        <v>8.4461666666666577</v>
      </c>
      <c r="V196" s="234">
        <v>8.1410000000000071</v>
      </c>
      <c r="W196" s="231">
        <v>25.904999999999998</v>
      </c>
      <c r="X196" s="234">
        <v>0.29416666666666663</v>
      </c>
      <c r="Y196" s="231">
        <v>0</v>
      </c>
      <c r="Z196" s="234">
        <v>0</v>
      </c>
      <c r="AA196" s="231">
        <v>0</v>
      </c>
      <c r="AB196" s="234">
        <v>0</v>
      </c>
      <c r="AC196" s="238">
        <f t="shared" si="9"/>
        <v>47.632500000000007</v>
      </c>
      <c r="AD196" s="238"/>
      <c r="AE196" s="238"/>
    </row>
    <row r="197" spans="2:31" x14ac:dyDescent="0.3">
      <c r="B197" s="245" t="s">
        <v>95</v>
      </c>
      <c r="C197" s="245"/>
      <c r="D197" s="245"/>
      <c r="E197" s="231">
        <v>0</v>
      </c>
      <c r="F197" s="234">
        <v>0</v>
      </c>
      <c r="G197" s="231">
        <v>0</v>
      </c>
      <c r="H197" s="234">
        <v>0</v>
      </c>
      <c r="I197" s="231">
        <v>0</v>
      </c>
      <c r="J197" s="234">
        <v>0</v>
      </c>
      <c r="K197" s="231">
        <v>0</v>
      </c>
      <c r="L197" s="234">
        <v>0</v>
      </c>
      <c r="M197" s="231">
        <v>0</v>
      </c>
      <c r="N197" s="234">
        <v>0</v>
      </c>
      <c r="O197" s="231">
        <v>0</v>
      </c>
      <c r="P197" s="234">
        <v>0</v>
      </c>
      <c r="Q197" s="231">
        <v>0</v>
      </c>
      <c r="R197" s="234">
        <v>0</v>
      </c>
      <c r="S197" s="231">
        <v>0</v>
      </c>
      <c r="T197" s="234">
        <v>0</v>
      </c>
      <c r="U197" s="231">
        <v>0</v>
      </c>
      <c r="V197" s="234">
        <v>0</v>
      </c>
      <c r="W197" s="231">
        <v>0</v>
      </c>
      <c r="X197" s="234">
        <v>0</v>
      </c>
      <c r="Y197" s="231">
        <v>0</v>
      </c>
      <c r="Z197" s="234">
        <v>0</v>
      </c>
      <c r="AA197" s="231">
        <v>0</v>
      </c>
      <c r="AB197" s="234">
        <v>0</v>
      </c>
      <c r="AC197" s="238">
        <f t="shared" si="9"/>
        <v>0</v>
      </c>
      <c r="AD197" s="238"/>
      <c r="AE197" s="238"/>
    </row>
    <row r="198" spans="2:31" x14ac:dyDescent="0.3">
      <c r="B198" s="245" t="s">
        <v>59</v>
      </c>
      <c r="C198" s="245"/>
      <c r="D198" s="245"/>
      <c r="E198" s="231">
        <v>0</v>
      </c>
      <c r="F198" s="234">
        <v>0</v>
      </c>
      <c r="G198" s="231">
        <v>0</v>
      </c>
      <c r="H198" s="234">
        <v>0</v>
      </c>
      <c r="I198" s="231">
        <v>0</v>
      </c>
      <c r="J198" s="234">
        <v>0</v>
      </c>
      <c r="K198" s="231">
        <v>0</v>
      </c>
      <c r="L198" s="234">
        <v>0</v>
      </c>
      <c r="M198" s="231">
        <v>0</v>
      </c>
      <c r="N198" s="234">
        <v>0</v>
      </c>
      <c r="O198" s="231">
        <v>0</v>
      </c>
      <c r="P198" s="234">
        <v>0</v>
      </c>
      <c r="Q198" s="231">
        <v>0</v>
      </c>
      <c r="R198" s="234">
        <v>14.069333333333331</v>
      </c>
      <c r="S198" s="231">
        <v>17.139499999999998</v>
      </c>
      <c r="T198" s="234">
        <v>19.03416666666666</v>
      </c>
      <c r="U198" s="231">
        <v>19.082333333333327</v>
      </c>
      <c r="V198" s="234">
        <v>21.813166666666667</v>
      </c>
      <c r="W198" s="231">
        <v>31.955000000000016</v>
      </c>
      <c r="X198" s="234">
        <v>0.30716666666666664</v>
      </c>
      <c r="Y198" s="231">
        <v>0</v>
      </c>
      <c r="Z198" s="234">
        <v>0</v>
      </c>
      <c r="AA198" s="231">
        <v>0</v>
      </c>
      <c r="AB198" s="234">
        <v>0</v>
      </c>
      <c r="AC198" s="238">
        <f t="shared" si="9"/>
        <v>123.40066666666667</v>
      </c>
      <c r="AD198" s="238"/>
      <c r="AE198" s="238"/>
    </row>
    <row r="199" spans="2:31" x14ac:dyDescent="0.3">
      <c r="B199" s="245" t="s">
        <v>60</v>
      </c>
      <c r="C199" s="245"/>
      <c r="D199" s="245"/>
      <c r="E199" s="231">
        <v>0</v>
      </c>
      <c r="F199" s="234">
        <v>0</v>
      </c>
      <c r="G199" s="231">
        <v>0</v>
      </c>
      <c r="H199" s="234">
        <v>0</v>
      </c>
      <c r="I199" s="231">
        <v>0</v>
      </c>
      <c r="J199" s="234">
        <v>0</v>
      </c>
      <c r="K199" s="231">
        <v>0</v>
      </c>
      <c r="L199" s="234">
        <v>0</v>
      </c>
      <c r="M199" s="231">
        <v>0</v>
      </c>
      <c r="N199" s="234">
        <v>0</v>
      </c>
      <c r="O199" s="231">
        <v>0</v>
      </c>
      <c r="P199" s="234">
        <v>0</v>
      </c>
      <c r="Q199" s="231">
        <v>0</v>
      </c>
      <c r="R199" s="234">
        <v>0</v>
      </c>
      <c r="S199" s="231">
        <v>0.25866666666666743</v>
      </c>
      <c r="T199" s="234">
        <v>0.70333333333333614</v>
      </c>
      <c r="U199" s="231">
        <v>1.4914999999999974</v>
      </c>
      <c r="V199" s="234">
        <v>0.23666666666666647</v>
      </c>
      <c r="W199" s="231">
        <v>19.154333333333337</v>
      </c>
      <c r="X199" s="234">
        <v>0.20166666666666663</v>
      </c>
      <c r="Y199" s="231">
        <v>0</v>
      </c>
      <c r="Z199" s="234">
        <v>0</v>
      </c>
      <c r="AA199" s="231">
        <v>0</v>
      </c>
      <c r="AB199" s="234">
        <v>0</v>
      </c>
      <c r="AC199" s="238">
        <f t="shared" si="9"/>
        <v>22.046166666666672</v>
      </c>
      <c r="AD199" s="238"/>
      <c r="AE199" s="238"/>
    </row>
    <row r="200" spans="2:31" x14ac:dyDescent="0.3">
      <c r="B200" s="245" t="s">
        <v>61</v>
      </c>
      <c r="C200" s="245"/>
      <c r="D200" s="245"/>
      <c r="E200" s="231">
        <v>0</v>
      </c>
      <c r="F200" s="234">
        <v>0</v>
      </c>
      <c r="G200" s="231">
        <v>0</v>
      </c>
      <c r="H200" s="234">
        <v>0</v>
      </c>
      <c r="I200" s="231">
        <v>0</v>
      </c>
      <c r="J200" s="234">
        <v>0</v>
      </c>
      <c r="K200" s="231">
        <v>0</v>
      </c>
      <c r="L200" s="234">
        <v>0</v>
      </c>
      <c r="M200" s="231">
        <v>0</v>
      </c>
      <c r="N200" s="234">
        <v>0</v>
      </c>
      <c r="O200" s="231">
        <v>0</v>
      </c>
      <c r="P200" s="234">
        <v>0</v>
      </c>
      <c r="Q200" s="231">
        <v>0</v>
      </c>
      <c r="R200" s="234">
        <v>0</v>
      </c>
      <c r="S200" s="231">
        <v>0</v>
      </c>
      <c r="T200" s="234">
        <v>0</v>
      </c>
      <c r="U200" s="231">
        <v>0</v>
      </c>
      <c r="V200" s="234">
        <v>0.95849999999999935</v>
      </c>
      <c r="W200" s="231">
        <v>32.115333333333332</v>
      </c>
      <c r="X200" s="234">
        <v>0.20983333333333334</v>
      </c>
      <c r="Y200" s="231">
        <v>0</v>
      </c>
      <c r="Z200" s="234">
        <v>0</v>
      </c>
      <c r="AA200" s="231">
        <v>0</v>
      </c>
      <c r="AB200" s="234">
        <v>0</v>
      </c>
      <c r="AC200" s="238">
        <f t="shared" si="9"/>
        <v>33.283666666666669</v>
      </c>
      <c r="AD200" s="238"/>
      <c r="AE200" s="238"/>
    </row>
    <row r="201" spans="2:31" x14ac:dyDescent="0.3">
      <c r="B201" s="245" t="s">
        <v>62</v>
      </c>
      <c r="C201" s="245"/>
      <c r="D201" s="245"/>
      <c r="E201" s="231">
        <v>0</v>
      </c>
      <c r="F201" s="234">
        <v>0</v>
      </c>
      <c r="G201" s="231">
        <v>0</v>
      </c>
      <c r="H201" s="234">
        <v>0</v>
      </c>
      <c r="I201" s="231">
        <v>0</v>
      </c>
      <c r="J201" s="234">
        <v>0</v>
      </c>
      <c r="K201" s="231">
        <v>0</v>
      </c>
      <c r="L201" s="234">
        <v>0</v>
      </c>
      <c r="M201" s="231">
        <v>0</v>
      </c>
      <c r="N201" s="234">
        <v>0</v>
      </c>
      <c r="O201" s="231">
        <v>0</v>
      </c>
      <c r="P201" s="234">
        <v>0</v>
      </c>
      <c r="Q201" s="231">
        <v>0</v>
      </c>
      <c r="R201" s="234">
        <v>0</v>
      </c>
      <c r="S201" s="231">
        <v>1.1263333333333341</v>
      </c>
      <c r="T201" s="234">
        <v>4.3159999999999989</v>
      </c>
      <c r="U201" s="231">
        <v>4.2339999999999964</v>
      </c>
      <c r="V201" s="234">
        <v>2.5916666666666672</v>
      </c>
      <c r="W201" s="231">
        <v>15.943166666666666</v>
      </c>
      <c r="X201" s="234">
        <v>0.23566666666666666</v>
      </c>
      <c r="Y201" s="231">
        <v>0</v>
      </c>
      <c r="Z201" s="234">
        <v>0</v>
      </c>
      <c r="AA201" s="231">
        <v>0</v>
      </c>
      <c r="AB201" s="234">
        <v>0</v>
      </c>
      <c r="AC201" s="238">
        <f t="shared" si="9"/>
        <v>28.446833333333331</v>
      </c>
      <c r="AD201" s="238"/>
      <c r="AE201" s="238"/>
    </row>
    <row r="202" spans="2:31" x14ac:dyDescent="0.3">
      <c r="B202" s="245" t="s">
        <v>63</v>
      </c>
      <c r="C202" s="245"/>
      <c r="D202" s="245"/>
      <c r="E202" s="231">
        <v>0</v>
      </c>
      <c r="F202" s="234">
        <v>0</v>
      </c>
      <c r="G202" s="231">
        <v>0</v>
      </c>
      <c r="H202" s="234">
        <v>0</v>
      </c>
      <c r="I202" s="231">
        <v>0</v>
      </c>
      <c r="J202" s="234">
        <v>0</v>
      </c>
      <c r="K202" s="231">
        <v>0</v>
      </c>
      <c r="L202" s="234">
        <v>0</v>
      </c>
      <c r="M202" s="231">
        <v>0</v>
      </c>
      <c r="N202" s="234">
        <v>0</v>
      </c>
      <c r="O202" s="231">
        <v>0</v>
      </c>
      <c r="P202" s="234">
        <v>0</v>
      </c>
      <c r="Q202" s="231">
        <v>0</v>
      </c>
      <c r="R202" s="234">
        <v>0</v>
      </c>
      <c r="S202" s="231">
        <v>5.5193333333333312</v>
      </c>
      <c r="T202" s="234">
        <v>20.291833333333319</v>
      </c>
      <c r="U202" s="231">
        <v>20.248833333333319</v>
      </c>
      <c r="V202" s="234">
        <v>16.875000000000011</v>
      </c>
      <c r="W202" s="231">
        <v>79.767166666666654</v>
      </c>
      <c r="X202" s="234">
        <v>1.0981666666666667</v>
      </c>
      <c r="Y202" s="231">
        <v>0</v>
      </c>
      <c r="Z202" s="234">
        <v>0</v>
      </c>
      <c r="AA202" s="231">
        <v>0</v>
      </c>
      <c r="AB202" s="234">
        <v>0</v>
      </c>
      <c r="AC202" s="238">
        <f t="shared" si="9"/>
        <v>143.8003333333333</v>
      </c>
      <c r="AD202" s="238"/>
      <c r="AE202" s="238"/>
    </row>
    <row r="203" spans="2:31" x14ac:dyDescent="0.3">
      <c r="B203" s="245" t="s">
        <v>64</v>
      </c>
      <c r="C203" s="245"/>
      <c r="D203" s="245"/>
      <c r="E203" s="231">
        <v>0</v>
      </c>
      <c r="F203" s="234">
        <v>0</v>
      </c>
      <c r="G203" s="231">
        <v>0</v>
      </c>
      <c r="H203" s="234">
        <v>0</v>
      </c>
      <c r="I203" s="231">
        <v>0</v>
      </c>
      <c r="J203" s="234">
        <v>0</v>
      </c>
      <c r="K203" s="231">
        <v>0</v>
      </c>
      <c r="L203" s="234">
        <v>0</v>
      </c>
      <c r="M203" s="231">
        <v>0</v>
      </c>
      <c r="N203" s="234">
        <v>0</v>
      </c>
      <c r="O203" s="231">
        <v>0</v>
      </c>
      <c r="P203" s="234">
        <v>0</v>
      </c>
      <c r="Q203" s="231">
        <v>0</v>
      </c>
      <c r="R203" s="234">
        <v>0.97266666666666346</v>
      </c>
      <c r="S203" s="231">
        <v>3.0871666666666631</v>
      </c>
      <c r="T203" s="234">
        <v>8.0694999999999979</v>
      </c>
      <c r="U203" s="231">
        <v>7.7244999999999981</v>
      </c>
      <c r="V203" s="234">
        <v>7.9171666666666676</v>
      </c>
      <c r="W203" s="231">
        <v>22.772166666666671</v>
      </c>
      <c r="X203" s="234">
        <v>0.16516666666666666</v>
      </c>
      <c r="Y203" s="231">
        <v>0</v>
      </c>
      <c r="Z203" s="234">
        <v>0</v>
      </c>
      <c r="AA203" s="231">
        <v>0</v>
      </c>
      <c r="AB203" s="234">
        <v>0</v>
      </c>
      <c r="AC203" s="238">
        <f t="shared" si="9"/>
        <v>50.708333333333329</v>
      </c>
      <c r="AD203" s="238"/>
      <c r="AE203" s="238"/>
    </row>
    <row r="204" spans="2:31" x14ac:dyDescent="0.3">
      <c r="B204" s="245" t="s">
        <v>96</v>
      </c>
      <c r="C204" s="245"/>
      <c r="D204" s="245"/>
      <c r="E204" s="231">
        <v>0</v>
      </c>
      <c r="F204" s="234">
        <v>0</v>
      </c>
      <c r="G204" s="231">
        <v>0</v>
      </c>
      <c r="H204" s="234">
        <v>0</v>
      </c>
      <c r="I204" s="231">
        <v>0</v>
      </c>
      <c r="J204" s="234">
        <v>0</v>
      </c>
      <c r="K204" s="231">
        <v>0</v>
      </c>
      <c r="L204" s="234">
        <v>0</v>
      </c>
      <c r="M204" s="231">
        <v>0</v>
      </c>
      <c r="N204" s="234">
        <v>0</v>
      </c>
      <c r="O204" s="231">
        <v>0</v>
      </c>
      <c r="P204" s="234">
        <v>0</v>
      </c>
      <c r="Q204" s="231">
        <v>0</v>
      </c>
      <c r="R204" s="234">
        <v>0</v>
      </c>
      <c r="S204" s="231">
        <v>0</v>
      </c>
      <c r="T204" s="234">
        <v>0</v>
      </c>
      <c r="U204" s="231">
        <v>0</v>
      </c>
      <c r="V204" s="234">
        <v>0</v>
      </c>
      <c r="W204" s="231">
        <v>0</v>
      </c>
      <c r="X204" s="234">
        <v>0</v>
      </c>
      <c r="Y204" s="231">
        <v>0</v>
      </c>
      <c r="Z204" s="234">
        <v>0</v>
      </c>
      <c r="AA204" s="231">
        <v>0</v>
      </c>
      <c r="AB204" s="234">
        <v>0</v>
      </c>
      <c r="AC204" s="238">
        <f t="shared" si="9"/>
        <v>0</v>
      </c>
      <c r="AD204" s="238"/>
      <c r="AE204" s="238"/>
    </row>
    <row r="205" spans="2:31" x14ac:dyDescent="0.3">
      <c r="B205" s="245" t="s">
        <v>65</v>
      </c>
      <c r="C205" s="245"/>
      <c r="D205" s="245"/>
      <c r="E205" s="231">
        <v>0</v>
      </c>
      <c r="F205" s="234">
        <v>0</v>
      </c>
      <c r="G205" s="231">
        <v>0</v>
      </c>
      <c r="H205" s="234">
        <v>0</v>
      </c>
      <c r="I205" s="231">
        <v>0</v>
      </c>
      <c r="J205" s="234">
        <v>0</v>
      </c>
      <c r="K205" s="231">
        <v>0</v>
      </c>
      <c r="L205" s="234">
        <v>0</v>
      </c>
      <c r="M205" s="231">
        <v>0</v>
      </c>
      <c r="N205" s="234">
        <v>0</v>
      </c>
      <c r="O205" s="231">
        <v>0</v>
      </c>
      <c r="P205" s="234">
        <v>0</v>
      </c>
      <c r="Q205" s="231">
        <v>0</v>
      </c>
      <c r="R205" s="234">
        <v>0.4888333333333339</v>
      </c>
      <c r="S205" s="231">
        <v>1.7033333333333303</v>
      </c>
      <c r="T205" s="234">
        <v>3.9791666666666665</v>
      </c>
      <c r="U205" s="231">
        <v>3.691166666666668</v>
      </c>
      <c r="V205" s="234">
        <v>6.2208333333333323</v>
      </c>
      <c r="W205" s="231">
        <v>15.473333333333334</v>
      </c>
      <c r="X205" s="234">
        <v>0.18833333333333335</v>
      </c>
      <c r="Y205" s="231">
        <v>0</v>
      </c>
      <c r="Z205" s="234">
        <v>0</v>
      </c>
      <c r="AA205" s="231">
        <v>0</v>
      </c>
      <c r="AB205" s="234">
        <v>0</v>
      </c>
      <c r="AC205" s="238">
        <f t="shared" si="9"/>
        <v>31.744999999999997</v>
      </c>
      <c r="AD205" s="238"/>
      <c r="AE205" s="238"/>
    </row>
    <row r="206" spans="2:31" x14ac:dyDescent="0.3">
      <c r="B206" s="245" t="s">
        <v>66</v>
      </c>
      <c r="C206" s="245"/>
      <c r="D206" s="245"/>
      <c r="E206" s="231">
        <v>0</v>
      </c>
      <c r="F206" s="234">
        <v>0</v>
      </c>
      <c r="G206" s="231">
        <v>0</v>
      </c>
      <c r="H206" s="234">
        <v>0</v>
      </c>
      <c r="I206" s="231">
        <v>0</v>
      </c>
      <c r="J206" s="234">
        <v>0</v>
      </c>
      <c r="K206" s="231">
        <v>0</v>
      </c>
      <c r="L206" s="234">
        <v>0</v>
      </c>
      <c r="M206" s="231">
        <v>0</v>
      </c>
      <c r="N206" s="234">
        <v>0</v>
      </c>
      <c r="O206" s="231">
        <v>0</v>
      </c>
      <c r="P206" s="234">
        <v>0</v>
      </c>
      <c r="Q206" s="231">
        <v>0</v>
      </c>
      <c r="R206" s="234">
        <v>5.9078333333333291</v>
      </c>
      <c r="S206" s="231">
        <v>7.3868333333333362</v>
      </c>
      <c r="T206" s="234">
        <v>12.020833333333336</v>
      </c>
      <c r="U206" s="231">
        <v>11.661166666666666</v>
      </c>
      <c r="V206" s="234">
        <v>9.6035000000000004</v>
      </c>
      <c r="W206" s="231">
        <v>18.6995</v>
      </c>
      <c r="X206" s="234">
        <v>0.28450000000000003</v>
      </c>
      <c r="Y206" s="231">
        <v>0</v>
      </c>
      <c r="Z206" s="234">
        <v>0</v>
      </c>
      <c r="AA206" s="231">
        <v>0</v>
      </c>
      <c r="AB206" s="234">
        <v>0</v>
      </c>
      <c r="AC206" s="238">
        <f>SUM(E206:AB206)</f>
        <v>65.564166666666665</v>
      </c>
      <c r="AD206" s="238"/>
      <c r="AE206" s="238"/>
    </row>
    <row r="207" spans="2:31" x14ac:dyDescent="0.3">
      <c r="B207" s="245" t="s">
        <v>67</v>
      </c>
      <c r="C207" s="245"/>
      <c r="D207" s="245"/>
      <c r="E207" s="231">
        <v>0</v>
      </c>
      <c r="F207" s="234">
        <v>0</v>
      </c>
      <c r="G207" s="231">
        <v>0</v>
      </c>
      <c r="H207" s="234">
        <v>0</v>
      </c>
      <c r="I207" s="231">
        <v>0</v>
      </c>
      <c r="J207" s="234">
        <v>0</v>
      </c>
      <c r="K207" s="231">
        <v>0</v>
      </c>
      <c r="L207" s="234">
        <v>0</v>
      </c>
      <c r="M207" s="231">
        <v>0</v>
      </c>
      <c r="N207" s="234">
        <v>0</v>
      </c>
      <c r="O207" s="231">
        <v>0</v>
      </c>
      <c r="P207" s="234">
        <v>0</v>
      </c>
      <c r="Q207" s="231">
        <v>0</v>
      </c>
      <c r="R207" s="234">
        <v>0</v>
      </c>
      <c r="S207" s="231">
        <v>0.69649999999999923</v>
      </c>
      <c r="T207" s="234">
        <v>3.1386666666666656</v>
      </c>
      <c r="U207" s="231">
        <v>6.1596666666666673</v>
      </c>
      <c r="V207" s="234">
        <v>9.5885000000000016</v>
      </c>
      <c r="W207" s="231">
        <v>10.414666666666665</v>
      </c>
      <c r="X207" s="234">
        <v>7.2999999999999995E-2</v>
      </c>
      <c r="Y207" s="231">
        <v>0</v>
      </c>
      <c r="Z207" s="234">
        <v>0</v>
      </c>
      <c r="AA207" s="231">
        <v>0</v>
      </c>
      <c r="AB207" s="234">
        <v>0</v>
      </c>
      <c r="AC207" s="238">
        <f t="shared" ref="AC207:AC221" si="10">SUM(E207:AB207)</f>
        <v>30.071000000000002</v>
      </c>
      <c r="AD207" s="238"/>
      <c r="AE207" s="238"/>
    </row>
    <row r="208" spans="2:31" x14ac:dyDescent="0.3">
      <c r="B208" s="245" t="s">
        <v>68</v>
      </c>
      <c r="C208" s="245"/>
      <c r="D208" s="245"/>
      <c r="E208" s="231">
        <v>0</v>
      </c>
      <c r="F208" s="234">
        <v>0</v>
      </c>
      <c r="G208" s="231">
        <v>0</v>
      </c>
      <c r="H208" s="234">
        <v>0</v>
      </c>
      <c r="I208" s="231">
        <v>0</v>
      </c>
      <c r="J208" s="234">
        <v>0</v>
      </c>
      <c r="K208" s="231">
        <v>0</v>
      </c>
      <c r="L208" s="234">
        <v>0</v>
      </c>
      <c r="M208" s="231">
        <v>0</v>
      </c>
      <c r="N208" s="234">
        <v>0</v>
      </c>
      <c r="O208" s="231">
        <v>0</v>
      </c>
      <c r="P208" s="234">
        <v>0</v>
      </c>
      <c r="Q208" s="231">
        <v>0</v>
      </c>
      <c r="R208" s="234">
        <v>1.1491666666666669</v>
      </c>
      <c r="S208" s="231">
        <v>5.8303333333333311</v>
      </c>
      <c r="T208" s="234">
        <v>8.7183333333333319</v>
      </c>
      <c r="U208" s="231">
        <v>10.86616666666667</v>
      </c>
      <c r="V208" s="234">
        <v>11.934166666666668</v>
      </c>
      <c r="W208" s="231">
        <v>12.959833333333332</v>
      </c>
      <c r="X208" s="234">
        <v>0.10800000000000001</v>
      </c>
      <c r="Y208" s="231">
        <v>0</v>
      </c>
      <c r="Z208" s="234">
        <v>0</v>
      </c>
      <c r="AA208" s="231">
        <v>0</v>
      </c>
      <c r="AB208" s="234">
        <v>0</v>
      </c>
      <c r="AC208" s="238">
        <f t="shared" si="10"/>
        <v>51.565999999999995</v>
      </c>
      <c r="AD208" s="238"/>
      <c r="AE208" s="238"/>
    </row>
    <row r="209" spans="2:31" x14ac:dyDescent="0.3">
      <c r="B209" s="245" t="s">
        <v>69</v>
      </c>
      <c r="C209" s="245"/>
      <c r="D209" s="245"/>
      <c r="E209" s="231">
        <v>0</v>
      </c>
      <c r="F209" s="234">
        <v>0</v>
      </c>
      <c r="G209" s="231">
        <v>0</v>
      </c>
      <c r="H209" s="234">
        <v>0</v>
      </c>
      <c r="I209" s="231">
        <v>0</v>
      </c>
      <c r="J209" s="234">
        <v>0</v>
      </c>
      <c r="K209" s="231">
        <v>0</v>
      </c>
      <c r="L209" s="234">
        <v>0</v>
      </c>
      <c r="M209" s="231">
        <v>0</v>
      </c>
      <c r="N209" s="234">
        <v>0</v>
      </c>
      <c r="O209" s="231">
        <v>0</v>
      </c>
      <c r="P209" s="234">
        <v>0</v>
      </c>
      <c r="Q209" s="231">
        <v>0</v>
      </c>
      <c r="R209" s="234">
        <v>4.8353333333333319</v>
      </c>
      <c r="S209" s="231">
        <v>7.2511666666666681</v>
      </c>
      <c r="T209" s="234">
        <v>15.015500000000001</v>
      </c>
      <c r="U209" s="231">
        <v>13.299499999999998</v>
      </c>
      <c r="V209" s="234">
        <v>14.656333333333325</v>
      </c>
      <c r="W209" s="231">
        <v>33.029000000000003</v>
      </c>
      <c r="X209" s="234">
        <v>0.32533333333333336</v>
      </c>
      <c r="Y209" s="231">
        <v>0</v>
      </c>
      <c r="Z209" s="234">
        <v>0</v>
      </c>
      <c r="AA209" s="231">
        <v>0</v>
      </c>
      <c r="AB209" s="234">
        <v>0</v>
      </c>
      <c r="AC209" s="238">
        <f t="shared" si="10"/>
        <v>88.41216666666665</v>
      </c>
      <c r="AD209" s="238"/>
      <c r="AE209" s="238"/>
    </row>
    <row r="210" spans="2:31" x14ac:dyDescent="0.3">
      <c r="B210" s="245" t="s">
        <v>70</v>
      </c>
      <c r="C210" s="245"/>
      <c r="D210" s="245"/>
      <c r="E210" s="231">
        <v>0</v>
      </c>
      <c r="F210" s="234">
        <v>0</v>
      </c>
      <c r="G210" s="231">
        <v>0</v>
      </c>
      <c r="H210" s="234">
        <v>0</v>
      </c>
      <c r="I210" s="231">
        <v>0</v>
      </c>
      <c r="J210" s="234">
        <v>0</v>
      </c>
      <c r="K210" s="231">
        <v>0</v>
      </c>
      <c r="L210" s="234">
        <v>0</v>
      </c>
      <c r="M210" s="231">
        <v>0</v>
      </c>
      <c r="N210" s="234">
        <v>0</v>
      </c>
      <c r="O210" s="231">
        <v>0</v>
      </c>
      <c r="P210" s="234">
        <v>0</v>
      </c>
      <c r="Q210" s="231">
        <v>0</v>
      </c>
      <c r="R210" s="234">
        <v>12.579999999999997</v>
      </c>
      <c r="S210" s="231">
        <v>1.4658333333333347</v>
      </c>
      <c r="T210" s="234">
        <v>2.5668333333333311</v>
      </c>
      <c r="U210" s="231">
        <v>14.124166666666664</v>
      </c>
      <c r="V210" s="234">
        <v>1.0770000000000006</v>
      </c>
      <c r="W210" s="231">
        <v>25.626333333333339</v>
      </c>
      <c r="X210" s="234">
        <v>0.28716666666666668</v>
      </c>
      <c r="Y210" s="231">
        <v>0</v>
      </c>
      <c r="Z210" s="234">
        <v>0</v>
      </c>
      <c r="AA210" s="231">
        <v>0</v>
      </c>
      <c r="AB210" s="234">
        <v>0</v>
      </c>
      <c r="AC210" s="238">
        <f t="shared" si="10"/>
        <v>57.727333333333334</v>
      </c>
      <c r="AD210" s="238"/>
      <c r="AE210" s="238"/>
    </row>
    <row r="211" spans="2:31" x14ac:dyDescent="0.3">
      <c r="B211" s="245" t="s">
        <v>71</v>
      </c>
      <c r="C211" s="245"/>
      <c r="D211" s="245"/>
      <c r="E211" s="231">
        <v>0</v>
      </c>
      <c r="F211" s="234">
        <v>0</v>
      </c>
      <c r="G211" s="231">
        <v>0</v>
      </c>
      <c r="H211" s="234">
        <v>0</v>
      </c>
      <c r="I211" s="231">
        <v>0</v>
      </c>
      <c r="J211" s="234">
        <v>0</v>
      </c>
      <c r="K211" s="231">
        <v>0</v>
      </c>
      <c r="L211" s="234">
        <v>0</v>
      </c>
      <c r="M211" s="231">
        <v>0</v>
      </c>
      <c r="N211" s="234">
        <v>0</v>
      </c>
      <c r="O211" s="231">
        <v>0</v>
      </c>
      <c r="P211" s="234">
        <v>0</v>
      </c>
      <c r="Q211" s="231">
        <v>0</v>
      </c>
      <c r="R211" s="234">
        <v>0</v>
      </c>
      <c r="S211" s="231">
        <v>1.1221666666666681</v>
      </c>
      <c r="T211" s="234">
        <v>5.659833333333335</v>
      </c>
      <c r="U211" s="231">
        <v>3.6493333333333289</v>
      </c>
      <c r="V211" s="234">
        <v>17.468833333333336</v>
      </c>
      <c r="W211" s="231">
        <v>21.940833333333334</v>
      </c>
      <c r="X211" s="234">
        <v>0.32949999999999996</v>
      </c>
      <c r="Y211" s="231">
        <v>0</v>
      </c>
      <c r="Z211" s="234">
        <v>0</v>
      </c>
      <c r="AA211" s="231">
        <v>0</v>
      </c>
      <c r="AB211" s="234">
        <v>0</v>
      </c>
      <c r="AC211" s="238">
        <f t="shared" si="10"/>
        <v>50.170500000000011</v>
      </c>
      <c r="AD211" s="238"/>
      <c r="AE211" s="238"/>
    </row>
    <row r="212" spans="2:31" x14ac:dyDescent="0.3">
      <c r="B212" s="245" t="s">
        <v>72</v>
      </c>
      <c r="C212" s="245"/>
      <c r="D212" s="245"/>
      <c r="E212" s="231">
        <v>0</v>
      </c>
      <c r="F212" s="234">
        <v>0</v>
      </c>
      <c r="G212" s="231">
        <v>0</v>
      </c>
      <c r="H212" s="234">
        <v>0</v>
      </c>
      <c r="I212" s="231">
        <v>0</v>
      </c>
      <c r="J212" s="234">
        <v>0</v>
      </c>
      <c r="K212" s="231">
        <v>0</v>
      </c>
      <c r="L212" s="234">
        <v>0</v>
      </c>
      <c r="M212" s="231">
        <v>0</v>
      </c>
      <c r="N212" s="234">
        <v>0</v>
      </c>
      <c r="O212" s="231">
        <v>0</v>
      </c>
      <c r="P212" s="234">
        <v>0</v>
      </c>
      <c r="Q212" s="231">
        <v>0</v>
      </c>
      <c r="R212" s="234">
        <v>0.84266666666666623</v>
      </c>
      <c r="S212" s="231">
        <v>2.7221666666666664</v>
      </c>
      <c r="T212" s="234">
        <v>8.9288333333333316</v>
      </c>
      <c r="U212" s="231">
        <v>6.6821666666666681</v>
      </c>
      <c r="V212" s="234">
        <v>5.6645000000000012</v>
      </c>
      <c r="W212" s="231">
        <v>15.77766666666667</v>
      </c>
      <c r="X212" s="234">
        <v>0.158</v>
      </c>
      <c r="Y212" s="231">
        <v>0</v>
      </c>
      <c r="Z212" s="234">
        <v>0</v>
      </c>
      <c r="AA212" s="231">
        <v>0</v>
      </c>
      <c r="AB212" s="234">
        <v>0</v>
      </c>
      <c r="AC212" s="238">
        <f t="shared" si="10"/>
        <v>40.776000000000003</v>
      </c>
      <c r="AD212" s="238"/>
      <c r="AE212" s="238"/>
    </row>
    <row r="213" spans="2:31" x14ac:dyDescent="0.3">
      <c r="B213" s="245" t="s">
        <v>73</v>
      </c>
      <c r="C213" s="245"/>
      <c r="D213" s="245"/>
      <c r="E213" s="231">
        <v>0</v>
      </c>
      <c r="F213" s="234">
        <v>0</v>
      </c>
      <c r="G213" s="231">
        <v>0</v>
      </c>
      <c r="H213" s="234">
        <v>0</v>
      </c>
      <c r="I213" s="231">
        <v>0</v>
      </c>
      <c r="J213" s="234">
        <v>0</v>
      </c>
      <c r="K213" s="231">
        <v>0</v>
      </c>
      <c r="L213" s="234">
        <v>0</v>
      </c>
      <c r="M213" s="231">
        <v>0</v>
      </c>
      <c r="N213" s="234">
        <v>0</v>
      </c>
      <c r="O213" s="231">
        <v>0</v>
      </c>
      <c r="P213" s="234">
        <v>0</v>
      </c>
      <c r="Q213" s="231">
        <v>0</v>
      </c>
      <c r="R213" s="234">
        <v>3.7833333333333975E-2</v>
      </c>
      <c r="S213" s="231">
        <v>1.4166666666666572E-2</v>
      </c>
      <c r="T213" s="234">
        <v>2.5333333333333978E-2</v>
      </c>
      <c r="U213" s="231">
        <v>1.1698333333333337</v>
      </c>
      <c r="V213" s="234">
        <v>18.018166666666669</v>
      </c>
      <c r="W213" s="231">
        <v>66.938000000000002</v>
      </c>
      <c r="X213" s="234">
        <v>1.0250000000000001</v>
      </c>
      <c r="Y213" s="231">
        <v>0</v>
      </c>
      <c r="Z213" s="234">
        <v>0</v>
      </c>
      <c r="AA213" s="231">
        <v>0</v>
      </c>
      <c r="AB213" s="234">
        <v>0</v>
      </c>
      <c r="AC213" s="238">
        <f t="shared" si="10"/>
        <v>87.228333333333353</v>
      </c>
      <c r="AD213" s="238"/>
      <c r="AE213" s="238"/>
    </row>
    <row r="214" spans="2:31" x14ac:dyDescent="0.3">
      <c r="B214" s="245" t="s">
        <v>74</v>
      </c>
      <c r="C214" s="245"/>
      <c r="D214" s="245"/>
      <c r="E214" s="231">
        <v>0</v>
      </c>
      <c r="F214" s="234">
        <v>0</v>
      </c>
      <c r="G214" s="231">
        <v>0</v>
      </c>
      <c r="H214" s="234">
        <v>0</v>
      </c>
      <c r="I214" s="231">
        <v>0</v>
      </c>
      <c r="J214" s="234">
        <v>0</v>
      </c>
      <c r="K214" s="231">
        <v>0</v>
      </c>
      <c r="L214" s="234">
        <v>0</v>
      </c>
      <c r="M214" s="231">
        <v>0</v>
      </c>
      <c r="N214" s="234">
        <v>0</v>
      </c>
      <c r="O214" s="231">
        <v>0</v>
      </c>
      <c r="P214" s="234">
        <v>0</v>
      </c>
      <c r="Q214" s="231">
        <v>0</v>
      </c>
      <c r="R214" s="234">
        <v>0</v>
      </c>
      <c r="S214" s="231">
        <v>2.2674999999999996</v>
      </c>
      <c r="T214" s="234">
        <v>5.9411666666666703</v>
      </c>
      <c r="U214" s="231">
        <v>6.993333333333335</v>
      </c>
      <c r="V214" s="234">
        <v>7.6964999999999995</v>
      </c>
      <c r="W214" s="231">
        <v>7.5696666666666674</v>
      </c>
      <c r="X214" s="234">
        <v>6.6666666666666666E-2</v>
      </c>
      <c r="Y214" s="231">
        <v>0</v>
      </c>
      <c r="Z214" s="234">
        <v>0</v>
      </c>
      <c r="AA214" s="231">
        <v>0</v>
      </c>
      <c r="AB214" s="234">
        <v>0</v>
      </c>
      <c r="AC214" s="238">
        <f t="shared" si="10"/>
        <v>30.534833333333339</v>
      </c>
      <c r="AD214" s="238"/>
      <c r="AE214" s="238"/>
    </row>
    <row r="215" spans="2:31" x14ac:dyDescent="0.3">
      <c r="B215" s="245" t="s">
        <v>75</v>
      </c>
      <c r="C215" s="245"/>
      <c r="D215" s="245"/>
      <c r="E215" s="231">
        <v>0</v>
      </c>
      <c r="F215" s="234">
        <v>0</v>
      </c>
      <c r="G215" s="231">
        <v>0</v>
      </c>
      <c r="H215" s="234">
        <v>0</v>
      </c>
      <c r="I215" s="231">
        <v>0</v>
      </c>
      <c r="J215" s="234">
        <v>0</v>
      </c>
      <c r="K215" s="231">
        <v>0</v>
      </c>
      <c r="L215" s="234">
        <v>0</v>
      </c>
      <c r="M215" s="231">
        <v>0</v>
      </c>
      <c r="N215" s="234">
        <v>0</v>
      </c>
      <c r="O215" s="231">
        <v>0</v>
      </c>
      <c r="P215" s="234">
        <v>0</v>
      </c>
      <c r="Q215" s="231">
        <v>0</v>
      </c>
      <c r="R215" s="234">
        <v>0</v>
      </c>
      <c r="S215" s="231">
        <v>9.0924999999999958</v>
      </c>
      <c r="T215" s="234">
        <v>24.662666666666656</v>
      </c>
      <c r="U215" s="231">
        <v>33.492000000000004</v>
      </c>
      <c r="V215" s="234">
        <v>49.449499999999986</v>
      </c>
      <c r="W215" s="231">
        <v>47.291666666666664</v>
      </c>
      <c r="X215" s="234">
        <v>0.20683333333333334</v>
      </c>
      <c r="Y215" s="231">
        <v>0</v>
      </c>
      <c r="Z215" s="234">
        <v>0</v>
      </c>
      <c r="AA215" s="231">
        <v>0</v>
      </c>
      <c r="AB215" s="234">
        <v>0</v>
      </c>
      <c r="AC215" s="238">
        <f t="shared" si="10"/>
        <v>164.19516666666664</v>
      </c>
      <c r="AD215" s="238"/>
      <c r="AE215" s="238"/>
    </row>
    <row r="216" spans="2:31" x14ac:dyDescent="0.3">
      <c r="B216" s="245" t="s">
        <v>76</v>
      </c>
      <c r="C216" s="245"/>
      <c r="D216" s="245"/>
      <c r="E216" s="231">
        <v>0</v>
      </c>
      <c r="F216" s="234">
        <v>0</v>
      </c>
      <c r="G216" s="231">
        <v>0</v>
      </c>
      <c r="H216" s="234">
        <v>0</v>
      </c>
      <c r="I216" s="231">
        <v>0</v>
      </c>
      <c r="J216" s="234">
        <v>0</v>
      </c>
      <c r="K216" s="231">
        <v>0</v>
      </c>
      <c r="L216" s="234">
        <v>0</v>
      </c>
      <c r="M216" s="231">
        <v>0</v>
      </c>
      <c r="N216" s="234">
        <v>0</v>
      </c>
      <c r="O216" s="231">
        <v>0</v>
      </c>
      <c r="P216" s="234">
        <v>0</v>
      </c>
      <c r="Q216" s="231">
        <v>0</v>
      </c>
      <c r="R216" s="234">
        <v>0</v>
      </c>
      <c r="S216" s="231">
        <v>0</v>
      </c>
      <c r="T216" s="234">
        <v>0</v>
      </c>
      <c r="U216" s="231">
        <v>0</v>
      </c>
      <c r="V216" s="234">
        <v>0</v>
      </c>
      <c r="W216" s="231">
        <v>0</v>
      </c>
      <c r="X216" s="234">
        <v>0</v>
      </c>
      <c r="Y216" s="231">
        <v>0</v>
      </c>
      <c r="Z216" s="234">
        <v>0</v>
      </c>
      <c r="AA216" s="231">
        <v>0</v>
      </c>
      <c r="AB216" s="234">
        <v>0</v>
      </c>
      <c r="AC216" s="238">
        <f t="shared" si="10"/>
        <v>0</v>
      </c>
      <c r="AD216" s="238"/>
      <c r="AE216" s="238"/>
    </row>
    <row r="217" spans="2:31" x14ac:dyDescent="0.3">
      <c r="B217" s="245" t="s">
        <v>77</v>
      </c>
      <c r="C217" s="245"/>
      <c r="D217" s="245"/>
      <c r="E217" s="231">
        <v>0</v>
      </c>
      <c r="F217" s="234">
        <v>0</v>
      </c>
      <c r="G217" s="231">
        <v>0</v>
      </c>
      <c r="H217" s="234">
        <v>0</v>
      </c>
      <c r="I217" s="231">
        <v>0</v>
      </c>
      <c r="J217" s="234">
        <v>0</v>
      </c>
      <c r="K217" s="231">
        <v>0</v>
      </c>
      <c r="L217" s="234">
        <v>0</v>
      </c>
      <c r="M217" s="231">
        <v>0</v>
      </c>
      <c r="N217" s="234">
        <v>0</v>
      </c>
      <c r="O217" s="231">
        <v>0</v>
      </c>
      <c r="P217" s="234">
        <v>0</v>
      </c>
      <c r="Q217" s="231">
        <v>0</v>
      </c>
      <c r="R217" s="234">
        <v>3.6391666666666658</v>
      </c>
      <c r="S217" s="231">
        <v>3.4699999999999989</v>
      </c>
      <c r="T217" s="234">
        <v>2.1333333333333342</v>
      </c>
      <c r="U217" s="231">
        <v>5.6988333333333321</v>
      </c>
      <c r="V217" s="234">
        <v>11.916000000000002</v>
      </c>
      <c r="W217" s="231">
        <v>29.627333333333329</v>
      </c>
      <c r="X217" s="234">
        <v>0.34116666666666667</v>
      </c>
      <c r="Y217" s="231">
        <v>0</v>
      </c>
      <c r="Z217" s="234">
        <v>0</v>
      </c>
      <c r="AA217" s="231">
        <v>0</v>
      </c>
      <c r="AB217" s="234">
        <v>0</v>
      </c>
      <c r="AC217" s="238">
        <f t="shared" si="10"/>
        <v>56.825833333333335</v>
      </c>
      <c r="AD217" s="238"/>
      <c r="AE217" s="238"/>
    </row>
    <row r="218" spans="2:31" x14ac:dyDescent="0.3">
      <c r="B218" s="245" t="s">
        <v>78</v>
      </c>
      <c r="C218" s="245"/>
      <c r="D218" s="245"/>
      <c r="E218" s="231">
        <v>0</v>
      </c>
      <c r="F218" s="234">
        <v>0</v>
      </c>
      <c r="G218" s="231">
        <v>0</v>
      </c>
      <c r="H218" s="234">
        <v>0</v>
      </c>
      <c r="I218" s="231">
        <v>0</v>
      </c>
      <c r="J218" s="234">
        <v>0</v>
      </c>
      <c r="K218" s="231">
        <v>0</v>
      </c>
      <c r="L218" s="234">
        <v>0</v>
      </c>
      <c r="M218" s="231">
        <v>0</v>
      </c>
      <c r="N218" s="234">
        <v>0</v>
      </c>
      <c r="O218" s="231">
        <v>0</v>
      </c>
      <c r="P218" s="234">
        <v>0</v>
      </c>
      <c r="Q218" s="231">
        <v>0</v>
      </c>
      <c r="R218" s="234">
        <v>0</v>
      </c>
      <c r="S218" s="231">
        <v>1.4978333333333338</v>
      </c>
      <c r="T218" s="234">
        <v>4.0981666666666658</v>
      </c>
      <c r="U218" s="231">
        <v>4.9661666666666671</v>
      </c>
      <c r="V218" s="234">
        <v>6.7881666666666689</v>
      </c>
      <c r="W218" s="231">
        <v>5.6514999999999986</v>
      </c>
      <c r="X218" s="234">
        <v>4.1999999999999948</v>
      </c>
      <c r="Y218" s="231">
        <v>1.799999999999998</v>
      </c>
      <c r="Z218" s="234">
        <v>0</v>
      </c>
      <c r="AA218" s="231">
        <v>0</v>
      </c>
      <c r="AB218" s="234">
        <v>0</v>
      </c>
      <c r="AC218" s="238">
        <f t="shared" si="10"/>
        <v>29.001833333333327</v>
      </c>
      <c r="AD218" s="238"/>
      <c r="AE218" s="238"/>
    </row>
    <row r="219" spans="2:31" x14ac:dyDescent="0.3">
      <c r="B219" s="245" t="s">
        <v>79</v>
      </c>
      <c r="C219" s="245"/>
      <c r="D219" s="245"/>
      <c r="E219" s="231">
        <v>0</v>
      </c>
      <c r="F219" s="234">
        <v>0</v>
      </c>
      <c r="G219" s="231">
        <v>0</v>
      </c>
      <c r="H219" s="234">
        <v>0</v>
      </c>
      <c r="I219" s="231">
        <v>0</v>
      </c>
      <c r="J219" s="234">
        <v>0</v>
      </c>
      <c r="K219" s="231">
        <v>0</v>
      </c>
      <c r="L219" s="234">
        <v>0</v>
      </c>
      <c r="M219" s="231">
        <v>0</v>
      </c>
      <c r="N219" s="234">
        <v>0</v>
      </c>
      <c r="O219" s="231">
        <v>0</v>
      </c>
      <c r="P219" s="234">
        <v>0</v>
      </c>
      <c r="Q219" s="231">
        <v>0</v>
      </c>
      <c r="R219" s="234">
        <v>0</v>
      </c>
      <c r="S219" s="231">
        <v>0</v>
      </c>
      <c r="T219" s="234">
        <v>0</v>
      </c>
      <c r="U219" s="231">
        <v>0</v>
      </c>
      <c r="V219" s="234">
        <v>0</v>
      </c>
      <c r="W219" s="231">
        <v>0</v>
      </c>
      <c r="X219" s="234">
        <v>0</v>
      </c>
      <c r="Y219" s="231">
        <v>0</v>
      </c>
      <c r="Z219" s="234">
        <v>0</v>
      </c>
      <c r="AA219" s="231">
        <v>0</v>
      </c>
      <c r="AB219" s="234">
        <v>0</v>
      </c>
      <c r="AC219" s="238">
        <f t="shared" si="10"/>
        <v>0</v>
      </c>
      <c r="AD219" s="238"/>
      <c r="AE219" s="238"/>
    </row>
    <row r="220" spans="2:31" x14ac:dyDescent="0.3">
      <c r="B220" s="245" t="s">
        <v>80</v>
      </c>
      <c r="C220" s="245"/>
      <c r="D220" s="245"/>
      <c r="E220" s="231">
        <v>0</v>
      </c>
      <c r="F220" s="234">
        <v>0</v>
      </c>
      <c r="G220" s="231">
        <v>0</v>
      </c>
      <c r="H220" s="234">
        <v>0</v>
      </c>
      <c r="I220" s="231">
        <v>0</v>
      </c>
      <c r="J220" s="234">
        <v>0</v>
      </c>
      <c r="K220" s="231">
        <v>0</v>
      </c>
      <c r="L220" s="234">
        <v>0</v>
      </c>
      <c r="M220" s="231">
        <v>0</v>
      </c>
      <c r="N220" s="234">
        <v>0</v>
      </c>
      <c r="O220" s="231">
        <v>0</v>
      </c>
      <c r="P220" s="234">
        <v>0</v>
      </c>
      <c r="Q220" s="231">
        <v>0</v>
      </c>
      <c r="R220" s="234">
        <v>0</v>
      </c>
      <c r="S220" s="231">
        <v>0</v>
      </c>
      <c r="T220" s="234">
        <v>0</v>
      </c>
      <c r="U220" s="231">
        <v>0</v>
      </c>
      <c r="V220" s="234">
        <v>0</v>
      </c>
      <c r="W220" s="231">
        <v>0</v>
      </c>
      <c r="X220" s="234">
        <v>0</v>
      </c>
      <c r="Y220" s="231">
        <v>0</v>
      </c>
      <c r="Z220" s="234">
        <v>0</v>
      </c>
      <c r="AA220" s="231">
        <v>0</v>
      </c>
      <c r="AB220" s="234">
        <v>0</v>
      </c>
      <c r="AC220" s="238">
        <f t="shared" si="10"/>
        <v>0</v>
      </c>
      <c r="AD220" s="238"/>
      <c r="AE220" s="238"/>
    </row>
    <row r="221" spans="2:31" x14ac:dyDescent="0.3">
      <c r="B221" s="245" t="s">
        <v>93</v>
      </c>
      <c r="C221" s="245"/>
      <c r="D221" s="245"/>
      <c r="E221" s="231">
        <v>0</v>
      </c>
      <c r="F221" s="234">
        <v>0</v>
      </c>
      <c r="G221" s="231">
        <v>0</v>
      </c>
      <c r="H221" s="234">
        <v>0</v>
      </c>
      <c r="I221" s="231">
        <v>0</v>
      </c>
      <c r="J221" s="234">
        <v>0</v>
      </c>
      <c r="K221" s="231">
        <v>0</v>
      </c>
      <c r="L221" s="234">
        <v>0</v>
      </c>
      <c r="M221" s="231">
        <v>0</v>
      </c>
      <c r="N221" s="234">
        <v>0</v>
      </c>
      <c r="O221" s="231">
        <v>0</v>
      </c>
      <c r="P221" s="234">
        <v>0</v>
      </c>
      <c r="Q221" s="231">
        <v>2.6635000000000022</v>
      </c>
      <c r="R221" s="234">
        <v>3.8700000000000041</v>
      </c>
      <c r="S221" s="231">
        <v>3.8635000000000073</v>
      </c>
      <c r="T221" s="234">
        <v>3.8600000000000061</v>
      </c>
      <c r="U221" s="231">
        <v>3.8600000000000061</v>
      </c>
      <c r="V221" s="234">
        <v>3.1446666666666645</v>
      </c>
      <c r="W221" s="231">
        <v>2.0210000000000004</v>
      </c>
      <c r="X221" s="234">
        <v>1.4699999999999986</v>
      </c>
      <c r="Y221" s="231">
        <v>0</v>
      </c>
      <c r="Z221" s="234">
        <v>0</v>
      </c>
      <c r="AA221" s="231">
        <v>0</v>
      </c>
      <c r="AB221" s="234">
        <v>0</v>
      </c>
      <c r="AC221" s="238">
        <f t="shared" si="10"/>
        <v>24.752666666666691</v>
      </c>
      <c r="AD221" s="238"/>
      <c r="AE221" s="238"/>
    </row>
    <row r="222" spans="2:31" x14ac:dyDescent="0.3">
      <c r="B222" s="14" t="s">
        <v>2</v>
      </c>
      <c r="C222" s="14"/>
      <c r="D222" s="14"/>
      <c r="E222" s="15">
        <f t="shared" ref="E222:AB222" si="11">SUM(E173:E221)</f>
        <v>0</v>
      </c>
      <c r="F222" s="15">
        <f t="shared" si="11"/>
        <v>0</v>
      </c>
      <c r="G222" s="15">
        <f t="shared" si="11"/>
        <v>0</v>
      </c>
      <c r="H222" s="15">
        <f t="shared" si="11"/>
        <v>0</v>
      </c>
      <c r="I222" s="15">
        <f t="shared" si="11"/>
        <v>0</v>
      </c>
      <c r="J222" s="15">
        <f t="shared" si="11"/>
        <v>0</v>
      </c>
      <c r="K222" s="15">
        <f t="shared" si="11"/>
        <v>0</v>
      </c>
      <c r="L222" s="15">
        <f t="shared" si="11"/>
        <v>0</v>
      </c>
      <c r="M222" s="15">
        <f t="shared" si="11"/>
        <v>0</v>
      </c>
      <c r="N222" s="15">
        <f t="shared" si="11"/>
        <v>0.10466666666666669</v>
      </c>
      <c r="O222" s="15">
        <f t="shared" si="11"/>
        <v>0</v>
      </c>
      <c r="P222" s="15">
        <f t="shared" si="11"/>
        <v>0.6348333333333358</v>
      </c>
      <c r="Q222" s="15">
        <f t="shared" si="11"/>
        <v>49.152833333333312</v>
      </c>
      <c r="R222" s="15">
        <f t="shared" si="11"/>
        <v>156.58066666666667</v>
      </c>
      <c r="S222" s="15">
        <f t="shared" si="11"/>
        <v>213.61449999999996</v>
      </c>
      <c r="T222" s="15">
        <f t="shared" si="11"/>
        <v>304.07616666666661</v>
      </c>
      <c r="U222" s="15">
        <f t="shared" si="11"/>
        <v>371.38666666666671</v>
      </c>
      <c r="V222" s="15">
        <f t="shared" si="11"/>
        <v>434.59016666666668</v>
      </c>
      <c r="W222" s="15">
        <f t="shared" si="11"/>
        <v>944.18533333333312</v>
      </c>
      <c r="X222" s="15">
        <f t="shared" si="11"/>
        <v>40.359666666666669</v>
      </c>
      <c r="Y222" s="15">
        <f t="shared" si="11"/>
        <v>1.799999999999998</v>
      </c>
      <c r="Z222" s="15">
        <f t="shared" si="11"/>
        <v>0</v>
      </c>
      <c r="AA222" s="15">
        <f t="shared" si="11"/>
        <v>0</v>
      </c>
      <c r="AB222" s="15">
        <f t="shared" si="11"/>
        <v>0</v>
      </c>
      <c r="AC222" s="249">
        <f>SUM(AC173:AE221)</f>
        <v>2516.4854999999998</v>
      </c>
      <c r="AD222" s="249"/>
      <c r="AE222" s="249"/>
    </row>
    <row r="223" spans="2:31" x14ac:dyDescent="0.3">
      <c r="B223" s="16"/>
      <c r="C223" s="17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2:31" x14ac:dyDescent="0.3">
      <c r="B224" s="16"/>
      <c r="C224" s="17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2:31" x14ac:dyDescent="0.3">
      <c r="B225" s="8">
        <f>'Resumen-Mensual'!$I$22</f>
        <v>44566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61"/>
      <c r="AD225" s="61"/>
      <c r="AE225" s="61"/>
    </row>
    <row r="226" spans="2:31" x14ac:dyDescent="0.3">
      <c r="B226" s="8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61"/>
      <c r="AD226" s="61"/>
      <c r="AE226" s="61"/>
    </row>
    <row r="227" spans="2:31" x14ac:dyDescent="0.3">
      <c r="B227" s="9" t="s">
        <v>81</v>
      </c>
      <c r="C227" s="10"/>
      <c r="D227" s="10"/>
      <c r="E227" s="11">
        <v>1</v>
      </c>
      <c r="F227" s="11">
        <v>2</v>
      </c>
      <c r="G227" s="11">
        <v>3</v>
      </c>
      <c r="H227" s="11">
        <v>4</v>
      </c>
      <c r="I227" s="11">
        <v>5</v>
      </c>
      <c r="J227" s="11">
        <v>6</v>
      </c>
      <c r="K227" s="11">
        <v>7</v>
      </c>
      <c r="L227" s="11">
        <v>8</v>
      </c>
      <c r="M227" s="11">
        <v>9</v>
      </c>
      <c r="N227" s="11">
        <v>10</v>
      </c>
      <c r="O227" s="11">
        <v>11</v>
      </c>
      <c r="P227" s="11">
        <v>12</v>
      </c>
      <c r="Q227" s="11">
        <v>13</v>
      </c>
      <c r="R227" s="11">
        <v>14</v>
      </c>
      <c r="S227" s="11">
        <v>15</v>
      </c>
      <c r="T227" s="11">
        <v>16</v>
      </c>
      <c r="U227" s="11">
        <v>17</v>
      </c>
      <c r="V227" s="11">
        <v>18</v>
      </c>
      <c r="W227" s="11">
        <v>19</v>
      </c>
      <c r="X227" s="11">
        <v>20</v>
      </c>
      <c r="Y227" s="11">
        <v>21</v>
      </c>
      <c r="Z227" s="11">
        <v>22</v>
      </c>
      <c r="AA227" s="11">
        <v>23</v>
      </c>
      <c r="AB227" s="11">
        <v>24</v>
      </c>
      <c r="AC227" s="248" t="s">
        <v>2</v>
      </c>
      <c r="AD227" s="248"/>
      <c r="AE227" s="248"/>
    </row>
    <row r="228" spans="2:31" x14ac:dyDescent="0.3">
      <c r="B228" s="245" t="s">
        <v>37</v>
      </c>
      <c r="C228" s="245"/>
      <c r="D228" s="245"/>
      <c r="E228" s="231">
        <v>0</v>
      </c>
      <c r="F228" s="234">
        <v>0</v>
      </c>
      <c r="G228" s="231">
        <v>0</v>
      </c>
      <c r="H228" s="234">
        <v>0</v>
      </c>
      <c r="I228" s="231">
        <v>0</v>
      </c>
      <c r="J228" s="234">
        <v>0</v>
      </c>
      <c r="K228" s="231">
        <v>0</v>
      </c>
      <c r="L228" s="234">
        <v>0</v>
      </c>
      <c r="M228" s="231">
        <v>0</v>
      </c>
      <c r="N228" s="234">
        <v>0</v>
      </c>
      <c r="O228" s="231">
        <v>0</v>
      </c>
      <c r="P228" s="234">
        <v>0</v>
      </c>
      <c r="Q228" s="231">
        <v>0</v>
      </c>
      <c r="R228" s="234">
        <v>0.13950000000000012</v>
      </c>
      <c r="S228" s="231">
        <v>0.62383333333333379</v>
      </c>
      <c r="T228" s="234">
        <v>0</v>
      </c>
      <c r="U228" s="231">
        <v>1.0283333333333335</v>
      </c>
      <c r="V228" s="234">
        <v>1.4903333333333344</v>
      </c>
      <c r="W228" s="231">
        <v>3.0563333333333333</v>
      </c>
      <c r="X228" s="234">
        <v>1.1433333333333331</v>
      </c>
      <c r="Y228" s="231">
        <v>0</v>
      </c>
      <c r="Z228" s="234">
        <v>0</v>
      </c>
      <c r="AA228" s="231">
        <v>0</v>
      </c>
      <c r="AB228" s="234">
        <v>0</v>
      </c>
      <c r="AC228" s="238">
        <f t="shared" ref="AC228:AC260" si="12">SUM(E228:AB228)</f>
        <v>7.4816666666666674</v>
      </c>
      <c r="AD228" s="238"/>
      <c r="AE228" s="238"/>
    </row>
    <row r="229" spans="2:31" x14ac:dyDescent="0.3">
      <c r="B229" s="245" t="s">
        <v>38</v>
      </c>
      <c r="C229" s="245"/>
      <c r="D229" s="245"/>
      <c r="E229" s="231">
        <v>0</v>
      </c>
      <c r="F229" s="234">
        <v>0</v>
      </c>
      <c r="G229" s="231">
        <v>0</v>
      </c>
      <c r="H229" s="234">
        <v>0</v>
      </c>
      <c r="I229" s="231">
        <v>0</v>
      </c>
      <c r="J229" s="234">
        <v>0</v>
      </c>
      <c r="K229" s="231">
        <v>0</v>
      </c>
      <c r="L229" s="234">
        <v>0</v>
      </c>
      <c r="M229" s="231">
        <v>0</v>
      </c>
      <c r="N229" s="234">
        <v>0</v>
      </c>
      <c r="O229" s="231">
        <v>0</v>
      </c>
      <c r="P229" s="234">
        <v>0</v>
      </c>
      <c r="Q229" s="231">
        <v>0</v>
      </c>
      <c r="R229" s="234">
        <v>0.33033333333333342</v>
      </c>
      <c r="S229" s="231">
        <v>1.4290000000000005</v>
      </c>
      <c r="T229" s="234">
        <v>0</v>
      </c>
      <c r="U229" s="231">
        <v>2.2730000000000006</v>
      </c>
      <c r="V229" s="234">
        <v>3.7794999999999992</v>
      </c>
      <c r="W229" s="231">
        <v>7.8645000000000014</v>
      </c>
      <c r="X229" s="234">
        <v>3.8383333333333303</v>
      </c>
      <c r="Y229" s="231">
        <v>0</v>
      </c>
      <c r="Z229" s="234">
        <v>0</v>
      </c>
      <c r="AA229" s="231">
        <v>0</v>
      </c>
      <c r="AB229" s="234">
        <v>0</v>
      </c>
      <c r="AC229" s="238">
        <f t="shared" si="12"/>
        <v>19.514666666666667</v>
      </c>
      <c r="AD229" s="238"/>
      <c r="AE229" s="238"/>
    </row>
    <row r="230" spans="2:31" x14ac:dyDescent="0.3">
      <c r="B230" s="245" t="s">
        <v>39</v>
      </c>
      <c r="C230" s="245"/>
      <c r="D230" s="245"/>
      <c r="E230" s="231">
        <v>0</v>
      </c>
      <c r="F230" s="234">
        <v>0</v>
      </c>
      <c r="G230" s="231">
        <v>0</v>
      </c>
      <c r="H230" s="234">
        <v>0</v>
      </c>
      <c r="I230" s="231">
        <v>0</v>
      </c>
      <c r="J230" s="234">
        <v>0</v>
      </c>
      <c r="K230" s="231">
        <v>0</v>
      </c>
      <c r="L230" s="234">
        <v>0</v>
      </c>
      <c r="M230" s="231">
        <v>0</v>
      </c>
      <c r="N230" s="234">
        <v>0</v>
      </c>
      <c r="O230" s="231">
        <v>0</v>
      </c>
      <c r="P230" s="234">
        <v>0</v>
      </c>
      <c r="Q230" s="231">
        <v>0</v>
      </c>
      <c r="R230" s="234">
        <v>5.0000000000000711E-2</v>
      </c>
      <c r="S230" s="231">
        <v>0.81800000000000139</v>
      </c>
      <c r="T230" s="234">
        <v>0</v>
      </c>
      <c r="U230" s="231">
        <v>4.158500000000001</v>
      </c>
      <c r="V230" s="234">
        <v>5.7909999999999995</v>
      </c>
      <c r="W230" s="231">
        <v>5.9638333333333398</v>
      </c>
      <c r="X230" s="234">
        <v>2.2866666666666662</v>
      </c>
      <c r="Y230" s="231">
        <v>0</v>
      </c>
      <c r="Z230" s="234">
        <v>0</v>
      </c>
      <c r="AA230" s="231">
        <v>0</v>
      </c>
      <c r="AB230" s="234">
        <v>0</v>
      </c>
      <c r="AC230" s="238">
        <f t="shared" si="12"/>
        <v>19.068000000000008</v>
      </c>
      <c r="AD230" s="238"/>
      <c r="AE230" s="238"/>
    </row>
    <row r="231" spans="2:31" x14ac:dyDescent="0.3">
      <c r="B231" s="245" t="s">
        <v>40</v>
      </c>
      <c r="C231" s="245"/>
      <c r="D231" s="245"/>
      <c r="E231" s="231">
        <v>0</v>
      </c>
      <c r="F231" s="234">
        <v>0</v>
      </c>
      <c r="G231" s="231">
        <v>0</v>
      </c>
      <c r="H231" s="234">
        <v>0</v>
      </c>
      <c r="I231" s="231">
        <v>0</v>
      </c>
      <c r="J231" s="234">
        <v>0</v>
      </c>
      <c r="K231" s="231">
        <v>0</v>
      </c>
      <c r="L231" s="234">
        <v>0</v>
      </c>
      <c r="M231" s="231">
        <v>0</v>
      </c>
      <c r="N231" s="234">
        <v>0</v>
      </c>
      <c r="O231" s="231">
        <v>0</v>
      </c>
      <c r="P231" s="234">
        <v>0</v>
      </c>
      <c r="Q231" s="231">
        <v>0</v>
      </c>
      <c r="R231" s="234">
        <v>0</v>
      </c>
      <c r="S231" s="231">
        <v>0</v>
      </c>
      <c r="T231" s="234">
        <v>0</v>
      </c>
      <c r="U231" s="231">
        <v>0</v>
      </c>
      <c r="V231" s="234">
        <v>3.441833333333336</v>
      </c>
      <c r="W231" s="231">
        <v>49.677</v>
      </c>
      <c r="X231" s="234">
        <v>40.231999999999999</v>
      </c>
      <c r="Y231" s="231">
        <v>0</v>
      </c>
      <c r="Z231" s="234">
        <v>0</v>
      </c>
      <c r="AA231" s="231">
        <v>0</v>
      </c>
      <c r="AB231" s="234">
        <v>0</v>
      </c>
      <c r="AC231" s="238">
        <f t="shared" si="12"/>
        <v>93.350833333333327</v>
      </c>
      <c r="AD231" s="238"/>
      <c r="AE231" s="238"/>
    </row>
    <row r="232" spans="2:31" x14ac:dyDescent="0.3">
      <c r="B232" s="245" t="s">
        <v>41</v>
      </c>
      <c r="C232" s="245"/>
      <c r="D232" s="245"/>
      <c r="E232" s="231">
        <v>0</v>
      </c>
      <c r="F232" s="234">
        <v>0</v>
      </c>
      <c r="G232" s="231">
        <v>0</v>
      </c>
      <c r="H232" s="234">
        <v>0</v>
      </c>
      <c r="I232" s="231">
        <v>0</v>
      </c>
      <c r="J232" s="234">
        <v>0</v>
      </c>
      <c r="K232" s="231">
        <v>0</v>
      </c>
      <c r="L232" s="234">
        <v>0</v>
      </c>
      <c r="M232" s="231">
        <v>0</v>
      </c>
      <c r="N232" s="234">
        <v>0</v>
      </c>
      <c r="O232" s="231">
        <v>0</v>
      </c>
      <c r="P232" s="234">
        <v>0</v>
      </c>
      <c r="Q232" s="231">
        <v>0</v>
      </c>
      <c r="R232" s="234">
        <v>0</v>
      </c>
      <c r="S232" s="231">
        <v>6.0295000000000041</v>
      </c>
      <c r="T232" s="234">
        <v>0</v>
      </c>
      <c r="U232" s="231">
        <v>0</v>
      </c>
      <c r="V232" s="234">
        <v>26.864500000000003</v>
      </c>
      <c r="W232" s="231">
        <v>33.135333333333335</v>
      </c>
      <c r="X232" s="234">
        <v>12.849500000000008</v>
      </c>
      <c r="Y232" s="231">
        <v>0</v>
      </c>
      <c r="Z232" s="234">
        <v>0</v>
      </c>
      <c r="AA232" s="231">
        <v>0</v>
      </c>
      <c r="AB232" s="234">
        <v>0</v>
      </c>
      <c r="AC232" s="238">
        <f t="shared" si="12"/>
        <v>78.878833333333347</v>
      </c>
      <c r="AD232" s="238"/>
      <c r="AE232" s="238"/>
    </row>
    <row r="233" spans="2:31" x14ac:dyDescent="0.3">
      <c r="B233" s="245" t="s">
        <v>42</v>
      </c>
      <c r="C233" s="245"/>
      <c r="D233" s="245"/>
      <c r="E233" s="231">
        <v>0</v>
      </c>
      <c r="F233" s="234">
        <v>0</v>
      </c>
      <c r="G233" s="231">
        <v>0</v>
      </c>
      <c r="H233" s="234">
        <v>0</v>
      </c>
      <c r="I233" s="231">
        <v>0</v>
      </c>
      <c r="J233" s="234">
        <v>0</v>
      </c>
      <c r="K233" s="231">
        <v>0</v>
      </c>
      <c r="L233" s="234">
        <v>0</v>
      </c>
      <c r="M233" s="231">
        <v>0</v>
      </c>
      <c r="N233" s="234">
        <v>0</v>
      </c>
      <c r="O233" s="231">
        <v>0</v>
      </c>
      <c r="P233" s="234">
        <v>0</v>
      </c>
      <c r="Q233" s="231">
        <v>0</v>
      </c>
      <c r="R233" s="234">
        <v>0</v>
      </c>
      <c r="S233" s="231">
        <v>0</v>
      </c>
      <c r="T233" s="234">
        <v>0</v>
      </c>
      <c r="U233" s="231">
        <v>0</v>
      </c>
      <c r="V233" s="234">
        <v>0</v>
      </c>
      <c r="W233" s="231">
        <v>7.6986666666666679</v>
      </c>
      <c r="X233" s="234">
        <v>11.49199999999999</v>
      </c>
      <c r="Y233" s="231">
        <v>0</v>
      </c>
      <c r="Z233" s="234">
        <v>0</v>
      </c>
      <c r="AA233" s="231">
        <v>0</v>
      </c>
      <c r="AB233" s="234">
        <v>0</v>
      </c>
      <c r="AC233" s="238">
        <f t="shared" si="12"/>
        <v>19.190666666666658</v>
      </c>
      <c r="AD233" s="238"/>
      <c r="AE233" s="238"/>
    </row>
    <row r="234" spans="2:31" x14ac:dyDescent="0.3">
      <c r="B234" s="245" t="s">
        <v>43</v>
      </c>
      <c r="C234" s="245"/>
      <c r="D234" s="245"/>
      <c r="E234" s="231">
        <v>0</v>
      </c>
      <c r="F234" s="234">
        <v>0</v>
      </c>
      <c r="G234" s="231">
        <v>0</v>
      </c>
      <c r="H234" s="234">
        <v>0</v>
      </c>
      <c r="I234" s="231">
        <v>0</v>
      </c>
      <c r="J234" s="234">
        <v>0</v>
      </c>
      <c r="K234" s="231">
        <v>0</v>
      </c>
      <c r="L234" s="234">
        <v>0</v>
      </c>
      <c r="M234" s="231">
        <v>0</v>
      </c>
      <c r="N234" s="234">
        <v>0</v>
      </c>
      <c r="O234" s="231">
        <v>0</v>
      </c>
      <c r="P234" s="234">
        <v>0</v>
      </c>
      <c r="Q234" s="231">
        <v>0</v>
      </c>
      <c r="R234" s="234">
        <v>0</v>
      </c>
      <c r="S234" s="231">
        <v>6.6446666666666552</v>
      </c>
      <c r="T234" s="234">
        <v>0</v>
      </c>
      <c r="U234" s="231">
        <v>0.12566666666666038</v>
      </c>
      <c r="V234" s="234">
        <v>10.73816666666667</v>
      </c>
      <c r="W234" s="231">
        <v>39.87683333333333</v>
      </c>
      <c r="X234" s="234">
        <v>23.80749999999999</v>
      </c>
      <c r="Y234" s="231">
        <v>0</v>
      </c>
      <c r="Z234" s="234">
        <v>0</v>
      </c>
      <c r="AA234" s="231">
        <v>0</v>
      </c>
      <c r="AB234" s="234">
        <v>0</v>
      </c>
      <c r="AC234" s="238">
        <f t="shared" si="12"/>
        <v>81.192833333333311</v>
      </c>
      <c r="AD234" s="238"/>
      <c r="AE234" s="238"/>
    </row>
    <row r="235" spans="2:31" x14ac:dyDescent="0.3">
      <c r="B235" s="245" t="s">
        <v>44</v>
      </c>
      <c r="C235" s="245"/>
      <c r="D235" s="245"/>
      <c r="E235" s="231">
        <v>0</v>
      </c>
      <c r="F235" s="234">
        <v>0</v>
      </c>
      <c r="G235" s="231">
        <v>0</v>
      </c>
      <c r="H235" s="234">
        <v>0</v>
      </c>
      <c r="I235" s="231">
        <v>0</v>
      </c>
      <c r="J235" s="234">
        <v>0</v>
      </c>
      <c r="K235" s="231">
        <v>0</v>
      </c>
      <c r="L235" s="234">
        <v>0</v>
      </c>
      <c r="M235" s="231">
        <v>0</v>
      </c>
      <c r="N235" s="234">
        <v>0</v>
      </c>
      <c r="O235" s="231">
        <v>0</v>
      </c>
      <c r="P235" s="234">
        <v>0</v>
      </c>
      <c r="Q235" s="231">
        <v>0</v>
      </c>
      <c r="R235" s="234">
        <v>0</v>
      </c>
      <c r="S235" s="231">
        <v>0</v>
      </c>
      <c r="T235" s="234">
        <v>0</v>
      </c>
      <c r="U235" s="231">
        <v>0</v>
      </c>
      <c r="V235" s="234">
        <v>0.62433333333333185</v>
      </c>
      <c r="W235" s="231">
        <v>27.222333333333328</v>
      </c>
      <c r="X235" s="234">
        <v>32.249833333333356</v>
      </c>
      <c r="Y235" s="231">
        <v>0</v>
      </c>
      <c r="Z235" s="234">
        <v>0</v>
      </c>
      <c r="AA235" s="231">
        <v>0</v>
      </c>
      <c r="AB235" s="234">
        <v>0</v>
      </c>
      <c r="AC235" s="238">
        <f t="shared" si="12"/>
        <v>60.09650000000002</v>
      </c>
      <c r="AD235" s="238"/>
      <c r="AE235" s="238"/>
    </row>
    <row r="236" spans="2:31" x14ac:dyDescent="0.3">
      <c r="B236" s="245" t="s">
        <v>45</v>
      </c>
      <c r="C236" s="245"/>
      <c r="D236" s="245"/>
      <c r="E236" s="231">
        <v>0</v>
      </c>
      <c r="F236" s="234">
        <v>0</v>
      </c>
      <c r="G236" s="231">
        <v>0</v>
      </c>
      <c r="H236" s="234">
        <v>0</v>
      </c>
      <c r="I236" s="231">
        <v>0</v>
      </c>
      <c r="J236" s="234">
        <v>0</v>
      </c>
      <c r="K236" s="231">
        <v>0</v>
      </c>
      <c r="L236" s="234">
        <v>0</v>
      </c>
      <c r="M236" s="231">
        <v>0</v>
      </c>
      <c r="N236" s="234">
        <v>0</v>
      </c>
      <c r="O236" s="231">
        <v>0</v>
      </c>
      <c r="P236" s="234">
        <v>0</v>
      </c>
      <c r="Q236" s="231">
        <v>0</v>
      </c>
      <c r="R236" s="234">
        <v>19.339999999999996</v>
      </c>
      <c r="S236" s="231">
        <v>0</v>
      </c>
      <c r="T236" s="234">
        <v>20.230000000000011</v>
      </c>
      <c r="U236" s="231">
        <v>20.730000000000011</v>
      </c>
      <c r="V236" s="234">
        <v>14.720166666666666</v>
      </c>
      <c r="W236" s="231">
        <v>0.26833333333333331</v>
      </c>
      <c r="X236" s="234">
        <v>3.9200000000000035</v>
      </c>
      <c r="Y236" s="231">
        <v>0</v>
      </c>
      <c r="Z236" s="234">
        <v>0</v>
      </c>
      <c r="AA236" s="231">
        <v>0</v>
      </c>
      <c r="AB236" s="234">
        <v>0</v>
      </c>
      <c r="AC236" s="238">
        <f t="shared" si="12"/>
        <v>79.208500000000015</v>
      </c>
      <c r="AD236" s="238"/>
      <c r="AE236" s="238"/>
    </row>
    <row r="237" spans="2:31" x14ac:dyDescent="0.3">
      <c r="B237" s="245" t="s">
        <v>46</v>
      </c>
      <c r="C237" s="245"/>
      <c r="D237" s="245"/>
      <c r="E237" s="231">
        <v>0</v>
      </c>
      <c r="F237" s="234">
        <v>0</v>
      </c>
      <c r="G237" s="231">
        <v>0</v>
      </c>
      <c r="H237" s="234">
        <v>0</v>
      </c>
      <c r="I237" s="231">
        <v>0</v>
      </c>
      <c r="J237" s="234">
        <v>0</v>
      </c>
      <c r="K237" s="231">
        <v>0</v>
      </c>
      <c r="L237" s="234">
        <v>0</v>
      </c>
      <c r="M237" s="231">
        <v>0</v>
      </c>
      <c r="N237" s="234">
        <v>0</v>
      </c>
      <c r="O237" s="231">
        <v>0</v>
      </c>
      <c r="P237" s="234">
        <v>0</v>
      </c>
      <c r="Q237" s="231">
        <v>14.126833333333336</v>
      </c>
      <c r="R237" s="234">
        <v>0</v>
      </c>
      <c r="S237" s="231">
        <v>36.479833333333325</v>
      </c>
      <c r="T237" s="234">
        <v>0</v>
      </c>
      <c r="U237" s="231">
        <v>27.778666666666645</v>
      </c>
      <c r="V237" s="234">
        <v>13.103500000000009</v>
      </c>
      <c r="W237" s="231">
        <v>15.502166666666664</v>
      </c>
      <c r="X237" s="234">
        <v>10.457499999999991</v>
      </c>
      <c r="Y237" s="231">
        <v>0</v>
      </c>
      <c r="Z237" s="234">
        <v>0</v>
      </c>
      <c r="AA237" s="231">
        <v>0</v>
      </c>
      <c r="AB237" s="234">
        <v>0</v>
      </c>
      <c r="AC237" s="238">
        <f t="shared" si="12"/>
        <v>117.44849999999998</v>
      </c>
      <c r="AD237" s="238"/>
      <c r="AE237" s="238"/>
    </row>
    <row r="238" spans="2:31" x14ac:dyDescent="0.3">
      <c r="B238" s="245" t="s">
        <v>47</v>
      </c>
      <c r="C238" s="245"/>
      <c r="D238" s="245"/>
      <c r="E238" s="231">
        <v>0</v>
      </c>
      <c r="F238" s="234">
        <v>0</v>
      </c>
      <c r="G238" s="231">
        <v>0</v>
      </c>
      <c r="H238" s="234">
        <v>0</v>
      </c>
      <c r="I238" s="231">
        <v>0</v>
      </c>
      <c r="J238" s="234">
        <v>0</v>
      </c>
      <c r="K238" s="231">
        <v>0</v>
      </c>
      <c r="L238" s="234">
        <v>0</v>
      </c>
      <c r="M238" s="231">
        <v>0</v>
      </c>
      <c r="N238" s="234">
        <v>0</v>
      </c>
      <c r="O238" s="231">
        <v>0</v>
      </c>
      <c r="P238" s="234">
        <v>0</v>
      </c>
      <c r="Q238" s="231">
        <v>2.6023333333333327</v>
      </c>
      <c r="R238" s="234">
        <v>4.9658333333333307</v>
      </c>
      <c r="S238" s="231">
        <v>10.810000000000002</v>
      </c>
      <c r="T238" s="234">
        <v>11.220000000000017</v>
      </c>
      <c r="U238" s="231">
        <v>0</v>
      </c>
      <c r="V238" s="234">
        <v>9.8773333333333415</v>
      </c>
      <c r="W238" s="231">
        <v>6.493333333333335</v>
      </c>
      <c r="X238" s="234">
        <v>6.0895000000000028</v>
      </c>
      <c r="Y238" s="231">
        <v>0</v>
      </c>
      <c r="Z238" s="234">
        <v>0</v>
      </c>
      <c r="AA238" s="231">
        <v>0</v>
      </c>
      <c r="AB238" s="234">
        <v>0</v>
      </c>
      <c r="AC238" s="238">
        <f t="shared" si="12"/>
        <v>52.058333333333358</v>
      </c>
      <c r="AD238" s="238"/>
      <c r="AE238" s="238"/>
    </row>
    <row r="239" spans="2:31" x14ac:dyDescent="0.3">
      <c r="B239" s="245" t="s">
        <v>48</v>
      </c>
      <c r="C239" s="245"/>
      <c r="D239" s="245"/>
      <c r="E239" s="231">
        <v>0</v>
      </c>
      <c r="F239" s="234">
        <v>0</v>
      </c>
      <c r="G239" s="231">
        <v>0</v>
      </c>
      <c r="H239" s="234">
        <v>0</v>
      </c>
      <c r="I239" s="231">
        <v>0</v>
      </c>
      <c r="J239" s="234">
        <v>0</v>
      </c>
      <c r="K239" s="231">
        <v>0</v>
      </c>
      <c r="L239" s="234">
        <v>0</v>
      </c>
      <c r="M239" s="231">
        <v>0</v>
      </c>
      <c r="N239" s="234">
        <v>0</v>
      </c>
      <c r="O239" s="231">
        <v>0</v>
      </c>
      <c r="P239" s="234">
        <v>0</v>
      </c>
      <c r="Q239" s="231">
        <v>2.3371666666666635</v>
      </c>
      <c r="R239" s="234">
        <v>4.3899999999999944</v>
      </c>
      <c r="S239" s="231">
        <v>9.2728333333333364</v>
      </c>
      <c r="T239" s="234">
        <v>9.5400000000000027</v>
      </c>
      <c r="U239" s="231">
        <v>0</v>
      </c>
      <c r="V239" s="234">
        <v>8.2323333333333295</v>
      </c>
      <c r="W239" s="231">
        <v>5.1121666666666679</v>
      </c>
      <c r="X239" s="234">
        <v>4.5733333333333324</v>
      </c>
      <c r="Y239" s="231">
        <v>0</v>
      </c>
      <c r="Z239" s="234">
        <v>0</v>
      </c>
      <c r="AA239" s="231">
        <v>0</v>
      </c>
      <c r="AB239" s="234">
        <v>0</v>
      </c>
      <c r="AC239" s="238">
        <f t="shared" si="12"/>
        <v>43.457833333333326</v>
      </c>
      <c r="AD239" s="238"/>
      <c r="AE239" s="238"/>
    </row>
    <row r="240" spans="2:31" x14ac:dyDescent="0.3">
      <c r="B240" s="245" t="s">
        <v>49</v>
      </c>
      <c r="C240" s="245"/>
      <c r="D240" s="245"/>
      <c r="E240" s="231">
        <v>0</v>
      </c>
      <c r="F240" s="234">
        <v>0</v>
      </c>
      <c r="G240" s="231">
        <v>0</v>
      </c>
      <c r="H240" s="234">
        <v>0</v>
      </c>
      <c r="I240" s="231">
        <v>0</v>
      </c>
      <c r="J240" s="234">
        <v>0</v>
      </c>
      <c r="K240" s="231">
        <v>0</v>
      </c>
      <c r="L240" s="234">
        <v>0</v>
      </c>
      <c r="M240" s="231">
        <v>0</v>
      </c>
      <c r="N240" s="234">
        <v>0</v>
      </c>
      <c r="O240" s="231">
        <v>0</v>
      </c>
      <c r="P240" s="234">
        <v>0</v>
      </c>
      <c r="Q240" s="231">
        <v>0</v>
      </c>
      <c r="R240" s="234">
        <v>0</v>
      </c>
      <c r="S240" s="231">
        <v>0</v>
      </c>
      <c r="T240" s="234">
        <v>0</v>
      </c>
      <c r="U240" s="231">
        <v>0</v>
      </c>
      <c r="V240" s="234">
        <v>0</v>
      </c>
      <c r="W240" s="231">
        <v>0.16033333333333336</v>
      </c>
      <c r="X240" s="234">
        <v>6.7125000000000004</v>
      </c>
      <c r="Y240" s="231">
        <v>0</v>
      </c>
      <c r="Z240" s="234">
        <v>0</v>
      </c>
      <c r="AA240" s="231">
        <v>0</v>
      </c>
      <c r="AB240" s="234">
        <v>0</v>
      </c>
      <c r="AC240" s="238">
        <f t="shared" si="12"/>
        <v>6.8728333333333333</v>
      </c>
      <c r="AD240" s="238"/>
      <c r="AE240" s="238"/>
    </row>
    <row r="241" spans="2:31" x14ac:dyDescent="0.3">
      <c r="B241" s="245" t="s">
        <v>50</v>
      </c>
      <c r="C241" s="245"/>
      <c r="D241" s="245"/>
      <c r="E241" s="231">
        <v>0</v>
      </c>
      <c r="F241" s="234">
        <v>0</v>
      </c>
      <c r="G241" s="231">
        <v>0</v>
      </c>
      <c r="H241" s="234">
        <v>0</v>
      </c>
      <c r="I241" s="231">
        <v>0</v>
      </c>
      <c r="J241" s="234">
        <v>0</v>
      </c>
      <c r="K241" s="231">
        <v>0</v>
      </c>
      <c r="L241" s="234">
        <v>0</v>
      </c>
      <c r="M241" s="231">
        <v>0</v>
      </c>
      <c r="N241" s="234">
        <v>0</v>
      </c>
      <c r="O241" s="231">
        <v>0</v>
      </c>
      <c r="P241" s="234">
        <v>0</v>
      </c>
      <c r="Q241" s="231">
        <v>0</v>
      </c>
      <c r="R241" s="234">
        <v>9.1069999999999993</v>
      </c>
      <c r="S241" s="231">
        <v>0</v>
      </c>
      <c r="T241" s="234">
        <v>3.611166666666664</v>
      </c>
      <c r="U241" s="231">
        <v>2.1533333333333369</v>
      </c>
      <c r="V241" s="234">
        <v>1.9656666666666684</v>
      </c>
      <c r="W241" s="231">
        <v>18.224666666666668</v>
      </c>
      <c r="X241" s="234">
        <v>10.435999999999989</v>
      </c>
      <c r="Y241" s="231">
        <v>0</v>
      </c>
      <c r="Z241" s="234">
        <v>0</v>
      </c>
      <c r="AA241" s="231">
        <v>0</v>
      </c>
      <c r="AB241" s="234">
        <v>0</v>
      </c>
      <c r="AC241" s="238">
        <f t="shared" si="12"/>
        <v>45.497833333333332</v>
      </c>
      <c r="AD241" s="238"/>
      <c r="AE241" s="238"/>
    </row>
    <row r="242" spans="2:31" x14ac:dyDescent="0.3">
      <c r="B242" s="245" t="s">
        <v>97</v>
      </c>
      <c r="C242" s="245"/>
      <c r="D242" s="245"/>
      <c r="E242" s="231">
        <v>0</v>
      </c>
      <c r="F242" s="234">
        <v>0</v>
      </c>
      <c r="G242" s="231">
        <v>0</v>
      </c>
      <c r="H242" s="234">
        <v>0</v>
      </c>
      <c r="I242" s="231">
        <v>0</v>
      </c>
      <c r="J242" s="234">
        <v>0</v>
      </c>
      <c r="K242" s="231">
        <v>0</v>
      </c>
      <c r="L242" s="234">
        <v>0</v>
      </c>
      <c r="M242" s="231">
        <v>0</v>
      </c>
      <c r="N242" s="234">
        <v>0</v>
      </c>
      <c r="O242" s="231">
        <v>0</v>
      </c>
      <c r="P242" s="234">
        <v>0</v>
      </c>
      <c r="Q242" s="231">
        <v>0</v>
      </c>
      <c r="R242" s="234">
        <v>0</v>
      </c>
      <c r="S242" s="231">
        <v>0</v>
      </c>
      <c r="T242" s="234">
        <v>0</v>
      </c>
      <c r="U242" s="231">
        <v>0</v>
      </c>
      <c r="V242" s="234">
        <v>0</v>
      </c>
      <c r="W242" s="231">
        <v>0</v>
      </c>
      <c r="X242" s="234">
        <v>0</v>
      </c>
      <c r="Y242" s="231">
        <v>0</v>
      </c>
      <c r="Z242" s="234">
        <v>0</v>
      </c>
      <c r="AA242" s="231">
        <v>0</v>
      </c>
      <c r="AB242" s="234">
        <v>0</v>
      </c>
      <c r="AC242" s="238">
        <f t="shared" si="12"/>
        <v>0</v>
      </c>
      <c r="AD242" s="238"/>
      <c r="AE242" s="238"/>
    </row>
    <row r="243" spans="2:31" x14ac:dyDescent="0.3">
      <c r="B243" s="245" t="s">
        <v>51</v>
      </c>
      <c r="C243" s="245"/>
      <c r="D243" s="245"/>
      <c r="E243" s="231">
        <v>0</v>
      </c>
      <c r="F243" s="234">
        <v>0</v>
      </c>
      <c r="G243" s="231">
        <v>0</v>
      </c>
      <c r="H243" s="234">
        <v>0</v>
      </c>
      <c r="I243" s="231">
        <v>0</v>
      </c>
      <c r="J243" s="234">
        <v>0</v>
      </c>
      <c r="K243" s="231">
        <v>0</v>
      </c>
      <c r="L243" s="234">
        <v>0</v>
      </c>
      <c r="M243" s="231">
        <v>0</v>
      </c>
      <c r="N243" s="234">
        <v>0</v>
      </c>
      <c r="O243" s="231">
        <v>0</v>
      </c>
      <c r="P243" s="234">
        <v>0</v>
      </c>
      <c r="Q243" s="231">
        <v>0</v>
      </c>
      <c r="R243" s="234">
        <v>15.143833333333331</v>
      </c>
      <c r="S243" s="231">
        <v>60.403166666666678</v>
      </c>
      <c r="T243" s="234">
        <v>60.42199999999999</v>
      </c>
      <c r="U243" s="231">
        <v>57.827500000000008</v>
      </c>
      <c r="V243" s="234">
        <v>46.893999999999998</v>
      </c>
      <c r="W243" s="231">
        <v>48.361333333333341</v>
      </c>
      <c r="X243" s="234">
        <v>24.63883333333332</v>
      </c>
      <c r="Y243" s="231">
        <v>0</v>
      </c>
      <c r="Z243" s="234">
        <v>0</v>
      </c>
      <c r="AA243" s="231">
        <v>0</v>
      </c>
      <c r="AB243" s="234">
        <v>0</v>
      </c>
      <c r="AC243" s="238">
        <f t="shared" si="12"/>
        <v>313.69066666666669</v>
      </c>
      <c r="AD243" s="238"/>
      <c r="AE243" s="238"/>
    </row>
    <row r="244" spans="2:31" x14ac:dyDescent="0.3">
      <c r="B244" s="245" t="s">
        <v>52</v>
      </c>
      <c r="C244" s="245"/>
      <c r="D244" s="245"/>
      <c r="E244" s="231">
        <v>0</v>
      </c>
      <c r="F244" s="234">
        <v>0</v>
      </c>
      <c r="G244" s="231">
        <v>0</v>
      </c>
      <c r="H244" s="234">
        <v>0</v>
      </c>
      <c r="I244" s="231">
        <v>0</v>
      </c>
      <c r="J244" s="234">
        <v>0</v>
      </c>
      <c r="K244" s="231">
        <v>0</v>
      </c>
      <c r="L244" s="234">
        <v>0</v>
      </c>
      <c r="M244" s="231">
        <v>0</v>
      </c>
      <c r="N244" s="234">
        <v>0</v>
      </c>
      <c r="O244" s="231">
        <v>0</v>
      </c>
      <c r="P244" s="234">
        <v>0</v>
      </c>
      <c r="Q244" s="231">
        <v>0</v>
      </c>
      <c r="R244" s="234">
        <v>0</v>
      </c>
      <c r="S244" s="231">
        <v>0</v>
      </c>
      <c r="T244" s="234">
        <v>0</v>
      </c>
      <c r="U244" s="231">
        <v>0</v>
      </c>
      <c r="V244" s="234">
        <v>0</v>
      </c>
      <c r="W244" s="231">
        <v>0</v>
      </c>
      <c r="X244" s="234">
        <v>0</v>
      </c>
      <c r="Y244" s="231">
        <v>0</v>
      </c>
      <c r="Z244" s="234">
        <v>0</v>
      </c>
      <c r="AA244" s="231">
        <v>0</v>
      </c>
      <c r="AB244" s="234">
        <v>0</v>
      </c>
      <c r="AC244" s="238">
        <f t="shared" si="12"/>
        <v>0</v>
      </c>
      <c r="AD244" s="238"/>
      <c r="AE244" s="238"/>
    </row>
    <row r="245" spans="2:31" x14ac:dyDescent="0.3">
      <c r="B245" s="245" t="s">
        <v>53</v>
      </c>
      <c r="C245" s="245"/>
      <c r="D245" s="245"/>
      <c r="E245" s="231">
        <v>0</v>
      </c>
      <c r="F245" s="234">
        <v>0</v>
      </c>
      <c r="G245" s="231">
        <v>0</v>
      </c>
      <c r="H245" s="234">
        <v>0</v>
      </c>
      <c r="I245" s="231">
        <v>0</v>
      </c>
      <c r="J245" s="234">
        <v>0</v>
      </c>
      <c r="K245" s="231">
        <v>0</v>
      </c>
      <c r="L245" s="234">
        <v>0</v>
      </c>
      <c r="M245" s="231">
        <v>0</v>
      </c>
      <c r="N245" s="234">
        <v>0</v>
      </c>
      <c r="O245" s="231">
        <v>0</v>
      </c>
      <c r="P245" s="234">
        <v>0</v>
      </c>
      <c r="Q245" s="231">
        <v>0</v>
      </c>
      <c r="R245" s="234">
        <v>0</v>
      </c>
      <c r="S245" s="231">
        <v>0</v>
      </c>
      <c r="T245" s="234">
        <v>0</v>
      </c>
      <c r="U245" s="231">
        <v>0</v>
      </c>
      <c r="V245" s="234">
        <v>0</v>
      </c>
      <c r="W245" s="231">
        <v>11.664333333333332</v>
      </c>
      <c r="X245" s="234">
        <v>0</v>
      </c>
      <c r="Y245" s="231">
        <v>0</v>
      </c>
      <c r="Z245" s="234">
        <v>0</v>
      </c>
      <c r="AA245" s="231">
        <v>0</v>
      </c>
      <c r="AB245" s="234">
        <v>0</v>
      </c>
      <c r="AC245" s="238">
        <f t="shared" si="12"/>
        <v>11.664333333333332</v>
      </c>
      <c r="AD245" s="238"/>
      <c r="AE245" s="238"/>
    </row>
    <row r="246" spans="2:31" x14ac:dyDescent="0.3">
      <c r="B246" s="245" t="s">
        <v>54</v>
      </c>
      <c r="C246" s="245"/>
      <c r="D246" s="245"/>
      <c r="E246" s="231">
        <v>0</v>
      </c>
      <c r="F246" s="234">
        <v>0</v>
      </c>
      <c r="G246" s="231">
        <v>0</v>
      </c>
      <c r="H246" s="234">
        <v>0</v>
      </c>
      <c r="I246" s="231">
        <v>0</v>
      </c>
      <c r="J246" s="234">
        <v>0</v>
      </c>
      <c r="K246" s="231">
        <v>0</v>
      </c>
      <c r="L246" s="234">
        <v>0</v>
      </c>
      <c r="M246" s="231">
        <v>0</v>
      </c>
      <c r="N246" s="234">
        <v>0</v>
      </c>
      <c r="O246" s="231">
        <v>0</v>
      </c>
      <c r="P246" s="234">
        <v>0</v>
      </c>
      <c r="Q246" s="231">
        <v>0</v>
      </c>
      <c r="R246" s="234">
        <v>0.60100000000000098</v>
      </c>
      <c r="S246" s="231">
        <v>1.2331666666666605</v>
      </c>
      <c r="T246" s="234">
        <v>7.7166666666670145E-2</v>
      </c>
      <c r="U246" s="231">
        <v>0</v>
      </c>
      <c r="V246" s="234">
        <v>2.454833333333335</v>
      </c>
      <c r="W246" s="231">
        <v>38.215999999999994</v>
      </c>
      <c r="X246" s="234">
        <v>22.492166666666666</v>
      </c>
      <c r="Y246" s="231">
        <v>0</v>
      </c>
      <c r="Z246" s="234">
        <v>0</v>
      </c>
      <c r="AA246" s="231">
        <v>0</v>
      </c>
      <c r="AB246" s="234">
        <v>0</v>
      </c>
      <c r="AC246" s="238">
        <f t="shared" si="12"/>
        <v>65.074333333333328</v>
      </c>
      <c r="AD246" s="238"/>
      <c r="AE246" s="238"/>
    </row>
    <row r="247" spans="2:31" x14ac:dyDescent="0.3">
      <c r="B247" s="245" t="s">
        <v>55</v>
      </c>
      <c r="C247" s="245"/>
      <c r="D247" s="245"/>
      <c r="E247" s="231">
        <v>0</v>
      </c>
      <c r="F247" s="234">
        <v>0</v>
      </c>
      <c r="G247" s="231">
        <v>0</v>
      </c>
      <c r="H247" s="234">
        <v>0</v>
      </c>
      <c r="I247" s="231">
        <v>0</v>
      </c>
      <c r="J247" s="234">
        <v>0</v>
      </c>
      <c r="K247" s="231">
        <v>0</v>
      </c>
      <c r="L247" s="234">
        <v>0</v>
      </c>
      <c r="M247" s="231">
        <v>0</v>
      </c>
      <c r="N247" s="234">
        <v>0</v>
      </c>
      <c r="O247" s="231">
        <v>0</v>
      </c>
      <c r="P247" s="234">
        <v>0</v>
      </c>
      <c r="Q247" s="231">
        <v>0</v>
      </c>
      <c r="R247" s="234">
        <v>0</v>
      </c>
      <c r="S247" s="231">
        <v>0</v>
      </c>
      <c r="T247" s="234">
        <v>0</v>
      </c>
      <c r="U247" s="231">
        <v>0</v>
      </c>
      <c r="V247" s="234">
        <v>2.4366666666666683</v>
      </c>
      <c r="W247" s="231">
        <v>44.226333333333329</v>
      </c>
      <c r="X247" s="234">
        <v>30.125999999999973</v>
      </c>
      <c r="Y247" s="231">
        <v>0</v>
      </c>
      <c r="Z247" s="234">
        <v>0</v>
      </c>
      <c r="AA247" s="231">
        <v>0</v>
      </c>
      <c r="AB247" s="234">
        <v>0</v>
      </c>
      <c r="AC247" s="238">
        <f t="shared" si="12"/>
        <v>76.788999999999973</v>
      </c>
      <c r="AD247" s="238"/>
      <c r="AE247" s="238"/>
    </row>
    <row r="248" spans="2:31" x14ac:dyDescent="0.3">
      <c r="B248" s="245" t="s">
        <v>56</v>
      </c>
      <c r="C248" s="245"/>
      <c r="D248" s="245"/>
      <c r="E248" s="231">
        <v>0</v>
      </c>
      <c r="F248" s="234">
        <v>0</v>
      </c>
      <c r="G248" s="231">
        <v>0</v>
      </c>
      <c r="H248" s="234">
        <v>0</v>
      </c>
      <c r="I248" s="231">
        <v>0</v>
      </c>
      <c r="J248" s="234">
        <v>0</v>
      </c>
      <c r="K248" s="231">
        <v>0</v>
      </c>
      <c r="L248" s="234">
        <v>0</v>
      </c>
      <c r="M248" s="231">
        <v>0</v>
      </c>
      <c r="N248" s="234">
        <v>0</v>
      </c>
      <c r="O248" s="231">
        <v>0</v>
      </c>
      <c r="P248" s="234">
        <v>0</v>
      </c>
      <c r="Q248" s="231">
        <v>0</v>
      </c>
      <c r="R248" s="234">
        <v>7.6166666666667507E-2</v>
      </c>
      <c r="S248" s="231">
        <v>0.59633333333333371</v>
      </c>
      <c r="T248" s="234">
        <v>0.86433333333333084</v>
      </c>
      <c r="U248" s="231">
        <v>0.60316666666666563</v>
      </c>
      <c r="V248" s="234">
        <v>2.5991666666666684</v>
      </c>
      <c r="W248" s="231">
        <v>12.272166666666669</v>
      </c>
      <c r="X248" s="234">
        <v>13.745166666666679</v>
      </c>
      <c r="Y248" s="231">
        <v>0</v>
      </c>
      <c r="Z248" s="234">
        <v>0</v>
      </c>
      <c r="AA248" s="231">
        <v>0</v>
      </c>
      <c r="AB248" s="234">
        <v>0</v>
      </c>
      <c r="AC248" s="238">
        <f t="shared" si="12"/>
        <v>30.75650000000001</v>
      </c>
      <c r="AD248" s="238"/>
      <c r="AE248" s="238"/>
    </row>
    <row r="249" spans="2:31" x14ac:dyDescent="0.3">
      <c r="B249" s="245" t="s">
        <v>94</v>
      </c>
      <c r="C249" s="245"/>
      <c r="D249" s="245"/>
      <c r="E249" s="231">
        <v>0</v>
      </c>
      <c r="F249" s="234">
        <v>0</v>
      </c>
      <c r="G249" s="231">
        <v>0</v>
      </c>
      <c r="H249" s="234">
        <v>0</v>
      </c>
      <c r="I249" s="231">
        <v>0</v>
      </c>
      <c r="J249" s="234">
        <v>0</v>
      </c>
      <c r="K249" s="231">
        <v>0</v>
      </c>
      <c r="L249" s="234">
        <v>0</v>
      </c>
      <c r="M249" s="231">
        <v>0</v>
      </c>
      <c r="N249" s="234">
        <v>0</v>
      </c>
      <c r="O249" s="231">
        <v>0</v>
      </c>
      <c r="P249" s="234">
        <v>0</v>
      </c>
      <c r="Q249" s="231">
        <v>0</v>
      </c>
      <c r="R249" s="234">
        <v>0</v>
      </c>
      <c r="S249" s="231">
        <v>0</v>
      </c>
      <c r="T249" s="234">
        <v>0</v>
      </c>
      <c r="U249" s="231">
        <v>0</v>
      </c>
      <c r="V249" s="234">
        <v>0</v>
      </c>
      <c r="W249" s="231">
        <v>0</v>
      </c>
      <c r="X249" s="234">
        <v>0</v>
      </c>
      <c r="Y249" s="231">
        <v>0</v>
      </c>
      <c r="Z249" s="234">
        <v>0</v>
      </c>
      <c r="AA249" s="231">
        <v>0</v>
      </c>
      <c r="AB249" s="234">
        <v>0</v>
      </c>
      <c r="AC249" s="238">
        <f t="shared" si="12"/>
        <v>0</v>
      </c>
      <c r="AD249" s="238"/>
      <c r="AE249" s="238"/>
    </row>
    <row r="250" spans="2:31" x14ac:dyDescent="0.3">
      <c r="B250" s="245" t="s">
        <v>57</v>
      </c>
      <c r="C250" s="245"/>
      <c r="D250" s="245"/>
      <c r="E250" s="231">
        <v>0</v>
      </c>
      <c r="F250" s="234">
        <v>0</v>
      </c>
      <c r="G250" s="231">
        <v>0</v>
      </c>
      <c r="H250" s="234">
        <v>0</v>
      </c>
      <c r="I250" s="231">
        <v>0</v>
      </c>
      <c r="J250" s="234">
        <v>0</v>
      </c>
      <c r="K250" s="231">
        <v>0</v>
      </c>
      <c r="L250" s="234">
        <v>0</v>
      </c>
      <c r="M250" s="231">
        <v>0</v>
      </c>
      <c r="N250" s="234">
        <v>0</v>
      </c>
      <c r="O250" s="231">
        <v>0</v>
      </c>
      <c r="P250" s="234">
        <v>0</v>
      </c>
      <c r="Q250" s="231">
        <v>0</v>
      </c>
      <c r="R250" s="234">
        <v>0.14783333333333334</v>
      </c>
      <c r="S250" s="231">
        <v>0.81866666666666743</v>
      </c>
      <c r="T250" s="234">
        <v>0.5623333333333328</v>
      </c>
      <c r="U250" s="231">
        <v>0.63283333333333358</v>
      </c>
      <c r="V250" s="234">
        <v>1.3443333333333325</v>
      </c>
      <c r="W250" s="231">
        <v>6.8593333333333328</v>
      </c>
      <c r="X250" s="234">
        <v>5.1066666666666665</v>
      </c>
      <c r="Y250" s="231">
        <v>0</v>
      </c>
      <c r="Z250" s="234">
        <v>0</v>
      </c>
      <c r="AA250" s="231">
        <v>0</v>
      </c>
      <c r="AB250" s="234">
        <v>0</v>
      </c>
      <c r="AC250" s="238">
        <f t="shared" si="12"/>
        <v>15.471999999999998</v>
      </c>
      <c r="AD250" s="238"/>
      <c r="AE250" s="238"/>
    </row>
    <row r="251" spans="2:31" x14ac:dyDescent="0.3">
      <c r="B251" s="245" t="s">
        <v>58</v>
      </c>
      <c r="C251" s="245"/>
      <c r="D251" s="245"/>
      <c r="E251" s="231">
        <v>0</v>
      </c>
      <c r="F251" s="234">
        <v>0</v>
      </c>
      <c r="G251" s="231">
        <v>0</v>
      </c>
      <c r="H251" s="234">
        <v>0</v>
      </c>
      <c r="I251" s="231">
        <v>0</v>
      </c>
      <c r="J251" s="234">
        <v>0</v>
      </c>
      <c r="K251" s="231">
        <v>0</v>
      </c>
      <c r="L251" s="234">
        <v>0</v>
      </c>
      <c r="M251" s="231">
        <v>0</v>
      </c>
      <c r="N251" s="234">
        <v>0</v>
      </c>
      <c r="O251" s="231">
        <v>0</v>
      </c>
      <c r="P251" s="234">
        <v>0</v>
      </c>
      <c r="Q251" s="231">
        <v>0</v>
      </c>
      <c r="R251" s="234">
        <v>0.37183333333333429</v>
      </c>
      <c r="S251" s="231">
        <v>1.5163333333333284</v>
      </c>
      <c r="T251" s="234">
        <v>1.2859999999999967</v>
      </c>
      <c r="U251" s="231">
        <v>1.257833333333334</v>
      </c>
      <c r="V251" s="234">
        <v>6.5608333333333313</v>
      </c>
      <c r="W251" s="231">
        <v>26.004333333333339</v>
      </c>
      <c r="X251" s="234">
        <v>20.33933333333335</v>
      </c>
      <c r="Y251" s="231">
        <v>0</v>
      </c>
      <c r="Z251" s="234">
        <v>0</v>
      </c>
      <c r="AA251" s="231">
        <v>0</v>
      </c>
      <c r="AB251" s="234">
        <v>0</v>
      </c>
      <c r="AC251" s="238">
        <f t="shared" si="12"/>
        <v>57.336500000000015</v>
      </c>
      <c r="AD251" s="238"/>
      <c r="AE251" s="238"/>
    </row>
    <row r="252" spans="2:31" x14ac:dyDescent="0.3">
      <c r="B252" s="245" t="s">
        <v>95</v>
      </c>
      <c r="C252" s="245"/>
      <c r="D252" s="245"/>
      <c r="E252" s="231">
        <v>0</v>
      </c>
      <c r="F252" s="234">
        <v>0</v>
      </c>
      <c r="G252" s="231">
        <v>0</v>
      </c>
      <c r="H252" s="234">
        <v>0</v>
      </c>
      <c r="I252" s="231">
        <v>0</v>
      </c>
      <c r="J252" s="234">
        <v>0</v>
      </c>
      <c r="K252" s="231">
        <v>0</v>
      </c>
      <c r="L252" s="234">
        <v>0</v>
      </c>
      <c r="M252" s="231">
        <v>0</v>
      </c>
      <c r="N252" s="234">
        <v>0</v>
      </c>
      <c r="O252" s="231">
        <v>0</v>
      </c>
      <c r="P252" s="234">
        <v>0</v>
      </c>
      <c r="Q252" s="231">
        <v>0</v>
      </c>
      <c r="R252" s="234">
        <v>0</v>
      </c>
      <c r="S252" s="231">
        <v>0</v>
      </c>
      <c r="T252" s="234">
        <v>0</v>
      </c>
      <c r="U252" s="231">
        <v>0</v>
      </c>
      <c r="V252" s="234">
        <v>0</v>
      </c>
      <c r="W252" s="231">
        <v>0</v>
      </c>
      <c r="X252" s="234">
        <v>0</v>
      </c>
      <c r="Y252" s="231">
        <v>0</v>
      </c>
      <c r="Z252" s="234">
        <v>0</v>
      </c>
      <c r="AA252" s="231">
        <v>0</v>
      </c>
      <c r="AB252" s="234">
        <v>0</v>
      </c>
      <c r="AC252" s="238">
        <f t="shared" si="12"/>
        <v>0</v>
      </c>
      <c r="AD252" s="238"/>
      <c r="AE252" s="238"/>
    </row>
    <row r="253" spans="2:31" x14ac:dyDescent="0.3">
      <c r="B253" s="245" t="s">
        <v>59</v>
      </c>
      <c r="C253" s="245"/>
      <c r="D253" s="245"/>
      <c r="E253" s="231">
        <v>0</v>
      </c>
      <c r="F253" s="234">
        <v>0</v>
      </c>
      <c r="G253" s="231">
        <v>0</v>
      </c>
      <c r="H253" s="234">
        <v>0</v>
      </c>
      <c r="I253" s="231">
        <v>0</v>
      </c>
      <c r="J253" s="234">
        <v>0</v>
      </c>
      <c r="K253" s="231">
        <v>0</v>
      </c>
      <c r="L253" s="234">
        <v>0</v>
      </c>
      <c r="M253" s="231">
        <v>0</v>
      </c>
      <c r="N253" s="234">
        <v>0</v>
      </c>
      <c r="O253" s="231">
        <v>0</v>
      </c>
      <c r="P253" s="234">
        <v>0</v>
      </c>
      <c r="Q253" s="231">
        <v>0</v>
      </c>
      <c r="R253" s="234">
        <v>4.1866666666666665</v>
      </c>
      <c r="S253" s="231">
        <v>17.123500000000003</v>
      </c>
      <c r="T253" s="234">
        <v>17.22016666666665</v>
      </c>
      <c r="U253" s="231">
        <v>18.00116666666667</v>
      </c>
      <c r="V253" s="234">
        <v>21.556499999999993</v>
      </c>
      <c r="W253" s="231">
        <v>31.600666666666669</v>
      </c>
      <c r="X253" s="234">
        <v>19.879166666666649</v>
      </c>
      <c r="Y253" s="231">
        <v>0</v>
      </c>
      <c r="Z253" s="234">
        <v>0</v>
      </c>
      <c r="AA253" s="231">
        <v>0</v>
      </c>
      <c r="AB253" s="234">
        <v>0</v>
      </c>
      <c r="AC253" s="238">
        <f t="shared" si="12"/>
        <v>129.56783333333328</v>
      </c>
      <c r="AD253" s="238"/>
      <c r="AE253" s="238"/>
    </row>
    <row r="254" spans="2:31" x14ac:dyDescent="0.3">
      <c r="B254" s="245" t="s">
        <v>60</v>
      </c>
      <c r="C254" s="245"/>
      <c r="D254" s="245"/>
      <c r="E254" s="231">
        <v>0</v>
      </c>
      <c r="F254" s="234">
        <v>0</v>
      </c>
      <c r="G254" s="231">
        <v>0</v>
      </c>
      <c r="H254" s="234">
        <v>0</v>
      </c>
      <c r="I254" s="231">
        <v>0</v>
      </c>
      <c r="J254" s="234">
        <v>0</v>
      </c>
      <c r="K254" s="231">
        <v>0</v>
      </c>
      <c r="L254" s="234">
        <v>0</v>
      </c>
      <c r="M254" s="231">
        <v>0</v>
      </c>
      <c r="N254" s="234">
        <v>0</v>
      </c>
      <c r="O254" s="231">
        <v>0</v>
      </c>
      <c r="P254" s="234">
        <v>0</v>
      </c>
      <c r="Q254" s="231">
        <v>0</v>
      </c>
      <c r="R254" s="234">
        <v>0</v>
      </c>
      <c r="S254" s="231">
        <v>0</v>
      </c>
      <c r="T254" s="234">
        <v>0</v>
      </c>
      <c r="U254" s="231">
        <v>0</v>
      </c>
      <c r="V254" s="234">
        <v>0.41383333333333355</v>
      </c>
      <c r="W254" s="231">
        <v>17.690833333333334</v>
      </c>
      <c r="X254" s="234">
        <v>17.365666666666652</v>
      </c>
      <c r="Y254" s="231">
        <v>0</v>
      </c>
      <c r="Z254" s="234">
        <v>0</v>
      </c>
      <c r="AA254" s="231">
        <v>0</v>
      </c>
      <c r="AB254" s="234">
        <v>0</v>
      </c>
      <c r="AC254" s="238">
        <f t="shared" si="12"/>
        <v>35.470333333333315</v>
      </c>
      <c r="AD254" s="238"/>
      <c r="AE254" s="238"/>
    </row>
    <row r="255" spans="2:31" x14ac:dyDescent="0.3">
      <c r="B255" s="245" t="s">
        <v>61</v>
      </c>
      <c r="C255" s="245"/>
      <c r="D255" s="245"/>
      <c r="E255" s="231">
        <v>0</v>
      </c>
      <c r="F255" s="234">
        <v>0</v>
      </c>
      <c r="G255" s="231">
        <v>0</v>
      </c>
      <c r="H255" s="234">
        <v>0</v>
      </c>
      <c r="I255" s="231">
        <v>0</v>
      </c>
      <c r="J255" s="234">
        <v>0</v>
      </c>
      <c r="K255" s="231">
        <v>0</v>
      </c>
      <c r="L255" s="234">
        <v>0</v>
      </c>
      <c r="M255" s="231">
        <v>0</v>
      </c>
      <c r="N255" s="234">
        <v>0</v>
      </c>
      <c r="O255" s="231">
        <v>0</v>
      </c>
      <c r="P255" s="234">
        <v>0</v>
      </c>
      <c r="Q255" s="231">
        <v>0</v>
      </c>
      <c r="R255" s="234">
        <v>0</v>
      </c>
      <c r="S255" s="231">
        <v>0</v>
      </c>
      <c r="T255" s="234">
        <v>0</v>
      </c>
      <c r="U255" s="231">
        <v>0</v>
      </c>
      <c r="V255" s="234">
        <v>0.31566666666666593</v>
      </c>
      <c r="W255" s="231">
        <v>28.091833333333337</v>
      </c>
      <c r="X255" s="234">
        <v>20.171166666666672</v>
      </c>
      <c r="Y255" s="231">
        <v>0</v>
      </c>
      <c r="Z255" s="234">
        <v>0</v>
      </c>
      <c r="AA255" s="231">
        <v>0</v>
      </c>
      <c r="AB255" s="234">
        <v>0</v>
      </c>
      <c r="AC255" s="238">
        <f t="shared" si="12"/>
        <v>48.578666666666678</v>
      </c>
      <c r="AD255" s="238"/>
      <c r="AE255" s="238"/>
    </row>
    <row r="256" spans="2:31" x14ac:dyDescent="0.3">
      <c r="B256" s="245" t="s">
        <v>62</v>
      </c>
      <c r="C256" s="245"/>
      <c r="D256" s="245"/>
      <c r="E256" s="231">
        <v>0</v>
      </c>
      <c r="F256" s="234">
        <v>0</v>
      </c>
      <c r="G256" s="231">
        <v>0</v>
      </c>
      <c r="H256" s="234">
        <v>0</v>
      </c>
      <c r="I256" s="231">
        <v>0</v>
      </c>
      <c r="J256" s="234">
        <v>0</v>
      </c>
      <c r="K256" s="231">
        <v>0</v>
      </c>
      <c r="L256" s="234">
        <v>0</v>
      </c>
      <c r="M256" s="231">
        <v>0</v>
      </c>
      <c r="N256" s="234">
        <v>0</v>
      </c>
      <c r="O256" s="231">
        <v>0</v>
      </c>
      <c r="P256" s="234">
        <v>0</v>
      </c>
      <c r="Q256" s="231">
        <v>0</v>
      </c>
      <c r="R256" s="234">
        <v>0</v>
      </c>
      <c r="S256" s="231">
        <v>0</v>
      </c>
      <c r="T256" s="234">
        <v>0</v>
      </c>
      <c r="U256" s="231">
        <v>0</v>
      </c>
      <c r="V256" s="234">
        <v>7.2333333333333152E-2</v>
      </c>
      <c r="W256" s="231">
        <v>14.648166666666667</v>
      </c>
      <c r="X256" s="234">
        <v>18.028833333333328</v>
      </c>
      <c r="Y256" s="231">
        <v>0</v>
      </c>
      <c r="Z256" s="234">
        <v>0</v>
      </c>
      <c r="AA256" s="231">
        <v>0</v>
      </c>
      <c r="AB256" s="234">
        <v>0</v>
      </c>
      <c r="AC256" s="238">
        <f t="shared" si="12"/>
        <v>32.749333333333325</v>
      </c>
      <c r="AD256" s="238"/>
      <c r="AE256" s="238"/>
    </row>
    <row r="257" spans="2:31" x14ac:dyDescent="0.3">
      <c r="B257" s="245" t="s">
        <v>63</v>
      </c>
      <c r="C257" s="245"/>
      <c r="D257" s="245"/>
      <c r="E257" s="231">
        <v>0</v>
      </c>
      <c r="F257" s="234">
        <v>0</v>
      </c>
      <c r="G257" s="231">
        <v>0</v>
      </c>
      <c r="H257" s="234">
        <v>0</v>
      </c>
      <c r="I257" s="231">
        <v>0</v>
      </c>
      <c r="J257" s="234">
        <v>0</v>
      </c>
      <c r="K257" s="231">
        <v>0</v>
      </c>
      <c r="L257" s="234">
        <v>0</v>
      </c>
      <c r="M257" s="231">
        <v>0</v>
      </c>
      <c r="N257" s="234">
        <v>0</v>
      </c>
      <c r="O257" s="231">
        <v>0</v>
      </c>
      <c r="P257" s="234">
        <v>0</v>
      </c>
      <c r="Q257" s="231">
        <v>0</v>
      </c>
      <c r="R257" s="234">
        <v>0.65666666666666862</v>
      </c>
      <c r="S257" s="231">
        <v>2.2874999999999881</v>
      </c>
      <c r="T257" s="234">
        <v>2.2618333333333243</v>
      </c>
      <c r="U257" s="231">
        <v>2.1911666666666552</v>
      </c>
      <c r="V257" s="234">
        <v>4.0554999999999906</v>
      </c>
      <c r="W257" s="231">
        <v>83.059499999999971</v>
      </c>
      <c r="X257" s="234">
        <v>78.311166666666722</v>
      </c>
      <c r="Y257" s="231">
        <v>0</v>
      </c>
      <c r="Z257" s="234">
        <v>0</v>
      </c>
      <c r="AA257" s="231">
        <v>0</v>
      </c>
      <c r="AB257" s="234">
        <v>0</v>
      </c>
      <c r="AC257" s="238">
        <f t="shared" si="12"/>
        <v>172.82333333333332</v>
      </c>
      <c r="AD257" s="238"/>
      <c r="AE257" s="238"/>
    </row>
    <row r="258" spans="2:31" x14ac:dyDescent="0.3">
      <c r="B258" s="245" t="s">
        <v>64</v>
      </c>
      <c r="C258" s="245"/>
      <c r="D258" s="245"/>
      <c r="E258" s="231">
        <v>0</v>
      </c>
      <c r="F258" s="234">
        <v>0</v>
      </c>
      <c r="G258" s="231">
        <v>0</v>
      </c>
      <c r="H258" s="234">
        <v>0</v>
      </c>
      <c r="I258" s="231">
        <v>0</v>
      </c>
      <c r="J258" s="234">
        <v>0</v>
      </c>
      <c r="K258" s="231">
        <v>0</v>
      </c>
      <c r="L258" s="234">
        <v>0</v>
      </c>
      <c r="M258" s="231">
        <v>0</v>
      </c>
      <c r="N258" s="234">
        <v>0</v>
      </c>
      <c r="O258" s="231">
        <v>0</v>
      </c>
      <c r="P258" s="234">
        <v>0</v>
      </c>
      <c r="Q258" s="231">
        <v>0</v>
      </c>
      <c r="R258" s="234">
        <v>0.67616666666666714</v>
      </c>
      <c r="S258" s="231">
        <v>2.5203333333333315</v>
      </c>
      <c r="T258" s="234">
        <v>2.5483333333333302</v>
      </c>
      <c r="U258" s="231">
        <v>3.5550000000000028</v>
      </c>
      <c r="V258" s="234">
        <v>6.2905000000000006</v>
      </c>
      <c r="W258" s="231">
        <v>25.695166666666672</v>
      </c>
      <c r="X258" s="234">
        <v>22.829166666666691</v>
      </c>
      <c r="Y258" s="231">
        <v>0</v>
      </c>
      <c r="Z258" s="234">
        <v>0</v>
      </c>
      <c r="AA258" s="231">
        <v>0</v>
      </c>
      <c r="AB258" s="234">
        <v>0</v>
      </c>
      <c r="AC258" s="238">
        <f t="shared" si="12"/>
        <v>64.114666666666693</v>
      </c>
      <c r="AD258" s="238"/>
      <c r="AE258" s="238"/>
    </row>
    <row r="259" spans="2:31" x14ac:dyDescent="0.3">
      <c r="B259" s="245" t="s">
        <v>96</v>
      </c>
      <c r="C259" s="245"/>
      <c r="D259" s="245"/>
      <c r="E259" s="231">
        <v>0</v>
      </c>
      <c r="F259" s="234">
        <v>0</v>
      </c>
      <c r="G259" s="231">
        <v>0</v>
      </c>
      <c r="H259" s="234">
        <v>0</v>
      </c>
      <c r="I259" s="231">
        <v>0</v>
      </c>
      <c r="J259" s="234">
        <v>0</v>
      </c>
      <c r="K259" s="231">
        <v>0</v>
      </c>
      <c r="L259" s="234">
        <v>0</v>
      </c>
      <c r="M259" s="231">
        <v>0</v>
      </c>
      <c r="N259" s="234">
        <v>0</v>
      </c>
      <c r="O259" s="231">
        <v>0</v>
      </c>
      <c r="P259" s="234">
        <v>0</v>
      </c>
      <c r="Q259" s="231">
        <v>0</v>
      </c>
      <c r="R259" s="234">
        <v>0</v>
      </c>
      <c r="S259" s="231">
        <v>0</v>
      </c>
      <c r="T259" s="234">
        <v>0</v>
      </c>
      <c r="U259" s="231">
        <v>0</v>
      </c>
      <c r="V259" s="234">
        <v>0</v>
      </c>
      <c r="W259" s="231">
        <v>0</v>
      </c>
      <c r="X259" s="234">
        <v>0</v>
      </c>
      <c r="Y259" s="231">
        <v>0</v>
      </c>
      <c r="Z259" s="234">
        <v>0</v>
      </c>
      <c r="AA259" s="231">
        <v>0</v>
      </c>
      <c r="AB259" s="234">
        <v>0</v>
      </c>
      <c r="AC259" s="238">
        <f t="shared" si="12"/>
        <v>0</v>
      </c>
      <c r="AD259" s="238"/>
      <c r="AE259" s="238"/>
    </row>
    <row r="260" spans="2:31" x14ac:dyDescent="0.3">
      <c r="B260" s="245" t="s">
        <v>65</v>
      </c>
      <c r="C260" s="245"/>
      <c r="D260" s="245"/>
      <c r="E260" s="231">
        <v>0</v>
      </c>
      <c r="F260" s="234">
        <v>0</v>
      </c>
      <c r="G260" s="231">
        <v>0</v>
      </c>
      <c r="H260" s="234">
        <v>0</v>
      </c>
      <c r="I260" s="231">
        <v>0</v>
      </c>
      <c r="J260" s="234">
        <v>0</v>
      </c>
      <c r="K260" s="231">
        <v>0</v>
      </c>
      <c r="L260" s="234">
        <v>0</v>
      </c>
      <c r="M260" s="231">
        <v>0</v>
      </c>
      <c r="N260" s="234">
        <v>0</v>
      </c>
      <c r="O260" s="231">
        <v>0</v>
      </c>
      <c r="P260" s="234">
        <v>0</v>
      </c>
      <c r="Q260" s="231">
        <v>0</v>
      </c>
      <c r="R260" s="234">
        <v>0.42500000000000071</v>
      </c>
      <c r="S260" s="231">
        <v>1.9791666666666667</v>
      </c>
      <c r="T260" s="234">
        <v>1.2201666666666704</v>
      </c>
      <c r="U260" s="231">
        <v>0.73550000000000304</v>
      </c>
      <c r="V260" s="234">
        <v>6.6659999999999995</v>
      </c>
      <c r="W260" s="231">
        <v>18.356666666666662</v>
      </c>
      <c r="X260" s="234">
        <v>9.1466666666666647</v>
      </c>
      <c r="Y260" s="231">
        <v>0</v>
      </c>
      <c r="Z260" s="234">
        <v>0</v>
      </c>
      <c r="AA260" s="231">
        <v>0</v>
      </c>
      <c r="AB260" s="234">
        <v>0</v>
      </c>
      <c r="AC260" s="238">
        <f t="shared" si="12"/>
        <v>38.529166666666669</v>
      </c>
      <c r="AD260" s="238"/>
      <c r="AE260" s="238"/>
    </row>
    <row r="261" spans="2:31" x14ac:dyDescent="0.3">
      <c r="B261" s="245" t="s">
        <v>66</v>
      </c>
      <c r="C261" s="245"/>
      <c r="D261" s="245"/>
      <c r="E261" s="231">
        <v>0</v>
      </c>
      <c r="F261" s="234">
        <v>0</v>
      </c>
      <c r="G261" s="231">
        <v>0</v>
      </c>
      <c r="H261" s="234">
        <v>0</v>
      </c>
      <c r="I261" s="231">
        <v>0</v>
      </c>
      <c r="J261" s="234">
        <v>0</v>
      </c>
      <c r="K261" s="231">
        <v>0</v>
      </c>
      <c r="L261" s="234">
        <v>0</v>
      </c>
      <c r="M261" s="231">
        <v>0</v>
      </c>
      <c r="N261" s="234">
        <v>0</v>
      </c>
      <c r="O261" s="231">
        <v>0</v>
      </c>
      <c r="P261" s="234">
        <v>0</v>
      </c>
      <c r="Q261" s="231">
        <v>0</v>
      </c>
      <c r="R261" s="234">
        <v>1.410666666666667</v>
      </c>
      <c r="S261" s="231">
        <v>5.2251666666666683</v>
      </c>
      <c r="T261" s="234">
        <v>5.126666666666666</v>
      </c>
      <c r="U261" s="231">
        <v>4.6021666666666725</v>
      </c>
      <c r="V261" s="234">
        <v>7.0856666666666683</v>
      </c>
      <c r="W261" s="231">
        <v>20.095500000000001</v>
      </c>
      <c r="X261" s="234">
        <v>22.253166666666683</v>
      </c>
      <c r="Y261" s="231">
        <v>0</v>
      </c>
      <c r="Z261" s="234">
        <v>0</v>
      </c>
      <c r="AA261" s="231">
        <v>0</v>
      </c>
      <c r="AB261" s="234">
        <v>0</v>
      </c>
      <c r="AC261" s="238">
        <f>SUM(E261:AB261)</f>
        <v>65.799000000000021</v>
      </c>
      <c r="AD261" s="238"/>
      <c r="AE261" s="238"/>
    </row>
    <row r="262" spans="2:31" x14ac:dyDescent="0.3">
      <c r="B262" s="245" t="s">
        <v>67</v>
      </c>
      <c r="C262" s="245"/>
      <c r="D262" s="245"/>
      <c r="E262" s="231">
        <v>0</v>
      </c>
      <c r="F262" s="234">
        <v>0</v>
      </c>
      <c r="G262" s="231">
        <v>0</v>
      </c>
      <c r="H262" s="234">
        <v>0</v>
      </c>
      <c r="I262" s="231">
        <v>0</v>
      </c>
      <c r="J262" s="234">
        <v>0</v>
      </c>
      <c r="K262" s="231">
        <v>0</v>
      </c>
      <c r="L262" s="234">
        <v>0</v>
      </c>
      <c r="M262" s="231">
        <v>0</v>
      </c>
      <c r="N262" s="234">
        <v>0</v>
      </c>
      <c r="O262" s="231">
        <v>0</v>
      </c>
      <c r="P262" s="234">
        <v>0</v>
      </c>
      <c r="Q262" s="231">
        <v>0</v>
      </c>
      <c r="R262" s="234">
        <v>0.2736666666666665</v>
      </c>
      <c r="S262" s="231">
        <v>1.4971666666666654</v>
      </c>
      <c r="T262" s="234">
        <v>2.4149999999999996</v>
      </c>
      <c r="U262" s="231">
        <v>6.1220000000000052</v>
      </c>
      <c r="V262" s="234">
        <v>13.024333333333344</v>
      </c>
      <c r="W262" s="231">
        <v>11.199999999999996</v>
      </c>
      <c r="X262" s="234">
        <v>4.9816666666666674</v>
      </c>
      <c r="Y262" s="231">
        <v>0</v>
      </c>
      <c r="Z262" s="234">
        <v>0</v>
      </c>
      <c r="AA262" s="231">
        <v>0</v>
      </c>
      <c r="AB262" s="234">
        <v>0</v>
      </c>
      <c r="AC262" s="238">
        <f t="shared" ref="AC262:AC275" si="13">SUM(E262:AB262)</f>
        <v>39.513833333333345</v>
      </c>
      <c r="AD262" s="238"/>
      <c r="AE262" s="238"/>
    </row>
    <row r="263" spans="2:31" x14ac:dyDescent="0.3">
      <c r="B263" s="245" t="s">
        <v>68</v>
      </c>
      <c r="C263" s="245"/>
      <c r="D263" s="245"/>
      <c r="E263" s="231">
        <v>0</v>
      </c>
      <c r="F263" s="234">
        <v>0</v>
      </c>
      <c r="G263" s="231">
        <v>0</v>
      </c>
      <c r="H263" s="234">
        <v>0</v>
      </c>
      <c r="I263" s="231">
        <v>0</v>
      </c>
      <c r="J263" s="234">
        <v>0</v>
      </c>
      <c r="K263" s="231">
        <v>0</v>
      </c>
      <c r="L263" s="234">
        <v>0</v>
      </c>
      <c r="M263" s="231">
        <v>0</v>
      </c>
      <c r="N263" s="234">
        <v>0</v>
      </c>
      <c r="O263" s="231">
        <v>0</v>
      </c>
      <c r="P263" s="234">
        <v>0</v>
      </c>
      <c r="Q263" s="231">
        <v>0</v>
      </c>
      <c r="R263" s="234">
        <v>15.425000000000004</v>
      </c>
      <c r="S263" s="231">
        <v>60.099999999999937</v>
      </c>
      <c r="T263" s="234">
        <v>55.099999999999945</v>
      </c>
      <c r="U263" s="231">
        <v>46.199999999999974</v>
      </c>
      <c r="V263" s="234">
        <v>35</v>
      </c>
      <c r="W263" s="231">
        <v>22.700000000000024</v>
      </c>
      <c r="X263" s="234">
        <v>7.6766666666666605</v>
      </c>
      <c r="Y263" s="231">
        <v>0</v>
      </c>
      <c r="Z263" s="234">
        <v>0</v>
      </c>
      <c r="AA263" s="231">
        <v>0</v>
      </c>
      <c r="AB263" s="234">
        <v>0</v>
      </c>
      <c r="AC263" s="238">
        <f t="shared" si="13"/>
        <v>242.20166666666654</v>
      </c>
      <c r="AD263" s="238"/>
      <c r="AE263" s="238"/>
    </row>
    <row r="264" spans="2:31" x14ac:dyDescent="0.3">
      <c r="B264" s="245" t="s">
        <v>69</v>
      </c>
      <c r="C264" s="245"/>
      <c r="D264" s="245"/>
      <c r="E264" s="231">
        <v>0</v>
      </c>
      <c r="F264" s="234">
        <v>0</v>
      </c>
      <c r="G264" s="231">
        <v>0</v>
      </c>
      <c r="H264" s="234">
        <v>0</v>
      </c>
      <c r="I264" s="231">
        <v>0</v>
      </c>
      <c r="J264" s="234">
        <v>0</v>
      </c>
      <c r="K264" s="231">
        <v>0</v>
      </c>
      <c r="L264" s="234">
        <v>0</v>
      </c>
      <c r="M264" s="231">
        <v>0</v>
      </c>
      <c r="N264" s="234">
        <v>0</v>
      </c>
      <c r="O264" s="231">
        <v>0</v>
      </c>
      <c r="P264" s="234">
        <v>0</v>
      </c>
      <c r="Q264" s="231">
        <v>0</v>
      </c>
      <c r="R264" s="234">
        <v>1.363333333333332</v>
      </c>
      <c r="S264" s="231">
        <v>5.3389999999999933</v>
      </c>
      <c r="T264" s="234">
        <v>5.4730000000000052</v>
      </c>
      <c r="U264" s="231">
        <v>5.92566666666667</v>
      </c>
      <c r="V264" s="234">
        <v>13.683166666666672</v>
      </c>
      <c r="W264" s="231">
        <v>33.033166666666666</v>
      </c>
      <c r="X264" s="234">
        <v>22.49616666666665</v>
      </c>
      <c r="Y264" s="231">
        <v>0</v>
      </c>
      <c r="Z264" s="234">
        <v>0</v>
      </c>
      <c r="AA264" s="231">
        <v>0</v>
      </c>
      <c r="AB264" s="234">
        <v>0</v>
      </c>
      <c r="AC264" s="238">
        <f t="shared" si="13"/>
        <v>87.313499999999991</v>
      </c>
      <c r="AD264" s="238"/>
      <c r="AE264" s="238"/>
    </row>
    <row r="265" spans="2:31" x14ac:dyDescent="0.3">
      <c r="B265" s="245" t="s">
        <v>70</v>
      </c>
      <c r="C265" s="245"/>
      <c r="D265" s="245"/>
      <c r="E265" s="231">
        <v>0</v>
      </c>
      <c r="F265" s="234">
        <v>0</v>
      </c>
      <c r="G265" s="231">
        <v>0</v>
      </c>
      <c r="H265" s="234">
        <v>0</v>
      </c>
      <c r="I265" s="231">
        <v>0</v>
      </c>
      <c r="J265" s="234">
        <v>0</v>
      </c>
      <c r="K265" s="231">
        <v>0</v>
      </c>
      <c r="L265" s="234">
        <v>0</v>
      </c>
      <c r="M265" s="231">
        <v>0</v>
      </c>
      <c r="N265" s="234">
        <v>0</v>
      </c>
      <c r="O265" s="231">
        <v>0</v>
      </c>
      <c r="P265" s="234">
        <v>0</v>
      </c>
      <c r="Q265" s="231">
        <v>0</v>
      </c>
      <c r="R265" s="234">
        <v>6.9500000000000034E-2</v>
      </c>
      <c r="S265" s="231">
        <v>9.4019999999999921</v>
      </c>
      <c r="T265" s="234">
        <v>0.24800000000000039</v>
      </c>
      <c r="U265" s="231">
        <v>0.77350000000000141</v>
      </c>
      <c r="V265" s="234">
        <v>6.6713333333333313</v>
      </c>
      <c r="W265" s="231">
        <v>24.198333333333338</v>
      </c>
      <c r="X265" s="234">
        <v>29.19416666666665</v>
      </c>
      <c r="Y265" s="231">
        <v>0</v>
      </c>
      <c r="Z265" s="234">
        <v>0</v>
      </c>
      <c r="AA265" s="231">
        <v>0</v>
      </c>
      <c r="AB265" s="234">
        <v>0</v>
      </c>
      <c r="AC265" s="238">
        <f t="shared" si="13"/>
        <v>70.556833333333316</v>
      </c>
      <c r="AD265" s="238"/>
      <c r="AE265" s="238"/>
    </row>
    <row r="266" spans="2:31" x14ac:dyDescent="0.3">
      <c r="B266" s="245" t="s">
        <v>71</v>
      </c>
      <c r="C266" s="245"/>
      <c r="D266" s="245"/>
      <c r="E266" s="231">
        <v>0</v>
      </c>
      <c r="F266" s="234">
        <v>0</v>
      </c>
      <c r="G266" s="231">
        <v>0</v>
      </c>
      <c r="H266" s="234">
        <v>0</v>
      </c>
      <c r="I266" s="231">
        <v>0</v>
      </c>
      <c r="J266" s="234">
        <v>0</v>
      </c>
      <c r="K266" s="231">
        <v>0</v>
      </c>
      <c r="L266" s="234">
        <v>0</v>
      </c>
      <c r="M266" s="231">
        <v>0</v>
      </c>
      <c r="N266" s="234">
        <v>0</v>
      </c>
      <c r="O266" s="231">
        <v>0</v>
      </c>
      <c r="P266" s="234">
        <v>0</v>
      </c>
      <c r="Q266" s="231">
        <v>0</v>
      </c>
      <c r="R266" s="234">
        <v>0</v>
      </c>
      <c r="S266" s="231">
        <v>0</v>
      </c>
      <c r="T266" s="234">
        <v>0</v>
      </c>
      <c r="U266" s="231">
        <v>2.499999999999929E-2</v>
      </c>
      <c r="V266" s="234">
        <v>2.9781666666666675</v>
      </c>
      <c r="W266" s="231">
        <v>19.552999999999994</v>
      </c>
      <c r="X266" s="234">
        <v>26.727333333333352</v>
      </c>
      <c r="Y266" s="231">
        <v>0</v>
      </c>
      <c r="Z266" s="234">
        <v>0</v>
      </c>
      <c r="AA266" s="231">
        <v>0</v>
      </c>
      <c r="AB266" s="234">
        <v>0</v>
      </c>
      <c r="AC266" s="238">
        <f t="shared" si="13"/>
        <v>49.283500000000018</v>
      </c>
      <c r="AD266" s="238"/>
      <c r="AE266" s="238"/>
    </row>
    <row r="267" spans="2:31" x14ac:dyDescent="0.3">
      <c r="B267" s="245" t="s">
        <v>72</v>
      </c>
      <c r="C267" s="245"/>
      <c r="D267" s="245"/>
      <c r="E267" s="231">
        <v>0</v>
      </c>
      <c r="F267" s="234">
        <v>0</v>
      </c>
      <c r="G267" s="231">
        <v>0</v>
      </c>
      <c r="H267" s="234">
        <v>0</v>
      </c>
      <c r="I267" s="231">
        <v>0</v>
      </c>
      <c r="J267" s="234">
        <v>0</v>
      </c>
      <c r="K267" s="231">
        <v>0</v>
      </c>
      <c r="L267" s="234">
        <v>0</v>
      </c>
      <c r="M267" s="231">
        <v>0</v>
      </c>
      <c r="N267" s="234">
        <v>0</v>
      </c>
      <c r="O267" s="231">
        <v>0</v>
      </c>
      <c r="P267" s="234">
        <v>0</v>
      </c>
      <c r="Q267" s="231">
        <v>0</v>
      </c>
      <c r="R267" s="234">
        <v>0.29616666666666636</v>
      </c>
      <c r="S267" s="231">
        <v>0.87433333333333429</v>
      </c>
      <c r="T267" s="234">
        <v>0.55116666666666825</v>
      </c>
      <c r="U267" s="231">
        <v>0.55883333333333418</v>
      </c>
      <c r="V267" s="234">
        <v>3.1994999999999991</v>
      </c>
      <c r="W267" s="231">
        <v>14.533333333333333</v>
      </c>
      <c r="X267" s="234">
        <v>10.456666666666656</v>
      </c>
      <c r="Y267" s="231">
        <v>0</v>
      </c>
      <c r="Z267" s="234">
        <v>0</v>
      </c>
      <c r="AA267" s="231">
        <v>0</v>
      </c>
      <c r="AB267" s="234">
        <v>0</v>
      </c>
      <c r="AC267" s="238">
        <f t="shared" si="13"/>
        <v>30.469999999999992</v>
      </c>
      <c r="AD267" s="238"/>
      <c r="AE267" s="238"/>
    </row>
    <row r="268" spans="2:31" x14ac:dyDescent="0.3">
      <c r="B268" s="245" t="s">
        <v>73</v>
      </c>
      <c r="C268" s="245"/>
      <c r="D268" s="245"/>
      <c r="E268" s="231">
        <v>0</v>
      </c>
      <c r="F268" s="234">
        <v>0</v>
      </c>
      <c r="G268" s="231">
        <v>0</v>
      </c>
      <c r="H268" s="234">
        <v>0</v>
      </c>
      <c r="I268" s="231">
        <v>0</v>
      </c>
      <c r="J268" s="234">
        <v>0</v>
      </c>
      <c r="K268" s="231">
        <v>0</v>
      </c>
      <c r="L268" s="234">
        <v>0</v>
      </c>
      <c r="M268" s="231">
        <v>0</v>
      </c>
      <c r="N268" s="234">
        <v>0</v>
      </c>
      <c r="O268" s="231">
        <v>0</v>
      </c>
      <c r="P268" s="234">
        <v>0</v>
      </c>
      <c r="Q268" s="231">
        <v>0</v>
      </c>
      <c r="R268" s="234">
        <v>1.5500000000000588E-2</v>
      </c>
      <c r="S268" s="231">
        <v>4.3166666666668616E-2</v>
      </c>
      <c r="T268" s="234">
        <v>4.6666666666666384E-2</v>
      </c>
      <c r="U268" s="231">
        <v>7.4166666666668365E-2</v>
      </c>
      <c r="V268" s="234">
        <v>18.915999999999997</v>
      </c>
      <c r="W268" s="231">
        <v>69.181166666666655</v>
      </c>
      <c r="X268" s="234">
        <v>65.375833333333333</v>
      </c>
      <c r="Y268" s="231">
        <v>0</v>
      </c>
      <c r="Z268" s="234">
        <v>0</v>
      </c>
      <c r="AA268" s="231">
        <v>0</v>
      </c>
      <c r="AB268" s="234">
        <v>0</v>
      </c>
      <c r="AC268" s="238">
        <f t="shared" si="13"/>
        <v>153.65249999999997</v>
      </c>
      <c r="AD268" s="238"/>
      <c r="AE268" s="238"/>
    </row>
    <row r="269" spans="2:31" x14ac:dyDescent="0.3">
      <c r="B269" s="245" t="s">
        <v>74</v>
      </c>
      <c r="C269" s="245"/>
      <c r="D269" s="245"/>
      <c r="E269" s="231">
        <v>0</v>
      </c>
      <c r="F269" s="234">
        <v>0</v>
      </c>
      <c r="G269" s="231">
        <v>0</v>
      </c>
      <c r="H269" s="234">
        <v>0</v>
      </c>
      <c r="I269" s="231">
        <v>0</v>
      </c>
      <c r="J269" s="234">
        <v>0</v>
      </c>
      <c r="K269" s="231">
        <v>0</v>
      </c>
      <c r="L269" s="234">
        <v>0</v>
      </c>
      <c r="M269" s="231">
        <v>0</v>
      </c>
      <c r="N269" s="234">
        <v>0</v>
      </c>
      <c r="O269" s="231">
        <v>0</v>
      </c>
      <c r="P269" s="234">
        <v>0</v>
      </c>
      <c r="Q269" s="231">
        <v>0</v>
      </c>
      <c r="R269" s="234">
        <v>0</v>
      </c>
      <c r="S269" s="231">
        <v>4.0851666666666659</v>
      </c>
      <c r="T269" s="234">
        <v>3.1364999999999985</v>
      </c>
      <c r="U269" s="231">
        <v>5.4436666666666644</v>
      </c>
      <c r="V269" s="234">
        <v>7.1166666666666636</v>
      </c>
      <c r="W269" s="231">
        <v>7.3793333333333262</v>
      </c>
      <c r="X269" s="234">
        <v>3.2666666666666666</v>
      </c>
      <c r="Y269" s="231">
        <v>0</v>
      </c>
      <c r="Z269" s="234">
        <v>0</v>
      </c>
      <c r="AA269" s="231">
        <v>0</v>
      </c>
      <c r="AB269" s="234">
        <v>0</v>
      </c>
      <c r="AC269" s="238">
        <f t="shared" si="13"/>
        <v>30.427999999999983</v>
      </c>
      <c r="AD269" s="238"/>
      <c r="AE269" s="238"/>
    </row>
    <row r="270" spans="2:31" x14ac:dyDescent="0.3">
      <c r="B270" s="245" t="s">
        <v>75</v>
      </c>
      <c r="C270" s="245"/>
      <c r="D270" s="245"/>
      <c r="E270" s="231">
        <v>0</v>
      </c>
      <c r="F270" s="234">
        <v>0</v>
      </c>
      <c r="G270" s="231">
        <v>0</v>
      </c>
      <c r="H270" s="234">
        <v>0</v>
      </c>
      <c r="I270" s="231">
        <v>0</v>
      </c>
      <c r="J270" s="234">
        <v>0</v>
      </c>
      <c r="K270" s="231">
        <v>0</v>
      </c>
      <c r="L270" s="234">
        <v>0</v>
      </c>
      <c r="M270" s="231">
        <v>0</v>
      </c>
      <c r="N270" s="234">
        <v>0</v>
      </c>
      <c r="O270" s="231">
        <v>0</v>
      </c>
      <c r="P270" s="234">
        <v>0</v>
      </c>
      <c r="Q270" s="231">
        <v>0</v>
      </c>
      <c r="R270" s="234">
        <v>0.15683333333333233</v>
      </c>
      <c r="S270" s="231">
        <v>2.2913333333333354</v>
      </c>
      <c r="T270" s="234">
        <v>17.722166666666674</v>
      </c>
      <c r="U270" s="231">
        <v>30.382500000000011</v>
      </c>
      <c r="V270" s="234">
        <v>44.501666666666679</v>
      </c>
      <c r="W270" s="231">
        <v>47.193833333333338</v>
      </c>
      <c r="X270" s="234">
        <v>12.198166666666658</v>
      </c>
      <c r="Y270" s="231">
        <v>0</v>
      </c>
      <c r="Z270" s="234">
        <v>0</v>
      </c>
      <c r="AA270" s="231">
        <v>0</v>
      </c>
      <c r="AB270" s="234">
        <v>0</v>
      </c>
      <c r="AC270" s="238">
        <f t="shared" si="13"/>
        <v>154.44650000000001</v>
      </c>
      <c r="AD270" s="238"/>
      <c r="AE270" s="238"/>
    </row>
    <row r="271" spans="2:31" x14ac:dyDescent="0.3">
      <c r="B271" s="245" t="s">
        <v>76</v>
      </c>
      <c r="C271" s="245"/>
      <c r="D271" s="245"/>
      <c r="E271" s="231">
        <v>0</v>
      </c>
      <c r="F271" s="234">
        <v>0</v>
      </c>
      <c r="G271" s="231">
        <v>0</v>
      </c>
      <c r="H271" s="234">
        <v>0</v>
      </c>
      <c r="I271" s="231">
        <v>0</v>
      </c>
      <c r="J271" s="234">
        <v>0</v>
      </c>
      <c r="K271" s="231">
        <v>0</v>
      </c>
      <c r="L271" s="234">
        <v>0</v>
      </c>
      <c r="M271" s="231">
        <v>0</v>
      </c>
      <c r="N271" s="234">
        <v>0</v>
      </c>
      <c r="O271" s="231">
        <v>0</v>
      </c>
      <c r="P271" s="234">
        <v>0</v>
      </c>
      <c r="Q271" s="231">
        <v>0</v>
      </c>
      <c r="R271" s="234">
        <v>0</v>
      </c>
      <c r="S271" s="231">
        <v>0</v>
      </c>
      <c r="T271" s="234">
        <v>0</v>
      </c>
      <c r="U271" s="231">
        <v>0</v>
      </c>
      <c r="V271" s="234">
        <v>0</v>
      </c>
      <c r="W271" s="231">
        <v>0</v>
      </c>
      <c r="X271" s="234">
        <v>0</v>
      </c>
      <c r="Y271" s="231">
        <v>0</v>
      </c>
      <c r="Z271" s="234">
        <v>0</v>
      </c>
      <c r="AA271" s="231">
        <v>0</v>
      </c>
      <c r="AB271" s="234">
        <v>0</v>
      </c>
      <c r="AC271" s="238">
        <f t="shared" si="13"/>
        <v>0</v>
      </c>
      <c r="AD271" s="238"/>
      <c r="AE271" s="238"/>
    </row>
    <row r="272" spans="2:31" x14ac:dyDescent="0.3">
      <c r="B272" s="245" t="s">
        <v>77</v>
      </c>
      <c r="C272" s="245"/>
      <c r="D272" s="245"/>
      <c r="E272" s="231">
        <v>0</v>
      </c>
      <c r="F272" s="234">
        <v>0</v>
      </c>
      <c r="G272" s="231">
        <v>0</v>
      </c>
      <c r="H272" s="234">
        <v>0</v>
      </c>
      <c r="I272" s="231">
        <v>0</v>
      </c>
      <c r="J272" s="234">
        <v>0</v>
      </c>
      <c r="K272" s="231">
        <v>0</v>
      </c>
      <c r="L272" s="234">
        <v>0</v>
      </c>
      <c r="M272" s="231">
        <v>0</v>
      </c>
      <c r="N272" s="234">
        <v>0</v>
      </c>
      <c r="O272" s="231">
        <v>0</v>
      </c>
      <c r="P272" s="234">
        <v>0</v>
      </c>
      <c r="Q272" s="231">
        <v>0</v>
      </c>
      <c r="R272" s="234">
        <v>1.1601666666666677</v>
      </c>
      <c r="S272" s="231">
        <v>4.2864999999999984</v>
      </c>
      <c r="T272" s="234">
        <v>3.1681666666666599</v>
      </c>
      <c r="U272" s="231">
        <v>2.4053333333333371</v>
      </c>
      <c r="V272" s="234">
        <v>8.3575000000000035</v>
      </c>
      <c r="W272" s="231">
        <v>30.238333333333337</v>
      </c>
      <c r="X272" s="234">
        <v>25.278666666666652</v>
      </c>
      <c r="Y272" s="231">
        <v>0</v>
      </c>
      <c r="Z272" s="234">
        <v>0</v>
      </c>
      <c r="AA272" s="231">
        <v>0</v>
      </c>
      <c r="AB272" s="234">
        <v>0</v>
      </c>
      <c r="AC272" s="238">
        <f t="shared" si="13"/>
        <v>74.894666666666652</v>
      </c>
      <c r="AD272" s="238"/>
      <c r="AE272" s="238"/>
    </row>
    <row r="273" spans="2:31" x14ac:dyDescent="0.3">
      <c r="B273" s="245" t="s">
        <v>78</v>
      </c>
      <c r="C273" s="245"/>
      <c r="D273" s="245"/>
      <c r="E273" s="231">
        <v>0</v>
      </c>
      <c r="F273" s="234">
        <v>0</v>
      </c>
      <c r="G273" s="231">
        <v>0</v>
      </c>
      <c r="H273" s="234">
        <v>0</v>
      </c>
      <c r="I273" s="231">
        <v>0</v>
      </c>
      <c r="J273" s="234">
        <v>0</v>
      </c>
      <c r="K273" s="231">
        <v>0</v>
      </c>
      <c r="L273" s="234">
        <v>0</v>
      </c>
      <c r="M273" s="231">
        <v>0</v>
      </c>
      <c r="N273" s="234">
        <v>0</v>
      </c>
      <c r="O273" s="231">
        <v>0</v>
      </c>
      <c r="P273" s="234">
        <v>0</v>
      </c>
      <c r="Q273" s="231">
        <v>0</v>
      </c>
      <c r="R273" s="234">
        <v>0</v>
      </c>
      <c r="S273" s="231">
        <v>0</v>
      </c>
      <c r="T273" s="234">
        <v>0</v>
      </c>
      <c r="U273" s="231">
        <v>0</v>
      </c>
      <c r="V273" s="234">
        <v>0</v>
      </c>
      <c r="W273" s="231">
        <v>0</v>
      </c>
      <c r="X273" s="234">
        <v>0</v>
      </c>
      <c r="Y273" s="231">
        <v>0</v>
      </c>
      <c r="Z273" s="234">
        <v>0</v>
      </c>
      <c r="AA273" s="231">
        <v>0</v>
      </c>
      <c r="AB273" s="234">
        <v>0</v>
      </c>
      <c r="AC273" s="238">
        <f t="shared" si="13"/>
        <v>0</v>
      </c>
      <c r="AD273" s="238"/>
      <c r="AE273" s="238"/>
    </row>
    <row r="274" spans="2:31" x14ac:dyDescent="0.3">
      <c r="B274" s="245" t="s">
        <v>79</v>
      </c>
      <c r="C274" s="245"/>
      <c r="D274" s="245"/>
      <c r="E274" s="231">
        <v>0</v>
      </c>
      <c r="F274" s="234">
        <v>0</v>
      </c>
      <c r="G274" s="231">
        <v>0</v>
      </c>
      <c r="H274" s="234">
        <v>0</v>
      </c>
      <c r="I274" s="231">
        <v>0</v>
      </c>
      <c r="J274" s="234">
        <v>0</v>
      </c>
      <c r="K274" s="231">
        <v>0</v>
      </c>
      <c r="L274" s="234">
        <v>0</v>
      </c>
      <c r="M274" s="231">
        <v>0</v>
      </c>
      <c r="N274" s="234">
        <v>0</v>
      </c>
      <c r="O274" s="231">
        <v>0</v>
      </c>
      <c r="P274" s="234">
        <v>0</v>
      </c>
      <c r="Q274" s="231">
        <v>0</v>
      </c>
      <c r="R274" s="234">
        <v>0</v>
      </c>
      <c r="S274" s="231">
        <v>0</v>
      </c>
      <c r="T274" s="234">
        <v>0</v>
      </c>
      <c r="U274" s="231">
        <v>0</v>
      </c>
      <c r="V274" s="234">
        <v>0</v>
      </c>
      <c r="W274" s="231">
        <v>0</v>
      </c>
      <c r="X274" s="234">
        <v>0</v>
      </c>
      <c r="Y274" s="231">
        <v>0</v>
      </c>
      <c r="Z274" s="234">
        <v>0</v>
      </c>
      <c r="AA274" s="231">
        <v>0</v>
      </c>
      <c r="AB274" s="234">
        <v>0</v>
      </c>
      <c r="AC274" s="238">
        <f t="shared" si="13"/>
        <v>0</v>
      </c>
      <c r="AD274" s="238"/>
      <c r="AE274" s="238"/>
    </row>
    <row r="275" spans="2:31" x14ac:dyDescent="0.3">
      <c r="B275" s="245" t="s">
        <v>80</v>
      </c>
      <c r="C275" s="245"/>
      <c r="D275" s="245"/>
      <c r="E275" s="231">
        <v>0</v>
      </c>
      <c r="F275" s="234">
        <v>0</v>
      </c>
      <c r="G275" s="231">
        <v>0</v>
      </c>
      <c r="H275" s="234">
        <v>0</v>
      </c>
      <c r="I275" s="231">
        <v>0</v>
      </c>
      <c r="J275" s="234">
        <v>0</v>
      </c>
      <c r="K275" s="231">
        <v>0</v>
      </c>
      <c r="L275" s="234">
        <v>0</v>
      </c>
      <c r="M275" s="231">
        <v>0</v>
      </c>
      <c r="N275" s="234">
        <v>0</v>
      </c>
      <c r="O275" s="231">
        <v>0</v>
      </c>
      <c r="P275" s="234">
        <v>0</v>
      </c>
      <c r="Q275" s="231">
        <v>0</v>
      </c>
      <c r="R275" s="234">
        <v>0</v>
      </c>
      <c r="S275" s="231">
        <v>0</v>
      </c>
      <c r="T275" s="234">
        <v>0</v>
      </c>
      <c r="U275" s="231">
        <v>0</v>
      </c>
      <c r="V275" s="234">
        <v>0</v>
      </c>
      <c r="W275" s="231">
        <v>0</v>
      </c>
      <c r="X275" s="234">
        <v>0</v>
      </c>
      <c r="Y275" s="231">
        <v>0</v>
      </c>
      <c r="Z275" s="234">
        <v>0</v>
      </c>
      <c r="AA275" s="231">
        <v>0</v>
      </c>
      <c r="AB275" s="234">
        <v>0</v>
      </c>
      <c r="AC275" s="238">
        <f t="shared" si="13"/>
        <v>0</v>
      </c>
      <c r="AD275" s="238"/>
      <c r="AE275" s="238"/>
    </row>
    <row r="276" spans="2:31" x14ac:dyDescent="0.3">
      <c r="B276" s="245" t="s">
        <v>93</v>
      </c>
      <c r="C276" s="245"/>
      <c r="D276" s="245"/>
      <c r="E276" s="231">
        <v>0</v>
      </c>
      <c r="F276" s="234">
        <v>0</v>
      </c>
      <c r="G276" s="231">
        <v>0</v>
      </c>
      <c r="H276" s="234">
        <v>0</v>
      </c>
      <c r="I276" s="231">
        <v>0</v>
      </c>
      <c r="J276" s="234">
        <v>0</v>
      </c>
      <c r="K276" s="231">
        <v>0</v>
      </c>
      <c r="L276" s="234">
        <v>0</v>
      </c>
      <c r="M276" s="231">
        <v>0</v>
      </c>
      <c r="N276" s="234">
        <v>0</v>
      </c>
      <c r="O276" s="231">
        <v>0</v>
      </c>
      <c r="P276" s="234">
        <v>0</v>
      </c>
      <c r="Q276" s="231">
        <v>1.7588333333333332</v>
      </c>
      <c r="R276" s="234">
        <v>2.8711666666666669</v>
      </c>
      <c r="S276" s="231">
        <v>3.7083333333333388</v>
      </c>
      <c r="T276" s="234">
        <v>3.8600000000000061</v>
      </c>
      <c r="U276" s="231">
        <v>3.8600000000000061</v>
      </c>
      <c r="V276" s="234">
        <v>3.6548333333333329</v>
      </c>
      <c r="W276" s="231">
        <v>2.1528333333333336</v>
      </c>
      <c r="X276" s="234">
        <v>1.4699999999999986</v>
      </c>
      <c r="Y276" s="231">
        <v>0</v>
      </c>
      <c r="Z276" s="234">
        <v>0</v>
      </c>
      <c r="AA276" s="231">
        <v>0</v>
      </c>
      <c r="AB276" s="234">
        <v>0</v>
      </c>
      <c r="AC276" s="238">
        <f>SUM(E276:AB276)</f>
        <v>23.336000000000016</v>
      </c>
      <c r="AD276" s="238"/>
      <c r="AE276" s="238"/>
    </row>
    <row r="277" spans="2:31" x14ac:dyDescent="0.3">
      <c r="B277" s="14" t="s">
        <v>2</v>
      </c>
      <c r="C277" s="14"/>
      <c r="D277" s="14"/>
      <c r="E277" s="15">
        <f t="shared" ref="E277:AB277" si="14">SUM(E228:E276)</f>
        <v>0</v>
      </c>
      <c r="F277" s="15">
        <f t="shared" si="14"/>
        <v>0</v>
      </c>
      <c r="G277" s="15">
        <f t="shared" si="14"/>
        <v>0</v>
      </c>
      <c r="H277" s="15">
        <f t="shared" si="14"/>
        <v>0</v>
      </c>
      <c r="I277" s="15">
        <f t="shared" si="14"/>
        <v>0</v>
      </c>
      <c r="J277" s="15">
        <f t="shared" si="14"/>
        <v>0</v>
      </c>
      <c r="K277" s="15">
        <f t="shared" si="14"/>
        <v>0</v>
      </c>
      <c r="L277" s="15">
        <f t="shared" si="14"/>
        <v>0</v>
      </c>
      <c r="M277" s="15">
        <f t="shared" si="14"/>
        <v>0</v>
      </c>
      <c r="N277" s="15">
        <f t="shared" si="14"/>
        <v>0</v>
      </c>
      <c r="O277" s="15">
        <f t="shared" si="14"/>
        <v>0</v>
      </c>
      <c r="P277" s="15">
        <f t="shared" si="14"/>
        <v>0</v>
      </c>
      <c r="Q277" s="15">
        <f t="shared" si="14"/>
        <v>20.825166666666664</v>
      </c>
      <c r="R277" s="15">
        <f t="shared" si="14"/>
        <v>83.649833333333333</v>
      </c>
      <c r="S277" s="15">
        <f t="shared" si="14"/>
        <v>257.43799999999987</v>
      </c>
      <c r="T277" s="15">
        <f t="shared" si="14"/>
        <v>227.91083333333324</v>
      </c>
      <c r="U277" s="15">
        <f t="shared" si="14"/>
        <v>249.42450000000002</v>
      </c>
      <c r="V277" s="15">
        <f t="shared" si="14"/>
        <v>366.47766666666678</v>
      </c>
      <c r="W277" s="15">
        <f t="shared" si="14"/>
        <v>928.46133333333353</v>
      </c>
      <c r="X277" s="15">
        <f t="shared" si="14"/>
        <v>703.64316666666696</v>
      </c>
      <c r="Y277" s="15">
        <f t="shared" si="14"/>
        <v>0</v>
      </c>
      <c r="Z277" s="15">
        <f t="shared" si="14"/>
        <v>0</v>
      </c>
      <c r="AA277" s="15">
        <f t="shared" si="14"/>
        <v>0</v>
      </c>
      <c r="AB277" s="15">
        <f t="shared" si="14"/>
        <v>0</v>
      </c>
      <c r="AC277" s="249">
        <f>SUM(AC228:AE276)</f>
        <v>2837.8305000000005</v>
      </c>
      <c r="AD277" s="249"/>
      <c r="AE277" s="249"/>
    </row>
    <row r="278" spans="2:31" x14ac:dyDescent="0.3">
      <c r="B278" s="16"/>
      <c r="C278" s="17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2:31" x14ac:dyDescent="0.3">
      <c r="B279" s="16"/>
      <c r="C279" s="17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2:31" x14ac:dyDescent="0.3">
      <c r="B280" s="8">
        <f>'Resumen-Mensual'!$J$22</f>
        <v>44567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62"/>
      <c r="AD280" s="62"/>
      <c r="AE280" s="62"/>
    </row>
    <row r="281" spans="2:31" x14ac:dyDescent="0.3">
      <c r="B281" s="8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62"/>
      <c r="AD281" s="62"/>
      <c r="AE281" s="62"/>
    </row>
    <row r="282" spans="2:31" x14ac:dyDescent="0.3">
      <c r="B282" s="9" t="s">
        <v>81</v>
      </c>
      <c r="C282" s="10"/>
      <c r="D282" s="10"/>
      <c r="E282" s="11">
        <v>1</v>
      </c>
      <c r="F282" s="11">
        <v>2</v>
      </c>
      <c r="G282" s="11">
        <v>3</v>
      </c>
      <c r="H282" s="11">
        <v>4</v>
      </c>
      <c r="I282" s="11">
        <v>5</v>
      </c>
      <c r="J282" s="11">
        <v>6</v>
      </c>
      <c r="K282" s="11">
        <v>7</v>
      </c>
      <c r="L282" s="11">
        <v>8</v>
      </c>
      <c r="M282" s="11">
        <v>9</v>
      </c>
      <c r="N282" s="11">
        <v>10</v>
      </c>
      <c r="O282" s="11">
        <v>11</v>
      </c>
      <c r="P282" s="11">
        <v>12</v>
      </c>
      <c r="Q282" s="11">
        <v>13</v>
      </c>
      <c r="R282" s="11">
        <v>14</v>
      </c>
      <c r="S282" s="11">
        <v>15</v>
      </c>
      <c r="T282" s="11">
        <v>16</v>
      </c>
      <c r="U282" s="11">
        <v>17</v>
      </c>
      <c r="V282" s="11">
        <v>18</v>
      </c>
      <c r="W282" s="11">
        <v>19</v>
      </c>
      <c r="X282" s="11">
        <v>20</v>
      </c>
      <c r="Y282" s="11">
        <v>21</v>
      </c>
      <c r="Z282" s="11">
        <v>22</v>
      </c>
      <c r="AA282" s="11">
        <v>23</v>
      </c>
      <c r="AB282" s="11">
        <v>24</v>
      </c>
      <c r="AC282" s="248" t="s">
        <v>2</v>
      </c>
      <c r="AD282" s="248"/>
      <c r="AE282" s="248"/>
    </row>
    <row r="283" spans="2:31" x14ac:dyDescent="0.3">
      <c r="B283" s="245" t="s">
        <v>37</v>
      </c>
      <c r="C283" s="245"/>
      <c r="D283" s="245"/>
      <c r="E283" s="231">
        <v>0</v>
      </c>
      <c r="F283" s="234">
        <v>0</v>
      </c>
      <c r="G283" s="231">
        <v>0</v>
      </c>
      <c r="H283" s="234">
        <v>0</v>
      </c>
      <c r="I283" s="231">
        <v>0</v>
      </c>
      <c r="J283" s="234">
        <v>0</v>
      </c>
      <c r="K283" s="231">
        <v>0</v>
      </c>
      <c r="L283" s="234">
        <v>0</v>
      </c>
      <c r="M283" s="231">
        <v>0</v>
      </c>
      <c r="N283" s="234">
        <v>0</v>
      </c>
      <c r="O283" s="231">
        <v>0</v>
      </c>
      <c r="P283" s="234">
        <v>0</v>
      </c>
      <c r="Q283" s="231">
        <v>0</v>
      </c>
      <c r="R283" s="234">
        <v>0.48916666666666708</v>
      </c>
      <c r="S283" s="231">
        <v>0</v>
      </c>
      <c r="T283" s="234">
        <v>0</v>
      </c>
      <c r="U283" s="231">
        <v>0</v>
      </c>
      <c r="V283" s="234">
        <v>0</v>
      </c>
      <c r="W283" s="231">
        <v>0</v>
      </c>
      <c r="X283" s="234">
        <v>0</v>
      </c>
      <c r="Y283" s="231">
        <v>0</v>
      </c>
      <c r="Z283" s="234">
        <v>0</v>
      </c>
      <c r="AA283" s="231">
        <v>0</v>
      </c>
      <c r="AB283" s="234">
        <v>0</v>
      </c>
      <c r="AC283" s="238">
        <f t="shared" ref="AC283:AC315" si="15">SUM(E283:AB283)</f>
        <v>0.48916666666666708</v>
      </c>
      <c r="AD283" s="238"/>
      <c r="AE283" s="238"/>
    </row>
    <row r="284" spans="2:31" x14ac:dyDescent="0.3">
      <c r="B284" s="245" t="s">
        <v>38</v>
      </c>
      <c r="C284" s="245"/>
      <c r="D284" s="245"/>
      <c r="E284" s="231">
        <v>0</v>
      </c>
      <c r="F284" s="234">
        <v>0</v>
      </c>
      <c r="G284" s="231">
        <v>0</v>
      </c>
      <c r="H284" s="234">
        <v>0</v>
      </c>
      <c r="I284" s="231">
        <v>0</v>
      </c>
      <c r="J284" s="234">
        <v>0</v>
      </c>
      <c r="K284" s="231">
        <v>0</v>
      </c>
      <c r="L284" s="234">
        <v>0</v>
      </c>
      <c r="M284" s="231">
        <v>0</v>
      </c>
      <c r="N284" s="234">
        <v>0</v>
      </c>
      <c r="O284" s="231">
        <v>0</v>
      </c>
      <c r="P284" s="234">
        <v>0</v>
      </c>
      <c r="Q284" s="231">
        <v>0</v>
      </c>
      <c r="R284" s="234">
        <v>0.51250000000000062</v>
      </c>
      <c r="S284" s="231">
        <v>0</v>
      </c>
      <c r="T284" s="234">
        <v>0</v>
      </c>
      <c r="U284" s="231">
        <v>5.9999999999999845E-2</v>
      </c>
      <c r="V284" s="234">
        <v>0.12300000000000022</v>
      </c>
      <c r="W284" s="231">
        <v>1.8833333333333348E-2</v>
      </c>
      <c r="X284" s="234">
        <v>0</v>
      </c>
      <c r="Y284" s="231">
        <v>0</v>
      </c>
      <c r="Z284" s="234">
        <v>0</v>
      </c>
      <c r="AA284" s="231">
        <v>0</v>
      </c>
      <c r="AB284" s="234">
        <v>0</v>
      </c>
      <c r="AC284" s="238">
        <f t="shared" si="15"/>
        <v>0.71433333333333404</v>
      </c>
      <c r="AD284" s="238"/>
      <c r="AE284" s="238"/>
    </row>
    <row r="285" spans="2:31" x14ac:dyDescent="0.3">
      <c r="B285" s="245" t="s">
        <v>39</v>
      </c>
      <c r="C285" s="245"/>
      <c r="D285" s="245"/>
      <c r="E285" s="231">
        <v>0</v>
      </c>
      <c r="F285" s="234">
        <v>0</v>
      </c>
      <c r="G285" s="231">
        <v>0</v>
      </c>
      <c r="H285" s="234">
        <v>0</v>
      </c>
      <c r="I285" s="231">
        <v>0</v>
      </c>
      <c r="J285" s="234">
        <v>0</v>
      </c>
      <c r="K285" s="231">
        <v>0</v>
      </c>
      <c r="L285" s="234">
        <v>0</v>
      </c>
      <c r="M285" s="231">
        <v>0</v>
      </c>
      <c r="N285" s="234">
        <v>0</v>
      </c>
      <c r="O285" s="231">
        <v>0</v>
      </c>
      <c r="P285" s="234">
        <v>0</v>
      </c>
      <c r="Q285" s="231">
        <v>0</v>
      </c>
      <c r="R285" s="234">
        <v>0</v>
      </c>
      <c r="S285" s="231">
        <v>0</v>
      </c>
      <c r="T285" s="234">
        <v>0</v>
      </c>
      <c r="U285" s="231">
        <v>5.616666666666633E-2</v>
      </c>
      <c r="V285" s="234">
        <v>0.20433333333333309</v>
      </c>
      <c r="W285" s="231">
        <v>0.53683333333333338</v>
      </c>
      <c r="X285" s="234">
        <v>5.3333333333333453E-3</v>
      </c>
      <c r="Y285" s="231">
        <v>0</v>
      </c>
      <c r="Z285" s="234">
        <v>0</v>
      </c>
      <c r="AA285" s="231">
        <v>0</v>
      </c>
      <c r="AB285" s="234">
        <v>0</v>
      </c>
      <c r="AC285" s="238">
        <f t="shared" si="15"/>
        <v>0.80266666666666608</v>
      </c>
      <c r="AD285" s="238"/>
      <c r="AE285" s="238"/>
    </row>
    <row r="286" spans="2:31" x14ac:dyDescent="0.3">
      <c r="B286" s="245" t="s">
        <v>40</v>
      </c>
      <c r="C286" s="245"/>
      <c r="D286" s="245"/>
      <c r="E286" s="231">
        <v>0</v>
      </c>
      <c r="F286" s="234">
        <v>0</v>
      </c>
      <c r="G286" s="231">
        <v>0</v>
      </c>
      <c r="H286" s="234">
        <v>0</v>
      </c>
      <c r="I286" s="231">
        <v>0</v>
      </c>
      <c r="J286" s="234">
        <v>0</v>
      </c>
      <c r="K286" s="231">
        <v>0</v>
      </c>
      <c r="L286" s="234">
        <v>0</v>
      </c>
      <c r="M286" s="231">
        <v>0</v>
      </c>
      <c r="N286" s="234">
        <v>0</v>
      </c>
      <c r="O286" s="231">
        <v>0</v>
      </c>
      <c r="P286" s="234">
        <v>0</v>
      </c>
      <c r="Q286" s="231">
        <v>0</v>
      </c>
      <c r="R286" s="234">
        <v>0</v>
      </c>
      <c r="S286" s="231">
        <v>0</v>
      </c>
      <c r="T286" s="234">
        <v>4.7123333333333255</v>
      </c>
      <c r="U286" s="231">
        <v>6.3898333333333222</v>
      </c>
      <c r="V286" s="234">
        <v>9.4356666666666715</v>
      </c>
      <c r="W286" s="231">
        <v>0</v>
      </c>
      <c r="X286" s="234">
        <v>0</v>
      </c>
      <c r="Y286" s="231">
        <v>0</v>
      </c>
      <c r="Z286" s="234">
        <v>0</v>
      </c>
      <c r="AA286" s="231">
        <v>0</v>
      </c>
      <c r="AB286" s="234">
        <v>0</v>
      </c>
      <c r="AC286" s="238">
        <f t="shared" si="15"/>
        <v>20.537833333333317</v>
      </c>
      <c r="AD286" s="238"/>
      <c r="AE286" s="238"/>
    </row>
    <row r="287" spans="2:31" x14ac:dyDescent="0.3">
      <c r="B287" s="245" t="s">
        <v>41</v>
      </c>
      <c r="C287" s="245"/>
      <c r="D287" s="245"/>
      <c r="E287" s="231">
        <v>0</v>
      </c>
      <c r="F287" s="234">
        <v>0</v>
      </c>
      <c r="G287" s="231">
        <v>0</v>
      </c>
      <c r="H287" s="234">
        <v>0</v>
      </c>
      <c r="I287" s="231">
        <v>0</v>
      </c>
      <c r="J287" s="234">
        <v>0</v>
      </c>
      <c r="K287" s="231">
        <v>0</v>
      </c>
      <c r="L287" s="234">
        <v>0</v>
      </c>
      <c r="M287" s="231">
        <v>0</v>
      </c>
      <c r="N287" s="234">
        <v>0</v>
      </c>
      <c r="O287" s="231">
        <v>0</v>
      </c>
      <c r="P287" s="234">
        <v>0</v>
      </c>
      <c r="Q287" s="231">
        <v>2.315166666666669</v>
      </c>
      <c r="R287" s="234">
        <v>0</v>
      </c>
      <c r="S287" s="231">
        <v>4.0211666666666712</v>
      </c>
      <c r="T287" s="234">
        <v>2.1531666666666678</v>
      </c>
      <c r="U287" s="231">
        <v>0</v>
      </c>
      <c r="V287" s="234">
        <v>4.8333333333333665E-2</v>
      </c>
      <c r="W287" s="231">
        <v>4.4776666666666651</v>
      </c>
      <c r="X287" s="234">
        <v>0</v>
      </c>
      <c r="Y287" s="231">
        <v>0</v>
      </c>
      <c r="Z287" s="234">
        <v>0</v>
      </c>
      <c r="AA287" s="231">
        <v>0</v>
      </c>
      <c r="AB287" s="234">
        <v>0</v>
      </c>
      <c r="AC287" s="238">
        <f t="shared" si="15"/>
        <v>13.015500000000007</v>
      </c>
      <c r="AD287" s="238"/>
      <c r="AE287" s="238"/>
    </row>
    <row r="288" spans="2:31" x14ac:dyDescent="0.3">
      <c r="B288" s="245" t="s">
        <v>42</v>
      </c>
      <c r="C288" s="245"/>
      <c r="D288" s="245"/>
      <c r="E288" s="231">
        <v>0</v>
      </c>
      <c r="F288" s="234">
        <v>0</v>
      </c>
      <c r="G288" s="231">
        <v>0</v>
      </c>
      <c r="H288" s="234">
        <v>0</v>
      </c>
      <c r="I288" s="231">
        <v>0</v>
      </c>
      <c r="J288" s="234">
        <v>0</v>
      </c>
      <c r="K288" s="231">
        <v>0</v>
      </c>
      <c r="L288" s="234">
        <v>0</v>
      </c>
      <c r="M288" s="231">
        <v>0</v>
      </c>
      <c r="N288" s="234">
        <v>0</v>
      </c>
      <c r="O288" s="231">
        <v>0</v>
      </c>
      <c r="P288" s="234">
        <v>0</v>
      </c>
      <c r="Q288" s="231">
        <v>0</v>
      </c>
      <c r="R288" s="234">
        <v>0</v>
      </c>
      <c r="S288" s="231">
        <v>0</v>
      </c>
      <c r="T288" s="234">
        <v>0</v>
      </c>
      <c r="U288" s="231">
        <v>0</v>
      </c>
      <c r="V288" s="234">
        <v>0</v>
      </c>
      <c r="W288" s="231">
        <v>0</v>
      </c>
      <c r="X288" s="234">
        <v>0</v>
      </c>
      <c r="Y288" s="231">
        <v>0</v>
      </c>
      <c r="Z288" s="234">
        <v>0</v>
      </c>
      <c r="AA288" s="231">
        <v>0</v>
      </c>
      <c r="AB288" s="234">
        <v>0</v>
      </c>
      <c r="AC288" s="238">
        <f t="shared" si="15"/>
        <v>0</v>
      </c>
      <c r="AD288" s="238"/>
      <c r="AE288" s="238"/>
    </row>
    <row r="289" spans="2:31" x14ac:dyDescent="0.3">
      <c r="B289" s="245" t="s">
        <v>43</v>
      </c>
      <c r="C289" s="245"/>
      <c r="D289" s="245"/>
      <c r="E289" s="231">
        <v>0</v>
      </c>
      <c r="F289" s="234">
        <v>0</v>
      </c>
      <c r="G289" s="231">
        <v>0</v>
      </c>
      <c r="H289" s="234">
        <v>0</v>
      </c>
      <c r="I289" s="231">
        <v>0</v>
      </c>
      <c r="J289" s="234">
        <v>0</v>
      </c>
      <c r="K289" s="231">
        <v>0</v>
      </c>
      <c r="L289" s="234">
        <v>0</v>
      </c>
      <c r="M289" s="231">
        <v>0</v>
      </c>
      <c r="N289" s="234">
        <v>0</v>
      </c>
      <c r="O289" s="231">
        <v>0.12983333333333558</v>
      </c>
      <c r="P289" s="234">
        <v>3.1828333333333325</v>
      </c>
      <c r="Q289" s="231">
        <v>5.876666666666674</v>
      </c>
      <c r="R289" s="234">
        <v>6.0869999999999909</v>
      </c>
      <c r="S289" s="231">
        <v>6.4093333333333495</v>
      </c>
      <c r="T289" s="234">
        <v>1.9609999999999994</v>
      </c>
      <c r="U289" s="231">
        <v>12.221666666666668</v>
      </c>
      <c r="V289" s="234">
        <v>12.09733333333333</v>
      </c>
      <c r="W289" s="231">
        <v>2.3421666666666665</v>
      </c>
      <c r="X289" s="234">
        <v>0</v>
      </c>
      <c r="Y289" s="231">
        <v>0</v>
      </c>
      <c r="Z289" s="234">
        <v>0</v>
      </c>
      <c r="AA289" s="231">
        <v>0</v>
      </c>
      <c r="AB289" s="234">
        <v>0</v>
      </c>
      <c r="AC289" s="238">
        <f t="shared" si="15"/>
        <v>50.307833333333349</v>
      </c>
      <c r="AD289" s="238"/>
      <c r="AE289" s="238"/>
    </row>
    <row r="290" spans="2:31" x14ac:dyDescent="0.3">
      <c r="B290" s="245" t="s">
        <v>44</v>
      </c>
      <c r="C290" s="245"/>
      <c r="D290" s="245"/>
      <c r="E290" s="231">
        <v>0</v>
      </c>
      <c r="F290" s="234">
        <v>0</v>
      </c>
      <c r="G290" s="231">
        <v>0</v>
      </c>
      <c r="H290" s="234">
        <v>0</v>
      </c>
      <c r="I290" s="231">
        <v>0</v>
      </c>
      <c r="J290" s="234">
        <v>0</v>
      </c>
      <c r="K290" s="231">
        <v>0</v>
      </c>
      <c r="L290" s="234">
        <v>0</v>
      </c>
      <c r="M290" s="231">
        <v>0</v>
      </c>
      <c r="N290" s="234">
        <v>0</v>
      </c>
      <c r="O290" s="231">
        <v>0</v>
      </c>
      <c r="P290" s="234">
        <v>0</v>
      </c>
      <c r="Q290" s="231">
        <v>0</v>
      </c>
      <c r="R290" s="234">
        <v>0</v>
      </c>
      <c r="S290" s="231">
        <v>0</v>
      </c>
      <c r="T290" s="234">
        <v>0</v>
      </c>
      <c r="U290" s="231">
        <v>0</v>
      </c>
      <c r="V290" s="234">
        <v>0</v>
      </c>
      <c r="W290" s="231">
        <v>0</v>
      </c>
      <c r="X290" s="234">
        <v>0</v>
      </c>
      <c r="Y290" s="231">
        <v>0</v>
      </c>
      <c r="Z290" s="234">
        <v>0</v>
      </c>
      <c r="AA290" s="231">
        <v>0</v>
      </c>
      <c r="AB290" s="234">
        <v>0</v>
      </c>
      <c r="AC290" s="238">
        <f t="shared" si="15"/>
        <v>0</v>
      </c>
      <c r="AD290" s="238"/>
      <c r="AE290" s="238"/>
    </row>
    <row r="291" spans="2:31" x14ac:dyDescent="0.3">
      <c r="B291" s="245" t="s">
        <v>45</v>
      </c>
      <c r="C291" s="245"/>
      <c r="D291" s="245"/>
      <c r="E291" s="231">
        <v>0</v>
      </c>
      <c r="F291" s="234">
        <v>0</v>
      </c>
      <c r="G291" s="231">
        <v>0</v>
      </c>
      <c r="H291" s="234">
        <v>0</v>
      </c>
      <c r="I291" s="231">
        <v>0</v>
      </c>
      <c r="J291" s="234">
        <v>0</v>
      </c>
      <c r="K291" s="231">
        <v>0</v>
      </c>
      <c r="L291" s="234">
        <v>0</v>
      </c>
      <c r="M291" s="231">
        <v>0</v>
      </c>
      <c r="N291" s="234">
        <v>0</v>
      </c>
      <c r="O291" s="231">
        <v>0</v>
      </c>
      <c r="P291" s="234">
        <v>0</v>
      </c>
      <c r="Q291" s="231">
        <v>0</v>
      </c>
      <c r="R291" s="234">
        <v>14.995666666666674</v>
      </c>
      <c r="S291" s="231">
        <v>0</v>
      </c>
      <c r="T291" s="234">
        <v>0</v>
      </c>
      <c r="U291" s="231">
        <v>20.890000000000008</v>
      </c>
      <c r="V291" s="234">
        <v>8.8899999999999899</v>
      </c>
      <c r="W291" s="231">
        <v>1.6265000000000001</v>
      </c>
      <c r="X291" s="234">
        <v>0.91099999999999992</v>
      </c>
      <c r="Y291" s="231">
        <v>0</v>
      </c>
      <c r="Z291" s="234">
        <v>0</v>
      </c>
      <c r="AA291" s="231">
        <v>0</v>
      </c>
      <c r="AB291" s="234">
        <v>0</v>
      </c>
      <c r="AC291" s="238">
        <f t="shared" si="15"/>
        <v>47.313166666666667</v>
      </c>
      <c r="AD291" s="238"/>
      <c r="AE291" s="238"/>
    </row>
    <row r="292" spans="2:31" x14ac:dyDescent="0.3">
      <c r="B292" s="245" t="s">
        <v>46</v>
      </c>
      <c r="C292" s="245"/>
      <c r="D292" s="245"/>
      <c r="E292" s="231">
        <v>0</v>
      </c>
      <c r="F292" s="234">
        <v>0</v>
      </c>
      <c r="G292" s="231">
        <v>0</v>
      </c>
      <c r="H292" s="234">
        <v>0</v>
      </c>
      <c r="I292" s="231">
        <v>0</v>
      </c>
      <c r="J292" s="234">
        <v>0</v>
      </c>
      <c r="K292" s="231">
        <v>0</v>
      </c>
      <c r="L292" s="234">
        <v>0</v>
      </c>
      <c r="M292" s="231">
        <v>0</v>
      </c>
      <c r="N292" s="234">
        <v>0</v>
      </c>
      <c r="O292" s="231">
        <v>0</v>
      </c>
      <c r="P292" s="234">
        <v>0</v>
      </c>
      <c r="Q292" s="231">
        <v>0</v>
      </c>
      <c r="R292" s="234">
        <v>0</v>
      </c>
      <c r="S292" s="231">
        <v>1.5478333333333334</v>
      </c>
      <c r="T292" s="234">
        <v>36.933666666666674</v>
      </c>
      <c r="U292" s="231">
        <v>3.5845000000000007</v>
      </c>
      <c r="V292" s="234">
        <v>12.985833333333343</v>
      </c>
      <c r="W292" s="231">
        <v>0</v>
      </c>
      <c r="X292" s="234">
        <v>0.61633333333333329</v>
      </c>
      <c r="Y292" s="231">
        <v>0</v>
      </c>
      <c r="Z292" s="234">
        <v>0</v>
      </c>
      <c r="AA292" s="231">
        <v>0</v>
      </c>
      <c r="AB292" s="234">
        <v>0</v>
      </c>
      <c r="AC292" s="238">
        <f t="shared" si="15"/>
        <v>55.668166666666679</v>
      </c>
      <c r="AD292" s="238"/>
      <c r="AE292" s="238"/>
    </row>
    <row r="293" spans="2:31" x14ac:dyDescent="0.3">
      <c r="B293" s="245" t="s">
        <v>47</v>
      </c>
      <c r="C293" s="245"/>
      <c r="D293" s="245"/>
      <c r="E293" s="231">
        <v>0</v>
      </c>
      <c r="F293" s="234">
        <v>0</v>
      </c>
      <c r="G293" s="231">
        <v>0</v>
      </c>
      <c r="H293" s="234">
        <v>0</v>
      </c>
      <c r="I293" s="231">
        <v>0</v>
      </c>
      <c r="J293" s="234">
        <v>0</v>
      </c>
      <c r="K293" s="231">
        <v>0</v>
      </c>
      <c r="L293" s="234">
        <v>0</v>
      </c>
      <c r="M293" s="231">
        <v>0</v>
      </c>
      <c r="N293" s="234">
        <v>0</v>
      </c>
      <c r="O293" s="231">
        <v>0</v>
      </c>
      <c r="P293" s="234">
        <v>0</v>
      </c>
      <c r="Q293" s="231">
        <v>0</v>
      </c>
      <c r="R293" s="234">
        <v>2.1458333333333348</v>
      </c>
      <c r="S293" s="231">
        <v>8.6384999999999881</v>
      </c>
      <c r="T293" s="234">
        <v>10.330000000000004</v>
      </c>
      <c r="U293" s="231">
        <v>10.529999999999983</v>
      </c>
      <c r="V293" s="234">
        <v>9.7300000000000093</v>
      </c>
      <c r="W293" s="231">
        <v>3.830000000000005</v>
      </c>
      <c r="X293" s="234">
        <v>0.35116666666666657</v>
      </c>
      <c r="Y293" s="231">
        <v>0</v>
      </c>
      <c r="Z293" s="234">
        <v>0</v>
      </c>
      <c r="AA293" s="231">
        <v>0</v>
      </c>
      <c r="AB293" s="234">
        <v>0</v>
      </c>
      <c r="AC293" s="238">
        <f t="shared" si="15"/>
        <v>45.555499999999988</v>
      </c>
      <c r="AD293" s="238"/>
      <c r="AE293" s="238"/>
    </row>
    <row r="294" spans="2:31" x14ac:dyDescent="0.3">
      <c r="B294" s="245" t="s">
        <v>48</v>
      </c>
      <c r="C294" s="245"/>
      <c r="D294" s="245"/>
      <c r="E294" s="231">
        <v>0</v>
      </c>
      <c r="F294" s="234">
        <v>0</v>
      </c>
      <c r="G294" s="231">
        <v>0</v>
      </c>
      <c r="H294" s="234">
        <v>0</v>
      </c>
      <c r="I294" s="231">
        <v>0</v>
      </c>
      <c r="J294" s="234">
        <v>0</v>
      </c>
      <c r="K294" s="231">
        <v>0</v>
      </c>
      <c r="L294" s="234">
        <v>0</v>
      </c>
      <c r="M294" s="231">
        <v>0</v>
      </c>
      <c r="N294" s="234">
        <v>0</v>
      </c>
      <c r="O294" s="231">
        <v>0</v>
      </c>
      <c r="P294" s="234">
        <v>0</v>
      </c>
      <c r="Q294" s="231">
        <v>0</v>
      </c>
      <c r="R294" s="234">
        <v>2.1453333333333293</v>
      </c>
      <c r="S294" s="231">
        <v>7.4380000000000051</v>
      </c>
      <c r="T294" s="234">
        <v>0</v>
      </c>
      <c r="U294" s="231">
        <v>8.8799999999999972</v>
      </c>
      <c r="V294" s="234">
        <v>8.3866666666666543</v>
      </c>
      <c r="W294" s="231">
        <v>4.028333333333336</v>
      </c>
      <c r="X294" s="234">
        <v>0.3201666666666666</v>
      </c>
      <c r="Y294" s="231">
        <v>0</v>
      </c>
      <c r="Z294" s="234">
        <v>0</v>
      </c>
      <c r="AA294" s="231">
        <v>0</v>
      </c>
      <c r="AB294" s="234">
        <v>0</v>
      </c>
      <c r="AC294" s="238">
        <f t="shared" si="15"/>
        <v>31.198499999999989</v>
      </c>
      <c r="AD294" s="238"/>
      <c r="AE294" s="238"/>
    </row>
    <row r="295" spans="2:31" x14ac:dyDescent="0.3">
      <c r="B295" s="245" t="s">
        <v>49</v>
      </c>
      <c r="C295" s="245"/>
      <c r="D295" s="245"/>
      <c r="E295" s="231">
        <v>0</v>
      </c>
      <c r="F295" s="234">
        <v>0</v>
      </c>
      <c r="G295" s="231">
        <v>0</v>
      </c>
      <c r="H295" s="234">
        <v>0</v>
      </c>
      <c r="I295" s="231">
        <v>0</v>
      </c>
      <c r="J295" s="234">
        <v>0</v>
      </c>
      <c r="K295" s="231">
        <v>0</v>
      </c>
      <c r="L295" s="234">
        <v>0</v>
      </c>
      <c r="M295" s="231">
        <v>0</v>
      </c>
      <c r="N295" s="234">
        <v>0</v>
      </c>
      <c r="O295" s="231">
        <v>0</v>
      </c>
      <c r="P295" s="234">
        <v>0</v>
      </c>
      <c r="Q295" s="231">
        <v>0</v>
      </c>
      <c r="R295" s="234">
        <v>0</v>
      </c>
      <c r="S295" s="231">
        <v>0</v>
      </c>
      <c r="T295" s="234">
        <v>0</v>
      </c>
      <c r="U295" s="231">
        <v>0</v>
      </c>
      <c r="V295" s="234">
        <v>6.0833333333333517E-2</v>
      </c>
      <c r="W295" s="231">
        <v>6.5833333333333535E-2</v>
      </c>
      <c r="X295" s="234">
        <v>9.5000000000000345E-3</v>
      </c>
      <c r="Y295" s="231">
        <v>0</v>
      </c>
      <c r="Z295" s="234">
        <v>0</v>
      </c>
      <c r="AA295" s="231">
        <v>0</v>
      </c>
      <c r="AB295" s="234">
        <v>0</v>
      </c>
      <c r="AC295" s="238">
        <f t="shared" si="15"/>
        <v>0.13616666666666707</v>
      </c>
      <c r="AD295" s="238"/>
      <c r="AE295" s="238"/>
    </row>
    <row r="296" spans="2:31" x14ac:dyDescent="0.3">
      <c r="B296" s="245" t="s">
        <v>50</v>
      </c>
      <c r="C296" s="245"/>
      <c r="D296" s="245"/>
      <c r="E296" s="231">
        <v>0</v>
      </c>
      <c r="F296" s="234">
        <v>0</v>
      </c>
      <c r="G296" s="231">
        <v>0</v>
      </c>
      <c r="H296" s="234">
        <v>0</v>
      </c>
      <c r="I296" s="231">
        <v>0</v>
      </c>
      <c r="J296" s="234">
        <v>0</v>
      </c>
      <c r="K296" s="231">
        <v>0</v>
      </c>
      <c r="L296" s="234">
        <v>0</v>
      </c>
      <c r="M296" s="231">
        <v>0</v>
      </c>
      <c r="N296" s="234">
        <v>0</v>
      </c>
      <c r="O296" s="231">
        <v>1.0693333333333352</v>
      </c>
      <c r="P296" s="234">
        <v>1.7888333333333364</v>
      </c>
      <c r="Q296" s="231">
        <v>0</v>
      </c>
      <c r="R296" s="234">
        <v>0</v>
      </c>
      <c r="S296" s="231">
        <v>0</v>
      </c>
      <c r="T296" s="234">
        <v>6.1058333333333383</v>
      </c>
      <c r="U296" s="231">
        <v>4.3193333333333381</v>
      </c>
      <c r="V296" s="234">
        <v>0</v>
      </c>
      <c r="W296" s="231">
        <v>0</v>
      </c>
      <c r="X296" s="234">
        <v>0</v>
      </c>
      <c r="Y296" s="231">
        <v>0</v>
      </c>
      <c r="Z296" s="234">
        <v>0</v>
      </c>
      <c r="AA296" s="231">
        <v>0</v>
      </c>
      <c r="AB296" s="234">
        <v>0</v>
      </c>
      <c r="AC296" s="238">
        <f t="shared" si="15"/>
        <v>13.283333333333347</v>
      </c>
      <c r="AD296" s="238"/>
      <c r="AE296" s="238"/>
    </row>
    <row r="297" spans="2:31" x14ac:dyDescent="0.3">
      <c r="B297" s="245" t="s">
        <v>97</v>
      </c>
      <c r="C297" s="245"/>
      <c r="D297" s="245"/>
      <c r="E297" s="231">
        <v>0</v>
      </c>
      <c r="F297" s="234">
        <v>0</v>
      </c>
      <c r="G297" s="231">
        <v>0</v>
      </c>
      <c r="H297" s="234">
        <v>0</v>
      </c>
      <c r="I297" s="231">
        <v>0</v>
      </c>
      <c r="J297" s="234">
        <v>0</v>
      </c>
      <c r="K297" s="231">
        <v>0</v>
      </c>
      <c r="L297" s="234">
        <v>0</v>
      </c>
      <c r="M297" s="231">
        <v>0</v>
      </c>
      <c r="N297" s="234">
        <v>0</v>
      </c>
      <c r="O297" s="231">
        <v>0</v>
      </c>
      <c r="P297" s="234">
        <v>0</v>
      </c>
      <c r="Q297" s="231">
        <v>0</v>
      </c>
      <c r="R297" s="234">
        <v>0</v>
      </c>
      <c r="S297" s="231">
        <v>0</v>
      </c>
      <c r="T297" s="234">
        <v>0</v>
      </c>
      <c r="U297" s="231">
        <v>0</v>
      </c>
      <c r="V297" s="234">
        <v>0</v>
      </c>
      <c r="W297" s="231">
        <v>0</v>
      </c>
      <c r="X297" s="234">
        <v>0</v>
      </c>
      <c r="Y297" s="231">
        <v>0</v>
      </c>
      <c r="Z297" s="234">
        <v>0</v>
      </c>
      <c r="AA297" s="231">
        <v>0</v>
      </c>
      <c r="AB297" s="234">
        <v>0</v>
      </c>
      <c r="AC297" s="238">
        <f t="shared" si="15"/>
        <v>0</v>
      </c>
      <c r="AD297" s="238"/>
      <c r="AE297" s="238"/>
    </row>
    <row r="298" spans="2:31" x14ac:dyDescent="0.3">
      <c r="B298" s="245" t="s">
        <v>51</v>
      </c>
      <c r="C298" s="245"/>
      <c r="D298" s="245"/>
      <c r="E298" s="231">
        <v>0</v>
      </c>
      <c r="F298" s="234">
        <v>0</v>
      </c>
      <c r="G298" s="231">
        <v>0</v>
      </c>
      <c r="H298" s="234">
        <v>0</v>
      </c>
      <c r="I298" s="231">
        <v>0</v>
      </c>
      <c r="J298" s="234">
        <v>0</v>
      </c>
      <c r="K298" s="231">
        <v>0</v>
      </c>
      <c r="L298" s="234">
        <v>0</v>
      </c>
      <c r="M298" s="231">
        <v>0</v>
      </c>
      <c r="N298" s="234">
        <v>0</v>
      </c>
      <c r="O298" s="231">
        <v>0</v>
      </c>
      <c r="P298" s="234">
        <v>0</v>
      </c>
      <c r="Q298" s="231">
        <v>29.307333333333325</v>
      </c>
      <c r="R298" s="234">
        <v>34.293499999999995</v>
      </c>
      <c r="S298" s="231">
        <v>35.48866666666666</v>
      </c>
      <c r="T298" s="234">
        <v>41.745000000000005</v>
      </c>
      <c r="U298" s="231">
        <v>42.177000000000007</v>
      </c>
      <c r="V298" s="234">
        <v>40.742333333333335</v>
      </c>
      <c r="W298" s="231">
        <v>21.664333333333328</v>
      </c>
      <c r="X298" s="234">
        <v>0</v>
      </c>
      <c r="Y298" s="231">
        <v>0</v>
      </c>
      <c r="Z298" s="234">
        <v>0</v>
      </c>
      <c r="AA298" s="231">
        <v>0</v>
      </c>
      <c r="AB298" s="234">
        <v>0</v>
      </c>
      <c r="AC298" s="238">
        <f t="shared" si="15"/>
        <v>245.41816666666668</v>
      </c>
      <c r="AD298" s="238"/>
      <c r="AE298" s="238"/>
    </row>
    <row r="299" spans="2:31" x14ac:dyDescent="0.3">
      <c r="B299" s="245" t="s">
        <v>52</v>
      </c>
      <c r="C299" s="245"/>
      <c r="D299" s="245"/>
      <c r="E299" s="231">
        <v>0</v>
      </c>
      <c r="F299" s="234">
        <v>0</v>
      </c>
      <c r="G299" s="231">
        <v>0</v>
      </c>
      <c r="H299" s="234">
        <v>0</v>
      </c>
      <c r="I299" s="231">
        <v>0</v>
      </c>
      <c r="J299" s="234">
        <v>0</v>
      </c>
      <c r="K299" s="231">
        <v>0</v>
      </c>
      <c r="L299" s="234">
        <v>0</v>
      </c>
      <c r="M299" s="231">
        <v>0</v>
      </c>
      <c r="N299" s="234">
        <v>0</v>
      </c>
      <c r="O299" s="231">
        <v>0</v>
      </c>
      <c r="P299" s="234">
        <v>0</v>
      </c>
      <c r="Q299" s="231">
        <v>0</v>
      </c>
      <c r="R299" s="234">
        <v>0</v>
      </c>
      <c r="S299" s="231">
        <v>0</v>
      </c>
      <c r="T299" s="234">
        <v>0</v>
      </c>
      <c r="U299" s="231">
        <v>0</v>
      </c>
      <c r="V299" s="234">
        <v>0</v>
      </c>
      <c r="W299" s="231">
        <v>0</v>
      </c>
      <c r="X299" s="234">
        <v>0</v>
      </c>
      <c r="Y299" s="231">
        <v>0</v>
      </c>
      <c r="Z299" s="234">
        <v>0</v>
      </c>
      <c r="AA299" s="231">
        <v>0</v>
      </c>
      <c r="AB299" s="234">
        <v>0</v>
      </c>
      <c r="AC299" s="238">
        <f t="shared" si="15"/>
        <v>0</v>
      </c>
      <c r="AD299" s="238"/>
      <c r="AE299" s="238"/>
    </row>
    <row r="300" spans="2:31" x14ac:dyDescent="0.3">
      <c r="B300" s="245" t="s">
        <v>53</v>
      </c>
      <c r="C300" s="245"/>
      <c r="D300" s="245"/>
      <c r="E300" s="231">
        <v>0</v>
      </c>
      <c r="F300" s="234">
        <v>0</v>
      </c>
      <c r="G300" s="231">
        <v>0</v>
      </c>
      <c r="H300" s="234">
        <v>0</v>
      </c>
      <c r="I300" s="231">
        <v>0</v>
      </c>
      <c r="J300" s="234">
        <v>0</v>
      </c>
      <c r="K300" s="231">
        <v>0</v>
      </c>
      <c r="L300" s="234">
        <v>0</v>
      </c>
      <c r="M300" s="231">
        <v>0</v>
      </c>
      <c r="N300" s="234">
        <v>0</v>
      </c>
      <c r="O300" s="231">
        <v>0</v>
      </c>
      <c r="P300" s="234">
        <v>0</v>
      </c>
      <c r="Q300" s="231">
        <v>0</v>
      </c>
      <c r="R300" s="234">
        <v>0</v>
      </c>
      <c r="S300" s="231">
        <v>0</v>
      </c>
      <c r="T300" s="234">
        <v>0</v>
      </c>
      <c r="U300" s="231">
        <v>0</v>
      </c>
      <c r="V300" s="234">
        <v>0</v>
      </c>
      <c r="W300" s="231">
        <v>0</v>
      </c>
      <c r="X300" s="234">
        <v>0</v>
      </c>
      <c r="Y300" s="231">
        <v>0</v>
      </c>
      <c r="Z300" s="234">
        <v>0</v>
      </c>
      <c r="AA300" s="231">
        <v>0</v>
      </c>
      <c r="AB300" s="234">
        <v>0</v>
      </c>
      <c r="AC300" s="238">
        <f t="shared" si="15"/>
        <v>0</v>
      </c>
      <c r="AD300" s="238"/>
      <c r="AE300" s="238"/>
    </row>
    <row r="301" spans="2:31" x14ac:dyDescent="0.3">
      <c r="B301" s="245" t="s">
        <v>54</v>
      </c>
      <c r="C301" s="245"/>
      <c r="D301" s="245"/>
      <c r="E301" s="231">
        <v>0</v>
      </c>
      <c r="F301" s="234">
        <v>0</v>
      </c>
      <c r="G301" s="231">
        <v>0</v>
      </c>
      <c r="H301" s="234">
        <v>0</v>
      </c>
      <c r="I301" s="231">
        <v>0</v>
      </c>
      <c r="J301" s="234">
        <v>0</v>
      </c>
      <c r="K301" s="231">
        <v>0</v>
      </c>
      <c r="L301" s="234">
        <v>0</v>
      </c>
      <c r="M301" s="231">
        <v>0</v>
      </c>
      <c r="N301" s="234">
        <v>0</v>
      </c>
      <c r="O301" s="231">
        <v>0</v>
      </c>
      <c r="P301" s="234">
        <v>0</v>
      </c>
      <c r="Q301" s="231">
        <v>4.370000000000001</v>
      </c>
      <c r="R301" s="234">
        <v>1.4866666666666668</v>
      </c>
      <c r="S301" s="231">
        <v>0</v>
      </c>
      <c r="T301" s="234">
        <v>0</v>
      </c>
      <c r="U301" s="231">
        <v>1.4766666666666666</v>
      </c>
      <c r="V301" s="234">
        <v>2.6811666666666594</v>
      </c>
      <c r="W301" s="231">
        <v>0.40333333333333388</v>
      </c>
      <c r="X301" s="234">
        <v>0</v>
      </c>
      <c r="Y301" s="231">
        <v>0</v>
      </c>
      <c r="Z301" s="234">
        <v>0</v>
      </c>
      <c r="AA301" s="231">
        <v>0</v>
      </c>
      <c r="AB301" s="234">
        <v>0</v>
      </c>
      <c r="AC301" s="238">
        <f t="shared" si="15"/>
        <v>10.417833333333327</v>
      </c>
      <c r="AD301" s="238"/>
      <c r="AE301" s="238"/>
    </row>
    <row r="302" spans="2:31" x14ac:dyDescent="0.3">
      <c r="B302" s="245" t="s">
        <v>55</v>
      </c>
      <c r="C302" s="245"/>
      <c r="D302" s="245"/>
      <c r="E302" s="231">
        <v>0</v>
      </c>
      <c r="F302" s="234">
        <v>0</v>
      </c>
      <c r="G302" s="231">
        <v>0</v>
      </c>
      <c r="H302" s="234">
        <v>0</v>
      </c>
      <c r="I302" s="231">
        <v>0</v>
      </c>
      <c r="J302" s="234">
        <v>0</v>
      </c>
      <c r="K302" s="231">
        <v>0</v>
      </c>
      <c r="L302" s="234">
        <v>0</v>
      </c>
      <c r="M302" s="231">
        <v>0</v>
      </c>
      <c r="N302" s="234">
        <v>0</v>
      </c>
      <c r="O302" s="231">
        <v>0</v>
      </c>
      <c r="P302" s="234">
        <v>0</v>
      </c>
      <c r="Q302" s="231">
        <v>0</v>
      </c>
      <c r="R302" s="234">
        <v>0</v>
      </c>
      <c r="S302" s="231">
        <v>0</v>
      </c>
      <c r="T302" s="234">
        <v>2.0840000000000019</v>
      </c>
      <c r="U302" s="231">
        <v>3.1700000000000066</v>
      </c>
      <c r="V302" s="234">
        <v>4.9526666666666666</v>
      </c>
      <c r="W302" s="231">
        <v>0</v>
      </c>
      <c r="X302" s="234">
        <v>0</v>
      </c>
      <c r="Y302" s="231">
        <v>0</v>
      </c>
      <c r="Z302" s="234">
        <v>0</v>
      </c>
      <c r="AA302" s="231">
        <v>0</v>
      </c>
      <c r="AB302" s="234">
        <v>0</v>
      </c>
      <c r="AC302" s="238">
        <f t="shared" si="15"/>
        <v>10.206666666666674</v>
      </c>
      <c r="AD302" s="238"/>
      <c r="AE302" s="238"/>
    </row>
    <row r="303" spans="2:31" x14ac:dyDescent="0.3">
      <c r="B303" s="245" t="s">
        <v>56</v>
      </c>
      <c r="C303" s="245"/>
      <c r="D303" s="245"/>
      <c r="E303" s="231">
        <v>0</v>
      </c>
      <c r="F303" s="234">
        <v>0</v>
      </c>
      <c r="G303" s="231">
        <v>0</v>
      </c>
      <c r="H303" s="234">
        <v>0</v>
      </c>
      <c r="I303" s="231">
        <v>0</v>
      </c>
      <c r="J303" s="234">
        <v>0</v>
      </c>
      <c r="K303" s="231">
        <v>0</v>
      </c>
      <c r="L303" s="234">
        <v>0</v>
      </c>
      <c r="M303" s="231">
        <v>0</v>
      </c>
      <c r="N303" s="234">
        <v>0</v>
      </c>
      <c r="O303" s="231">
        <v>0</v>
      </c>
      <c r="P303" s="234">
        <v>0</v>
      </c>
      <c r="Q303" s="231">
        <v>0</v>
      </c>
      <c r="R303" s="234">
        <v>0</v>
      </c>
      <c r="S303" s="231">
        <v>0</v>
      </c>
      <c r="T303" s="234">
        <v>2.2344999999999997</v>
      </c>
      <c r="U303" s="231">
        <v>3.6474999999999982</v>
      </c>
      <c r="V303" s="234">
        <v>4.8251666666666715</v>
      </c>
      <c r="W303" s="231">
        <v>0</v>
      </c>
      <c r="X303" s="234">
        <v>0</v>
      </c>
      <c r="Y303" s="231">
        <v>0</v>
      </c>
      <c r="Z303" s="234">
        <v>0</v>
      </c>
      <c r="AA303" s="231">
        <v>0</v>
      </c>
      <c r="AB303" s="234">
        <v>0</v>
      </c>
      <c r="AC303" s="238">
        <f t="shared" si="15"/>
        <v>10.707166666666669</v>
      </c>
      <c r="AD303" s="238"/>
      <c r="AE303" s="238"/>
    </row>
    <row r="304" spans="2:31" x14ac:dyDescent="0.3">
      <c r="B304" s="245" t="s">
        <v>94</v>
      </c>
      <c r="C304" s="245"/>
      <c r="D304" s="245"/>
      <c r="E304" s="231">
        <v>0</v>
      </c>
      <c r="F304" s="234">
        <v>0</v>
      </c>
      <c r="G304" s="231">
        <v>0</v>
      </c>
      <c r="H304" s="234">
        <v>0</v>
      </c>
      <c r="I304" s="231">
        <v>0</v>
      </c>
      <c r="J304" s="234">
        <v>0</v>
      </c>
      <c r="K304" s="231">
        <v>0</v>
      </c>
      <c r="L304" s="234">
        <v>0</v>
      </c>
      <c r="M304" s="231">
        <v>0</v>
      </c>
      <c r="N304" s="234">
        <v>0</v>
      </c>
      <c r="O304" s="231">
        <v>0</v>
      </c>
      <c r="P304" s="234">
        <v>0</v>
      </c>
      <c r="Q304" s="231">
        <v>0</v>
      </c>
      <c r="R304" s="234">
        <v>0</v>
      </c>
      <c r="S304" s="231">
        <v>0</v>
      </c>
      <c r="T304" s="234">
        <v>0</v>
      </c>
      <c r="U304" s="231">
        <v>0</v>
      </c>
      <c r="V304" s="234">
        <v>0</v>
      </c>
      <c r="W304" s="231">
        <v>0</v>
      </c>
      <c r="X304" s="234">
        <v>0</v>
      </c>
      <c r="Y304" s="231">
        <v>0</v>
      </c>
      <c r="Z304" s="234">
        <v>0</v>
      </c>
      <c r="AA304" s="231">
        <v>0</v>
      </c>
      <c r="AB304" s="234">
        <v>0</v>
      </c>
      <c r="AC304" s="238">
        <f t="shared" si="15"/>
        <v>0</v>
      </c>
      <c r="AD304" s="238"/>
      <c r="AE304" s="238"/>
    </row>
    <row r="305" spans="2:31" x14ac:dyDescent="0.3">
      <c r="B305" s="245" t="s">
        <v>57</v>
      </c>
      <c r="C305" s="245"/>
      <c r="D305" s="245"/>
      <c r="E305" s="231">
        <v>0</v>
      </c>
      <c r="F305" s="234">
        <v>0</v>
      </c>
      <c r="G305" s="231">
        <v>0</v>
      </c>
      <c r="H305" s="234">
        <v>0</v>
      </c>
      <c r="I305" s="231">
        <v>0</v>
      </c>
      <c r="J305" s="234">
        <v>0</v>
      </c>
      <c r="K305" s="231">
        <v>0</v>
      </c>
      <c r="L305" s="234">
        <v>0</v>
      </c>
      <c r="M305" s="231">
        <v>0</v>
      </c>
      <c r="N305" s="234">
        <v>0</v>
      </c>
      <c r="O305" s="231">
        <v>0</v>
      </c>
      <c r="P305" s="234">
        <v>0</v>
      </c>
      <c r="Q305" s="231">
        <v>0</v>
      </c>
      <c r="R305" s="234">
        <v>4.4833333333332941E-2</v>
      </c>
      <c r="S305" s="231">
        <v>0.13050000000000009</v>
      </c>
      <c r="T305" s="234">
        <v>1.3721666666666663</v>
      </c>
      <c r="U305" s="231">
        <v>2.3771666666666658</v>
      </c>
      <c r="V305" s="234">
        <v>2.5780000000000003</v>
      </c>
      <c r="W305" s="231">
        <v>0</v>
      </c>
      <c r="X305" s="234">
        <v>0</v>
      </c>
      <c r="Y305" s="231">
        <v>0</v>
      </c>
      <c r="Z305" s="234">
        <v>0</v>
      </c>
      <c r="AA305" s="231">
        <v>0</v>
      </c>
      <c r="AB305" s="234">
        <v>0</v>
      </c>
      <c r="AC305" s="238">
        <f t="shared" si="15"/>
        <v>6.5026666666666655</v>
      </c>
      <c r="AD305" s="238"/>
      <c r="AE305" s="238"/>
    </row>
    <row r="306" spans="2:31" x14ac:dyDescent="0.3">
      <c r="B306" s="245" t="s">
        <v>58</v>
      </c>
      <c r="C306" s="245"/>
      <c r="D306" s="245"/>
      <c r="E306" s="231">
        <v>0</v>
      </c>
      <c r="F306" s="234">
        <v>0</v>
      </c>
      <c r="G306" s="231">
        <v>0</v>
      </c>
      <c r="H306" s="234">
        <v>0</v>
      </c>
      <c r="I306" s="231">
        <v>0</v>
      </c>
      <c r="J306" s="234">
        <v>0</v>
      </c>
      <c r="K306" s="231">
        <v>0</v>
      </c>
      <c r="L306" s="234">
        <v>0</v>
      </c>
      <c r="M306" s="231">
        <v>0</v>
      </c>
      <c r="N306" s="234">
        <v>0</v>
      </c>
      <c r="O306" s="231">
        <v>0</v>
      </c>
      <c r="P306" s="234">
        <v>0</v>
      </c>
      <c r="Q306" s="231">
        <v>0.10816666666666801</v>
      </c>
      <c r="R306" s="234">
        <v>0</v>
      </c>
      <c r="S306" s="231">
        <v>0</v>
      </c>
      <c r="T306" s="234">
        <v>3.2133333333333365</v>
      </c>
      <c r="U306" s="231">
        <v>5.7864999999999984</v>
      </c>
      <c r="V306" s="234">
        <v>8.4674999999999834</v>
      </c>
      <c r="W306" s="231">
        <v>0</v>
      </c>
      <c r="X306" s="234">
        <v>0</v>
      </c>
      <c r="Y306" s="231">
        <v>0</v>
      </c>
      <c r="Z306" s="234">
        <v>0</v>
      </c>
      <c r="AA306" s="231">
        <v>0</v>
      </c>
      <c r="AB306" s="234">
        <v>0</v>
      </c>
      <c r="AC306" s="238">
        <f t="shared" si="15"/>
        <v>17.575499999999984</v>
      </c>
      <c r="AD306" s="238"/>
      <c r="AE306" s="238"/>
    </row>
    <row r="307" spans="2:31" x14ac:dyDescent="0.3">
      <c r="B307" s="245" t="s">
        <v>95</v>
      </c>
      <c r="C307" s="245"/>
      <c r="D307" s="245"/>
      <c r="E307" s="231">
        <v>0</v>
      </c>
      <c r="F307" s="234">
        <v>0</v>
      </c>
      <c r="G307" s="231">
        <v>0</v>
      </c>
      <c r="H307" s="234">
        <v>0</v>
      </c>
      <c r="I307" s="231">
        <v>0</v>
      </c>
      <c r="J307" s="234">
        <v>0</v>
      </c>
      <c r="K307" s="231">
        <v>0</v>
      </c>
      <c r="L307" s="234">
        <v>0</v>
      </c>
      <c r="M307" s="231">
        <v>0</v>
      </c>
      <c r="N307" s="234">
        <v>0</v>
      </c>
      <c r="O307" s="231">
        <v>0</v>
      </c>
      <c r="P307" s="234">
        <v>0</v>
      </c>
      <c r="Q307" s="231">
        <v>0</v>
      </c>
      <c r="R307" s="234">
        <v>0</v>
      </c>
      <c r="S307" s="231">
        <v>0</v>
      </c>
      <c r="T307" s="234">
        <v>0</v>
      </c>
      <c r="U307" s="231">
        <v>0</v>
      </c>
      <c r="V307" s="234">
        <v>0</v>
      </c>
      <c r="W307" s="231">
        <v>0</v>
      </c>
      <c r="X307" s="234">
        <v>0</v>
      </c>
      <c r="Y307" s="231">
        <v>0</v>
      </c>
      <c r="Z307" s="234">
        <v>0</v>
      </c>
      <c r="AA307" s="231">
        <v>0</v>
      </c>
      <c r="AB307" s="234">
        <v>0</v>
      </c>
      <c r="AC307" s="238">
        <f t="shared" si="15"/>
        <v>0</v>
      </c>
      <c r="AD307" s="238"/>
      <c r="AE307" s="238"/>
    </row>
    <row r="308" spans="2:31" x14ac:dyDescent="0.3">
      <c r="B308" s="245" t="s">
        <v>59</v>
      </c>
      <c r="C308" s="245"/>
      <c r="D308" s="245"/>
      <c r="E308" s="231">
        <v>0</v>
      </c>
      <c r="F308" s="234">
        <v>0</v>
      </c>
      <c r="G308" s="231">
        <v>0</v>
      </c>
      <c r="H308" s="234">
        <v>0</v>
      </c>
      <c r="I308" s="231">
        <v>0</v>
      </c>
      <c r="J308" s="234">
        <v>0</v>
      </c>
      <c r="K308" s="231">
        <v>0</v>
      </c>
      <c r="L308" s="234">
        <v>0</v>
      </c>
      <c r="M308" s="231">
        <v>0</v>
      </c>
      <c r="N308" s="234">
        <v>0</v>
      </c>
      <c r="O308" s="231">
        <v>0</v>
      </c>
      <c r="P308" s="234">
        <v>0</v>
      </c>
      <c r="Q308" s="231">
        <v>12.797333333333334</v>
      </c>
      <c r="R308" s="234">
        <v>14.118666666666668</v>
      </c>
      <c r="S308" s="231">
        <v>14.947000000000005</v>
      </c>
      <c r="T308" s="234">
        <v>19.094333333333342</v>
      </c>
      <c r="U308" s="231">
        <v>21.159833333333321</v>
      </c>
      <c r="V308" s="234">
        <v>22.292666666666651</v>
      </c>
      <c r="W308" s="231">
        <v>11.958666666666662</v>
      </c>
      <c r="X308" s="234">
        <v>0</v>
      </c>
      <c r="Y308" s="231">
        <v>0</v>
      </c>
      <c r="Z308" s="234">
        <v>0</v>
      </c>
      <c r="AA308" s="231">
        <v>0</v>
      </c>
      <c r="AB308" s="234">
        <v>0</v>
      </c>
      <c r="AC308" s="238">
        <f t="shared" si="15"/>
        <v>116.36849999999998</v>
      </c>
      <c r="AD308" s="238"/>
      <c r="AE308" s="238"/>
    </row>
    <row r="309" spans="2:31" x14ac:dyDescent="0.3">
      <c r="B309" s="245" t="s">
        <v>60</v>
      </c>
      <c r="C309" s="245"/>
      <c r="D309" s="245"/>
      <c r="E309" s="231">
        <v>0</v>
      </c>
      <c r="F309" s="234">
        <v>0</v>
      </c>
      <c r="G309" s="231">
        <v>0</v>
      </c>
      <c r="H309" s="234">
        <v>0</v>
      </c>
      <c r="I309" s="231">
        <v>0</v>
      </c>
      <c r="J309" s="234">
        <v>0</v>
      </c>
      <c r="K309" s="231">
        <v>0</v>
      </c>
      <c r="L309" s="234">
        <v>0</v>
      </c>
      <c r="M309" s="231">
        <v>0</v>
      </c>
      <c r="N309" s="234">
        <v>0</v>
      </c>
      <c r="O309" s="231">
        <v>0</v>
      </c>
      <c r="P309" s="234">
        <v>0</v>
      </c>
      <c r="Q309" s="231">
        <v>0</v>
      </c>
      <c r="R309" s="234">
        <v>0</v>
      </c>
      <c r="S309" s="231">
        <v>0</v>
      </c>
      <c r="T309" s="234">
        <v>0.38066666666666615</v>
      </c>
      <c r="U309" s="231">
        <v>0.70499999999999974</v>
      </c>
      <c r="V309" s="234">
        <v>1.850000000000001</v>
      </c>
      <c r="W309" s="231">
        <v>0</v>
      </c>
      <c r="X309" s="234">
        <v>0</v>
      </c>
      <c r="Y309" s="231">
        <v>0</v>
      </c>
      <c r="Z309" s="234">
        <v>0</v>
      </c>
      <c r="AA309" s="231">
        <v>0</v>
      </c>
      <c r="AB309" s="234">
        <v>0</v>
      </c>
      <c r="AC309" s="238">
        <f t="shared" si="15"/>
        <v>2.9356666666666671</v>
      </c>
      <c r="AD309" s="238"/>
      <c r="AE309" s="238"/>
    </row>
    <row r="310" spans="2:31" x14ac:dyDescent="0.3">
      <c r="B310" s="245" t="s">
        <v>61</v>
      </c>
      <c r="C310" s="245"/>
      <c r="D310" s="245"/>
      <c r="E310" s="231">
        <v>0</v>
      </c>
      <c r="F310" s="234">
        <v>0</v>
      </c>
      <c r="G310" s="231">
        <v>0</v>
      </c>
      <c r="H310" s="234">
        <v>0</v>
      </c>
      <c r="I310" s="231">
        <v>0</v>
      </c>
      <c r="J310" s="234">
        <v>0</v>
      </c>
      <c r="K310" s="231">
        <v>0</v>
      </c>
      <c r="L310" s="234">
        <v>0</v>
      </c>
      <c r="M310" s="231">
        <v>0</v>
      </c>
      <c r="N310" s="234">
        <v>0</v>
      </c>
      <c r="O310" s="231">
        <v>0</v>
      </c>
      <c r="P310" s="234">
        <v>0</v>
      </c>
      <c r="Q310" s="231">
        <v>0</v>
      </c>
      <c r="R310" s="234">
        <v>0</v>
      </c>
      <c r="S310" s="231">
        <v>0</v>
      </c>
      <c r="T310" s="234">
        <v>0</v>
      </c>
      <c r="U310" s="231">
        <v>0</v>
      </c>
      <c r="V310" s="234">
        <v>0</v>
      </c>
      <c r="W310" s="231">
        <v>8.1666666666665808E-3</v>
      </c>
      <c r="X310" s="234">
        <v>0</v>
      </c>
      <c r="Y310" s="231">
        <v>0</v>
      </c>
      <c r="Z310" s="234">
        <v>0</v>
      </c>
      <c r="AA310" s="231">
        <v>0</v>
      </c>
      <c r="AB310" s="234">
        <v>0</v>
      </c>
      <c r="AC310" s="238">
        <f t="shared" si="15"/>
        <v>8.1666666666665808E-3</v>
      </c>
      <c r="AD310" s="238"/>
      <c r="AE310" s="238"/>
    </row>
    <row r="311" spans="2:31" x14ac:dyDescent="0.3">
      <c r="B311" s="245" t="s">
        <v>62</v>
      </c>
      <c r="C311" s="245"/>
      <c r="D311" s="245"/>
      <c r="E311" s="231">
        <v>0</v>
      </c>
      <c r="F311" s="234">
        <v>0</v>
      </c>
      <c r="G311" s="231">
        <v>0</v>
      </c>
      <c r="H311" s="234">
        <v>0</v>
      </c>
      <c r="I311" s="231">
        <v>0</v>
      </c>
      <c r="J311" s="234">
        <v>0</v>
      </c>
      <c r="K311" s="231">
        <v>0</v>
      </c>
      <c r="L311" s="234">
        <v>0</v>
      </c>
      <c r="M311" s="231">
        <v>0</v>
      </c>
      <c r="N311" s="234">
        <v>0</v>
      </c>
      <c r="O311" s="231">
        <v>0</v>
      </c>
      <c r="P311" s="234">
        <v>0</v>
      </c>
      <c r="Q311" s="231">
        <v>0</v>
      </c>
      <c r="R311" s="234">
        <v>0</v>
      </c>
      <c r="S311" s="231">
        <v>0</v>
      </c>
      <c r="T311" s="234">
        <v>2.2338333333333327</v>
      </c>
      <c r="U311" s="231">
        <v>3.8168333333333297</v>
      </c>
      <c r="V311" s="234">
        <v>5.942999999999997</v>
      </c>
      <c r="W311" s="231">
        <v>1.5168333333333337</v>
      </c>
      <c r="X311" s="234">
        <v>0</v>
      </c>
      <c r="Y311" s="231">
        <v>0</v>
      </c>
      <c r="Z311" s="234">
        <v>0</v>
      </c>
      <c r="AA311" s="231">
        <v>0</v>
      </c>
      <c r="AB311" s="234">
        <v>0</v>
      </c>
      <c r="AC311" s="238">
        <f t="shared" si="15"/>
        <v>13.510499999999993</v>
      </c>
      <c r="AD311" s="238"/>
      <c r="AE311" s="238"/>
    </row>
    <row r="312" spans="2:31" x14ac:dyDescent="0.3">
      <c r="B312" s="245" t="s">
        <v>63</v>
      </c>
      <c r="C312" s="245"/>
      <c r="D312" s="245"/>
      <c r="E312" s="231">
        <v>0</v>
      </c>
      <c r="F312" s="234">
        <v>0</v>
      </c>
      <c r="G312" s="231">
        <v>0</v>
      </c>
      <c r="H312" s="234">
        <v>0</v>
      </c>
      <c r="I312" s="231">
        <v>0</v>
      </c>
      <c r="J312" s="234">
        <v>0</v>
      </c>
      <c r="K312" s="231">
        <v>0</v>
      </c>
      <c r="L312" s="234">
        <v>0</v>
      </c>
      <c r="M312" s="231">
        <v>0</v>
      </c>
      <c r="N312" s="234">
        <v>0</v>
      </c>
      <c r="O312" s="231">
        <v>0</v>
      </c>
      <c r="P312" s="234">
        <v>0</v>
      </c>
      <c r="Q312" s="231">
        <v>0</v>
      </c>
      <c r="R312" s="234">
        <v>0</v>
      </c>
      <c r="S312" s="231">
        <v>0</v>
      </c>
      <c r="T312" s="234">
        <v>10.170666666666657</v>
      </c>
      <c r="U312" s="231">
        <v>17.420999999999982</v>
      </c>
      <c r="V312" s="234">
        <v>17.354999999999983</v>
      </c>
      <c r="W312" s="231">
        <v>7.4544999999999906</v>
      </c>
      <c r="X312" s="234">
        <v>0</v>
      </c>
      <c r="Y312" s="231">
        <v>0</v>
      </c>
      <c r="Z312" s="234">
        <v>0</v>
      </c>
      <c r="AA312" s="231">
        <v>0</v>
      </c>
      <c r="AB312" s="234">
        <v>0</v>
      </c>
      <c r="AC312" s="238">
        <f t="shared" si="15"/>
        <v>52.401166666666612</v>
      </c>
      <c r="AD312" s="238"/>
      <c r="AE312" s="238"/>
    </row>
    <row r="313" spans="2:31" x14ac:dyDescent="0.3">
      <c r="B313" s="245" t="s">
        <v>64</v>
      </c>
      <c r="C313" s="245"/>
      <c r="D313" s="245"/>
      <c r="E313" s="231">
        <v>0</v>
      </c>
      <c r="F313" s="234">
        <v>0</v>
      </c>
      <c r="G313" s="231">
        <v>0</v>
      </c>
      <c r="H313" s="234">
        <v>0</v>
      </c>
      <c r="I313" s="231">
        <v>0</v>
      </c>
      <c r="J313" s="234">
        <v>0</v>
      </c>
      <c r="K313" s="231">
        <v>0</v>
      </c>
      <c r="L313" s="234">
        <v>0</v>
      </c>
      <c r="M313" s="231">
        <v>0</v>
      </c>
      <c r="N313" s="234">
        <v>0</v>
      </c>
      <c r="O313" s="231">
        <v>0</v>
      </c>
      <c r="P313" s="234">
        <v>0</v>
      </c>
      <c r="Q313" s="231">
        <v>0</v>
      </c>
      <c r="R313" s="234">
        <v>0.19500000000000101</v>
      </c>
      <c r="S313" s="231">
        <v>0.137333333333333</v>
      </c>
      <c r="T313" s="234">
        <v>5.9570000000000025</v>
      </c>
      <c r="U313" s="231">
        <v>9.6808333333333323</v>
      </c>
      <c r="V313" s="234">
        <v>10.619000000000005</v>
      </c>
      <c r="W313" s="231">
        <v>2.8356666666666634</v>
      </c>
      <c r="X313" s="234">
        <v>0</v>
      </c>
      <c r="Y313" s="231">
        <v>0</v>
      </c>
      <c r="Z313" s="234">
        <v>0</v>
      </c>
      <c r="AA313" s="231">
        <v>0</v>
      </c>
      <c r="AB313" s="234">
        <v>0</v>
      </c>
      <c r="AC313" s="238">
        <f t="shared" si="15"/>
        <v>29.424833333333339</v>
      </c>
      <c r="AD313" s="238"/>
      <c r="AE313" s="238"/>
    </row>
    <row r="314" spans="2:31" x14ac:dyDescent="0.3">
      <c r="B314" s="245" t="s">
        <v>96</v>
      </c>
      <c r="C314" s="245"/>
      <c r="D314" s="245"/>
      <c r="E314" s="231">
        <v>0</v>
      </c>
      <c r="F314" s="234">
        <v>0</v>
      </c>
      <c r="G314" s="231">
        <v>0</v>
      </c>
      <c r="H314" s="234">
        <v>0</v>
      </c>
      <c r="I314" s="231">
        <v>0</v>
      </c>
      <c r="J314" s="234">
        <v>0</v>
      </c>
      <c r="K314" s="231">
        <v>0</v>
      </c>
      <c r="L314" s="234">
        <v>0</v>
      </c>
      <c r="M314" s="231">
        <v>0</v>
      </c>
      <c r="N314" s="234">
        <v>0</v>
      </c>
      <c r="O314" s="231">
        <v>0</v>
      </c>
      <c r="P314" s="234">
        <v>0</v>
      </c>
      <c r="Q314" s="231">
        <v>0</v>
      </c>
      <c r="R314" s="234">
        <v>0</v>
      </c>
      <c r="S314" s="231">
        <v>0</v>
      </c>
      <c r="T314" s="234">
        <v>0</v>
      </c>
      <c r="U314" s="231">
        <v>0</v>
      </c>
      <c r="V314" s="234">
        <v>0</v>
      </c>
      <c r="W314" s="231">
        <v>0</v>
      </c>
      <c r="X314" s="234">
        <v>0</v>
      </c>
      <c r="Y314" s="231">
        <v>0</v>
      </c>
      <c r="Z314" s="234">
        <v>0</v>
      </c>
      <c r="AA314" s="231">
        <v>0</v>
      </c>
      <c r="AB314" s="234">
        <v>0</v>
      </c>
      <c r="AC314" s="238">
        <f t="shared" si="15"/>
        <v>0</v>
      </c>
      <c r="AD314" s="238"/>
      <c r="AE314" s="238"/>
    </row>
    <row r="315" spans="2:31" x14ac:dyDescent="0.3">
      <c r="B315" s="245" t="s">
        <v>65</v>
      </c>
      <c r="C315" s="245"/>
      <c r="D315" s="245"/>
      <c r="E315" s="231">
        <v>0</v>
      </c>
      <c r="F315" s="234">
        <v>0</v>
      </c>
      <c r="G315" s="231">
        <v>0</v>
      </c>
      <c r="H315" s="234">
        <v>0</v>
      </c>
      <c r="I315" s="231">
        <v>0</v>
      </c>
      <c r="J315" s="234">
        <v>0</v>
      </c>
      <c r="K315" s="231">
        <v>0</v>
      </c>
      <c r="L315" s="234">
        <v>0</v>
      </c>
      <c r="M315" s="231">
        <v>0</v>
      </c>
      <c r="N315" s="234">
        <v>0</v>
      </c>
      <c r="O315" s="231">
        <v>0</v>
      </c>
      <c r="P315" s="234">
        <v>0</v>
      </c>
      <c r="Q315" s="231">
        <v>0</v>
      </c>
      <c r="R315" s="234">
        <v>2.4999999999998578E-3</v>
      </c>
      <c r="S315" s="231">
        <v>0.4196666666666688</v>
      </c>
      <c r="T315" s="234">
        <v>2.8664999999999994</v>
      </c>
      <c r="U315" s="231">
        <v>4.0156666666666672</v>
      </c>
      <c r="V315" s="234">
        <v>4.4915000000000003</v>
      </c>
      <c r="W315" s="231">
        <v>1.0939999999999999</v>
      </c>
      <c r="X315" s="234">
        <v>0</v>
      </c>
      <c r="Y315" s="231">
        <v>0</v>
      </c>
      <c r="Z315" s="234">
        <v>0</v>
      </c>
      <c r="AA315" s="231">
        <v>0</v>
      </c>
      <c r="AB315" s="234">
        <v>0</v>
      </c>
      <c r="AC315" s="238">
        <f t="shared" si="15"/>
        <v>12.889833333333335</v>
      </c>
      <c r="AD315" s="238"/>
      <c r="AE315" s="238"/>
    </row>
    <row r="316" spans="2:31" x14ac:dyDescent="0.3">
      <c r="B316" s="245" t="s">
        <v>66</v>
      </c>
      <c r="C316" s="245"/>
      <c r="D316" s="245"/>
      <c r="E316" s="231">
        <v>0</v>
      </c>
      <c r="F316" s="234">
        <v>0</v>
      </c>
      <c r="G316" s="231">
        <v>0</v>
      </c>
      <c r="H316" s="234">
        <v>0</v>
      </c>
      <c r="I316" s="231">
        <v>0</v>
      </c>
      <c r="J316" s="234">
        <v>0</v>
      </c>
      <c r="K316" s="231">
        <v>0</v>
      </c>
      <c r="L316" s="234">
        <v>0</v>
      </c>
      <c r="M316" s="231">
        <v>0</v>
      </c>
      <c r="N316" s="234">
        <v>0</v>
      </c>
      <c r="O316" s="231">
        <v>0</v>
      </c>
      <c r="P316" s="234">
        <v>0</v>
      </c>
      <c r="Q316" s="231">
        <v>2.616000000000005</v>
      </c>
      <c r="R316" s="234">
        <v>2.8564999999999983</v>
      </c>
      <c r="S316" s="231">
        <v>3.1274999999999986</v>
      </c>
      <c r="T316" s="234">
        <v>7.1598333333333377</v>
      </c>
      <c r="U316" s="231">
        <v>8.4531666666666645</v>
      </c>
      <c r="V316" s="234">
        <v>8.0610000000000035</v>
      </c>
      <c r="W316" s="231">
        <v>2.3318333333333299</v>
      </c>
      <c r="X316" s="234">
        <v>0</v>
      </c>
      <c r="Y316" s="231">
        <v>0</v>
      </c>
      <c r="Z316" s="234">
        <v>0</v>
      </c>
      <c r="AA316" s="231">
        <v>0</v>
      </c>
      <c r="AB316" s="234">
        <v>0</v>
      </c>
      <c r="AC316" s="238">
        <f>SUM(E316:AB316)</f>
        <v>34.605833333333337</v>
      </c>
      <c r="AD316" s="238"/>
      <c r="AE316" s="238"/>
    </row>
    <row r="317" spans="2:31" x14ac:dyDescent="0.3">
      <c r="B317" s="245" t="s">
        <v>67</v>
      </c>
      <c r="C317" s="245"/>
      <c r="D317" s="245"/>
      <c r="E317" s="231">
        <v>0</v>
      </c>
      <c r="F317" s="234">
        <v>0</v>
      </c>
      <c r="G317" s="231">
        <v>0</v>
      </c>
      <c r="H317" s="234">
        <v>0</v>
      </c>
      <c r="I317" s="231">
        <v>0</v>
      </c>
      <c r="J317" s="234">
        <v>0</v>
      </c>
      <c r="K317" s="231">
        <v>0</v>
      </c>
      <c r="L317" s="234">
        <v>0</v>
      </c>
      <c r="M317" s="231">
        <v>0</v>
      </c>
      <c r="N317" s="234">
        <v>0</v>
      </c>
      <c r="O317" s="231">
        <v>0</v>
      </c>
      <c r="P317" s="234">
        <v>0</v>
      </c>
      <c r="Q317" s="231">
        <v>0</v>
      </c>
      <c r="R317" s="234">
        <v>0</v>
      </c>
      <c r="S317" s="231">
        <v>0</v>
      </c>
      <c r="T317" s="234">
        <v>2.318166666666666</v>
      </c>
      <c r="U317" s="231">
        <v>3.0826666666666678</v>
      </c>
      <c r="V317" s="234">
        <v>4.3636666666666653</v>
      </c>
      <c r="W317" s="231">
        <v>2.3210000000000006</v>
      </c>
      <c r="X317" s="234">
        <v>0</v>
      </c>
      <c r="Y317" s="231">
        <v>0</v>
      </c>
      <c r="Z317" s="234">
        <v>0</v>
      </c>
      <c r="AA317" s="231">
        <v>0</v>
      </c>
      <c r="AB317" s="234">
        <v>0</v>
      </c>
      <c r="AC317" s="238">
        <f t="shared" ref="AC317:AC330" si="16">SUM(E317:AB317)</f>
        <v>12.0855</v>
      </c>
      <c r="AD317" s="238"/>
      <c r="AE317" s="238"/>
    </row>
    <row r="318" spans="2:31" x14ac:dyDescent="0.3">
      <c r="B318" s="245" t="s">
        <v>68</v>
      </c>
      <c r="C318" s="245"/>
      <c r="D318" s="245"/>
      <c r="E318" s="231">
        <v>0</v>
      </c>
      <c r="F318" s="234">
        <v>0</v>
      </c>
      <c r="G318" s="231">
        <v>0</v>
      </c>
      <c r="H318" s="234">
        <v>0</v>
      </c>
      <c r="I318" s="231">
        <v>0</v>
      </c>
      <c r="J318" s="234">
        <v>0</v>
      </c>
      <c r="K318" s="231">
        <v>0</v>
      </c>
      <c r="L318" s="234">
        <v>0</v>
      </c>
      <c r="M318" s="231">
        <v>0</v>
      </c>
      <c r="N318" s="234">
        <v>0</v>
      </c>
      <c r="O318" s="231">
        <v>0</v>
      </c>
      <c r="P318" s="234">
        <v>0</v>
      </c>
      <c r="Q318" s="231">
        <v>51.393333333333366</v>
      </c>
      <c r="R318" s="234">
        <v>61.900000000000063</v>
      </c>
      <c r="S318" s="231">
        <v>60.300000000000061</v>
      </c>
      <c r="T318" s="234">
        <v>54.900000000000055</v>
      </c>
      <c r="U318" s="231">
        <v>46.099999999999952</v>
      </c>
      <c r="V318" s="234">
        <v>34.799999999999976</v>
      </c>
      <c r="W318" s="231">
        <v>22.5</v>
      </c>
      <c r="X318" s="234">
        <v>2.0366666666666671</v>
      </c>
      <c r="Y318" s="231">
        <v>0</v>
      </c>
      <c r="Z318" s="234">
        <v>0</v>
      </c>
      <c r="AA318" s="231">
        <v>0</v>
      </c>
      <c r="AB318" s="234">
        <v>0</v>
      </c>
      <c r="AC318" s="238">
        <f t="shared" si="16"/>
        <v>333.93000000000018</v>
      </c>
      <c r="AD318" s="238"/>
      <c r="AE318" s="238"/>
    </row>
    <row r="319" spans="2:31" x14ac:dyDescent="0.3">
      <c r="B319" s="245" t="s">
        <v>69</v>
      </c>
      <c r="C319" s="245"/>
      <c r="D319" s="245"/>
      <c r="E319" s="231">
        <v>0</v>
      </c>
      <c r="F319" s="234">
        <v>0</v>
      </c>
      <c r="G319" s="231">
        <v>0</v>
      </c>
      <c r="H319" s="234">
        <v>0</v>
      </c>
      <c r="I319" s="231">
        <v>0</v>
      </c>
      <c r="J319" s="234">
        <v>0</v>
      </c>
      <c r="K319" s="231">
        <v>0</v>
      </c>
      <c r="L319" s="234">
        <v>0</v>
      </c>
      <c r="M319" s="231">
        <v>0</v>
      </c>
      <c r="N319" s="234">
        <v>0</v>
      </c>
      <c r="O319" s="231">
        <v>0</v>
      </c>
      <c r="P319" s="234">
        <v>0</v>
      </c>
      <c r="Q319" s="231">
        <v>3.3858333333333395</v>
      </c>
      <c r="R319" s="234">
        <v>3.0073333333333392</v>
      </c>
      <c r="S319" s="231">
        <v>4.4976666666666629</v>
      </c>
      <c r="T319" s="234">
        <v>11.812500000000004</v>
      </c>
      <c r="U319" s="231">
        <v>14.066666666666668</v>
      </c>
      <c r="V319" s="234">
        <v>13.731833333333334</v>
      </c>
      <c r="W319" s="231">
        <v>2.8376666666666659</v>
      </c>
      <c r="X319" s="234">
        <v>0</v>
      </c>
      <c r="Y319" s="231">
        <v>0</v>
      </c>
      <c r="Z319" s="234">
        <v>0</v>
      </c>
      <c r="AA319" s="231">
        <v>0</v>
      </c>
      <c r="AB319" s="234">
        <v>0</v>
      </c>
      <c r="AC319" s="238">
        <f t="shared" si="16"/>
        <v>53.339500000000008</v>
      </c>
      <c r="AD319" s="238"/>
      <c r="AE319" s="238"/>
    </row>
    <row r="320" spans="2:31" x14ac:dyDescent="0.3">
      <c r="B320" s="245" t="s">
        <v>70</v>
      </c>
      <c r="C320" s="245"/>
      <c r="D320" s="245"/>
      <c r="E320" s="231">
        <v>0</v>
      </c>
      <c r="F320" s="234">
        <v>0</v>
      </c>
      <c r="G320" s="231">
        <v>0</v>
      </c>
      <c r="H320" s="234">
        <v>0</v>
      </c>
      <c r="I320" s="231">
        <v>0</v>
      </c>
      <c r="J320" s="234">
        <v>0</v>
      </c>
      <c r="K320" s="231">
        <v>0</v>
      </c>
      <c r="L320" s="234">
        <v>0</v>
      </c>
      <c r="M320" s="231">
        <v>0</v>
      </c>
      <c r="N320" s="234">
        <v>0</v>
      </c>
      <c r="O320" s="231">
        <v>0</v>
      </c>
      <c r="P320" s="234">
        <v>0</v>
      </c>
      <c r="Q320" s="231">
        <v>0</v>
      </c>
      <c r="R320" s="234">
        <v>12.093000000000002</v>
      </c>
      <c r="S320" s="231">
        <v>0.40199999999999958</v>
      </c>
      <c r="T320" s="234">
        <v>0.90483333333333271</v>
      </c>
      <c r="U320" s="231">
        <v>7.2925000000000004</v>
      </c>
      <c r="V320" s="234">
        <v>17.131166666666669</v>
      </c>
      <c r="W320" s="231">
        <v>6.076333333333328</v>
      </c>
      <c r="X320" s="234">
        <v>0</v>
      </c>
      <c r="Y320" s="231">
        <v>0</v>
      </c>
      <c r="Z320" s="234">
        <v>0</v>
      </c>
      <c r="AA320" s="231">
        <v>0</v>
      </c>
      <c r="AB320" s="234">
        <v>0</v>
      </c>
      <c r="AC320" s="238">
        <f t="shared" si="16"/>
        <v>43.899833333333333</v>
      </c>
      <c r="AD320" s="238"/>
      <c r="AE320" s="238"/>
    </row>
    <row r="321" spans="2:31" x14ac:dyDescent="0.3">
      <c r="B321" s="245" t="s">
        <v>71</v>
      </c>
      <c r="C321" s="245"/>
      <c r="D321" s="245"/>
      <c r="E321" s="231">
        <v>0</v>
      </c>
      <c r="F321" s="234">
        <v>0</v>
      </c>
      <c r="G321" s="231">
        <v>0</v>
      </c>
      <c r="H321" s="234">
        <v>0</v>
      </c>
      <c r="I321" s="231">
        <v>0</v>
      </c>
      <c r="J321" s="234">
        <v>0</v>
      </c>
      <c r="K321" s="231">
        <v>0</v>
      </c>
      <c r="L321" s="234">
        <v>0</v>
      </c>
      <c r="M321" s="231">
        <v>0</v>
      </c>
      <c r="N321" s="234">
        <v>0</v>
      </c>
      <c r="O321" s="231">
        <v>0</v>
      </c>
      <c r="P321" s="234">
        <v>0</v>
      </c>
      <c r="Q321" s="231">
        <v>0</v>
      </c>
      <c r="R321" s="234">
        <v>0</v>
      </c>
      <c r="S321" s="231">
        <v>0</v>
      </c>
      <c r="T321" s="234">
        <v>0.81399999999999695</v>
      </c>
      <c r="U321" s="231">
        <v>1.4569999999999965</v>
      </c>
      <c r="V321" s="234">
        <v>2.4733333333333301</v>
      </c>
      <c r="W321" s="231">
        <v>2.3666666666666458E-2</v>
      </c>
      <c r="X321" s="234">
        <v>0</v>
      </c>
      <c r="Y321" s="231">
        <v>0</v>
      </c>
      <c r="Z321" s="234">
        <v>0</v>
      </c>
      <c r="AA321" s="231">
        <v>0</v>
      </c>
      <c r="AB321" s="234">
        <v>0</v>
      </c>
      <c r="AC321" s="238">
        <f t="shared" si="16"/>
        <v>4.76799999999999</v>
      </c>
      <c r="AD321" s="238"/>
      <c r="AE321" s="238"/>
    </row>
    <row r="322" spans="2:31" x14ac:dyDescent="0.3">
      <c r="B322" s="245" t="s">
        <v>72</v>
      </c>
      <c r="C322" s="245"/>
      <c r="D322" s="245"/>
      <c r="E322" s="231">
        <v>0</v>
      </c>
      <c r="F322" s="234">
        <v>0</v>
      </c>
      <c r="G322" s="231">
        <v>0</v>
      </c>
      <c r="H322" s="234">
        <v>0</v>
      </c>
      <c r="I322" s="231">
        <v>0</v>
      </c>
      <c r="J322" s="234">
        <v>0</v>
      </c>
      <c r="K322" s="231">
        <v>0</v>
      </c>
      <c r="L322" s="234">
        <v>0</v>
      </c>
      <c r="M322" s="231">
        <v>0</v>
      </c>
      <c r="N322" s="234">
        <v>0</v>
      </c>
      <c r="O322" s="231">
        <v>0</v>
      </c>
      <c r="P322" s="234">
        <v>0</v>
      </c>
      <c r="Q322" s="231">
        <v>0</v>
      </c>
      <c r="R322" s="234">
        <v>0</v>
      </c>
      <c r="S322" s="231">
        <v>0</v>
      </c>
      <c r="T322" s="234">
        <v>2.552500000000002</v>
      </c>
      <c r="U322" s="231">
        <v>3.725000000000001</v>
      </c>
      <c r="V322" s="234">
        <v>4.7471666666666712</v>
      </c>
      <c r="W322" s="231">
        <v>0.1290000000000002</v>
      </c>
      <c r="X322" s="234">
        <v>0</v>
      </c>
      <c r="Y322" s="231">
        <v>0</v>
      </c>
      <c r="Z322" s="234">
        <v>0</v>
      </c>
      <c r="AA322" s="231">
        <v>0</v>
      </c>
      <c r="AB322" s="234">
        <v>0</v>
      </c>
      <c r="AC322" s="238">
        <f t="shared" si="16"/>
        <v>11.153666666666675</v>
      </c>
      <c r="AD322" s="238"/>
      <c r="AE322" s="238"/>
    </row>
    <row r="323" spans="2:31" x14ac:dyDescent="0.3">
      <c r="B323" s="245" t="s">
        <v>73</v>
      </c>
      <c r="C323" s="245"/>
      <c r="D323" s="245"/>
      <c r="E323" s="231">
        <v>0</v>
      </c>
      <c r="F323" s="234">
        <v>0</v>
      </c>
      <c r="G323" s="231">
        <v>0</v>
      </c>
      <c r="H323" s="234">
        <v>0</v>
      </c>
      <c r="I323" s="231">
        <v>0</v>
      </c>
      <c r="J323" s="234">
        <v>0</v>
      </c>
      <c r="K323" s="231">
        <v>0</v>
      </c>
      <c r="L323" s="234">
        <v>0</v>
      </c>
      <c r="M323" s="231">
        <v>0</v>
      </c>
      <c r="N323" s="234">
        <v>0</v>
      </c>
      <c r="O323" s="231">
        <v>0</v>
      </c>
      <c r="P323" s="234">
        <v>0</v>
      </c>
      <c r="Q323" s="231">
        <v>2.4333333333334414E-2</v>
      </c>
      <c r="R323" s="234">
        <v>3.5333333333335777E-2</v>
      </c>
      <c r="S323" s="231">
        <v>4.4666666666667257E-2</v>
      </c>
      <c r="T323" s="234">
        <v>21.728833333333327</v>
      </c>
      <c r="U323" s="231">
        <v>29.987999999999975</v>
      </c>
      <c r="V323" s="234">
        <v>0</v>
      </c>
      <c r="W323" s="231">
        <v>6.9631666666666643</v>
      </c>
      <c r="X323" s="234">
        <v>0.29666666666666708</v>
      </c>
      <c r="Y323" s="231">
        <v>0</v>
      </c>
      <c r="Z323" s="234">
        <v>0</v>
      </c>
      <c r="AA323" s="231">
        <v>0</v>
      </c>
      <c r="AB323" s="234">
        <v>0</v>
      </c>
      <c r="AC323" s="238">
        <f t="shared" si="16"/>
        <v>59.080999999999975</v>
      </c>
      <c r="AD323" s="238"/>
      <c r="AE323" s="238"/>
    </row>
    <row r="324" spans="2:31" x14ac:dyDescent="0.3">
      <c r="B324" s="245" t="s">
        <v>74</v>
      </c>
      <c r="C324" s="245"/>
      <c r="D324" s="245"/>
      <c r="E324" s="231">
        <v>0</v>
      </c>
      <c r="F324" s="234">
        <v>0</v>
      </c>
      <c r="G324" s="231">
        <v>0</v>
      </c>
      <c r="H324" s="234">
        <v>0</v>
      </c>
      <c r="I324" s="231">
        <v>0</v>
      </c>
      <c r="J324" s="234">
        <v>0</v>
      </c>
      <c r="K324" s="231">
        <v>0</v>
      </c>
      <c r="L324" s="234">
        <v>0</v>
      </c>
      <c r="M324" s="231">
        <v>0</v>
      </c>
      <c r="N324" s="234">
        <v>0</v>
      </c>
      <c r="O324" s="231">
        <v>0</v>
      </c>
      <c r="P324" s="234">
        <v>0</v>
      </c>
      <c r="Q324" s="231">
        <v>0</v>
      </c>
      <c r="R324" s="234">
        <v>2.4984999999999999</v>
      </c>
      <c r="S324" s="231">
        <v>1.4126666666666667</v>
      </c>
      <c r="T324" s="234">
        <v>3.4803333333333337</v>
      </c>
      <c r="U324" s="231">
        <v>1.47</v>
      </c>
      <c r="V324" s="234">
        <v>0.66749999999999998</v>
      </c>
      <c r="W324" s="231">
        <v>0.84950000000000025</v>
      </c>
      <c r="X324" s="234">
        <v>1.6666666666666311E-4</v>
      </c>
      <c r="Y324" s="231">
        <v>0</v>
      </c>
      <c r="Z324" s="234">
        <v>0</v>
      </c>
      <c r="AA324" s="231">
        <v>0</v>
      </c>
      <c r="AB324" s="234">
        <v>0</v>
      </c>
      <c r="AC324" s="238">
        <f t="shared" si="16"/>
        <v>10.378666666666669</v>
      </c>
      <c r="AD324" s="238"/>
      <c r="AE324" s="238"/>
    </row>
    <row r="325" spans="2:31" x14ac:dyDescent="0.3">
      <c r="B325" s="245" t="s">
        <v>75</v>
      </c>
      <c r="C325" s="245"/>
      <c r="D325" s="245"/>
      <c r="E325" s="231">
        <v>0</v>
      </c>
      <c r="F325" s="234">
        <v>0</v>
      </c>
      <c r="G325" s="231">
        <v>0</v>
      </c>
      <c r="H325" s="234">
        <v>0</v>
      </c>
      <c r="I325" s="231">
        <v>0</v>
      </c>
      <c r="J325" s="234">
        <v>0</v>
      </c>
      <c r="K325" s="231">
        <v>0</v>
      </c>
      <c r="L325" s="234">
        <v>0</v>
      </c>
      <c r="M325" s="231">
        <v>0</v>
      </c>
      <c r="N325" s="234">
        <v>0</v>
      </c>
      <c r="O325" s="231">
        <v>0</v>
      </c>
      <c r="P325" s="234">
        <v>0</v>
      </c>
      <c r="Q325" s="231">
        <v>0.34283333333333466</v>
      </c>
      <c r="R325" s="234">
        <v>0</v>
      </c>
      <c r="S325" s="231">
        <v>0</v>
      </c>
      <c r="T325" s="234">
        <v>7.6116666666666619</v>
      </c>
      <c r="U325" s="231">
        <v>1.8283333333333327</v>
      </c>
      <c r="V325" s="234">
        <v>3.3360000000000016</v>
      </c>
      <c r="W325" s="231">
        <v>5.7908333333333299</v>
      </c>
      <c r="X325" s="234">
        <v>0</v>
      </c>
      <c r="Y325" s="231">
        <v>0</v>
      </c>
      <c r="Z325" s="234">
        <v>0</v>
      </c>
      <c r="AA325" s="231">
        <v>0</v>
      </c>
      <c r="AB325" s="234">
        <v>0</v>
      </c>
      <c r="AC325" s="238">
        <f t="shared" si="16"/>
        <v>18.909666666666659</v>
      </c>
      <c r="AD325" s="238"/>
      <c r="AE325" s="238"/>
    </row>
    <row r="326" spans="2:31" x14ac:dyDescent="0.3">
      <c r="B326" s="245" t="s">
        <v>76</v>
      </c>
      <c r="C326" s="245"/>
      <c r="D326" s="245"/>
      <c r="E326" s="231">
        <v>0</v>
      </c>
      <c r="F326" s="234">
        <v>0</v>
      </c>
      <c r="G326" s="231">
        <v>0</v>
      </c>
      <c r="H326" s="234">
        <v>0</v>
      </c>
      <c r="I326" s="231">
        <v>0</v>
      </c>
      <c r="J326" s="234">
        <v>0</v>
      </c>
      <c r="K326" s="231">
        <v>0</v>
      </c>
      <c r="L326" s="234">
        <v>0</v>
      </c>
      <c r="M326" s="231">
        <v>0</v>
      </c>
      <c r="N326" s="234">
        <v>0</v>
      </c>
      <c r="O326" s="231">
        <v>0</v>
      </c>
      <c r="P326" s="234">
        <v>0</v>
      </c>
      <c r="Q326" s="231">
        <v>0</v>
      </c>
      <c r="R326" s="234">
        <v>0</v>
      </c>
      <c r="S326" s="231">
        <v>0</v>
      </c>
      <c r="T326" s="234">
        <v>0</v>
      </c>
      <c r="U326" s="231">
        <v>0</v>
      </c>
      <c r="V326" s="234">
        <v>0</v>
      </c>
      <c r="W326" s="231">
        <v>0</v>
      </c>
      <c r="X326" s="234">
        <v>0</v>
      </c>
      <c r="Y326" s="231">
        <v>0</v>
      </c>
      <c r="Z326" s="234">
        <v>0</v>
      </c>
      <c r="AA326" s="231">
        <v>0</v>
      </c>
      <c r="AB326" s="234">
        <v>0</v>
      </c>
      <c r="AC326" s="238">
        <f t="shared" si="16"/>
        <v>0</v>
      </c>
      <c r="AD326" s="238"/>
      <c r="AE326" s="238"/>
    </row>
    <row r="327" spans="2:31" x14ac:dyDescent="0.3">
      <c r="B327" s="245" t="s">
        <v>77</v>
      </c>
      <c r="C327" s="245"/>
      <c r="D327" s="245"/>
      <c r="E327" s="231">
        <v>0</v>
      </c>
      <c r="F327" s="234">
        <v>0</v>
      </c>
      <c r="G327" s="231">
        <v>0</v>
      </c>
      <c r="H327" s="234">
        <v>0</v>
      </c>
      <c r="I327" s="231">
        <v>0</v>
      </c>
      <c r="J327" s="234">
        <v>0</v>
      </c>
      <c r="K327" s="231">
        <v>0</v>
      </c>
      <c r="L327" s="234">
        <v>0</v>
      </c>
      <c r="M327" s="231">
        <v>0</v>
      </c>
      <c r="N327" s="234">
        <v>0</v>
      </c>
      <c r="O327" s="231">
        <v>0</v>
      </c>
      <c r="P327" s="234">
        <v>0</v>
      </c>
      <c r="Q327" s="231">
        <v>0.39466666666666278</v>
      </c>
      <c r="R327" s="234">
        <v>2.0431666666666697</v>
      </c>
      <c r="S327" s="231">
        <v>0.62600000000000477</v>
      </c>
      <c r="T327" s="234">
        <v>6.5461666666666636</v>
      </c>
      <c r="U327" s="231">
        <v>9.8753333333333337</v>
      </c>
      <c r="V327" s="234">
        <v>12.412000000000001</v>
      </c>
      <c r="W327" s="231">
        <v>2.189166666666666</v>
      </c>
      <c r="X327" s="234">
        <v>0</v>
      </c>
      <c r="Y327" s="231">
        <v>0</v>
      </c>
      <c r="Z327" s="234">
        <v>0</v>
      </c>
      <c r="AA327" s="231">
        <v>0</v>
      </c>
      <c r="AB327" s="234">
        <v>0</v>
      </c>
      <c r="AC327" s="238">
        <f t="shared" si="16"/>
        <v>34.086500000000001</v>
      </c>
      <c r="AD327" s="238"/>
      <c r="AE327" s="238"/>
    </row>
    <row r="328" spans="2:31" x14ac:dyDescent="0.3">
      <c r="B328" s="245" t="s">
        <v>78</v>
      </c>
      <c r="C328" s="245"/>
      <c r="D328" s="245"/>
      <c r="E328" s="231">
        <v>0</v>
      </c>
      <c r="F328" s="234">
        <v>0</v>
      </c>
      <c r="G328" s="231">
        <v>0</v>
      </c>
      <c r="H328" s="234">
        <v>0</v>
      </c>
      <c r="I328" s="231">
        <v>0</v>
      </c>
      <c r="J328" s="234">
        <v>0</v>
      </c>
      <c r="K328" s="231">
        <v>0</v>
      </c>
      <c r="L328" s="234">
        <v>0</v>
      </c>
      <c r="M328" s="231">
        <v>0</v>
      </c>
      <c r="N328" s="234">
        <v>0</v>
      </c>
      <c r="O328" s="231">
        <v>0</v>
      </c>
      <c r="P328" s="234">
        <v>0</v>
      </c>
      <c r="Q328" s="231">
        <v>7.4793333333333303</v>
      </c>
      <c r="R328" s="234">
        <v>10.83</v>
      </c>
      <c r="S328" s="231">
        <v>11.529999999999983</v>
      </c>
      <c r="T328" s="234">
        <v>10.129999999999997</v>
      </c>
      <c r="U328" s="231">
        <v>5.3299999999999894</v>
      </c>
      <c r="V328" s="234">
        <v>0</v>
      </c>
      <c r="W328" s="231">
        <v>0</v>
      </c>
      <c r="X328" s="234">
        <v>0</v>
      </c>
      <c r="Y328" s="231">
        <v>0</v>
      </c>
      <c r="Z328" s="234">
        <v>0</v>
      </c>
      <c r="AA328" s="231">
        <v>0</v>
      </c>
      <c r="AB328" s="234">
        <v>0</v>
      </c>
      <c r="AC328" s="238">
        <f t="shared" si="16"/>
        <v>45.299333333333301</v>
      </c>
      <c r="AD328" s="238"/>
      <c r="AE328" s="238"/>
    </row>
    <row r="329" spans="2:31" x14ac:dyDescent="0.3">
      <c r="B329" s="245" t="s">
        <v>79</v>
      </c>
      <c r="C329" s="245"/>
      <c r="D329" s="245"/>
      <c r="E329" s="231">
        <v>0</v>
      </c>
      <c r="F329" s="234">
        <v>0</v>
      </c>
      <c r="G329" s="231">
        <v>0</v>
      </c>
      <c r="H329" s="234">
        <v>0</v>
      </c>
      <c r="I329" s="231">
        <v>0</v>
      </c>
      <c r="J329" s="234">
        <v>0</v>
      </c>
      <c r="K329" s="231">
        <v>0</v>
      </c>
      <c r="L329" s="234">
        <v>0</v>
      </c>
      <c r="M329" s="231">
        <v>0</v>
      </c>
      <c r="N329" s="234">
        <v>0</v>
      </c>
      <c r="O329" s="231">
        <v>0</v>
      </c>
      <c r="P329" s="234">
        <v>0</v>
      </c>
      <c r="Q329" s="231">
        <v>0</v>
      </c>
      <c r="R329" s="234">
        <v>0</v>
      </c>
      <c r="S329" s="231">
        <v>0</v>
      </c>
      <c r="T329" s="234">
        <v>0</v>
      </c>
      <c r="U329" s="231">
        <v>0</v>
      </c>
      <c r="V329" s="234">
        <v>0</v>
      </c>
      <c r="W329" s="231">
        <v>0</v>
      </c>
      <c r="X329" s="234">
        <v>0</v>
      </c>
      <c r="Y329" s="231">
        <v>0</v>
      </c>
      <c r="Z329" s="234">
        <v>0</v>
      </c>
      <c r="AA329" s="231">
        <v>0</v>
      </c>
      <c r="AB329" s="234">
        <v>0</v>
      </c>
      <c r="AC329" s="238">
        <f t="shared" si="16"/>
        <v>0</v>
      </c>
      <c r="AD329" s="238"/>
      <c r="AE329" s="238"/>
    </row>
    <row r="330" spans="2:31" x14ac:dyDescent="0.3">
      <c r="B330" s="245" t="s">
        <v>80</v>
      </c>
      <c r="C330" s="245"/>
      <c r="D330" s="245"/>
      <c r="E330" s="231">
        <v>0</v>
      </c>
      <c r="F330" s="234">
        <v>0</v>
      </c>
      <c r="G330" s="231">
        <v>0</v>
      </c>
      <c r="H330" s="234">
        <v>0</v>
      </c>
      <c r="I330" s="231">
        <v>0</v>
      </c>
      <c r="J330" s="234">
        <v>0</v>
      </c>
      <c r="K330" s="231">
        <v>0</v>
      </c>
      <c r="L330" s="234">
        <v>0</v>
      </c>
      <c r="M330" s="231">
        <v>0</v>
      </c>
      <c r="N330" s="234">
        <v>0</v>
      </c>
      <c r="O330" s="231">
        <v>0</v>
      </c>
      <c r="P330" s="234">
        <v>0</v>
      </c>
      <c r="Q330" s="231">
        <v>0</v>
      </c>
      <c r="R330" s="234">
        <v>0</v>
      </c>
      <c r="S330" s="231">
        <v>0</v>
      </c>
      <c r="T330" s="234">
        <v>0</v>
      </c>
      <c r="U330" s="231">
        <v>0</v>
      </c>
      <c r="V330" s="234">
        <v>0</v>
      </c>
      <c r="W330" s="231">
        <v>0</v>
      </c>
      <c r="X330" s="234">
        <v>0</v>
      </c>
      <c r="Y330" s="231">
        <v>0</v>
      </c>
      <c r="Z330" s="234">
        <v>0</v>
      </c>
      <c r="AA330" s="231">
        <v>0</v>
      </c>
      <c r="AB330" s="234">
        <v>0</v>
      </c>
      <c r="AC330" s="238">
        <f t="shared" si="16"/>
        <v>0</v>
      </c>
      <c r="AD330" s="238"/>
      <c r="AE330" s="238"/>
    </row>
    <row r="331" spans="2:31" x14ac:dyDescent="0.3">
      <c r="B331" s="245" t="s">
        <v>93</v>
      </c>
      <c r="C331" s="245"/>
      <c r="D331" s="245"/>
      <c r="E331" s="231">
        <v>0</v>
      </c>
      <c r="F331" s="234">
        <v>0</v>
      </c>
      <c r="G331" s="231">
        <v>0</v>
      </c>
      <c r="H331" s="234">
        <v>0</v>
      </c>
      <c r="I331" s="231">
        <v>0</v>
      </c>
      <c r="J331" s="234">
        <v>0</v>
      </c>
      <c r="K331" s="231">
        <v>0</v>
      </c>
      <c r="L331" s="234">
        <v>0</v>
      </c>
      <c r="M331" s="231">
        <v>0</v>
      </c>
      <c r="N331" s="234">
        <v>0</v>
      </c>
      <c r="O331" s="231">
        <v>0</v>
      </c>
      <c r="P331" s="234">
        <v>0</v>
      </c>
      <c r="Q331" s="231">
        <v>0</v>
      </c>
      <c r="R331" s="234">
        <v>1.328333333333334</v>
      </c>
      <c r="S331" s="231">
        <v>3.3596666666666644</v>
      </c>
      <c r="T331" s="234">
        <v>3.659999999999997</v>
      </c>
      <c r="U331" s="231">
        <v>3.5600000000000018</v>
      </c>
      <c r="V331" s="234">
        <v>3.259999999999998</v>
      </c>
      <c r="W331" s="231">
        <v>0.80216666666666581</v>
      </c>
      <c r="X331" s="234">
        <v>0</v>
      </c>
      <c r="Y331" s="231">
        <v>0</v>
      </c>
      <c r="Z331" s="234">
        <v>0</v>
      </c>
      <c r="AA331" s="231">
        <v>0</v>
      </c>
      <c r="AB331" s="234">
        <v>0</v>
      </c>
      <c r="AC331" s="238">
        <f>SUM(E331:AB331)</f>
        <v>15.970166666666662</v>
      </c>
      <c r="AD331" s="238"/>
      <c r="AE331" s="238"/>
    </row>
    <row r="332" spans="2:31" x14ac:dyDescent="0.3">
      <c r="B332" s="14" t="s">
        <v>2</v>
      </c>
      <c r="C332" s="14"/>
      <c r="D332" s="14"/>
      <c r="E332" s="15">
        <f t="shared" ref="E332:AB332" si="17">SUM(E283:E331)</f>
        <v>0</v>
      </c>
      <c r="F332" s="15">
        <f t="shared" si="17"/>
        <v>0</v>
      </c>
      <c r="G332" s="15">
        <f t="shared" si="17"/>
        <v>0</v>
      </c>
      <c r="H332" s="15">
        <f t="shared" si="17"/>
        <v>0</v>
      </c>
      <c r="I332" s="15">
        <f t="shared" si="17"/>
        <v>0</v>
      </c>
      <c r="J332" s="15">
        <f t="shared" si="17"/>
        <v>0</v>
      </c>
      <c r="K332" s="15">
        <f t="shared" si="17"/>
        <v>0</v>
      </c>
      <c r="L332" s="15">
        <f t="shared" si="17"/>
        <v>0</v>
      </c>
      <c r="M332" s="15">
        <f t="shared" si="17"/>
        <v>0</v>
      </c>
      <c r="N332" s="15">
        <f t="shared" si="17"/>
        <v>0</v>
      </c>
      <c r="O332" s="15">
        <f t="shared" si="17"/>
        <v>1.1991666666666707</v>
      </c>
      <c r="P332" s="15">
        <f t="shared" si="17"/>
        <v>4.9716666666666693</v>
      </c>
      <c r="Q332" s="15">
        <f t="shared" si="17"/>
        <v>120.41100000000004</v>
      </c>
      <c r="R332" s="15">
        <f t="shared" si="17"/>
        <v>173.10883333333345</v>
      </c>
      <c r="S332" s="15">
        <f t="shared" si="17"/>
        <v>164.47816666666671</v>
      </c>
      <c r="T332" s="15">
        <f t="shared" si="17"/>
        <v>287.16683333333333</v>
      </c>
      <c r="U332" s="15">
        <f t="shared" si="17"/>
        <v>318.59416666666664</v>
      </c>
      <c r="V332" s="15">
        <f t="shared" si="17"/>
        <v>293.74366666666663</v>
      </c>
      <c r="W332" s="15">
        <f t="shared" si="17"/>
        <v>116.67599999999997</v>
      </c>
      <c r="X332" s="15">
        <f t="shared" si="17"/>
        <v>4.5470000000000006</v>
      </c>
      <c r="Y332" s="15">
        <f t="shared" si="17"/>
        <v>0</v>
      </c>
      <c r="Z332" s="15">
        <f t="shared" si="17"/>
        <v>0</v>
      </c>
      <c r="AA332" s="15">
        <f t="shared" si="17"/>
        <v>0</v>
      </c>
      <c r="AB332" s="15">
        <f t="shared" si="17"/>
        <v>0</v>
      </c>
      <c r="AC332" s="249">
        <f>SUM(AC283:AE331)</f>
        <v>1484.8965000000001</v>
      </c>
      <c r="AD332" s="249"/>
      <c r="AE332" s="249"/>
    </row>
    <row r="333" spans="2:31" x14ac:dyDescent="0.3">
      <c r="B333" s="16"/>
      <c r="C333" s="17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2:31" x14ac:dyDescent="0.3">
      <c r="B334" s="16"/>
      <c r="C334" s="17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2:31" x14ac:dyDescent="0.3">
      <c r="B335" s="8">
        <f>'Resumen-Mensual'!$K$22</f>
        <v>44568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63"/>
      <c r="AD335" s="63"/>
      <c r="AE335" s="63"/>
    </row>
    <row r="336" spans="2:31" x14ac:dyDescent="0.3">
      <c r="B336" s="8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63"/>
      <c r="AD336" s="63"/>
      <c r="AE336" s="63"/>
    </row>
    <row r="337" spans="2:31" x14ac:dyDescent="0.3">
      <c r="B337" s="9" t="s">
        <v>81</v>
      </c>
      <c r="C337" s="10"/>
      <c r="D337" s="10"/>
      <c r="E337" s="11">
        <v>1</v>
      </c>
      <c r="F337" s="11">
        <v>2</v>
      </c>
      <c r="G337" s="11">
        <v>3</v>
      </c>
      <c r="H337" s="11">
        <v>4</v>
      </c>
      <c r="I337" s="11">
        <v>5</v>
      </c>
      <c r="J337" s="11">
        <v>6</v>
      </c>
      <c r="K337" s="11">
        <v>7</v>
      </c>
      <c r="L337" s="11">
        <v>8</v>
      </c>
      <c r="M337" s="11">
        <v>9</v>
      </c>
      <c r="N337" s="11">
        <v>10</v>
      </c>
      <c r="O337" s="11">
        <v>11</v>
      </c>
      <c r="P337" s="11">
        <v>12</v>
      </c>
      <c r="Q337" s="11">
        <v>13</v>
      </c>
      <c r="R337" s="11">
        <v>14</v>
      </c>
      <c r="S337" s="11">
        <v>15</v>
      </c>
      <c r="T337" s="11">
        <v>16</v>
      </c>
      <c r="U337" s="11">
        <v>17</v>
      </c>
      <c r="V337" s="11">
        <v>18</v>
      </c>
      <c r="W337" s="11">
        <v>19</v>
      </c>
      <c r="X337" s="11">
        <v>20</v>
      </c>
      <c r="Y337" s="11">
        <v>21</v>
      </c>
      <c r="Z337" s="11">
        <v>22</v>
      </c>
      <c r="AA337" s="11">
        <v>23</v>
      </c>
      <c r="AB337" s="11">
        <v>24</v>
      </c>
      <c r="AC337" s="248" t="s">
        <v>2</v>
      </c>
      <c r="AD337" s="248"/>
      <c r="AE337" s="248"/>
    </row>
    <row r="338" spans="2:31" x14ac:dyDescent="0.3">
      <c r="B338" s="245" t="s">
        <v>37</v>
      </c>
      <c r="C338" s="245"/>
      <c r="D338" s="245"/>
      <c r="E338" s="231">
        <v>0</v>
      </c>
      <c r="F338" s="234">
        <v>0</v>
      </c>
      <c r="G338" s="231">
        <v>0</v>
      </c>
      <c r="H338" s="234">
        <v>0</v>
      </c>
      <c r="I338" s="231">
        <v>0</v>
      </c>
      <c r="J338" s="234">
        <v>0</v>
      </c>
      <c r="K338" s="231">
        <v>0</v>
      </c>
      <c r="L338" s="234">
        <v>0</v>
      </c>
      <c r="M338" s="231">
        <v>0</v>
      </c>
      <c r="N338" s="234">
        <v>0</v>
      </c>
      <c r="O338" s="231">
        <v>0</v>
      </c>
      <c r="P338" s="234">
        <v>0</v>
      </c>
      <c r="Q338" s="231">
        <v>0</v>
      </c>
      <c r="R338" s="234">
        <v>0</v>
      </c>
      <c r="S338" s="231">
        <v>0</v>
      </c>
      <c r="T338" s="234">
        <v>0</v>
      </c>
      <c r="U338" s="231">
        <v>0</v>
      </c>
      <c r="V338" s="234">
        <v>6.9333333333333302E-2</v>
      </c>
      <c r="W338" s="231">
        <v>5.1666666666666675E-3</v>
      </c>
      <c r="X338" s="234">
        <v>0</v>
      </c>
      <c r="Y338" s="231">
        <v>0</v>
      </c>
      <c r="Z338" s="234">
        <v>0</v>
      </c>
      <c r="AA338" s="231">
        <v>0</v>
      </c>
      <c r="AB338" s="234">
        <v>0</v>
      </c>
      <c r="AC338" s="238">
        <f t="shared" ref="AC338:AC370" si="18">SUM(E338:AB338)</f>
        <v>7.4499999999999969E-2</v>
      </c>
      <c r="AD338" s="238"/>
      <c r="AE338" s="238"/>
    </row>
    <row r="339" spans="2:31" x14ac:dyDescent="0.3">
      <c r="B339" s="245" t="s">
        <v>38</v>
      </c>
      <c r="C339" s="245"/>
      <c r="D339" s="245"/>
      <c r="E339" s="231">
        <v>0</v>
      </c>
      <c r="F339" s="234">
        <v>0</v>
      </c>
      <c r="G339" s="231">
        <v>0</v>
      </c>
      <c r="H339" s="234">
        <v>0</v>
      </c>
      <c r="I339" s="231">
        <v>0</v>
      </c>
      <c r="J339" s="234">
        <v>0</v>
      </c>
      <c r="K339" s="231">
        <v>0</v>
      </c>
      <c r="L339" s="234">
        <v>0</v>
      </c>
      <c r="M339" s="231">
        <v>0</v>
      </c>
      <c r="N339" s="234">
        <v>0</v>
      </c>
      <c r="O339" s="231">
        <v>0</v>
      </c>
      <c r="P339" s="234">
        <v>0</v>
      </c>
      <c r="Q339" s="231">
        <v>0</v>
      </c>
      <c r="R339" s="234">
        <v>0</v>
      </c>
      <c r="S339" s="231">
        <v>0</v>
      </c>
      <c r="T339" s="234">
        <v>0</v>
      </c>
      <c r="U339" s="231">
        <v>0</v>
      </c>
      <c r="V339" s="234">
        <v>0.20433333333333328</v>
      </c>
      <c r="W339" s="231">
        <v>0.50116666666666687</v>
      </c>
      <c r="X339" s="234">
        <v>0</v>
      </c>
      <c r="Y339" s="231">
        <v>0</v>
      </c>
      <c r="Z339" s="234">
        <v>0</v>
      </c>
      <c r="AA339" s="231">
        <v>0</v>
      </c>
      <c r="AB339" s="234">
        <v>0</v>
      </c>
      <c r="AC339" s="238">
        <f t="shared" si="18"/>
        <v>0.70550000000000013</v>
      </c>
      <c r="AD339" s="238"/>
      <c r="AE339" s="238"/>
    </row>
    <row r="340" spans="2:31" x14ac:dyDescent="0.3">
      <c r="B340" s="245" t="s">
        <v>39</v>
      </c>
      <c r="C340" s="245"/>
      <c r="D340" s="245"/>
      <c r="E340" s="231">
        <v>0</v>
      </c>
      <c r="F340" s="234">
        <v>0</v>
      </c>
      <c r="G340" s="231">
        <v>0</v>
      </c>
      <c r="H340" s="234">
        <v>0</v>
      </c>
      <c r="I340" s="231">
        <v>0</v>
      </c>
      <c r="J340" s="234">
        <v>0</v>
      </c>
      <c r="K340" s="231">
        <v>0</v>
      </c>
      <c r="L340" s="234">
        <v>0</v>
      </c>
      <c r="M340" s="231">
        <v>0</v>
      </c>
      <c r="N340" s="234">
        <v>0</v>
      </c>
      <c r="O340" s="231">
        <v>0</v>
      </c>
      <c r="P340" s="234">
        <v>0</v>
      </c>
      <c r="Q340" s="231">
        <v>0</v>
      </c>
      <c r="R340" s="234">
        <v>0</v>
      </c>
      <c r="S340" s="231">
        <v>0</v>
      </c>
      <c r="T340" s="234">
        <v>0</v>
      </c>
      <c r="U340" s="231">
        <v>0</v>
      </c>
      <c r="V340" s="234">
        <v>0.21250000000000002</v>
      </c>
      <c r="W340" s="231">
        <v>5.7499999999999989E-2</v>
      </c>
      <c r="X340" s="234">
        <v>0</v>
      </c>
      <c r="Y340" s="231">
        <v>0</v>
      </c>
      <c r="Z340" s="234">
        <v>0</v>
      </c>
      <c r="AA340" s="231">
        <v>0</v>
      </c>
      <c r="AB340" s="234">
        <v>0</v>
      </c>
      <c r="AC340" s="238">
        <f t="shared" si="18"/>
        <v>0.27</v>
      </c>
      <c r="AD340" s="238"/>
      <c r="AE340" s="238"/>
    </row>
    <row r="341" spans="2:31" x14ac:dyDescent="0.3">
      <c r="B341" s="245" t="s">
        <v>40</v>
      </c>
      <c r="C341" s="245"/>
      <c r="D341" s="245"/>
      <c r="E341" s="231">
        <v>0</v>
      </c>
      <c r="F341" s="234">
        <v>0</v>
      </c>
      <c r="G341" s="231">
        <v>0</v>
      </c>
      <c r="H341" s="234">
        <v>0</v>
      </c>
      <c r="I341" s="231">
        <v>0</v>
      </c>
      <c r="J341" s="234">
        <v>0</v>
      </c>
      <c r="K341" s="231">
        <v>0</v>
      </c>
      <c r="L341" s="234">
        <v>0</v>
      </c>
      <c r="M341" s="231">
        <v>0</v>
      </c>
      <c r="N341" s="234">
        <v>0</v>
      </c>
      <c r="O341" s="231">
        <v>0</v>
      </c>
      <c r="P341" s="234">
        <v>0</v>
      </c>
      <c r="Q341" s="231">
        <v>0</v>
      </c>
      <c r="R341" s="234">
        <v>0</v>
      </c>
      <c r="S341" s="231">
        <v>0</v>
      </c>
      <c r="T341" s="234">
        <v>0</v>
      </c>
      <c r="U341" s="231">
        <v>0</v>
      </c>
      <c r="V341" s="234">
        <v>0</v>
      </c>
      <c r="W341" s="231">
        <v>0</v>
      </c>
      <c r="X341" s="234">
        <v>0</v>
      </c>
      <c r="Y341" s="231">
        <v>0</v>
      </c>
      <c r="Z341" s="234">
        <v>0</v>
      </c>
      <c r="AA341" s="231">
        <v>0</v>
      </c>
      <c r="AB341" s="234">
        <v>0</v>
      </c>
      <c r="AC341" s="238">
        <f t="shared" si="18"/>
        <v>0</v>
      </c>
      <c r="AD341" s="238"/>
      <c r="AE341" s="238"/>
    </row>
    <row r="342" spans="2:31" x14ac:dyDescent="0.3">
      <c r="B342" s="245" t="s">
        <v>41</v>
      </c>
      <c r="C342" s="245"/>
      <c r="D342" s="245"/>
      <c r="E342" s="231">
        <v>0</v>
      </c>
      <c r="F342" s="234">
        <v>0</v>
      </c>
      <c r="G342" s="231">
        <v>0</v>
      </c>
      <c r="H342" s="234">
        <v>0</v>
      </c>
      <c r="I342" s="231">
        <v>0</v>
      </c>
      <c r="J342" s="234">
        <v>0</v>
      </c>
      <c r="K342" s="231">
        <v>0</v>
      </c>
      <c r="L342" s="234">
        <v>0</v>
      </c>
      <c r="M342" s="231">
        <v>0</v>
      </c>
      <c r="N342" s="234">
        <v>0</v>
      </c>
      <c r="O342" s="231">
        <v>0</v>
      </c>
      <c r="P342" s="234">
        <v>0</v>
      </c>
      <c r="Q342" s="231">
        <v>0</v>
      </c>
      <c r="R342" s="234">
        <v>0</v>
      </c>
      <c r="S342" s="231">
        <v>5.8895000000000035</v>
      </c>
      <c r="T342" s="234">
        <v>48.099999999999945</v>
      </c>
      <c r="U342" s="231">
        <v>0</v>
      </c>
      <c r="V342" s="234">
        <v>0</v>
      </c>
      <c r="W342" s="231">
        <v>6.266666666666651E-2</v>
      </c>
      <c r="X342" s="234">
        <v>0</v>
      </c>
      <c r="Y342" s="231">
        <v>0</v>
      </c>
      <c r="Z342" s="234">
        <v>0</v>
      </c>
      <c r="AA342" s="231">
        <v>0</v>
      </c>
      <c r="AB342" s="234">
        <v>0</v>
      </c>
      <c r="AC342" s="238">
        <f t="shared" si="18"/>
        <v>54.052166666666615</v>
      </c>
      <c r="AD342" s="238"/>
      <c r="AE342" s="238"/>
    </row>
    <row r="343" spans="2:31" x14ac:dyDescent="0.3">
      <c r="B343" s="245" t="s">
        <v>42</v>
      </c>
      <c r="C343" s="245"/>
      <c r="D343" s="245"/>
      <c r="E343" s="231">
        <v>0</v>
      </c>
      <c r="F343" s="234">
        <v>0</v>
      </c>
      <c r="G343" s="231">
        <v>0</v>
      </c>
      <c r="H343" s="234">
        <v>0</v>
      </c>
      <c r="I343" s="231">
        <v>0</v>
      </c>
      <c r="J343" s="234">
        <v>0</v>
      </c>
      <c r="K343" s="231">
        <v>0</v>
      </c>
      <c r="L343" s="234">
        <v>0</v>
      </c>
      <c r="M343" s="231">
        <v>0</v>
      </c>
      <c r="N343" s="234">
        <v>0</v>
      </c>
      <c r="O343" s="231">
        <v>0</v>
      </c>
      <c r="P343" s="234">
        <v>0</v>
      </c>
      <c r="Q343" s="231">
        <v>0</v>
      </c>
      <c r="R343" s="234">
        <v>0</v>
      </c>
      <c r="S343" s="231">
        <v>0</v>
      </c>
      <c r="T343" s="234">
        <v>0</v>
      </c>
      <c r="U343" s="231">
        <v>0</v>
      </c>
      <c r="V343" s="234">
        <v>17.865500000000001</v>
      </c>
      <c r="W343" s="231">
        <v>4.1323333333333343</v>
      </c>
      <c r="X343" s="234">
        <v>0</v>
      </c>
      <c r="Y343" s="231">
        <v>0</v>
      </c>
      <c r="Z343" s="234">
        <v>0</v>
      </c>
      <c r="AA343" s="231">
        <v>0</v>
      </c>
      <c r="AB343" s="234">
        <v>0</v>
      </c>
      <c r="AC343" s="238">
        <f t="shared" si="18"/>
        <v>21.997833333333336</v>
      </c>
      <c r="AD343" s="238"/>
      <c r="AE343" s="238"/>
    </row>
    <row r="344" spans="2:31" x14ac:dyDescent="0.3">
      <c r="B344" s="245" t="s">
        <v>43</v>
      </c>
      <c r="C344" s="245"/>
      <c r="D344" s="245"/>
      <c r="E344" s="231">
        <v>0</v>
      </c>
      <c r="F344" s="234">
        <v>0</v>
      </c>
      <c r="G344" s="231">
        <v>0</v>
      </c>
      <c r="H344" s="234">
        <v>0</v>
      </c>
      <c r="I344" s="231">
        <v>0</v>
      </c>
      <c r="J344" s="234">
        <v>0</v>
      </c>
      <c r="K344" s="231">
        <v>0</v>
      </c>
      <c r="L344" s="234">
        <v>0</v>
      </c>
      <c r="M344" s="231">
        <v>0</v>
      </c>
      <c r="N344" s="234">
        <v>0</v>
      </c>
      <c r="O344" s="231">
        <v>3.8480000000000016</v>
      </c>
      <c r="P344" s="234">
        <v>6.2316666666666745</v>
      </c>
      <c r="Q344" s="231">
        <v>6.3575000000000106</v>
      </c>
      <c r="R344" s="234">
        <v>8.3813333333333286</v>
      </c>
      <c r="S344" s="231">
        <v>8.9070000000000125</v>
      </c>
      <c r="T344" s="234">
        <v>8.6451666666666718</v>
      </c>
      <c r="U344" s="231">
        <v>6.5535000000000005</v>
      </c>
      <c r="V344" s="234">
        <v>5.7183333333333284</v>
      </c>
      <c r="W344" s="231">
        <v>1.033333333333341E-2</v>
      </c>
      <c r="X344" s="234">
        <v>0</v>
      </c>
      <c r="Y344" s="231">
        <v>0</v>
      </c>
      <c r="Z344" s="234">
        <v>0</v>
      </c>
      <c r="AA344" s="231">
        <v>0</v>
      </c>
      <c r="AB344" s="234">
        <v>0</v>
      </c>
      <c r="AC344" s="238">
        <f t="shared" si="18"/>
        <v>54.652833333333355</v>
      </c>
      <c r="AD344" s="238"/>
      <c r="AE344" s="238"/>
    </row>
    <row r="345" spans="2:31" x14ac:dyDescent="0.3">
      <c r="B345" s="245" t="s">
        <v>44</v>
      </c>
      <c r="C345" s="245"/>
      <c r="D345" s="245"/>
      <c r="E345" s="231">
        <v>0</v>
      </c>
      <c r="F345" s="234">
        <v>0</v>
      </c>
      <c r="G345" s="231">
        <v>0</v>
      </c>
      <c r="H345" s="234">
        <v>0</v>
      </c>
      <c r="I345" s="231">
        <v>0</v>
      </c>
      <c r="J345" s="234">
        <v>0</v>
      </c>
      <c r="K345" s="231">
        <v>0</v>
      </c>
      <c r="L345" s="234">
        <v>0</v>
      </c>
      <c r="M345" s="231">
        <v>0</v>
      </c>
      <c r="N345" s="234">
        <v>0</v>
      </c>
      <c r="O345" s="231">
        <v>0</v>
      </c>
      <c r="P345" s="234">
        <v>0</v>
      </c>
      <c r="Q345" s="231">
        <v>0</v>
      </c>
      <c r="R345" s="234">
        <v>0</v>
      </c>
      <c r="S345" s="231">
        <v>0</v>
      </c>
      <c r="T345" s="234">
        <v>0</v>
      </c>
      <c r="U345" s="231">
        <v>0</v>
      </c>
      <c r="V345" s="234">
        <v>0</v>
      </c>
      <c r="W345" s="231">
        <v>2.6935000000000002</v>
      </c>
      <c r="X345" s="234">
        <v>0</v>
      </c>
      <c r="Y345" s="231">
        <v>0</v>
      </c>
      <c r="Z345" s="234">
        <v>0</v>
      </c>
      <c r="AA345" s="231">
        <v>0</v>
      </c>
      <c r="AB345" s="234">
        <v>0</v>
      </c>
      <c r="AC345" s="238">
        <f t="shared" si="18"/>
        <v>2.6935000000000002</v>
      </c>
      <c r="AD345" s="238"/>
      <c r="AE345" s="238"/>
    </row>
    <row r="346" spans="2:31" x14ac:dyDescent="0.3">
      <c r="B346" s="245" t="s">
        <v>45</v>
      </c>
      <c r="C346" s="245"/>
      <c r="D346" s="245"/>
      <c r="E346" s="231">
        <v>0</v>
      </c>
      <c r="F346" s="234">
        <v>0</v>
      </c>
      <c r="G346" s="231">
        <v>0</v>
      </c>
      <c r="H346" s="234">
        <v>0</v>
      </c>
      <c r="I346" s="231">
        <v>0</v>
      </c>
      <c r="J346" s="234">
        <v>0</v>
      </c>
      <c r="K346" s="231">
        <v>0</v>
      </c>
      <c r="L346" s="234">
        <v>0</v>
      </c>
      <c r="M346" s="231">
        <v>0</v>
      </c>
      <c r="N346" s="234">
        <v>0</v>
      </c>
      <c r="O346" s="231">
        <v>0</v>
      </c>
      <c r="P346" s="234">
        <v>0</v>
      </c>
      <c r="Q346" s="231">
        <v>0</v>
      </c>
      <c r="R346" s="234">
        <v>21.527333333333342</v>
      </c>
      <c r="S346" s="231">
        <v>27.500499999999999</v>
      </c>
      <c r="T346" s="234">
        <v>26.927333333333344</v>
      </c>
      <c r="U346" s="231">
        <v>10.019999999999994</v>
      </c>
      <c r="V346" s="234">
        <v>8.5964999999999883</v>
      </c>
      <c r="W346" s="231">
        <v>1.6404999999999996</v>
      </c>
      <c r="X346" s="234">
        <v>0.1925</v>
      </c>
      <c r="Y346" s="231">
        <v>0</v>
      </c>
      <c r="Z346" s="234">
        <v>0</v>
      </c>
      <c r="AA346" s="231">
        <v>0</v>
      </c>
      <c r="AB346" s="234">
        <v>0</v>
      </c>
      <c r="AC346" s="238">
        <f t="shared" si="18"/>
        <v>96.404666666666671</v>
      </c>
      <c r="AD346" s="238"/>
      <c r="AE346" s="238"/>
    </row>
    <row r="347" spans="2:31" x14ac:dyDescent="0.3">
      <c r="B347" s="245" t="s">
        <v>46</v>
      </c>
      <c r="C347" s="245"/>
      <c r="D347" s="245"/>
      <c r="E347" s="231">
        <v>0</v>
      </c>
      <c r="F347" s="234">
        <v>0</v>
      </c>
      <c r="G347" s="231">
        <v>0</v>
      </c>
      <c r="H347" s="234">
        <v>0</v>
      </c>
      <c r="I347" s="231">
        <v>0</v>
      </c>
      <c r="J347" s="234">
        <v>0</v>
      </c>
      <c r="K347" s="231">
        <v>0</v>
      </c>
      <c r="L347" s="234">
        <v>0</v>
      </c>
      <c r="M347" s="231">
        <v>0</v>
      </c>
      <c r="N347" s="234">
        <v>0</v>
      </c>
      <c r="O347" s="231">
        <v>0</v>
      </c>
      <c r="P347" s="234">
        <v>0</v>
      </c>
      <c r="Q347" s="231">
        <v>0</v>
      </c>
      <c r="R347" s="234">
        <v>0</v>
      </c>
      <c r="S347" s="231">
        <v>35.750833333333325</v>
      </c>
      <c r="T347" s="234">
        <v>0</v>
      </c>
      <c r="U347" s="231">
        <v>0</v>
      </c>
      <c r="V347" s="234">
        <v>12.592833333333333</v>
      </c>
      <c r="W347" s="231">
        <v>0</v>
      </c>
      <c r="X347" s="234">
        <v>0</v>
      </c>
      <c r="Y347" s="231">
        <v>0</v>
      </c>
      <c r="Z347" s="234">
        <v>0</v>
      </c>
      <c r="AA347" s="231">
        <v>0</v>
      </c>
      <c r="AB347" s="234">
        <v>0</v>
      </c>
      <c r="AC347" s="238">
        <f t="shared" si="18"/>
        <v>48.343666666666657</v>
      </c>
      <c r="AD347" s="238"/>
      <c r="AE347" s="238"/>
    </row>
    <row r="348" spans="2:31" x14ac:dyDescent="0.3">
      <c r="B348" s="245" t="s">
        <v>47</v>
      </c>
      <c r="C348" s="245"/>
      <c r="D348" s="245"/>
      <c r="E348" s="231">
        <v>0</v>
      </c>
      <c r="F348" s="234">
        <v>0</v>
      </c>
      <c r="G348" s="231">
        <v>0</v>
      </c>
      <c r="H348" s="234">
        <v>0</v>
      </c>
      <c r="I348" s="231">
        <v>0</v>
      </c>
      <c r="J348" s="234">
        <v>0</v>
      </c>
      <c r="K348" s="231">
        <v>0</v>
      </c>
      <c r="L348" s="234">
        <v>0</v>
      </c>
      <c r="M348" s="231">
        <v>0</v>
      </c>
      <c r="N348" s="234">
        <v>0</v>
      </c>
      <c r="O348" s="231">
        <v>0</v>
      </c>
      <c r="P348" s="234">
        <v>0</v>
      </c>
      <c r="Q348" s="231">
        <v>0</v>
      </c>
      <c r="R348" s="234">
        <v>5.8915000000000051</v>
      </c>
      <c r="S348" s="231">
        <v>7.9499999999999922</v>
      </c>
      <c r="T348" s="234">
        <v>8.4458333333333435</v>
      </c>
      <c r="U348" s="231">
        <v>8.6231666666666715</v>
      </c>
      <c r="V348" s="234">
        <v>0</v>
      </c>
      <c r="W348" s="231">
        <v>1.0590000000000002</v>
      </c>
      <c r="X348" s="234">
        <v>0</v>
      </c>
      <c r="Y348" s="231">
        <v>0</v>
      </c>
      <c r="Z348" s="234">
        <v>0</v>
      </c>
      <c r="AA348" s="231">
        <v>0</v>
      </c>
      <c r="AB348" s="234">
        <v>0</v>
      </c>
      <c r="AC348" s="238">
        <f t="shared" si="18"/>
        <v>31.969500000000014</v>
      </c>
      <c r="AD348" s="238"/>
      <c r="AE348" s="238"/>
    </row>
    <row r="349" spans="2:31" x14ac:dyDescent="0.3">
      <c r="B349" s="245" t="s">
        <v>48</v>
      </c>
      <c r="C349" s="245"/>
      <c r="D349" s="245"/>
      <c r="E349" s="231">
        <v>0</v>
      </c>
      <c r="F349" s="234">
        <v>0</v>
      </c>
      <c r="G349" s="231">
        <v>0</v>
      </c>
      <c r="H349" s="234">
        <v>0</v>
      </c>
      <c r="I349" s="231">
        <v>0</v>
      </c>
      <c r="J349" s="234">
        <v>0</v>
      </c>
      <c r="K349" s="231">
        <v>0</v>
      </c>
      <c r="L349" s="234">
        <v>0</v>
      </c>
      <c r="M349" s="231">
        <v>0</v>
      </c>
      <c r="N349" s="234">
        <v>0</v>
      </c>
      <c r="O349" s="231">
        <v>0</v>
      </c>
      <c r="P349" s="234">
        <v>0</v>
      </c>
      <c r="Q349" s="231">
        <v>0</v>
      </c>
      <c r="R349" s="234">
        <v>5.2654999999999967</v>
      </c>
      <c r="S349" s="231">
        <v>7.0600000000000014</v>
      </c>
      <c r="T349" s="234">
        <v>7.2858333333333416</v>
      </c>
      <c r="U349" s="231">
        <v>7.0186666666666753</v>
      </c>
      <c r="V349" s="234">
        <v>6.9599999999999955</v>
      </c>
      <c r="W349" s="231">
        <v>1.3566666666666662</v>
      </c>
      <c r="X349" s="234">
        <v>0</v>
      </c>
      <c r="Y349" s="231">
        <v>0</v>
      </c>
      <c r="Z349" s="234">
        <v>0</v>
      </c>
      <c r="AA349" s="231">
        <v>0</v>
      </c>
      <c r="AB349" s="234">
        <v>0</v>
      </c>
      <c r="AC349" s="238">
        <f t="shared" si="18"/>
        <v>34.94666666666668</v>
      </c>
      <c r="AD349" s="238"/>
      <c r="AE349" s="238"/>
    </row>
    <row r="350" spans="2:31" x14ac:dyDescent="0.3">
      <c r="B350" s="245" t="s">
        <v>49</v>
      </c>
      <c r="C350" s="245"/>
      <c r="D350" s="245"/>
      <c r="E350" s="231">
        <v>0</v>
      </c>
      <c r="F350" s="234">
        <v>0</v>
      </c>
      <c r="G350" s="231">
        <v>0</v>
      </c>
      <c r="H350" s="234">
        <v>0</v>
      </c>
      <c r="I350" s="231">
        <v>0</v>
      </c>
      <c r="J350" s="234">
        <v>0</v>
      </c>
      <c r="K350" s="231">
        <v>0</v>
      </c>
      <c r="L350" s="234">
        <v>0</v>
      </c>
      <c r="M350" s="231">
        <v>0</v>
      </c>
      <c r="N350" s="234">
        <v>0</v>
      </c>
      <c r="O350" s="231">
        <v>0</v>
      </c>
      <c r="P350" s="234">
        <v>0</v>
      </c>
      <c r="Q350" s="231">
        <v>0</v>
      </c>
      <c r="R350" s="234">
        <v>0</v>
      </c>
      <c r="S350" s="231">
        <v>0</v>
      </c>
      <c r="T350" s="234">
        <v>0</v>
      </c>
      <c r="U350" s="231">
        <v>0</v>
      </c>
      <c r="V350" s="234">
        <v>0</v>
      </c>
      <c r="W350" s="231">
        <v>8.7833333333333263E-2</v>
      </c>
      <c r="X350" s="234">
        <v>0</v>
      </c>
      <c r="Y350" s="231">
        <v>0</v>
      </c>
      <c r="Z350" s="234">
        <v>0</v>
      </c>
      <c r="AA350" s="231">
        <v>0</v>
      </c>
      <c r="AB350" s="234">
        <v>0</v>
      </c>
      <c r="AC350" s="238">
        <f t="shared" si="18"/>
        <v>8.7833333333333263E-2</v>
      </c>
      <c r="AD350" s="238"/>
      <c r="AE350" s="238"/>
    </row>
    <row r="351" spans="2:31" x14ac:dyDescent="0.3">
      <c r="B351" s="245" t="s">
        <v>50</v>
      </c>
      <c r="C351" s="245"/>
      <c r="D351" s="245"/>
      <c r="E351" s="231">
        <v>0</v>
      </c>
      <c r="F351" s="234">
        <v>0</v>
      </c>
      <c r="G351" s="231">
        <v>0</v>
      </c>
      <c r="H351" s="234">
        <v>0</v>
      </c>
      <c r="I351" s="231">
        <v>0</v>
      </c>
      <c r="J351" s="234">
        <v>0</v>
      </c>
      <c r="K351" s="231">
        <v>0</v>
      </c>
      <c r="L351" s="234">
        <v>0</v>
      </c>
      <c r="M351" s="231">
        <v>0</v>
      </c>
      <c r="N351" s="234">
        <v>0</v>
      </c>
      <c r="O351" s="231">
        <v>0</v>
      </c>
      <c r="P351" s="234">
        <v>0</v>
      </c>
      <c r="Q351" s="231">
        <v>5.8333333333332382E-3</v>
      </c>
      <c r="R351" s="234">
        <v>0</v>
      </c>
      <c r="S351" s="231">
        <v>0</v>
      </c>
      <c r="T351" s="234">
        <v>0</v>
      </c>
      <c r="U351" s="231">
        <v>0</v>
      </c>
      <c r="V351" s="234">
        <v>0</v>
      </c>
      <c r="W351" s="231">
        <v>0</v>
      </c>
      <c r="X351" s="234">
        <v>0</v>
      </c>
      <c r="Y351" s="231">
        <v>0</v>
      </c>
      <c r="Z351" s="234">
        <v>0</v>
      </c>
      <c r="AA351" s="231">
        <v>0</v>
      </c>
      <c r="AB351" s="234">
        <v>0</v>
      </c>
      <c r="AC351" s="238">
        <f t="shared" si="18"/>
        <v>5.8333333333332382E-3</v>
      </c>
      <c r="AD351" s="238"/>
      <c r="AE351" s="238"/>
    </row>
    <row r="352" spans="2:31" x14ac:dyDescent="0.3">
      <c r="B352" s="245" t="s">
        <v>97</v>
      </c>
      <c r="C352" s="245"/>
      <c r="D352" s="245"/>
      <c r="E352" s="231">
        <v>0</v>
      </c>
      <c r="F352" s="234">
        <v>0</v>
      </c>
      <c r="G352" s="231">
        <v>0</v>
      </c>
      <c r="H352" s="234">
        <v>0</v>
      </c>
      <c r="I352" s="231">
        <v>0</v>
      </c>
      <c r="J352" s="234">
        <v>0</v>
      </c>
      <c r="K352" s="231">
        <v>0</v>
      </c>
      <c r="L352" s="234">
        <v>0</v>
      </c>
      <c r="M352" s="231">
        <v>0</v>
      </c>
      <c r="N352" s="234">
        <v>0</v>
      </c>
      <c r="O352" s="231">
        <v>0</v>
      </c>
      <c r="P352" s="234">
        <v>0</v>
      </c>
      <c r="Q352" s="231">
        <v>0</v>
      </c>
      <c r="R352" s="234">
        <v>0</v>
      </c>
      <c r="S352" s="231">
        <v>0</v>
      </c>
      <c r="T352" s="234">
        <v>0</v>
      </c>
      <c r="U352" s="231">
        <v>0</v>
      </c>
      <c r="V352" s="234">
        <v>0</v>
      </c>
      <c r="W352" s="231">
        <v>0</v>
      </c>
      <c r="X352" s="234">
        <v>0</v>
      </c>
      <c r="Y352" s="231">
        <v>0</v>
      </c>
      <c r="Z352" s="234">
        <v>0</v>
      </c>
      <c r="AA352" s="231">
        <v>0</v>
      </c>
      <c r="AB352" s="234">
        <v>0</v>
      </c>
      <c r="AC352" s="238">
        <f t="shared" si="18"/>
        <v>0</v>
      </c>
      <c r="AD352" s="238"/>
      <c r="AE352" s="238"/>
    </row>
    <row r="353" spans="2:31" x14ac:dyDescent="0.3">
      <c r="B353" s="245" t="s">
        <v>51</v>
      </c>
      <c r="C353" s="245"/>
      <c r="D353" s="245"/>
      <c r="E353" s="231">
        <v>0</v>
      </c>
      <c r="F353" s="234">
        <v>0</v>
      </c>
      <c r="G353" s="231">
        <v>0</v>
      </c>
      <c r="H353" s="234">
        <v>0</v>
      </c>
      <c r="I353" s="231">
        <v>0</v>
      </c>
      <c r="J353" s="234">
        <v>0</v>
      </c>
      <c r="K353" s="231">
        <v>0</v>
      </c>
      <c r="L353" s="234">
        <v>0</v>
      </c>
      <c r="M353" s="231">
        <v>0</v>
      </c>
      <c r="N353" s="234">
        <v>0</v>
      </c>
      <c r="O353" s="231">
        <v>0</v>
      </c>
      <c r="P353" s="234">
        <v>0</v>
      </c>
      <c r="Q353" s="231">
        <v>0</v>
      </c>
      <c r="R353" s="234">
        <v>0</v>
      </c>
      <c r="S353" s="231">
        <v>0</v>
      </c>
      <c r="T353" s="234">
        <v>0</v>
      </c>
      <c r="U353" s="231">
        <v>6.5401666666666687</v>
      </c>
      <c r="V353" s="234">
        <v>28.495166666666684</v>
      </c>
      <c r="W353" s="231">
        <v>6.6329999999999965</v>
      </c>
      <c r="X353" s="234">
        <v>0</v>
      </c>
      <c r="Y353" s="231">
        <v>0</v>
      </c>
      <c r="Z353" s="234">
        <v>0</v>
      </c>
      <c r="AA353" s="231">
        <v>0</v>
      </c>
      <c r="AB353" s="234">
        <v>0</v>
      </c>
      <c r="AC353" s="238">
        <f t="shared" si="18"/>
        <v>41.668333333333351</v>
      </c>
      <c r="AD353" s="238"/>
      <c r="AE353" s="238"/>
    </row>
    <row r="354" spans="2:31" x14ac:dyDescent="0.3">
      <c r="B354" s="245" t="s">
        <v>52</v>
      </c>
      <c r="C354" s="245"/>
      <c r="D354" s="245"/>
      <c r="E354" s="231">
        <v>0</v>
      </c>
      <c r="F354" s="234">
        <v>0</v>
      </c>
      <c r="G354" s="231">
        <v>0</v>
      </c>
      <c r="H354" s="234">
        <v>0</v>
      </c>
      <c r="I354" s="231">
        <v>0</v>
      </c>
      <c r="J354" s="234">
        <v>0</v>
      </c>
      <c r="K354" s="231">
        <v>0</v>
      </c>
      <c r="L354" s="234">
        <v>0</v>
      </c>
      <c r="M354" s="231">
        <v>0</v>
      </c>
      <c r="N354" s="234">
        <v>0</v>
      </c>
      <c r="O354" s="231">
        <v>0</v>
      </c>
      <c r="P354" s="234">
        <v>0</v>
      </c>
      <c r="Q354" s="231">
        <v>0</v>
      </c>
      <c r="R354" s="234">
        <v>0</v>
      </c>
      <c r="S354" s="231">
        <v>0</v>
      </c>
      <c r="T354" s="234">
        <v>0</v>
      </c>
      <c r="U354" s="231">
        <v>0</v>
      </c>
      <c r="V354" s="234">
        <v>0</v>
      </c>
      <c r="W354" s="231">
        <v>0</v>
      </c>
      <c r="X354" s="234">
        <v>0</v>
      </c>
      <c r="Y354" s="231">
        <v>0</v>
      </c>
      <c r="Z354" s="234">
        <v>0</v>
      </c>
      <c r="AA354" s="231">
        <v>0</v>
      </c>
      <c r="AB354" s="234">
        <v>0</v>
      </c>
      <c r="AC354" s="238">
        <f t="shared" si="18"/>
        <v>0</v>
      </c>
      <c r="AD354" s="238"/>
      <c r="AE354" s="238"/>
    </row>
    <row r="355" spans="2:31" x14ac:dyDescent="0.3">
      <c r="B355" s="245" t="s">
        <v>53</v>
      </c>
      <c r="C355" s="245"/>
      <c r="D355" s="245"/>
      <c r="E355" s="231">
        <v>0</v>
      </c>
      <c r="F355" s="234">
        <v>0</v>
      </c>
      <c r="G355" s="231">
        <v>0</v>
      </c>
      <c r="H355" s="234">
        <v>0</v>
      </c>
      <c r="I355" s="231">
        <v>0</v>
      </c>
      <c r="J355" s="234">
        <v>0</v>
      </c>
      <c r="K355" s="231">
        <v>0</v>
      </c>
      <c r="L355" s="234">
        <v>0</v>
      </c>
      <c r="M355" s="231">
        <v>0</v>
      </c>
      <c r="N355" s="234">
        <v>0</v>
      </c>
      <c r="O355" s="231">
        <v>0</v>
      </c>
      <c r="P355" s="234">
        <v>0</v>
      </c>
      <c r="Q355" s="231">
        <v>0</v>
      </c>
      <c r="R355" s="234">
        <v>0</v>
      </c>
      <c r="S355" s="231">
        <v>0</v>
      </c>
      <c r="T355" s="234">
        <v>0</v>
      </c>
      <c r="U355" s="231">
        <v>0</v>
      </c>
      <c r="V355" s="234">
        <v>0</v>
      </c>
      <c r="W355" s="231">
        <v>0</v>
      </c>
      <c r="X355" s="234">
        <v>0</v>
      </c>
      <c r="Y355" s="231">
        <v>0</v>
      </c>
      <c r="Z355" s="234">
        <v>0</v>
      </c>
      <c r="AA355" s="231">
        <v>0</v>
      </c>
      <c r="AB355" s="234">
        <v>0</v>
      </c>
      <c r="AC355" s="238">
        <f t="shared" si="18"/>
        <v>0</v>
      </c>
      <c r="AD355" s="238"/>
      <c r="AE355" s="238"/>
    </row>
    <row r="356" spans="2:31" x14ac:dyDescent="0.3">
      <c r="B356" s="245" t="s">
        <v>54</v>
      </c>
      <c r="C356" s="245"/>
      <c r="D356" s="245"/>
      <c r="E356" s="231">
        <v>0</v>
      </c>
      <c r="F356" s="234">
        <v>0</v>
      </c>
      <c r="G356" s="231">
        <v>0</v>
      </c>
      <c r="H356" s="234">
        <v>0</v>
      </c>
      <c r="I356" s="231">
        <v>0</v>
      </c>
      <c r="J356" s="234">
        <v>0</v>
      </c>
      <c r="K356" s="231">
        <v>0</v>
      </c>
      <c r="L356" s="234">
        <v>0</v>
      </c>
      <c r="M356" s="231">
        <v>0</v>
      </c>
      <c r="N356" s="234">
        <v>0</v>
      </c>
      <c r="O356" s="231">
        <v>0</v>
      </c>
      <c r="P356" s="234">
        <v>0</v>
      </c>
      <c r="Q356" s="231">
        <v>0</v>
      </c>
      <c r="R356" s="234">
        <v>0</v>
      </c>
      <c r="S356" s="231">
        <v>0</v>
      </c>
      <c r="T356" s="234">
        <v>0</v>
      </c>
      <c r="U356" s="231">
        <v>0</v>
      </c>
      <c r="V356" s="234">
        <v>0</v>
      </c>
      <c r="W356" s="231">
        <v>0</v>
      </c>
      <c r="X356" s="234">
        <v>0</v>
      </c>
      <c r="Y356" s="231">
        <v>0</v>
      </c>
      <c r="Z356" s="234">
        <v>0</v>
      </c>
      <c r="AA356" s="231">
        <v>0</v>
      </c>
      <c r="AB356" s="234">
        <v>0</v>
      </c>
      <c r="AC356" s="238">
        <f t="shared" si="18"/>
        <v>0</v>
      </c>
      <c r="AD356" s="238"/>
      <c r="AE356" s="238"/>
    </row>
    <row r="357" spans="2:31" x14ac:dyDescent="0.3">
      <c r="B357" s="245" t="s">
        <v>55</v>
      </c>
      <c r="C357" s="245"/>
      <c r="D357" s="245"/>
      <c r="E357" s="231">
        <v>0</v>
      </c>
      <c r="F357" s="234">
        <v>0</v>
      </c>
      <c r="G357" s="231">
        <v>0</v>
      </c>
      <c r="H357" s="234">
        <v>0</v>
      </c>
      <c r="I357" s="231">
        <v>0</v>
      </c>
      <c r="J357" s="234">
        <v>0</v>
      </c>
      <c r="K357" s="231">
        <v>0</v>
      </c>
      <c r="L357" s="234">
        <v>0</v>
      </c>
      <c r="M357" s="231">
        <v>0</v>
      </c>
      <c r="N357" s="234">
        <v>0</v>
      </c>
      <c r="O357" s="231">
        <v>0</v>
      </c>
      <c r="P357" s="234">
        <v>0</v>
      </c>
      <c r="Q357" s="231">
        <v>0</v>
      </c>
      <c r="R357" s="234">
        <v>0</v>
      </c>
      <c r="S357" s="231">
        <v>0</v>
      </c>
      <c r="T357" s="234">
        <v>0</v>
      </c>
      <c r="U357" s="231">
        <v>0</v>
      </c>
      <c r="V357" s="234">
        <v>0</v>
      </c>
      <c r="W357" s="231">
        <v>0</v>
      </c>
      <c r="X357" s="234">
        <v>0</v>
      </c>
      <c r="Y357" s="231">
        <v>0</v>
      </c>
      <c r="Z357" s="234">
        <v>0</v>
      </c>
      <c r="AA357" s="231">
        <v>0</v>
      </c>
      <c r="AB357" s="234">
        <v>0</v>
      </c>
      <c r="AC357" s="238">
        <f t="shared" si="18"/>
        <v>0</v>
      </c>
      <c r="AD357" s="238"/>
      <c r="AE357" s="238"/>
    </row>
    <row r="358" spans="2:31" x14ac:dyDescent="0.3">
      <c r="B358" s="245" t="s">
        <v>56</v>
      </c>
      <c r="C358" s="245"/>
      <c r="D358" s="245"/>
      <c r="E358" s="231">
        <v>0</v>
      </c>
      <c r="F358" s="234">
        <v>0</v>
      </c>
      <c r="G358" s="231">
        <v>0</v>
      </c>
      <c r="H358" s="234">
        <v>0</v>
      </c>
      <c r="I358" s="231">
        <v>0</v>
      </c>
      <c r="J358" s="234">
        <v>0</v>
      </c>
      <c r="K358" s="231">
        <v>0</v>
      </c>
      <c r="L358" s="234">
        <v>0</v>
      </c>
      <c r="M358" s="231">
        <v>0</v>
      </c>
      <c r="N358" s="234">
        <v>0</v>
      </c>
      <c r="O358" s="231">
        <v>0</v>
      </c>
      <c r="P358" s="234">
        <v>0</v>
      </c>
      <c r="Q358" s="231">
        <v>0</v>
      </c>
      <c r="R358" s="234">
        <v>0</v>
      </c>
      <c r="S358" s="231">
        <v>0</v>
      </c>
      <c r="T358" s="234">
        <v>0</v>
      </c>
      <c r="U358" s="231">
        <v>0</v>
      </c>
      <c r="V358" s="234">
        <v>0</v>
      </c>
      <c r="W358" s="231">
        <v>0</v>
      </c>
      <c r="X358" s="234">
        <v>0</v>
      </c>
      <c r="Y358" s="231">
        <v>0</v>
      </c>
      <c r="Z358" s="234">
        <v>0</v>
      </c>
      <c r="AA358" s="231">
        <v>0</v>
      </c>
      <c r="AB358" s="234">
        <v>0</v>
      </c>
      <c r="AC358" s="238">
        <f t="shared" si="18"/>
        <v>0</v>
      </c>
      <c r="AD358" s="238"/>
      <c r="AE358" s="238"/>
    </row>
    <row r="359" spans="2:31" x14ac:dyDescent="0.3">
      <c r="B359" s="245" t="s">
        <v>94</v>
      </c>
      <c r="C359" s="245"/>
      <c r="D359" s="245"/>
      <c r="E359" s="231">
        <v>0</v>
      </c>
      <c r="F359" s="234">
        <v>0</v>
      </c>
      <c r="G359" s="231">
        <v>0</v>
      </c>
      <c r="H359" s="234">
        <v>0</v>
      </c>
      <c r="I359" s="231">
        <v>0</v>
      </c>
      <c r="J359" s="234">
        <v>0</v>
      </c>
      <c r="K359" s="231">
        <v>0</v>
      </c>
      <c r="L359" s="234">
        <v>0</v>
      </c>
      <c r="M359" s="231">
        <v>0</v>
      </c>
      <c r="N359" s="234">
        <v>0</v>
      </c>
      <c r="O359" s="231">
        <v>0</v>
      </c>
      <c r="P359" s="234">
        <v>0</v>
      </c>
      <c r="Q359" s="231">
        <v>0</v>
      </c>
      <c r="R359" s="234">
        <v>0</v>
      </c>
      <c r="S359" s="231">
        <v>0</v>
      </c>
      <c r="T359" s="234">
        <v>0</v>
      </c>
      <c r="U359" s="231">
        <v>0</v>
      </c>
      <c r="V359" s="234">
        <v>0</v>
      </c>
      <c r="W359" s="231">
        <v>0</v>
      </c>
      <c r="X359" s="234">
        <v>0</v>
      </c>
      <c r="Y359" s="231">
        <v>0</v>
      </c>
      <c r="Z359" s="234">
        <v>0</v>
      </c>
      <c r="AA359" s="231">
        <v>0</v>
      </c>
      <c r="AB359" s="234">
        <v>0</v>
      </c>
      <c r="AC359" s="238">
        <f t="shared" si="18"/>
        <v>0</v>
      </c>
      <c r="AD359" s="238"/>
      <c r="AE359" s="238"/>
    </row>
    <row r="360" spans="2:31" x14ac:dyDescent="0.3">
      <c r="B360" s="245" t="s">
        <v>57</v>
      </c>
      <c r="C360" s="245"/>
      <c r="D360" s="245"/>
      <c r="E360" s="231">
        <v>0</v>
      </c>
      <c r="F360" s="234">
        <v>0</v>
      </c>
      <c r="G360" s="231">
        <v>0</v>
      </c>
      <c r="H360" s="234">
        <v>0</v>
      </c>
      <c r="I360" s="231">
        <v>0</v>
      </c>
      <c r="J360" s="234">
        <v>0</v>
      </c>
      <c r="K360" s="231">
        <v>0</v>
      </c>
      <c r="L360" s="234">
        <v>0</v>
      </c>
      <c r="M360" s="231">
        <v>0</v>
      </c>
      <c r="N360" s="234">
        <v>0</v>
      </c>
      <c r="O360" s="231">
        <v>0</v>
      </c>
      <c r="P360" s="234">
        <v>0</v>
      </c>
      <c r="Q360" s="231">
        <v>0</v>
      </c>
      <c r="R360" s="234">
        <v>0</v>
      </c>
      <c r="S360" s="231">
        <v>0</v>
      </c>
      <c r="T360" s="234">
        <v>0</v>
      </c>
      <c r="U360" s="231">
        <v>0</v>
      </c>
      <c r="V360" s="234">
        <v>0</v>
      </c>
      <c r="W360" s="231">
        <v>0</v>
      </c>
      <c r="X360" s="234">
        <v>0</v>
      </c>
      <c r="Y360" s="231">
        <v>0</v>
      </c>
      <c r="Z360" s="234">
        <v>0</v>
      </c>
      <c r="AA360" s="231">
        <v>0</v>
      </c>
      <c r="AB360" s="234">
        <v>0</v>
      </c>
      <c r="AC360" s="238">
        <f t="shared" si="18"/>
        <v>0</v>
      </c>
      <c r="AD360" s="238"/>
      <c r="AE360" s="238"/>
    </row>
    <row r="361" spans="2:31" x14ac:dyDescent="0.3">
      <c r="B361" s="245" t="s">
        <v>58</v>
      </c>
      <c r="C361" s="245"/>
      <c r="D361" s="245"/>
      <c r="E361" s="231">
        <v>0</v>
      </c>
      <c r="F361" s="234">
        <v>0</v>
      </c>
      <c r="G361" s="231">
        <v>0</v>
      </c>
      <c r="H361" s="234">
        <v>0</v>
      </c>
      <c r="I361" s="231">
        <v>0</v>
      </c>
      <c r="J361" s="234">
        <v>0</v>
      </c>
      <c r="K361" s="231">
        <v>0</v>
      </c>
      <c r="L361" s="234">
        <v>0</v>
      </c>
      <c r="M361" s="231">
        <v>0</v>
      </c>
      <c r="N361" s="234">
        <v>0</v>
      </c>
      <c r="O361" s="231">
        <v>0</v>
      </c>
      <c r="P361" s="234">
        <v>0</v>
      </c>
      <c r="Q361" s="231">
        <v>0</v>
      </c>
      <c r="R361" s="234">
        <v>0</v>
      </c>
      <c r="S361" s="231">
        <v>0</v>
      </c>
      <c r="T361" s="234">
        <v>0</v>
      </c>
      <c r="U361" s="231">
        <v>0</v>
      </c>
      <c r="V361" s="234">
        <v>0</v>
      </c>
      <c r="W361" s="231">
        <v>0</v>
      </c>
      <c r="X361" s="234">
        <v>0</v>
      </c>
      <c r="Y361" s="231">
        <v>0</v>
      </c>
      <c r="Z361" s="234">
        <v>0</v>
      </c>
      <c r="AA361" s="231">
        <v>0</v>
      </c>
      <c r="AB361" s="234">
        <v>0</v>
      </c>
      <c r="AC361" s="238">
        <f t="shared" si="18"/>
        <v>0</v>
      </c>
      <c r="AD361" s="238"/>
      <c r="AE361" s="238"/>
    </row>
    <row r="362" spans="2:31" x14ac:dyDescent="0.3">
      <c r="B362" s="245" t="s">
        <v>95</v>
      </c>
      <c r="C362" s="245"/>
      <c r="D362" s="245"/>
      <c r="E362" s="231">
        <v>0</v>
      </c>
      <c r="F362" s="234">
        <v>0</v>
      </c>
      <c r="G362" s="231">
        <v>0</v>
      </c>
      <c r="H362" s="234">
        <v>0</v>
      </c>
      <c r="I362" s="231">
        <v>0</v>
      </c>
      <c r="J362" s="234">
        <v>0</v>
      </c>
      <c r="K362" s="231">
        <v>0</v>
      </c>
      <c r="L362" s="234">
        <v>0</v>
      </c>
      <c r="M362" s="231">
        <v>0</v>
      </c>
      <c r="N362" s="234">
        <v>0</v>
      </c>
      <c r="O362" s="231">
        <v>0</v>
      </c>
      <c r="P362" s="234">
        <v>0</v>
      </c>
      <c r="Q362" s="231">
        <v>0</v>
      </c>
      <c r="R362" s="234">
        <v>0</v>
      </c>
      <c r="S362" s="231">
        <v>0</v>
      </c>
      <c r="T362" s="234">
        <v>0</v>
      </c>
      <c r="U362" s="231">
        <v>0</v>
      </c>
      <c r="V362" s="234">
        <v>0</v>
      </c>
      <c r="W362" s="231">
        <v>0</v>
      </c>
      <c r="X362" s="234">
        <v>0</v>
      </c>
      <c r="Y362" s="231">
        <v>0</v>
      </c>
      <c r="Z362" s="234">
        <v>0</v>
      </c>
      <c r="AA362" s="231">
        <v>0</v>
      </c>
      <c r="AB362" s="234">
        <v>0</v>
      </c>
      <c r="AC362" s="238">
        <f t="shared" si="18"/>
        <v>0</v>
      </c>
      <c r="AD362" s="238"/>
      <c r="AE362" s="238"/>
    </row>
    <row r="363" spans="2:31" x14ac:dyDescent="0.3">
      <c r="B363" s="245" t="s">
        <v>59</v>
      </c>
      <c r="C363" s="245"/>
      <c r="D363" s="245"/>
      <c r="E363" s="231">
        <v>0</v>
      </c>
      <c r="F363" s="234">
        <v>0</v>
      </c>
      <c r="G363" s="231">
        <v>0</v>
      </c>
      <c r="H363" s="234">
        <v>0</v>
      </c>
      <c r="I363" s="231">
        <v>0</v>
      </c>
      <c r="J363" s="234">
        <v>0</v>
      </c>
      <c r="K363" s="231">
        <v>0</v>
      </c>
      <c r="L363" s="234">
        <v>0</v>
      </c>
      <c r="M363" s="231">
        <v>0</v>
      </c>
      <c r="N363" s="234">
        <v>0</v>
      </c>
      <c r="O363" s="231">
        <v>0</v>
      </c>
      <c r="P363" s="234">
        <v>0</v>
      </c>
      <c r="Q363" s="231">
        <v>0</v>
      </c>
      <c r="R363" s="234">
        <v>0</v>
      </c>
      <c r="S363" s="231">
        <v>0</v>
      </c>
      <c r="T363" s="234">
        <v>0</v>
      </c>
      <c r="U363" s="231">
        <v>2.7863333333333333</v>
      </c>
      <c r="V363" s="234">
        <v>12.008833333333333</v>
      </c>
      <c r="W363" s="231">
        <v>3.2021666666666659</v>
      </c>
      <c r="X363" s="234">
        <v>0</v>
      </c>
      <c r="Y363" s="231">
        <v>0</v>
      </c>
      <c r="Z363" s="234">
        <v>0</v>
      </c>
      <c r="AA363" s="231">
        <v>0</v>
      </c>
      <c r="AB363" s="234">
        <v>0</v>
      </c>
      <c r="AC363" s="238">
        <f t="shared" si="18"/>
        <v>17.997333333333334</v>
      </c>
      <c r="AD363" s="238"/>
      <c r="AE363" s="238"/>
    </row>
    <row r="364" spans="2:31" x14ac:dyDescent="0.3">
      <c r="B364" s="245" t="s">
        <v>60</v>
      </c>
      <c r="C364" s="245"/>
      <c r="D364" s="245"/>
      <c r="E364" s="231">
        <v>0</v>
      </c>
      <c r="F364" s="234">
        <v>0</v>
      </c>
      <c r="G364" s="231">
        <v>0</v>
      </c>
      <c r="H364" s="234">
        <v>0</v>
      </c>
      <c r="I364" s="231">
        <v>0</v>
      </c>
      <c r="J364" s="234">
        <v>0</v>
      </c>
      <c r="K364" s="231">
        <v>0</v>
      </c>
      <c r="L364" s="234">
        <v>0</v>
      </c>
      <c r="M364" s="231">
        <v>0</v>
      </c>
      <c r="N364" s="234">
        <v>0</v>
      </c>
      <c r="O364" s="231">
        <v>0</v>
      </c>
      <c r="P364" s="234">
        <v>0</v>
      </c>
      <c r="Q364" s="231">
        <v>0</v>
      </c>
      <c r="R364" s="234">
        <v>0</v>
      </c>
      <c r="S364" s="231">
        <v>0</v>
      </c>
      <c r="T364" s="234">
        <v>0</v>
      </c>
      <c r="U364" s="231">
        <v>0</v>
      </c>
      <c r="V364" s="234">
        <v>5.3666666666666647E-2</v>
      </c>
      <c r="W364" s="231">
        <v>0</v>
      </c>
      <c r="X364" s="234">
        <v>0</v>
      </c>
      <c r="Y364" s="231">
        <v>0</v>
      </c>
      <c r="Z364" s="234">
        <v>0</v>
      </c>
      <c r="AA364" s="231">
        <v>0</v>
      </c>
      <c r="AB364" s="234">
        <v>0</v>
      </c>
      <c r="AC364" s="238">
        <f t="shared" si="18"/>
        <v>5.3666666666666647E-2</v>
      </c>
      <c r="AD364" s="238"/>
      <c r="AE364" s="238"/>
    </row>
    <row r="365" spans="2:31" x14ac:dyDescent="0.3">
      <c r="B365" s="245" t="s">
        <v>61</v>
      </c>
      <c r="C365" s="245"/>
      <c r="D365" s="245"/>
      <c r="E365" s="231">
        <v>0</v>
      </c>
      <c r="F365" s="234">
        <v>0</v>
      </c>
      <c r="G365" s="231">
        <v>0</v>
      </c>
      <c r="H365" s="234">
        <v>0</v>
      </c>
      <c r="I365" s="231">
        <v>0</v>
      </c>
      <c r="J365" s="234">
        <v>0</v>
      </c>
      <c r="K365" s="231">
        <v>0</v>
      </c>
      <c r="L365" s="234">
        <v>0</v>
      </c>
      <c r="M365" s="231">
        <v>0</v>
      </c>
      <c r="N365" s="234">
        <v>0</v>
      </c>
      <c r="O365" s="231">
        <v>0</v>
      </c>
      <c r="P365" s="234">
        <v>0</v>
      </c>
      <c r="Q365" s="231">
        <v>0</v>
      </c>
      <c r="R365" s="234">
        <v>0</v>
      </c>
      <c r="S365" s="231">
        <v>0</v>
      </c>
      <c r="T365" s="234">
        <v>0</v>
      </c>
      <c r="U365" s="231">
        <v>0</v>
      </c>
      <c r="V365" s="234">
        <v>0</v>
      </c>
      <c r="W365" s="231">
        <v>0</v>
      </c>
      <c r="X365" s="234">
        <v>0</v>
      </c>
      <c r="Y365" s="231">
        <v>0</v>
      </c>
      <c r="Z365" s="234">
        <v>0</v>
      </c>
      <c r="AA365" s="231">
        <v>0</v>
      </c>
      <c r="AB365" s="234">
        <v>0</v>
      </c>
      <c r="AC365" s="238">
        <f t="shared" si="18"/>
        <v>0</v>
      </c>
      <c r="AD365" s="238"/>
      <c r="AE365" s="238"/>
    </row>
    <row r="366" spans="2:31" x14ac:dyDescent="0.3">
      <c r="B366" s="245" t="s">
        <v>62</v>
      </c>
      <c r="C366" s="245"/>
      <c r="D366" s="245"/>
      <c r="E366" s="231">
        <v>0</v>
      </c>
      <c r="F366" s="234">
        <v>0</v>
      </c>
      <c r="G366" s="231">
        <v>0</v>
      </c>
      <c r="H366" s="234">
        <v>0</v>
      </c>
      <c r="I366" s="231">
        <v>0</v>
      </c>
      <c r="J366" s="234">
        <v>0</v>
      </c>
      <c r="K366" s="231">
        <v>0</v>
      </c>
      <c r="L366" s="234">
        <v>0</v>
      </c>
      <c r="M366" s="231">
        <v>0</v>
      </c>
      <c r="N366" s="234">
        <v>0</v>
      </c>
      <c r="O366" s="231">
        <v>0</v>
      </c>
      <c r="P366" s="234">
        <v>0</v>
      </c>
      <c r="Q366" s="231">
        <v>0</v>
      </c>
      <c r="R366" s="234">
        <v>0</v>
      </c>
      <c r="S366" s="231">
        <v>0</v>
      </c>
      <c r="T366" s="234">
        <v>0</v>
      </c>
      <c r="U366" s="231">
        <v>0</v>
      </c>
      <c r="V366" s="234">
        <v>1.4166666666667046E-2</v>
      </c>
      <c r="W366" s="231">
        <v>8.6500000000000202E-2</v>
      </c>
      <c r="X366" s="234">
        <v>0</v>
      </c>
      <c r="Y366" s="231">
        <v>0</v>
      </c>
      <c r="Z366" s="234">
        <v>0</v>
      </c>
      <c r="AA366" s="231">
        <v>0</v>
      </c>
      <c r="AB366" s="234">
        <v>0</v>
      </c>
      <c r="AC366" s="238">
        <f t="shared" si="18"/>
        <v>0.10066666666666725</v>
      </c>
      <c r="AD366" s="238"/>
      <c r="AE366" s="238"/>
    </row>
    <row r="367" spans="2:31" x14ac:dyDescent="0.3">
      <c r="B367" s="245" t="s">
        <v>63</v>
      </c>
      <c r="C367" s="245"/>
      <c r="D367" s="245"/>
      <c r="E367" s="231">
        <v>0</v>
      </c>
      <c r="F367" s="234">
        <v>0</v>
      </c>
      <c r="G367" s="231">
        <v>0</v>
      </c>
      <c r="H367" s="234">
        <v>0</v>
      </c>
      <c r="I367" s="231">
        <v>0</v>
      </c>
      <c r="J367" s="234">
        <v>0</v>
      </c>
      <c r="K367" s="231">
        <v>0</v>
      </c>
      <c r="L367" s="234">
        <v>0</v>
      </c>
      <c r="M367" s="231">
        <v>0</v>
      </c>
      <c r="N367" s="234">
        <v>0</v>
      </c>
      <c r="O367" s="231">
        <v>0</v>
      </c>
      <c r="P367" s="234">
        <v>0</v>
      </c>
      <c r="Q367" s="231">
        <v>0</v>
      </c>
      <c r="R367" s="234">
        <v>0</v>
      </c>
      <c r="S367" s="231">
        <v>0</v>
      </c>
      <c r="T367" s="234">
        <v>0</v>
      </c>
      <c r="U367" s="231">
        <v>0</v>
      </c>
      <c r="V367" s="234">
        <v>0</v>
      </c>
      <c r="W367" s="231">
        <v>0</v>
      </c>
      <c r="X367" s="234">
        <v>0</v>
      </c>
      <c r="Y367" s="231">
        <v>0</v>
      </c>
      <c r="Z367" s="234">
        <v>0</v>
      </c>
      <c r="AA367" s="231">
        <v>0</v>
      </c>
      <c r="AB367" s="234">
        <v>0</v>
      </c>
      <c r="AC367" s="238">
        <f t="shared" si="18"/>
        <v>0</v>
      </c>
      <c r="AD367" s="238"/>
      <c r="AE367" s="238"/>
    </row>
    <row r="368" spans="2:31" x14ac:dyDescent="0.3">
      <c r="B368" s="245" t="s">
        <v>64</v>
      </c>
      <c r="C368" s="245"/>
      <c r="D368" s="245"/>
      <c r="E368" s="231">
        <v>0</v>
      </c>
      <c r="F368" s="234">
        <v>0</v>
      </c>
      <c r="G368" s="231">
        <v>0</v>
      </c>
      <c r="H368" s="234">
        <v>0</v>
      </c>
      <c r="I368" s="231">
        <v>0</v>
      </c>
      <c r="J368" s="234">
        <v>0</v>
      </c>
      <c r="K368" s="231">
        <v>0</v>
      </c>
      <c r="L368" s="234">
        <v>0</v>
      </c>
      <c r="M368" s="231">
        <v>0</v>
      </c>
      <c r="N368" s="234">
        <v>0</v>
      </c>
      <c r="O368" s="231">
        <v>0</v>
      </c>
      <c r="P368" s="234">
        <v>0</v>
      </c>
      <c r="Q368" s="231">
        <v>0</v>
      </c>
      <c r="R368" s="234">
        <v>0</v>
      </c>
      <c r="S368" s="231">
        <v>0</v>
      </c>
      <c r="T368" s="234">
        <v>0</v>
      </c>
      <c r="U368" s="231">
        <v>0.15383333333333352</v>
      </c>
      <c r="V368" s="234">
        <v>0.97416666666666807</v>
      </c>
      <c r="W368" s="231">
        <v>0</v>
      </c>
      <c r="X368" s="234">
        <v>0</v>
      </c>
      <c r="Y368" s="231">
        <v>0</v>
      </c>
      <c r="Z368" s="234">
        <v>0</v>
      </c>
      <c r="AA368" s="231">
        <v>0</v>
      </c>
      <c r="AB368" s="234">
        <v>0</v>
      </c>
      <c r="AC368" s="238">
        <f t="shared" si="18"/>
        <v>1.1280000000000017</v>
      </c>
      <c r="AD368" s="238"/>
      <c r="AE368" s="238"/>
    </row>
    <row r="369" spans="2:31" x14ac:dyDescent="0.3">
      <c r="B369" s="245" t="s">
        <v>96</v>
      </c>
      <c r="C369" s="245"/>
      <c r="D369" s="245"/>
      <c r="E369" s="231">
        <v>0</v>
      </c>
      <c r="F369" s="234">
        <v>0</v>
      </c>
      <c r="G369" s="231">
        <v>0</v>
      </c>
      <c r="H369" s="234">
        <v>0</v>
      </c>
      <c r="I369" s="231">
        <v>0</v>
      </c>
      <c r="J369" s="234">
        <v>0</v>
      </c>
      <c r="K369" s="231">
        <v>0</v>
      </c>
      <c r="L369" s="234">
        <v>0</v>
      </c>
      <c r="M369" s="231">
        <v>0</v>
      </c>
      <c r="N369" s="234">
        <v>0</v>
      </c>
      <c r="O369" s="231">
        <v>0</v>
      </c>
      <c r="P369" s="234">
        <v>0</v>
      </c>
      <c r="Q369" s="231">
        <v>0</v>
      </c>
      <c r="R369" s="234">
        <v>0</v>
      </c>
      <c r="S369" s="231">
        <v>0</v>
      </c>
      <c r="T369" s="234">
        <v>0</v>
      </c>
      <c r="U369" s="231">
        <v>0</v>
      </c>
      <c r="V369" s="234">
        <v>0</v>
      </c>
      <c r="W369" s="231">
        <v>0</v>
      </c>
      <c r="X369" s="234">
        <v>0</v>
      </c>
      <c r="Y369" s="231">
        <v>0</v>
      </c>
      <c r="Z369" s="234">
        <v>0</v>
      </c>
      <c r="AA369" s="231">
        <v>0</v>
      </c>
      <c r="AB369" s="234">
        <v>0</v>
      </c>
      <c r="AC369" s="238">
        <f t="shared" si="18"/>
        <v>0</v>
      </c>
      <c r="AD369" s="238"/>
      <c r="AE369" s="238"/>
    </row>
    <row r="370" spans="2:31" x14ac:dyDescent="0.3">
      <c r="B370" s="245" t="s">
        <v>65</v>
      </c>
      <c r="C370" s="245"/>
      <c r="D370" s="245"/>
      <c r="E370" s="231">
        <v>0</v>
      </c>
      <c r="F370" s="234">
        <v>0</v>
      </c>
      <c r="G370" s="231">
        <v>0</v>
      </c>
      <c r="H370" s="234">
        <v>0</v>
      </c>
      <c r="I370" s="231">
        <v>0</v>
      </c>
      <c r="J370" s="234">
        <v>0</v>
      </c>
      <c r="K370" s="231">
        <v>0</v>
      </c>
      <c r="L370" s="234">
        <v>0</v>
      </c>
      <c r="M370" s="231">
        <v>0</v>
      </c>
      <c r="N370" s="234">
        <v>0</v>
      </c>
      <c r="O370" s="231">
        <v>0</v>
      </c>
      <c r="P370" s="234">
        <v>0</v>
      </c>
      <c r="Q370" s="231">
        <v>0</v>
      </c>
      <c r="R370" s="234">
        <v>0</v>
      </c>
      <c r="S370" s="231">
        <v>0</v>
      </c>
      <c r="T370" s="234">
        <v>0</v>
      </c>
      <c r="U370" s="231">
        <v>2.3333333333333664E-2</v>
      </c>
      <c r="V370" s="234">
        <v>0</v>
      </c>
      <c r="W370" s="231">
        <v>0</v>
      </c>
      <c r="X370" s="234">
        <v>0</v>
      </c>
      <c r="Y370" s="231">
        <v>0</v>
      </c>
      <c r="Z370" s="234">
        <v>0</v>
      </c>
      <c r="AA370" s="231">
        <v>0</v>
      </c>
      <c r="AB370" s="234">
        <v>0</v>
      </c>
      <c r="AC370" s="238">
        <f t="shared" si="18"/>
        <v>2.3333333333333664E-2</v>
      </c>
      <c r="AD370" s="238"/>
      <c r="AE370" s="238"/>
    </row>
    <row r="371" spans="2:31" x14ac:dyDescent="0.3">
      <c r="B371" s="245" t="s">
        <v>66</v>
      </c>
      <c r="C371" s="245"/>
      <c r="D371" s="245"/>
      <c r="E371" s="231">
        <v>0</v>
      </c>
      <c r="F371" s="234">
        <v>0</v>
      </c>
      <c r="G371" s="231">
        <v>0</v>
      </c>
      <c r="H371" s="234">
        <v>0</v>
      </c>
      <c r="I371" s="231">
        <v>0</v>
      </c>
      <c r="J371" s="234">
        <v>0</v>
      </c>
      <c r="K371" s="231">
        <v>0</v>
      </c>
      <c r="L371" s="234">
        <v>0</v>
      </c>
      <c r="M371" s="231">
        <v>0</v>
      </c>
      <c r="N371" s="234">
        <v>0</v>
      </c>
      <c r="O371" s="231">
        <v>0</v>
      </c>
      <c r="P371" s="234">
        <v>0</v>
      </c>
      <c r="Q371" s="231">
        <v>0</v>
      </c>
      <c r="R371" s="234">
        <v>0</v>
      </c>
      <c r="S371" s="231">
        <v>0</v>
      </c>
      <c r="T371" s="234">
        <v>0</v>
      </c>
      <c r="U371" s="231">
        <v>0.77333333333333298</v>
      </c>
      <c r="V371" s="234">
        <v>3.5126666666666648</v>
      </c>
      <c r="W371" s="231">
        <v>5.0666666666666887E-2</v>
      </c>
      <c r="X371" s="234">
        <v>0</v>
      </c>
      <c r="Y371" s="231">
        <v>0</v>
      </c>
      <c r="Z371" s="234">
        <v>0</v>
      </c>
      <c r="AA371" s="231">
        <v>0</v>
      </c>
      <c r="AB371" s="234">
        <v>0</v>
      </c>
      <c r="AC371" s="238">
        <f>SUM(E371:AB371)</f>
        <v>4.3366666666666651</v>
      </c>
      <c r="AD371" s="238"/>
      <c r="AE371" s="238"/>
    </row>
    <row r="372" spans="2:31" x14ac:dyDescent="0.3">
      <c r="B372" s="245" t="s">
        <v>67</v>
      </c>
      <c r="C372" s="245"/>
      <c r="D372" s="245"/>
      <c r="E372" s="231">
        <v>0</v>
      </c>
      <c r="F372" s="234">
        <v>0</v>
      </c>
      <c r="G372" s="231">
        <v>0</v>
      </c>
      <c r="H372" s="234">
        <v>0</v>
      </c>
      <c r="I372" s="231">
        <v>0</v>
      </c>
      <c r="J372" s="234">
        <v>0</v>
      </c>
      <c r="K372" s="231">
        <v>0</v>
      </c>
      <c r="L372" s="234">
        <v>0</v>
      </c>
      <c r="M372" s="231">
        <v>0</v>
      </c>
      <c r="N372" s="234">
        <v>0</v>
      </c>
      <c r="O372" s="231">
        <v>0</v>
      </c>
      <c r="P372" s="234">
        <v>0</v>
      </c>
      <c r="Q372" s="231">
        <v>0</v>
      </c>
      <c r="R372" s="234">
        <v>0</v>
      </c>
      <c r="S372" s="231">
        <v>0</v>
      </c>
      <c r="T372" s="234">
        <v>0</v>
      </c>
      <c r="U372" s="231">
        <v>0.77366666666666672</v>
      </c>
      <c r="V372" s="234">
        <v>4.2861666666666673</v>
      </c>
      <c r="W372" s="231">
        <v>1.0049999999999997</v>
      </c>
      <c r="X372" s="234">
        <v>0</v>
      </c>
      <c r="Y372" s="231">
        <v>0</v>
      </c>
      <c r="Z372" s="234">
        <v>0</v>
      </c>
      <c r="AA372" s="231">
        <v>0</v>
      </c>
      <c r="AB372" s="234">
        <v>0</v>
      </c>
      <c r="AC372" s="238">
        <f t="shared" ref="AC372:AC385" si="19">SUM(E372:AB372)</f>
        <v>6.0648333333333335</v>
      </c>
      <c r="AD372" s="238"/>
      <c r="AE372" s="238"/>
    </row>
    <row r="373" spans="2:31" x14ac:dyDescent="0.3">
      <c r="B373" s="245" t="s">
        <v>68</v>
      </c>
      <c r="C373" s="245"/>
      <c r="D373" s="245"/>
      <c r="E373" s="231">
        <v>0</v>
      </c>
      <c r="F373" s="234">
        <v>0</v>
      </c>
      <c r="G373" s="231">
        <v>0</v>
      </c>
      <c r="H373" s="234">
        <v>0</v>
      </c>
      <c r="I373" s="231">
        <v>0</v>
      </c>
      <c r="J373" s="234">
        <v>0</v>
      </c>
      <c r="K373" s="231">
        <v>0</v>
      </c>
      <c r="L373" s="234">
        <v>0</v>
      </c>
      <c r="M373" s="231">
        <v>0</v>
      </c>
      <c r="N373" s="234">
        <v>0</v>
      </c>
      <c r="O373" s="231">
        <v>0</v>
      </c>
      <c r="P373" s="234">
        <v>0</v>
      </c>
      <c r="Q373" s="231">
        <v>0</v>
      </c>
      <c r="R373" s="234">
        <v>0</v>
      </c>
      <c r="S373" s="231">
        <v>0</v>
      </c>
      <c r="T373" s="234">
        <v>0</v>
      </c>
      <c r="U373" s="231">
        <v>1.5588333333333337</v>
      </c>
      <c r="V373" s="234">
        <v>1.9548333333333321</v>
      </c>
      <c r="W373" s="231">
        <v>0.36566666666666664</v>
      </c>
      <c r="X373" s="234">
        <v>0</v>
      </c>
      <c r="Y373" s="231">
        <v>0</v>
      </c>
      <c r="Z373" s="234">
        <v>0</v>
      </c>
      <c r="AA373" s="231">
        <v>0</v>
      </c>
      <c r="AB373" s="234">
        <v>0</v>
      </c>
      <c r="AC373" s="238">
        <f t="shared" si="19"/>
        <v>3.8793333333333324</v>
      </c>
      <c r="AD373" s="238"/>
      <c r="AE373" s="238"/>
    </row>
    <row r="374" spans="2:31" x14ac:dyDescent="0.3">
      <c r="B374" s="245" t="s">
        <v>69</v>
      </c>
      <c r="C374" s="245"/>
      <c r="D374" s="245"/>
      <c r="E374" s="231">
        <v>0</v>
      </c>
      <c r="F374" s="234">
        <v>0</v>
      </c>
      <c r="G374" s="231">
        <v>0</v>
      </c>
      <c r="H374" s="234">
        <v>0</v>
      </c>
      <c r="I374" s="231">
        <v>0</v>
      </c>
      <c r="J374" s="234">
        <v>0</v>
      </c>
      <c r="K374" s="231">
        <v>0</v>
      </c>
      <c r="L374" s="234">
        <v>0</v>
      </c>
      <c r="M374" s="231">
        <v>0</v>
      </c>
      <c r="N374" s="234">
        <v>0</v>
      </c>
      <c r="O374" s="231">
        <v>0</v>
      </c>
      <c r="P374" s="234">
        <v>0</v>
      </c>
      <c r="Q374" s="231">
        <v>0</v>
      </c>
      <c r="R374" s="234">
        <v>0</v>
      </c>
      <c r="S374" s="231">
        <v>0</v>
      </c>
      <c r="T374" s="234">
        <v>0</v>
      </c>
      <c r="U374" s="231">
        <v>0.83949999999999914</v>
      </c>
      <c r="V374" s="234">
        <v>3.1600000000000024</v>
      </c>
      <c r="W374" s="231">
        <v>0.19950000000000034</v>
      </c>
      <c r="X374" s="234">
        <v>0</v>
      </c>
      <c r="Y374" s="231">
        <v>0</v>
      </c>
      <c r="Z374" s="234">
        <v>0</v>
      </c>
      <c r="AA374" s="231">
        <v>0</v>
      </c>
      <c r="AB374" s="234">
        <v>0</v>
      </c>
      <c r="AC374" s="238">
        <f t="shared" si="19"/>
        <v>4.1990000000000016</v>
      </c>
      <c r="AD374" s="238"/>
      <c r="AE374" s="238"/>
    </row>
    <row r="375" spans="2:31" x14ac:dyDescent="0.3">
      <c r="B375" s="245" t="s">
        <v>70</v>
      </c>
      <c r="C375" s="245"/>
      <c r="D375" s="245"/>
      <c r="E375" s="231">
        <v>0</v>
      </c>
      <c r="F375" s="234">
        <v>0</v>
      </c>
      <c r="G375" s="231">
        <v>0</v>
      </c>
      <c r="H375" s="234">
        <v>0</v>
      </c>
      <c r="I375" s="231">
        <v>0</v>
      </c>
      <c r="J375" s="234">
        <v>0</v>
      </c>
      <c r="K375" s="231">
        <v>0</v>
      </c>
      <c r="L375" s="234">
        <v>0</v>
      </c>
      <c r="M375" s="231">
        <v>0</v>
      </c>
      <c r="N375" s="234">
        <v>0</v>
      </c>
      <c r="O375" s="231">
        <v>0</v>
      </c>
      <c r="P375" s="234">
        <v>0</v>
      </c>
      <c r="Q375" s="231">
        <v>0</v>
      </c>
      <c r="R375" s="234">
        <v>0</v>
      </c>
      <c r="S375" s="231">
        <v>0</v>
      </c>
      <c r="T375" s="234">
        <v>0</v>
      </c>
      <c r="U375" s="231">
        <v>0.5893333333333336</v>
      </c>
      <c r="V375" s="234">
        <v>0</v>
      </c>
      <c r="W375" s="231">
        <v>0</v>
      </c>
      <c r="X375" s="234">
        <v>0</v>
      </c>
      <c r="Y375" s="231">
        <v>0</v>
      </c>
      <c r="Z375" s="234">
        <v>0</v>
      </c>
      <c r="AA375" s="231">
        <v>0</v>
      </c>
      <c r="AB375" s="234">
        <v>0</v>
      </c>
      <c r="AC375" s="238">
        <f t="shared" si="19"/>
        <v>0.5893333333333336</v>
      </c>
      <c r="AD375" s="238"/>
      <c r="AE375" s="238"/>
    </row>
    <row r="376" spans="2:31" x14ac:dyDescent="0.3">
      <c r="B376" s="245" t="s">
        <v>71</v>
      </c>
      <c r="C376" s="245"/>
      <c r="D376" s="245"/>
      <c r="E376" s="231">
        <v>0</v>
      </c>
      <c r="F376" s="234">
        <v>0</v>
      </c>
      <c r="G376" s="231">
        <v>0</v>
      </c>
      <c r="H376" s="234">
        <v>0</v>
      </c>
      <c r="I376" s="231">
        <v>0</v>
      </c>
      <c r="J376" s="234">
        <v>0</v>
      </c>
      <c r="K376" s="231">
        <v>0</v>
      </c>
      <c r="L376" s="234">
        <v>0</v>
      </c>
      <c r="M376" s="231">
        <v>0</v>
      </c>
      <c r="N376" s="234">
        <v>0</v>
      </c>
      <c r="O376" s="231">
        <v>0</v>
      </c>
      <c r="P376" s="234">
        <v>0</v>
      </c>
      <c r="Q376" s="231">
        <v>0</v>
      </c>
      <c r="R376" s="234">
        <v>0</v>
      </c>
      <c r="S376" s="231">
        <v>0</v>
      </c>
      <c r="T376" s="234">
        <v>0</v>
      </c>
      <c r="U376" s="231">
        <v>0</v>
      </c>
      <c r="V376" s="234">
        <v>0</v>
      </c>
      <c r="W376" s="231">
        <v>0</v>
      </c>
      <c r="X376" s="234">
        <v>0</v>
      </c>
      <c r="Y376" s="231">
        <v>0</v>
      </c>
      <c r="Z376" s="234">
        <v>0</v>
      </c>
      <c r="AA376" s="231">
        <v>0</v>
      </c>
      <c r="AB376" s="234">
        <v>0</v>
      </c>
      <c r="AC376" s="238">
        <f t="shared" si="19"/>
        <v>0</v>
      </c>
      <c r="AD376" s="238"/>
      <c r="AE376" s="238"/>
    </row>
    <row r="377" spans="2:31" x14ac:dyDescent="0.3">
      <c r="B377" s="245" t="s">
        <v>72</v>
      </c>
      <c r="C377" s="245"/>
      <c r="D377" s="245"/>
      <c r="E377" s="231">
        <v>0</v>
      </c>
      <c r="F377" s="234">
        <v>0</v>
      </c>
      <c r="G377" s="231">
        <v>0</v>
      </c>
      <c r="H377" s="234">
        <v>0</v>
      </c>
      <c r="I377" s="231">
        <v>0</v>
      </c>
      <c r="J377" s="234">
        <v>0</v>
      </c>
      <c r="K377" s="231">
        <v>0</v>
      </c>
      <c r="L377" s="234">
        <v>0</v>
      </c>
      <c r="M377" s="231">
        <v>0</v>
      </c>
      <c r="N377" s="234">
        <v>0</v>
      </c>
      <c r="O377" s="231">
        <v>0</v>
      </c>
      <c r="P377" s="234">
        <v>0</v>
      </c>
      <c r="Q377" s="231">
        <v>0</v>
      </c>
      <c r="R377" s="234">
        <v>0</v>
      </c>
      <c r="S377" s="231">
        <v>0</v>
      </c>
      <c r="T377" s="234">
        <v>0</v>
      </c>
      <c r="U377" s="231">
        <v>0.17533333333333292</v>
      </c>
      <c r="V377" s="234">
        <v>0.82483333333333042</v>
      </c>
      <c r="W377" s="231">
        <v>0</v>
      </c>
      <c r="X377" s="234">
        <v>0</v>
      </c>
      <c r="Y377" s="231">
        <v>0</v>
      </c>
      <c r="Z377" s="234">
        <v>0</v>
      </c>
      <c r="AA377" s="231">
        <v>0</v>
      </c>
      <c r="AB377" s="234">
        <v>0</v>
      </c>
      <c r="AC377" s="238">
        <f t="shared" si="19"/>
        <v>1.0001666666666633</v>
      </c>
      <c r="AD377" s="238"/>
      <c r="AE377" s="238"/>
    </row>
    <row r="378" spans="2:31" x14ac:dyDescent="0.3">
      <c r="B378" s="245" t="s">
        <v>73</v>
      </c>
      <c r="C378" s="245"/>
      <c r="D378" s="245"/>
      <c r="E378" s="231">
        <v>0</v>
      </c>
      <c r="F378" s="234">
        <v>0</v>
      </c>
      <c r="G378" s="231">
        <v>0</v>
      </c>
      <c r="H378" s="234">
        <v>0</v>
      </c>
      <c r="I378" s="231">
        <v>0</v>
      </c>
      <c r="J378" s="234">
        <v>0</v>
      </c>
      <c r="K378" s="231">
        <v>0</v>
      </c>
      <c r="L378" s="234">
        <v>0</v>
      </c>
      <c r="M378" s="231">
        <v>0</v>
      </c>
      <c r="N378" s="234">
        <v>0</v>
      </c>
      <c r="O378" s="231">
        <v>0</v>
      </c>
      <c r="P378" s="234">
        <v>0</v>
      </c>
      <c r="Q378" s="231">
        <v>0</v>
      </c>
      <c r="R378" s="234">
        <v>0</v>
      </c>
      <c r="S378" s="231">
        <v>0</v>
      </c>
      <c r="T378" s="234">
        <v>0</v>
      </c>
      <c r="U378" s="231">
        <v>3.1666666666666289E-3</v>
      </c>
      <c r="V378" s="234">
        <v>0</v>
      </c>
      <c r="W378" s="231">
        <v>0.44466666666666677</v>
      </c>
      <c r="X378" s="234">
        <v>0</v>
      </c>
      <c r="Y378" s="231">
        <v>0</v>
      </c>
      <c r="Z378" s="234">
        <v>0</v>
      </c>
      <c r="AA378" s="231">
        <v>0</v>
      </c>
      <c r="AB378" s="234">
        <v>0</v>
      </c>
      <c r="AC378" s="238">
        <f t="shared" si="19"/>
        <v>0.44783333333333342</v>
      </c>
      <c r="AD378" s="238"/>
      <c r="AE378" s="238"/>
    </row>
    <row r="379" spans="2:31" x14ac:dyDescent="0.3">
      <c r="B379" s="245" t="s">
        <v>74</v>
      </c>
      <c r="C379" s="245"/>
      <c r="D379" s="245"/>
      <c r="E379" s="231">
        <v>0</v>
      </c>
      <c r="F379" s="234">
        <v>0</v>
      </c>
      <c r="G379" s="231">
        <v>0</v>
      </c>
      <c r="H379" s="234">
        <v>0</v>
      </c>
      <c r="I379" s="231">
        <v>0</v>
      </c>
      <c r="J379" s="234">
        <v>0</v>
      </c>
      <c r="K379" s="231">
        <v>0</v>
      </c>
      <c r="L379" s="234">
        <v>0</v>
      </c>
      <c r="M379" s="231">
        <v>0</v>
      </c>
      <c r="N379" s="234">
        <v>0</v>
      </c>
      <c r="O379" s="231">
        <v>0</v>
      </c>
      <c r="P379" s="234">
        <v>0</v>
      </c>
      <c r="Q379" s="231">
        <v>0</v>
      </c>
      <c r="R379" s="234">
        <v>0</v>
      </c>
      <c r="S379" s="231">
        <v>0</v>
      </c>
      <c r="T379" s="234">
        <v>0</v>
      </c>
      <c r="U379" s="231">
        <v>5.4166666666666669E-2</v>
      </c>
      <c r="V379" s="234">
        <v>1.5824999999999998</v>
      </c>
      <c r="W379" s="231">
        <v>0.15666666666666668</v>
      </c>
      <c r="X379" s="234">
        <v>0</v>
      </c>
      <c r="Y379" s="231">
        <v>0</v>
      </c>
      <c r="Z379" s="234">
        <v>0</v>
      </c>
      <c r="AA379" s="231">
        <v>0</v>
      </c>
      <c r="AB379" s="234">
        <v>0</v>
      </c>
      <c r="AC379" s="238">
        <f t="shared" si="19"/>
        <v>1.7933333333333332</v>
      </c>
      <c r="AD379" s="238"/>
      <c r="AE379" s="238"/>
    </row>
    <row r="380" spans="2:31" x14ac:dyDescent="0.3">
      <c r="B380" s="245" t="s">
        <v>75</v>
      </c>
      <c r="C380" s="245"/>
      <c r="D380" s="245"/>
      <c r="E380" s="231">
        <v>0</v>
      </c>
      <c r="F380" s="234">
        <v>0</v>
      </c>
      <c r="G380" s="231">
        <v>0</v>
      </c>
      <c r="H380" s="234">
        <v>0</v>
      </c>
      <c r="I380" s="231">
        <v>0</v>
      </c>
      <c r="J380" s="234">
        <v>0</v>
      </c>
      <c r="K380" s="231">
        <v>0</v>
      </c>
      <c r="L380" s="234">
        <v>0</v>
      </c>
      <c r="M380" s="231">
        <v>0</v>
      </c>
      <c r="N380" s="234">
        <v>0</v>
      </c>
      <c r="O380" s="231">
        <v>0</v>
      </c>
      <c r="P380" s="234">
        <v>0</v>
      </c>
      <c r="Q380" s="231">
        <v>0</v>
      </c>
      <c r="R380" s="234">
        <v>0</v>
      </c>
      <c r="S380" s="231">
        <v>0</v>
      </c>
      <c r="T380" s="234">
        <v>0</v>
      </c>
      <c r="U380" s="231">
        <v>1.7368333333333335</v>
      </c>
      <c r="V380" s="234">
        <v>4.1085000000000003</v>
      </c>
      <c r="W380" s="231">
        <v>0.76316666666666799</v>
      </c>
      <c r="X380" s="234">
        <v>0</v>
      </c>
      <c r="Y380" s="231">
        <v>0</v>
      </c>
      <c r="Z380" s="234">
        <v>0</v>
      </c>
      <c r="AA380" s="231">
        <v>0</v>
      </c>
      <c r="AB380" s="234">
        <v>0</v>
      </c>
      <c r="AC380" s="238">
        <f t="shared" si="19"/>
        <v>6.6085000000000012</v>
      </c>
      <c r="AD380" s="238"/>
      <c r="AE380" s="238"/>
    </row>
    <row r="381" spans="2:31" x14ac:dyDescent="0.3">
      <c r="B381" s="245" t="s">
        <v>76</v>
      </c>
      <c r="C381" s="245"/>
      <c r="D381" s="245"/>
      <c r="E381" s="231">
        <v>0</v>
      </c>
      <c r="F381" s="234">
        <v>0</v>
      </c>
      <c r="G381" s="231">
        <v>0</v>
      </c>
      <c r="H381" s="234">
        <v>0</v>
      </c>
      <c r="I381" s="231">
        <v>0</v>
      </c>
      <c r="J381" s="234">
        <v>0</v>
      </c>
      <c r="K381" s="231">
        <v>0</v>
      </c>
      <c r="L381" s="234">
        <v>0</v>
      </c>
      <c r="M381" s="231">
        <v>0</v>
      </c>
      <c r="N381" s="234">
        <v>0</v>
      </c>
      <c r="O381" s="231">
        <v>0</v>
      </c>
      <c r="P381" s="234">
        <v>0</v>
      </c>
      <c r="Q381" s="231">
        <v>0</v>
      </c>
      <c r="R381" s="234">
        <v>0</v>
      </c>
      <c r="S381" s="231">
        <v>0</v>
      </c>
      <c r="T381" s="234">
        <v>0</v>
      </c>
      <c r="U381" s="231">
        <v>0</v>
      </c>
      <c r="V381" s="234">
        <v>0</v>
      </c>
      <c r="W381" s="231">
        <v>0</v>
      </c>
      <c r="X381" s="234">
        <v>0</v>
      </c>
      <c r="Y381" s="231">
        <v>0</v>
      </c>
      <c r="Z381" s="234">
        <v>0</v>
      </c>
      <c r="AA381" s="231">
        <v>0</v>
      </c>
      <c r="AB381" s="234">
        <v>0</v>
      </c>
      <c r="AC381" s="238">
        <f t="shared" si="19"/>
        <v>0</v>
      </c>
      <c r="AD381" s="238"/>
      <c r="AE381" s="238"/>
    </row>
    <row r="382" spans="2:31" x14ac:dyDescent="0.3">
      <c r="B382" s="245" t="s">
        <v>77</v>
      </c>
      <c r="C382" s="245"/>
      <c r="D382" s="245"/>
      <c r="E382" s="231">
        <v>0</v>
      </c>
      <c r="F382" s="234">
        <v>0</v>
      </c>
      <c r="G382" s="231">
        <v>0</v>
      </c>
      <c r="H382" s="234">
        <v>0</v>
      </c>
      <c r="I382" s="231">
        <v>0</v>
      </c>
      <c r="J382" s="234">
        <v>0</v>
      </c>
      <c r="K382" s="231">
        <v>0</v>
      </c>
      <c r="L382" s="234">
        <v>0</v>
      </c>
      <c r="M382" s="231">
        <v>0</v>
      </c>
      <c r="N382" s="234">
        <v>0</v>
      </c>
      <c r="O382" s="231">
        <v>0</v>
      </c>
      <c r="P382" s="234">
        <v>0</v>
      </c>
      <c r="Q382" s="231">
        <v>0</v>
      </c>
      <c r="R382" s="234">
        <v>0</v>
      </c>
      <c r="S382" s="231">
        <v>0</v>
      </c>
      <c r="T382" s="234">
        <v>0</v>
      </c>
      <c r="U382" s="231">
        <v>0.27299999999999991</v>
      </c>
      <c r="V382" s="234">
        <v>1.3501666666666634</v>
      </c>
      <c r="W382" s="231">
        <v>9.7833333333333647E-2</v>
      </c>
      <c r="X382" s="234">
        <v>0</v>
      </c>
      <c r="Y382" s="231">
        <v>0</v>
      </c>
      <c r="Z382" s="234">
        <v>0</v>
      </c>
      <c r="AA382" s="231">
        <v>0</v>
      </c>
      <c r="AB382" s="234">
        <v>0</v>
      </c>
      <c r="AC382" s="238">
        <f t="shared" si="19"/>
        <v>1.720999999999997</v>
      </c>
      <c r="AD382" s="238"/>
      <c r="AE382" s="238"/>
    </row>
    <row r="383" spans="2:31" x14ac:dyDescent="0.3">
      <c r="B383" s="245" t="s">
        <v>78</v>
      </c>
      <c r="C383" s="245"/>
      <c r="D383" s="245"/>
      <c r="E383" s="231">
        <v>0</v>
      </c>
      <c r="F383" s="234">
        <v>0</v>
      </c>
      <c r="G383" s="231">
        <v>0</v>
      </c>
      <c r="H383" s="234">
        <v>0</v>
      </c>
      <c r="I383" s="231">
        <v>0</v>
      </c>
      <c r="J383" s="234">
        <v>0</v>
      </c>
      <c r="K383" s="231">
        <v>0</v>
      </c>
      <c r="L383" s="234">
        <v>0</v>
      </c>
      <c r="M383" s="231">
        <v>0</v>
      </c>
      <c r="N383" s="234">
        <v>0</v>
      </c>
      <c r="O383" s="231">
        <v>0</v>
      </c>
      <c r="P383" s="234">
        <v>0</v>
      </c>
      <c r="Q383" s="231">
        <v>0</v>
      </c>
      <c r="R383" s="234">
        <v>0</v>
      </c>
      <c r="S383" s="231">
        <v>0</v>
      </c>
      <c r="T383" s="234">
        <v>0</v>
      </c>
      <c r="U383" s="231">
        <v>1.3136666666666661</v>
      </c>
      <c r="V383" s="234">
        <v>0</v>
      </c>
      <c r="W383" s="231">
        <v>0</v>
      </c>
      <c r="X383" s="234">
        <v>0</v>
      </c>
      <c r="Y383" s="231">
        <v>0</v>
      </c>
      <c r="Z383" s="234">
        <v>0</v>
      </c>
      <c r="AA383" s="231">
        <v>0</v>
      </c>
      <c r="AB383" s="234">
        <v>0</v>
      </c>
      <c r="AC383" s="238">
        <f t="shared" si="19"/>
        <v>1.3136666666666661</v>
      </c>
      <c r="AD383" s="238"/>
      <c r="AE383" s="238"/>
    </row>
    <row r="384" spans="2:31" x14ac:dyDescent="0.3">
      <c r="B384" s="245" t="s">
        <v>79</v>
      </c>
      <c r="C384" s="245"/>
      <c r="D384" s="245"/>
      <c r="E384" s="231">
        <v>0</v>
      </c>
      <c r="F384" s="234">
        <v>0</v>
      </c>
      <c r="G384" s="231">
        <v>0</v>
      </c>
      <c r="H384" s="234">
        <v>0</v>
      </c>
      <c r="I384" s="231">
        <v>0</v>
      </c>
      <c r="J384" s="234">
        <v>0</v>
      </c>
      <c r="K384" s="231">
        <v>0</v>
      </c>
      <c r="L384" s="234">
        <v>0</v>
      </c>
      <c r="M384" s="231">
        <v>0</v>
      </c>
      <c r="N384" s="234">
        <v>0</v>
      </c>
      <c r="O384" s="231">
        <v>0</v>
      </c>
      <c r="P384" s="234">
        <v>0</v>
      </c>
      <c r="Q384" s="231">
        <v>0</v>
      </c>
      <c r="R384" s="234">
        <v>0</v>
      </c>
      <c r="S384" s="231">
        <v>0</v>
      </c>
      <c r="T384" s="234">
        <v>0</v>
      </c>
      <c r="U384" s="231">
        <v>0</v>
      </c>
      <c r="V384" s="234">
        <v>0</v>
      </c>
      <c r="W384" s="231">
        <v>0</v>
      </c>
      <c r="X384" s="234">
        <v>0</v>
      </c>
      <c r="Y384" s="231">
        <v>0</v>
      </c>
      <c r="Z384" s="234">
        <v>0</v>
      </c>
      <c r="AA384" s="231">
        <v>0</v>
      </c>
      <c r="AB384" s="234">
        <v>0</v>
      </c>
      <c r="AC384" s="238">
        <f t="shared" si="19"/>
        <v>0</v>
      </c>
      <c r="AD384" s="238"/>
      <c r="AE384" s="238"/>
    </row>
    <row r="385" spans="2:31" x14ac:dyDescent="0.3">
      <c r="B385" s="245" t="s">
        <v>80</v>
      </c>
      <c r="C385" s="245"/>
      <c r="D385" s="245"/>
      <c r="E385" s="231">
        <v>0</v>
      </c>
      <c r="F385" s="234">
        <v>0</v>
      </c>
      <c r="G385" s="231">
        <v>0</v>
      </c>
      <c r="H385" s="234">
        <v>0</v>
      </c>
      <c r="I385" s="231">
        <v>0</v>
      </c>
      <c r="J385" s="234">
        <v>0</v>
      </c>
      <c r="K385" s="231">
        <v>0</v>
      </c>
      <c r="L385" s="234">
        <v>0</v>
      </c>
      <c r="M385" s="231">
        <v>0</v>
      </c>
      <c r="N385" s="234">
        <v>0</v>
      </c>
      <c r="O385" s="231">
        <v>0</v>
      </c>
      <c r="P385" s="234">
        <v>0</v>
      </c>
      <c r="Q385" s="231">
        <v>0</v>
      </c>
      <c r="R385" s="234">
        <v>0</v>
      </c>
      <c r="S385" s="231">
        <v>0</v>
      </c>
      <c r="T385" s="234">
        <v>0</v>
      </c>
      <c r="U385" s="231">
        <v>0</v>
      </c>
      <c r="V385" s="234">
        <v>0</v>
      </c>
      <c r="W385" s="231">
        <v>0</v>
      </c>
      <c r="X385" s="234">
        <v>0</v>
      </c>
      <c r="Y385" s="231">
        <v>0</v>
      </c>
      <c r="Z385" s="234">
        <v>0</v>
      </c>
      <c r="AA385" s="231">
        <v>0</v>
      </c>
      <c r="AB385" s="234">
        <v>0</v>
      </c>
      <c r="AC385" s="238">
        <f t="shared" si="19"/>
        <v>0</v>
      </c>
      <c r="AD385" s="238"/>
      <c r="AE385" s="238"/>
    </row>
    <row r="386" spans="2:31" x14ac:dyDescent="0.3">
      <c r="B386" s="245" t="s">
        <v>93</v>
      </c>
      <c r="C386" s="245"/>
      <c r="D386" s="245"/>
      <c r="E386" s="231">
        <v>0</v>
      </c>
      <c r="F386" s="234">
        <v>0</v>
      </c>
      <c r="G386" s="231">
        <v>0</v>
      </c>
      <c r="H386" s="234">
        <v>0</v>
      </c>
      <c r="I386" s="231">
        <v>0</v>
      </c>
      <c r="J386" s="234">
        <v>0</v>
      </c>
      <c r="K386" s="231">
        <v>0</v>
      </c>
      <c r="L386" s="234">
        <v>0</v>
      </c>
      <c r="M386" s="231">
        <v>0</v>
      </c>
      <c r="N386" s="234">
        <v>0</v>
      </c>
      <c r="O386" s="231">
        <v>0</v>
      </c>
      <c r="P386" s="234">
        <v>0</v>
      </c>
      <c r="Q386" s="231">
        <v>0</v>
      </c>
      <c r="R386" s="234">
        <v>2.8986666666666654</v>
      </c>
      <c r="S386" s="231">
        <v>3.7599999999999971</v>
      </c>
      <c r="T386" s="234">
        <v>3.259999999999998</v>
      </c>
      <c r="U386" s="231">
        <v>2.1599999999999975</v>
      </c>
      <c r="V386" s="234">
        <v>1.9599999999999975</v>
      </c>
      <c r="W386" s="231">
        <v>8.66666666666666E-2</v>
      </c>
      <c r="X386" s="234">
        <v>0</v>
      </c>
      <c r="Y386" s="231">
        <v>0</v>
      </c>
      <c r="Z386" s="234">
        <v>0</v>
      </c>
      <c r="AA386" s="231">
        <v>0</v>
      </c>
      <c r="AB386" s="234">
        <v>0</v>
      </c>
      <c r="AC386" s="238">
        <f>SUM(E386:AB386)</f>
        <v>14.12533333333332</v>
      </c>
      <c r="AD386" s="238"/>
      <c r="AE386" s="238"/>
    </row>
    <row r="387" spans="2:31" x14ac:dyDescent="0.3">
      <c r="B387" s="14" t="s">
        <v>2</v>
      </c>
      <c r="C387" s="14"/>
      <c r="D387" s="14"/>
      <c r="E387" s="15">
        <f t="shared" ref="E387:AB387" si="20">SUM(E338:E386)</f>
        <v>0</v>
      </c>
      <c r="F387" s="15">
        <f t="shared" si="20"/>
        <v>0</v>
      </c>
      <c r="G387" s="15">
        <f t="shared" si="20"/>
        <v>0</v>
      </c>
      <c r="H387" s="15">
        <f t="shared" si="20"/>
        <v>0</v>
      </c>
      <c r="I387" s="15">
        <f t="shared" si="20"/>
        <v>0</v>
      </c>
      <c r="J387" s="15">
        <f t="shared" si="20"/>
        <v>0</v>
      </c>
      <c r="K387" s="15">
        <f t="shared" si="20"/>
        <v>0</v>
      </c>
      <c r="L387" s="15">
        <f t="shared" si="20"/>
        <v>0</v>
      </c>
      <c r="M387" s="15">
        <f t="shared" si="20"/>
        <v>0</v>
      </c>
      <c r="N387" s="15">
        <f t="shared" si="20"/>
        <v>0</v>
      </c>
      <c r="O387" s="15">
        <f t="shared" si="20"/>
        <v>3.8480000000000016</v>
      </c>
      <c r="P387" s="15">
        <f t="shared" si="20"/>
        <v>6.2316666666666745</v>
      </c>
      <c r="Q387" s="15">
        <f t="shared" si="20"/>
        <v>6.3633333333333439</v>
      </c>
      <c r="R387" s="15">
        <f t="shared" si="20"/>
        <v>43.964333333333336</v>
      </c>
      <c r="S387" s="15">
        <f t="shared" si="20"/>
        <v>96.817833333333311</v>
      </c>
      <c r="T387" s="15">
        <f t="shared" si="20"/>
        <v>102.66416666666663</v>
      </c>
      <c r="U387" s="15">
        <f t="shared" si="20"/>
        <v>51.969833333333341</v>
      </c>
      <c r="V387" s="15">
        <f t="shared" si="20"/>
        <v>116.50499999999997</v>
      </c>
      <c r="W387" s="15">
        <f t="shared" si="20"/>
        <v>24.698166666666665</v>
      </c>
      <c r="X387" s="15">
        <f t="shared" si="20"/>
        <v>0.1925</v>
      </c>
      <c r="Y387" s="15">
        <f t="shared" si="20"/>
        <v>0</v>
      </c>
      <c r="Z387" s="15">
        <f t="shared" si="20"/>
        <v>0</v>
      </c>
      <c r="AA387" s="15">
        <f t="shared" si="20"/>
        <v>0</v>
      </c>
      <c r="AB387" s="15">
        <f t="shared" si="20"/>
        <v>0</v>
      </c>
      <c r="AC387" s="249">
        <f>SUM(AC338:AE386)</f>
        <v>453.25483333333335</v>
      </c>
      <c r="AD387" s="249"/>
      <c r="AE387" s="249"/>
    </row>
    <row r="388" spans="2:31" x14ac:dyDescent="0.3">
      <c r="B388" s="16"/>
      <c r="C388" s="17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2:31" x14ac:dyDescent="0.3">
      <c r="B389" s="16"/>
      <c r="C389" s="17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2:31" x14ac:dyDescent="0.3">
      <c r="B390" s="8">
        <f>'Resumen-Mensual'!$L$22</f>
        <v>44569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64"/>
      <c r="AD390" s="64"/>
      <c r="AE390" s="64"/>
    </row>
    <row r="391" spans="2:31" x14ac:dyDescent="0.3">
      <c r="B391" s="8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64"/>
      <c r="AD391" s="64"/>
      <c r="AE391" s="64"/>
    </row>
    <row r="392" spans="2:31" x14ac:dyDescent="0.3">
      <c r="B392" s="9" t="s">
        <v>81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248" t="s">
        <v>2</v>
      </c>
      <c r="AD392" s="248"/>
      <c r="AE392" s="248"/>
    </row>
    <row r="393" spans="2:31" x14ac:dyDescent="0.3">
      <c r="B393" s="245" t="s">
        <v>37</v>
      </c>
      <c r="C393" s="245"/>
      <c r="D393" s="245"/>
      <c r="E393" s="65">
        <v>0</v>
      </c>
      <c r="F393" s="66">
        <v>0</v>
      </c>
      <c r="G393" s="65">
        <v>0</v>
      </c>
      <c r="H393" s="66">
        <v>0</v>
      </c>
      <c r="I393" s="65">
        <v>0</v>
      </c>
      <c r="J393" s="66">
        <v>0</v>
      </c>
      <c r="K393" s="65">
        <v>0</v>
      </c>
      <c r="L393" s="66">
        <v>0</v>
      </c>
      <c r="M393" s="65">
        <v>0</v>
      </c>
      <c r="N393" s="66">
        <v>0</v>
      </c>
      <c r="O393" s="65">
        <v>0</v>
      </c>
      <c r="P393" s="66">
        <v>0</v>
      </c>
      <c r="Q393" s="65">
        <v>0</v>
      </c>
      <c r="R393" s="66">
        <v>0</v>
      </c>
      <c r="S393" s="65">
        <v>0</v>
      </c>
      <c r="T393" s="66">
        <v>0</v>
      </c>
      <c r="U393" s="65">
        <v>0</v>
      </c>
      <c r="V393" s="66">
        <v>0</v>
      </c>
      <c r="W393" s="65">
        <v>0</v>
      </c>
      <c r="X393" s="66">
        <v>0</v>
      </c>
      <c r="Y393" s="65">
        <v>0</v>
      </c>
      <c r="Z393" s="66">
        <v>0</v>
      </c>
      <c r="AA393" s="65">
        <v>0</v>
      </c>
      <c r="AB393" s="66">
        <v>0</v>
      </c>
      <c r="AC393" s="238">
        <f t="shared" ref="AC393:AC425" si="21">SUM(E393:AB393)</f>
        <v>0</v>
      </c>
      <c r="AD393" s="238"/>
      <c r="AE393" s="238"/>
    </row>
    <row r="394" spans="2:31" x14ac:dyDescent="0.3">
      <c r="B394" s="245" t="s">
        <v>38</v>
      </c>
      <c r="C394" s="245"/>
      <c r="D394" s="245"/>
      <c r="E394" s="65">
        <v>0</v>
      </c>
      <c r="F394" s="66">
        <v>0</v>
      </c>
      <c r="G394" s="65">
        <v>0</v>
      </c>
      <c r="H394" s="66">
        <v>0</v>
      </c>
      <c r="I394" s="65">
        <v>0</v>
      </c>
      <c r="J394" s="66">
        <v>0</v>
      </c>
      <c r="K394" s="65">
        <v>0</v>
      </c>
      <c r="L394" s="66">
        <v>0</v>
      </c>
      <c r="M394" s="65">
        <v>0</v>
      </c>
      <c r="N394" s="66">
        <v>0</v>
      </c>
      <c r="O394" s="65">
        <v>0</v>
      </c>
      <c r="P394" s="66">
        <v>0</v>
      </c>
      <c r="Q394" s="65">
        <v>0</v>
      </c>
      <c r="R394" s="66">
        <v>0</v>
      </c>
      <c r="S394" s="65">
        <v>0</v>
      </c>
      <c r="T394" s="66">
        <v>0</v>
      </c>
      <c r="U394" s="65">
        <v>0</v>
      </c>
      <c r="V394" s="66">
        <v>0</v>
      </c>
      <c r="W394" s="65">
        <v>0</v>
      </c>
      <c r="X394" s="66">
        <v>0</v>
      </c>
      <c r="Y394" s="65">
        <v>0</v>
      </c>
      <c r="Z394" s="66">
        <v>0</v>
      </c>
      <c r="AA394" s="65">
        <v>0</v>
      </c>
      <c r="AB394" s="66">
        <v>0</v>
      </c>
      <c r="AC394" s="238">
        <f t="shared" si="21"/>
        <v>0</v>
      </c>
      <c r="AD394" s="238"/>
      <c r="AE394" s="238"/>
    </row>
    <row r="395" spans="2:31" x14ac:dyDescent="0.3">
      <c r="B395" s="245" t="s">
        <v>39</v>
      </c>
      <c r="C395" s="245"/>
      <c r="D395" s="245"/>
      <c r="E395" s="65">
        <v>0</v>
      </c>
      <c r="F395" s="66">
        <v>0</v>
      </c>
      <c r="G395" s="65">
        <v>0</v>
      </c>
      <c r="H395" s="66">
        <v>0</v>
      </c>
      <c r="I395" s="65">
        <v>0</v>
      </c>
      <c r="J395" s="66">
        <v>0</v>
      </c>
      <c r="K395" s="65">
        <v>0</v>
      </c>
      <c r="L395" s="66">
        <v>0</v>
      </c>
      <c r="M395" s="65">
        <v>0</v>
      </c>
      <c r="N395" s="66">
        <v>0</v>
      </c>
      <c r="O395" s="65">
        <v>0</v>
      </c>
      <c r="P395" s="66">
        <v>0</v>
      </c>
      <c r="Q395" s="65">
        <v>0</v>
      </c>
      <c r="R395" s="66">
        <v>0</v>
      </c>
      <c r="S395" s="65">
        <v>0</v>
      </c>
      <c r="T395" s="66">
        <v>0</v>
      </c>
      <c r="U395" s="65">
        <v>0</v>
      </c>
      <c r="V395" s="66">
        <v>0</v>
      </c>
      <c r="W395" s="65">
        <v>0</v>
      </c>
      <c r="X395" s="66">
        <v>0</v>
      </c>
      <c r="Y395" s="65">
        <v>0</v>
      </c>
      <c r="Z395" s="66">
        <v>0</v>
      </c>
      <c r="AA395" s="65">
        <v>0</v>
      </c>
      <c r="AB395" s="66">
        <v>0</v>
      </c>
      <c r="AC395" s="238">
        <f t="shared" si="21"/>
        <v>0</v>
      </c>
      <c r="AD395" s="238"/>
      <c r="AE395" s="238"/>
    </row>
    <row r="396" spans="2:31" x14ac:dyDescent="0.3">
      <c r="B396" s="245" t="s">
        <v>40</v>
      </c>
      <c r="C396" s="245"/>
      <c r="D396" s="245"/>
      <c r="E396" s="65">
        <v>0</v>
      </c>
      <c r="F396" s="66">
        <v>0</v>
      </c>
      <c r="G396" s="65">
        <v>0</v>
      </c>
      <c r="H396" s="66">
        <v>0</v>
      </c>
      <c r="I396" s="65">
        <v>0</v>
      </c>
      <c r="J396" s="66">
        <v>0</v>
      </c>
      <c r="K396" s="65">
        <v>0</v>
      </c>
      <c r="L396" s="66">
        <v>0</v>
      </c>
      <c r="M396" s="65">
        <v>0</v>
      </c>
      <c r="N396" s="66">
        <v>0</v>
      </c>
      <c r="O396" s="65">
        <v>0</v>
      </c>
      <c r="P396" s="66">
        <v>0</v>
      </c>
      <c r="Q396" s="65">
        <v>0</v>
      </c>
      <c r="R396" s="66">
        <v>0</v>
      </c>
      <c r="S396" s="65">
        <v>0</v>
      </c>
      <c r="T396" s="66">
        <v>0</v>
      </c>
      <c r="U396" s="65">
        <v>0</v>
      </c>
      <c r="V396" s="66">
        <v>0</v>
      </c>
      <c r="W396" s="65">
        <v>0</v>
      </c>
      <c r="X396" s="66">
        <v>0</v>
      </c>
      <c r="Y396" s="65">
        <v>0</v>
      </c>
      <c r="Z396" s="66">
        <v>0</v>
      </c>
      <c r="AA396" s="65">
        <v>0</v>
      </c>
      <c r="AB396" s="66">
        <v>0</v>
      </c>
      <c r="AC396" s="238">
        <f t="shared" si="21"/>
        <v>0</v>
      </c>
      <c r="AD396" s="238"/>
      <c r="AE396" s="238"/>
    </row>
    <row r="397" spans="2:31" x14ac:dyDescent="0.3">
      <c r="B397" s="245" t="s">
        <v>41</v>
      </c>
      <c r="C397" s="245"/>
      <c r="D397" s="245"/>
      <c r="E397" s="65">
        <v>0</v>
      </c>
      <c r="F397" s="66">
        <v>0</v>
      </c>
      <c r="G397" s="65">
        <v>0</v>
      </c>
      <c r="H397" s="66">
        <v>0</v>
      </c>
      <c r="I397" s="65">
        <v>0</v>
      </c>
      <c r="J397" s="66">
        <v>0</v>
      </c>
      <c r="K397" s="65">
        <v>0</v>
      </c>
      <c r="L397" s="66">
        <v>0</v>
      </c>
      <c r="M397" s="65">
        <v>0</v>
      </c>
      <c r="N397" s="66">
        <v>0</v>
      </c>
      <c r="O397" s="65">
        <v>0</v>
      </c>
      <c r="P397" s="66">
        <v>0</v>
      </c>
      <c r="Q397" s="65">
        <v>0</v>
      </c>
      <c r="R397" s="66">
        <v>0</v>
      </c>
      <c r="S397" s="65">
        <v>0</v>
      </c>
      <c r="T397" s="66">
        <v>2.2356666666666665</v>
      </c>
      <c r="U397" s="65">
        <v>0</v>
      </c>
      <c r="V397" s="66">
        <v>0</v>
      </c>
      <c r="W397" s="65">
        <v>0</v>
      </c>
      <c r="X397" s="66">
        <v>0</v>
      </c>
      <c r="Y397" s="65">
        <v>0</v>
      </c>
      <c r="Z397" s="66">
        <v>0</v>
      </c>
      <c r="AA397" s="65">
        <v>0</v>
      </c>
      <c r="AB397" s="66">
        <v>0</v>
      </c>
      <c r="AC397" s="238">
        <f t="shared" si="21"/>
        <v>2.2356666666666665</v>
      </c>
      <c r="AD397" s="238"/>
      <c r="AE397" s="238"/>
    </row>
    <row r="398" spans="2:31" x14ac:dyDescent="0.3">
      <c r="B398" s="245" t="s">
        <v>42</v>
      </c>
      <c r="C398" s="245"/>
      <c r="D398" s="245"/>
      <c r="E398" s="65">
        <v>0</v>
      </c>
      <c r="F398" s="66">
        <v>0</v>
      </c>
      <c r="G398" s="65">
        <v>0</v>
      </c>
      <c r="H398" s="66">
        <v>0</v>
      </c>
      <c r="I398" s="65">
        <v>0</v>
      </c>
      <c r="J398" s="66">
        <v>0</v>
      </c>
      <c r="K398" s="65">
        <v>0</v>
      </c>
      <c r="L398" s="66">
        <v>0</v>
      </c>
      <c r="M398" s="65">
        <v>0</v>
      </c>
      <c r="N398" s="66">
        <v>0</v>
      </c>
      <c r="O398" s="65">
        <v>0</v>
      </c>
      <c r="P398" s="66">
        <v>0</v>
      </c>
      <c r="Q398" s="65">
        <v>0</v>
      </c>
      <c r="R398" s="66">
        <v>0</v>
      </c>
      <c r="S398" s="65">
        <v>0</v>
      </c>
      <c r="T398" s="66">
        <v>0</v>
      </c>
      <c r="U398" s="65">
        <v>0</v>
      </c>
      <c r="V398" s="66">
        <v>0</v>
      </c>
      <c r="W398" s="65">
        <v>0</v>
      </c>
      <c r="X398" s="66">
        <v>0</v>
      </c>
      <c r="Y398" s="65">
        <v>0</v>
      </c>
      <c r="Z398" s="66">
        <v>0</v>
      </c>
      <c r="AA398" s="65">
        <v>0</v>
      </c>
      <c r="AB398" s="66">
        <v>0</v>
      </c>
      <c r="AC398" s="238">
        <f t="shared" si="21"/>
        <v>0</v>
      </c>
      <c r="AD398" s="238"/>
      <c r="AE398" s="238"/>
    </row>
    <row r="399" spans="2:31" x14ac:dyDescent="0.3">
      <c r="B399" s="245" t="s">
        <v>43</v>
      </c>
      <c r="C399" s="245"/>
      <c r="D399" s="245"/>
      <c r="E399" s="65">
        <v>0</v>
      </c>
      <c r="F399" s="66">
        <v>0</v>
      </c>
      <c r="G399" s="65">
        <v>0</v>
      </c>
      <c r="H399" s="66">
        <v>0</v>
      </c>
      <c r="I399" s="65">
        <v>0</v>
      </c>
      <c r="J399" s="66">
        <v>0</v>
      </c>
      <c r="K399" s="65">
        <v>0</v>
      </c>
      <c r="L399" s="66">
        <v>0</v>
      </c>
      <c r="M399" s="65">
        <v>0</v>
      </c>
      <c r="N399" s="66">
        <v>0</v>
      </c>
      <c r="O399" s="65">
        <v>1.993333333333337</v>
      </c>
      <c r="P399" s="66">
        <v>5.90899999999999</v>
      </c>
      <c r="Q399" s="65">
        <v>7.4181666666666777</v>
      </c>
      <c r="R399" s="66">
        <v>7.8275000000000245</v>
      </c>
      <c r="S399" s="65">
        <v>8.5368333333333144</v>
      </c>
      <c r="T399" s="66">
        <v>8.1461666666666552</v>
      </c>
      <c r="U399" s="65">
        <v>5.9424999999999955</v>
      </c>
      <c r="V399" s="66">
        <v>0</v>
      </c>
      <c r="W399" s="65">
        <v>0</v>
      </c>
      <c r="X399" s="66">
        <v>0</v>
      </c>
      <c r="Y399" s="65">
        <v>0</v>
      </c>
      <c r="Z399" s="66">
        <v>0</v>
      </c>
      <c r="AA399" s="65">
        <v>0</v>
      </c>
      <c r="AB399" s="66">
        <v>0</v>
      </c>
      <c r="AC399" s="238">
        <f t="shared" si="21"/>
        <v>45.773499999999999</v>
      </c>
      <c r="AD399" s="238"/>
      <c r="AE399" s="238"/>
    </row>
    <row r="400" spans="2:31" x14ac:dyDescent="0.3">
      <c r="B400" s="245" t="s">
        <v>44</v>
      </c>
      <c r="C400" s="245"/>
      <c r="D400" s="245"/>
      <c r="E400" s="65">
        <v>0</v>
      </c>
      <c r="F400" s="66">
        <v>0</v>
      </c>
      <c r="G400" s="65">
        <v>0</v>
      </c>
      <c r="H400" s="66">
        <v>0</v>
      </c>
      <c r="I400" s="65">
        <v>0</v>
      </c>
      <c r="J400" s="66">
        <v>0</v>
      </c>
      <c r="K400" s="65">
        <v>0</v>
      </c>
      <c r="L400" s="66">
        <v>0</v>
      </c>
      <c r="M400" s="65">
        <v>0</v>
      </c>
      <c r="N400" s="66">
        <v>0</v>
      </c>
      <c r="O400" s="65">
        <v>0</v>
      </c>
      <c r="P400" s="66">
        <v>0</v>
      </c>
      <c r="Q400" s="65">
        <v>0</v>
      </c>
      <c r="R400" s="66">
        <v>0</v>
      </c>
      <c r="S400" s="65">
        <v>0</v>
      </c>
      <c r="T400" s="66">
        <v>0</v>
      </c>
      <c r="U400" s="65">
        <v>0</v>
      </c>
      <c r="V400" s="66">
        <v>0</v>
      </c>
      <c r="W400" s="65">
        <v>0</v>
      </c>
      <c r="X400" s="66">
        <v>0</v>
      </c>
      <c r="Y400" s="65">
        <v>0</v>
      </c>
      <c r="Z400" s="66">
        <v>0</v>
      </c>
      <c r="AA400" s="65">
        <v>0</v>
      </c>
      <c r="AB400" s="66">
        <v>0</v>
      </c>
      <c r="AC400" s="238">
        <f t="shared" si="21"/>
        <v>0</v>
      </c>
      <c r="AD400" s="238"/>
      <c r="AE400" s="238"/>
    </row>
    <row r="401" spans="2:31" x14ac:dyDescent="0.3">
      <c r="B401" s="245" t="s">
        <v>45</v>
      </c>
      <c r="C401" s="245"/>
      <c r="D401" s="245"/>
      <c r="E401" s="65">
        <v>0</v>
      </c>
      <c r="F401" s="66">
        <v>0</v>
      </c>
      <c r="G401" s="65">
        <v>0</v>
      </c>
      <c r="H401" s="66">
        <v>0</v>
      </c>
      <c r="I401" s="65">
        <v>0</v>
      </c>
      <c r="J401" s="66">
        <v>0</v>
      </c>
      <c r="K401" s="65">
        <v>0</v>
      </c>
      <c r="L401" s="66">
        <v>0</v>
      </c>
      <c r="M401" s="65">
        <v>0</v>
      </c>
      <c r="N401" s="66">
        <v>0</v>
      </c>
      <c r="O401" s="65">
        <v>0</v>
      </c>
      <c r="P401" s="66">
        <v>0.74500000000000022</v>
      </c>
      <c r="Q401" s="65">
        <v>16.278000000000009</v>
      </c>
      <c r="R401" s="66">
        <v>18.465499999999999</v>
      </c>
      <c r="S401" s="65">
        <v>3.9206666666666603</v>
      </c>
      <c r="T401" s="66">
        <v>26.955500000000004</v>
      </c>
      <c r="U401" s="65">
        <v>0</v>
      </c>
      <c r="V401" s="66">
        <v>8.6891666666666634</v>
      </c>
      <c r="W401" s="65">
        <v>2.0070000000000001</v>
      </c>
      <c r="X401" s="66">
        <v>1.0664999999999998</v>
      </c>
      <c r="Y401" s="65">
        <v>3.1666666666666676E-2</v>
      </c>
      <c r="Z401" s="66">
        <v>0</v>
      </c>
      <c r="AA401" s="65">
        <v>0</v>
      </c>
      <c r="AB401" s="66">
        <v>0</v>
      </c>
      <c r="AC401" s="238">
        <f t="shared" si="21"/>
        <v>78.15900000000002</v>
      </c>
      <c r="AD401" s="238"/>
      <c r="AE401" s="238"/>
    </row>
    <row r="402" spans="2:31" x14ac:dyDescent="0.3">
      <c r="B402" s="245" t="s">
        <v>46</v>
      </c>
      <c r="C402" s="245"/>
      <c r="D402" s="245"/>
      <c r="E402" s="65">
        <v>0</v>
      </c>
      <c r="F402" s="66">
        <v>0</v>
      </c>
      <c r="G402" s="65">
        <v>0</v>
      </c>
      <c r="H402" s="66">
        <v>0</v>
      </c>
      <c r="I402" s="65">
        <v>0</v>
      </c>
      <c r="J402" s="66">
        <v>0</v>
      </c>
      <c r="K402" s="65">
        <v>0</v>
      </c>
      <c r="L402" s="66">
        <v>0</v>
      </c>
      <c r="M402" s="65">
        <v>0</v>
      </c>
      <c r="N402" s="66">
        <v>0</v>
      </c>
      <c r="O402" s="65">
        <v>0</v>
      </c>
      <c r="P402" s="66">
        <v>1.0839999999999996</v>
      </c>
      <c r="Q402" s="65">
        <v>21.922666666666679</v>
      </c>
      <c r="R402" s="66">
        <v>18.244499999999992</v>
      </c>
      <c r="S402" s="65">
        <v>38.833666666666659</v>
      </c>
      <c r="T402" s="66">
        <v>33.189333333333352</v>
      </c>
      <c r="U402" s="65">
        <v>0</v>
      </c>
      <c r="V402" s="66">
        <v>0</v>
      </c>
      <c r="W402" s="65">
        <v>0</v>
      </c>
      <c r="X402" s="66">
        <v>1.026</v>
      </c>
      <c r="Y402" s="65">
        <v>1.1666666666666665E-2</v>
      </c>
      <c r="Z402" s="66">
        <v>0</v>
      </c>
      <c r="AA402" s="65">
        <v>0</v>
      </c>
      <c r="AB402" s="66">
        <v>0</v>
      </c>
      <c r="AC402" s="238">
        <f t="shared" si="21"/>
        <v>114.31183333333335</v>
      </c>
      <c r="AD402" s="238"/>
      <c r="AE402" s="238"/>
    </row>
    <row r="403" spans="2:31" x14ac:dyDescent="0.3">
      <c r="B403" s="245" t="s">
        <v>47</v>
      </c>
      <c r="C403" s="245"/>
      <c r="D403" s="245"/>
      <c r="E403" s="65">
        <v>0</v>
      </c>
      <c r="F403" s="66">
        <v>0</v>
      </c>
      <c r="G403" s="65">
        <v>0</v>
      </c>
      <c r="H403" s="66">
        <v>0</v>
      </c>
      <c r="I403" s="65">
        <v>0</v>
      </c>
      <c r="J403" s="66">
        <v>0</v>
      </c>
      <c r="K403" s="65">
        <v>0</v>
      </c>
      <c r="L403" s="66">
        <v>0</v>
      </c>
      <c r="M403" s="65">
        <v>0</v>
      </c>
      <c r="N403" s="66">
        <v>0</v>
      </c>
      <c r="O403" s="65">
        <v>0</v>
      </c>
      <c r="P403" s="66">
        <v>2.3333333333333426E-3</v>
      </c>
      <c r="Q403" s="65">
        <v>0.9029999999999998</v>
      </c>
      <c r="R403" s="66">
        <v>2.0531666666666673</v>
      </c>
      <c r="S403" s="65">
        <v>7.384166666666677</v>
      </c>
      <c r="T403" s="66">
        <v>0</v>
      </c>
      <c r="U403" s="65">
        <v>7.4200000000000035</v>
      </c>
      <c r="V403" s="66">
        <v>6.2866666666666706</v>
      </c>
      <c r="W403" s="65">
        <v>1.0993333333333326</v>
      </c>
      <c r="X403" s="66">
        <v>0.63266666666666671</v>
      </c>
      <c r="Y403" s="65">
        <v>2.5000000000000005E-2</v>
      </c>
      <c r="Z403" s="66">
        <v>0</v>
      </c>
      <c r="AA403" s="65">
        <v>0</v>
      </c>
      <c r="AB403" s="66">
        <v>0</v>
      </c>
      <c r="AC403" s="238">
        <f t="shared" si="21"/>
        <v>25.806333333333349</v>
      </c>
      <c r="AD403" s="238"/>
      <c r="AE403" s="238"/>
    </row>
    <row r="404" spans="2:31" x14ac:dyDescent="0.3">
      <c r="B404" s="245" t="s">
        <v>48</v>
      </c>
      <c r="C404" s="245"/>
      <c r="D404" s="245"/>
      <c r="E404" s="65">
        <v>0</v>
      </c>
      <c r="F404" s="66">
        <v>0</v>
      </c>
      <c r="G404" s="65">
        <v>0</v>
      </c>
      <c r="H404" s="66">
        <v>0</v>
      </c>
      <c r="I404" s="65">
        <v>0</v>
      </c>
      <c r="J404" s="66">
        <v>0</v>
      </c>
      <c r="K404" s="65">
        <v>0</v>
      </c>
      <c r="L404" s="66">
        <v>0</v>
      </c>
      <c r="M404" s="65">
        <v>0</v>
      </c>
      <c r="N404" s="66">
        <v>0</v>
      </c>
      <c r="O404" s="65">
        <v>0</v>
      </c>
      <c r="P404" s="66">
        <v>0.14249999999999996</v>
      </c>
      <c r="Q404" s="65">
        <v>1.0961666666666665</v>
      </c>
      <c r="R404" s="66">
        <v>1.933833333333332</v>
      </c>
      <c r="S404" s="65">
        <v>6.4441666666666704</v>
      </c>
      <c r="T404" s="66">
        <v>0</v>
      </c>
      <c r="U404" s="65">
        <v>6.6399999999999908</v>
      </c>
      <c r="V404" s="66">
        <v>5.7400000000000047</v>
      </c>
      <c r="W404" s="65">
        <v>1.6003333333333338</v>
      </c>
      <c r="X404" s="66">
        <v>0.46750000000000008</v>
      </c>
      <c r="Y404" s="65">
        <v>3.1666666666666676E-2</v>
      </c>
      <c r="Z404" s="66">
        <v>0</v>
      </c>
      <c r="AA404" s="65">
        <v>0</v>
      </c>
      <c r="AB404" s="66">
        <v>0</v>
      </c>
      <c r="AC404" s="238">
        <f t="shared" si="21"/>
        <v>24.096166666666669</v>
      </c>
      <c r="AD404" s="238"/>
      <c r="AE404" s="238"/>
    </row>
    <row r="405" spans="2:31" x14ac:dyDescent="0.3">
      <c r="B405" s="245" t="s">
        <v>49</v>
      </c>
      <c r="C405" s="245"/>
      <c r="D405" s="245"/>
      <c r="E405" s="65">
        <v>0</v>
      </c>
      <c r="F405" s="66">
        <v>0</v>
      </c>
      <c r="G405" s="65">
        <v>0</v>
      </c>
      <c r="H405" s="66">
        <v>0</v>
      </c>
      <c r="I405" s="65">
        <v>0</v>
      </c>
      <c r="J405" s="66">
        <v>0</v>
      </c>
      <c r="K405" s="65">
        <v>0</v>
      </c>
      <c r="L405" s="66">
        <v>0</v>
      </c>
      <c r="M405" s="65">
        <v>0</v>
      </c>
      <c r="N405" s="66">
        <v>0</v>
      </c>
      <c r="O405" s="65">
        <v>6.9833333333333414E-2</v>
      </c>
      <c r="P405" s="66">
        <v>0.15099999999999991</v>
      </c>
      <c r="Q405" s="65">
        <v>0.10900000000000004</v>
      </c>
      <c r="R405" s="66">
        <v>0.14683333333333329</v>
      </c>
      <c r="S405" s="65">
        <v>8.06666666666669E-2</v>
      </c>
      <c r="T405" s="66">
        <v>0.16183333333333325</v>
      </c>
      <c r="U405" s="65">
        <v>4.466666666666675E-2</v>
      </c>
      <c r="V405" s="66">
        <v>0</v>
      </c>
      <c r="W405" s="65">
        <v>0</v>
      </c>
      <c r="X405" s="66">
        <v>0</v>
      </c>
      <c r="Y405" s="65">
        <v>0</v>
      </c>
      <c r="Z405" s="66">
        <v>0</v>
      </c>
      <c r="AA405" s="65">
        <v>0</v>
      </c>
      <c r="AB405" s="66">
        <v>0</v>
      </c>
      <c r="AC405" s="238">
        <f t="shared" si="21"/>
        <v>0.76383333333333359</v>
      </c>
      <c r="AD405" s="238"/>
      <c r="AE405" s="238"/>
    </row>
    <row r="406" spans="2:31" x14ac:dyDescent="0.3">
      <c r="B406" s="245" t="s">
        <v>50</v>
      </c>
      <c r="C406" s="245"/>
      <c r="D406" s="245"/>
      <c r="E406" s="65">
        <v>0</v>
      </c>
      <c r="F406" s="66">
        <v>0</v>
      </c>
      <c r="G406" s="65">
        <v>0</v>
      </c>
      <c r="H406" s="66">
        <v>0</v>
      </c>
      <c r="I406" s="65">
        <v>0</v>
      </c>
      <c r="J406" s="66">
        <v>0</v>
      </c>
      <c r="K406" s="65">
        <v>0</v>
      </c>
      <c r="L406" s="66">
        <v>0</v>
      </c>
      <c r="M406" s="65">
        <v>0</v>
      </c>
      <c r="N406" s="66">
        <v>0</v>
      </c>
      <c r="O406" s="65">
        <v>0</v>
      </c>
      <c r="P406" s="66">
        <v>0</v>
      </c>
      <c r="Q406" s="65">
        <v>0</v>
      </c>
      <c r="R406" s="66">
        <v>0</v>
      </c>
      <c r="S406" s="65">
        <v>0</v>
      </c>
      <c r="T406" s="66">
        <v>0</v>
      </c>
      <c r="U406" s="65">
        <v>0</v>
      </c>
      <c r="V406" s="66">
        <v>0</v>
      </c>
      <c r="W406" s="65">
        <v>0</v>
      </c>
      <c r="X406" s="66">
        <v>0</v>
      </c>
      <c r="Y406" s="65">
        <v>0</v>
      </c>
      <c r="Z406" s="66">
        <v>0</v>
      </c>
      <c r="AA406" s="65">
        <v>0</v>
      </c>
      <c r="AB406" s="66">
        <v>0</v>
      </c>
      <c r="AC406" s="238">
        <f t="shared" si="21"/>
        <v>0</v>
      </c>
      <c r="AD406" s="238"/>
      <c r="AE406" s="238"/>
    </row>
    <row r="407" spans="2:31" x14ac:dyDescent="0.3">
      <c r="B407" s="245" t="s">
        <v>97</v>
      </c>
      <c r="C407" s="245"/>
      <c r="D407" s="245"/>
      <c r="E407" s="65">
        <v>0</v>
      </c>
      <c r="F407" s="66">
        <v>0</v>
      </c>
      <c r="G407" s="65">
        <v>0</v>
      </c>
      <c r="H407" s="66">
        <v>0</v>
      </c>
      <c r="I407" s="65">
        <v>0</v>
      </c>
      <c r="J407" s="66">
        <v>0</v>
      </c>
      <c r="K407" s="65">
        <v>0</v>
      </c>
      <c r="L407" s="66">
        <v>0</v>
      </c>
      <c r="M407" s="65">
        <v>0</v>
      </c>
      <c r="N407" s="66">
        <v>0</v>
      </c>
      <c r="O407" s="65">
        <v>0</v>
      </c>
      <c r="P407" s="66">
        <v>0</v>
      </c>
      <c r="Q407" s="65">
        <v>0</v>
      </c>
      <c r="R407" s="66">
        <v>0</v>
      </c>
      <c r="S407" s="65">
        <v>0</v>
      </c>
      <c r="T407" s="66">
        <v>0</v>
      </c>
      <c r="U407" s="65">
        <v>0</v>
      </c>
      <c r="V407" s="66">
        <v>0</v>
      </c>
      <c r="W407" s="65">
        <v>0</v>
      </c>
      <c r="X407" s="66">
        <v>0</v>
      </c>
      <c r="Y407" s="65">
        <v>0</v>
      </c>
      <c r="Z407" s="66">
        <v>0</v>
      </c>
      <c r="AA407" s="65">
        <v>0</v>
      </c>
      <c r="AB407" s="66">
        <v>0</v>
      </c>
      <c r="AC407" s="238">
        <f t="shared" si="21"/>
        <v>0</v>
      </c>
      <c r="AD407" s="238"/>
      <c r="AE407" s="238"/>
    </row>
    <row r="408" spans="2:31" x14ac:dyDescent="0.3">
      <c r="B408" s="245" t="s">
        <v>51</v>
      </c>
      <c r="C408" s="245"/>
      <c r="D408" s="245"/>
      <c r="E408" s="65">
        <v>0</v>
      </c>
      <c r="F408" s="66">
        <v>0</v>
      </c>
      <c r="G408" s="65">
        <v>0</v>
      </c>
      <c r="H408" s="66">
        <v>0</v>
      </c>
      <c r="I408" s="65">
        <v>0</v>
      </c>
      <c r="J408" s="66">
        <v>0</v>
      </c>
      <c r="K408" s="65">
        <v>0</v>
      </c>
      <c r="L408" s="66">
        <v>0</v>
      </c>
      <c r="M408" s="65">
        <v>0</v>
      </c>
      <c r="N408" s="66">
        <v>0</v>
      </c>
      <c r="O408" s="65">
        <v>0</v>
      </c>
      <c r="P408" s="66">
        <v>0</v>
      </c>
      <c r="Q408" s="65">
        <v>0</v>
      </c>
      <c r="R408" s="66">
        <v>0</v>
      </c>
      <c r="S408" s="65">
        <v>0</v>
      </c>
      <c r="T408" s="66">
        <v>0</v>
      </c>
      <c r="U408" s="65">
        <v>0</v>
      </c>
      <c r="V408" s="66">
        <v>0</v>
      </c>
      <c r="W408" s="65">
        <v>0</v>
      </c>
      <c r="X408" s="66">
        <v>0</v>
      </c>
      <c r="Y408" s="65">
        <v>0</v>
      </c>
      <c r="Z408" s="66">
        <v>0</v>
      </c>
      <c r="AA408" s="65">
        <v>0</v>
      </c>
      <c r="AB408" s="66">
        <v>0</v>
      </c>
      <c r="AC408" s="238">
        <f t="shared" si="21"/>
        <v>0</v>
      </c>
      <c r="AD408" s="238"/>
      <c r="AE408" s="238"/>
    </row>
    <row r="409" spans="2:31" x14ac:dyDescent="0.3">
      <c r="B409" s="245" t="s">
        <v>52</v>
      </c>
      <c r="C409" s="245"/>
      <c r="D409" s="245"/>
      <c r="E409" s="65">
        <v>0</v>
      </c>
      <c r="F409" s="66">
        <v>0</v>
      </c>
      <c r="G409" s="65">
        <v>0</v>
      </c>
      <c r="H409" s="66">
        <v>0</v>
      </c>
      <c r="I409" s="65">
        <v>0</v>
      </c>
      <c r="J409" s="66">
        <v>0</v>
      </c>
      <c r="K409" s="65">
        <v>0</v>
      </c>
      <c r="L409" s="66">
        <v>0</v>
      </c>
      <c r="M409" s="65">
        <v>0</v>
      </c>
      <c r="N409" s="66">
        <v>0</v>
      </c>
      <c r="O409" s="65">
        <v>0</v>
      </c>
      <c r="P409" s="66">
        <v>0</v>
      </c>
      <c r="Q409" s="65">
        <v>0</v>
      </c>
      <c r="R409" s="66">
        <v>0</v>
      </c>
      <c r="S409" s="65">
        <v>0</v>
      </c>
      <c r="T409" s="66">
        <v>0</v>
      </c>
      <c r="U409" s="65">
        <v>0</v>
      </c>
      <c r="V409" s="66">
        <v>0</v>
      </c>
      <c r="W409" s="65">
        <v>0</v>
      </c>
      <c r="X409" s="66">
        <v>0</v>
      </c>
      <c r="Y409" s="65">
        <v>0</v>
      </c>
      <c r="Z409" s="66">
        <v>0</v>
      </c>
      <c r="AA409" s="65">
        <v>0</v>
      </c>
      <c r="AB409" s="66">
        <v>0</v>
      </c>
      <c r="AC409" s="238">
        <f t="shared" si="21"/>
        <v>0</v>
      </c>
      <c r="AD409" s="238"/>
      <c r="AE409" s="238"/>
    </row>
    <row r="410" spans="2:31" x14ac:dyDescent="0.3">
      <c r="B410" s="245" t="s">
        <v>53</v>
      </c>
      <c r="C410" s="245"/>
      <c r="D410" s="245"/>
      <c r="E410" s="65">
        <v>0</v>
      </c>
      <c r="F410" s="66">
        <v>0</v>
      </c>
      <c r="G410" s="65">
        <v>0</v>
      </c>
      <c r="H410" s="66">
        <v>0</v>
      </c>
      <c r="I410" s="65">
        <v>0</v>
      </c>
      <c r="J410" s="66">
        <v>0</v>
      </c>
      <c r="K410" s="65">
        <v>0</v>
      </c>
      <c r="L410" s="66">
        <v>0</v>
      </c>
      <c r="M410" s="65">
        <v>0</v>
      </c>
      <c r="N410" s="66">
        <v>0</v>
      </c>
      <c r="O410" s="65">
        <v>0</v>
      </c>
      <c r="P410" s="66">
        <v>0</v>
      </c>
      <c r="Q410" s="65">
        <v>0</v>
      </c>
      <c r="R410" s="66">
        <v>0</v>
      </c>
      <c r="S410" s="65">
        <v>0</v>
      </c>
      <c r="T410" s="66">
        <v>0</v>
      </c>
      <c r="U410" s="65">
        <v>0</v>
      </c>
      <c r="V410" s="66">
        <v>0</v>
      </c>
      <c r="W410" s="65">
        <v>0</v>
      </c>
      <c r="X410" s="66">
        <v>0</v>
      </c>
      <c r="Y410" s="65">
        <v>0</v>
      </c>
      <c r="Z410" s="66">
        <v>0</v>
      </c>
      <c r="AA410" s="65">
        <v>0</v>
      </c>
      <c r="AB410" s="66">
        <v>0</v>
      </c>
      <c r="AC410" s="238">
        <f t="shared" si="21"/>
        <v>0</v>
      </c>
      <c r="AD410" s="238"/>
      <c r="AE410" s="238"/>
    </row>
    <row r="411" spans="2:31" x14ac:dyDescent="0.3">
      <c r="B411" s="245" t="s">
        <v>54</v>
      </c>
      <c r="C411" s="245"/>
      <c r="D411" s="245"/>
      <c r="E411" s="65">
        <v>0</v>
      </c>
      <c r="F411" s="66">
        <v>0</v>
      </c>
      <c r="G411" s="65">
        <v>0</v>
      </c>
      <c r="H411" s="66">
        <v>0</v>
      </c>
      <c r="I411" s="65">
        <v>0</v>
      </c>
      <c r="J411" s="66">
        <v>0</v>
      </c>
      <c r="K411" s="65">
        <v>0</v>
      </c>
      <c r="L411" s="66">
        <v>0</v>
      </c>
      <c r="M411" s="65">
        <v>0</v>
      </c>
      <c r="N411" s="66">
        <v>0</v>
      </c>
      <c r="O411" s="65">
        <v>0</v>
      </c>
      <c r="P411" s="66">
        <v>0</v>
      </c>
      <c r="Q411" s="65">
        <v>0</v>
      </c>
      <c r="R411" s="66">
        <v>0</v>
      </c>
      <c r="S411" s="65">
        <v>0</v>
      </c>
      <c r="T411" s="66">
        <v>0</v>
      </c>
      <c r="U411" s="65">
        <v>0</v>
      </c>
      <c r="V411" s="66">
        <v>0</v>
      </c>
      <c r="W411" s="65">
        <v>0</v>
      </c>
      <c r="X411" s="66">
        <v>0</v>
      </c>
      <c r="Y411" s="65">
        <v>0</v>
      </c>
      <c r="Z411" s="66">
        <v>0</v>
      </c>
      <c r="AA411" s="65">
        <v>0</v>
      </c>
      <c r="AB411" s="66">
        <v>0</v>
      </c>
      <c r="AC411" s="238">
        <f t="shared" si="21"/>
        <v>0</v>
      </c>
      <c r="AD411" s="238"/>
      <c r="AE411" s="238"/>
    </row>
    <row r="412" spans="2:31" x14ac:dyDescent="0.3">
      <c r="B412" s="245" t="s">
        <v>55</v>
      </c>
      <c r="C412" s="245"/>
      <c r="D412" s="245"/>
      <c r="E412" s="65">
        <v>0</v>
      </c>
      <c r="F412" s="66">
        <v>0</v>
      </c>
      <c r="G412" s="65">
        <v>0</v>
      </c>
      <c r="H412" s="66">
        <v>0</v>
      </c>
      <c r="I412" s="65">
        <v>0</v>
      </c>
      <c r="J412" s="66">
        <v>0</v>
      </c>
      <c r="K412" s="65">
        <v>0</v>
      </c>
      <c r="L412" s="66">
        <v>0</v>
      </c>
      <c r="M412" s="65">
        <v>0</v>
      </c>
      <c r="N412" s="66">
        <v>0</v>
      </c>
      <c r="O412" s="65">
        <v>0</v>
      </c>
      <c r="P412" s="66">
        <v>0</v>
      </c>
      <c r="Q412" s="65">
        <v>0</v>
      </c>
      <c r="R412" s="66">
        <v>0</v>
      </c>
      <c r="S412" s="65">
        <v>0</v>
      </c>
      <c r="T412" s="66">
        <v>0</v>
      </c>
      <c r="U412" s="65">
        <v>0</v>
      </c>
      <c r="V412" s="66">
        <v>0</v>
      </c>
      <c r="W412" s="65">
        <v>0</v>
      </c>
      <c r="X412" s="66">
        <v>0</v>
      </c>
      <c r="Y412" s="65">
        <v>0</v>
      </c>
      <c r="Z412" s="66">
        <v>0</v>
      </c>
      <c r="AA412" s="65">
        <v>0</v>
      </c>
      <c r="AB412" s="66">
        <v>0</v>
      </c>
      <c r="AC412" s="238">
        <f t="shared" si="21"/>
        <v>0</v>
      </c>
      <c r="AD412" s="238"/>
      <c r="AE412" s="238"/>
    </row>
    <row r="413" spans="2:31" x14ac:dyDescent="0.3">
      <c r="B413" s="245" t="s">
        <v>56</v>
      </c>
      <c r="C413" s="245"/>
      <c r="D413" s="245"/>
      <c r="E413" s="65">
        <v>0</v>
      </c>
      <c r="F413" s="66">
        <v>0</v>
      </c>
      <c r="G413" s="65">
        <v>0</v>
      </c>
      <c r="H413" s="66">
        <v>0</v>
      </c>
      <c r="I413" s="65">
        <v>0</v>
      </c>
      <c r="J413" s="66">
        <v>0</v>
      </c>
      <c r="K413" s="65">
        <v>0</v>
      </c>
      <c r="L413" s="66">
        <v>0</v>
      </c>
      <c r="M413" s="65">
        <v>0</v>
      </c>
      <c r="N413" s="66">
        <v>0</v>
      </c>
      <c r="O413" s="65">
        <v>0</v>
      </c>
      <c r="P413" s="66">
        <v>0</v>
      </c>
      <c r="Q413" s="65">
        <v>0</v>
      </c>
      <c r="R413" s="66">
        <v>0</v>
      </c>
      <c r="S413" s="65">
        <v>0</v>
      </c>
      <c r="T413" s="66">
        <v>0</v>
      </c>
      <c r="U413" s="65">
        <v>0</v>
      </c>
      <c r="V413" s="66">
        <v>0</v>
      </c>
      <c r="W413" s="65">
        <v>0</v>
      </c>
      <c r="X413" s="66">
        <v>0</v>
      </c>
      <c r="Y413" s="65">
        <v>0</v>
      </c>
      <c r="Z413" s="66">
        <v>0</v>
      </c>
      <c r="AA413" s="65">
        <v>0</v>
      </c>
      <c r="AB413" s="66">
        <v>0</v>
      </c>
      <c r="AC413" s="238">
        <f t="shared" si="21"/>
        <v>0</v>
      </c>
      <c r="AD413" s="238"/>
      <c r="AE413" s="238"/>
    </row>
    <row r="414" spans="2:31" x14ac:dyDescent="0.3">
      <c r="B414" s="245" t="s">
        <v>94</v>
      </c>
      <c r="C414" s="245"/>
      <c r="D414" s="245"/>
      <c r="E414" s="65">
        <v>0</v>
      </c>
      <c r="F414" s="66">
        <v>0</v>
      </c>
      <c r="G414" s="65">
        <v>0</v>
      </c>
      <c r="H414" s="66">
        <v>0</v>
      </c>
      <c r="I414" s="65">
        <v>0</v>
      </c>
      <c r="J414" s="66">
        <v>0</v>
      </c>
      <c r="K414" s="65">
        <v>0</v>
      </c>
      <c r="L414" s="66">
        <v>0</v>
      </c>
      <c r="M414" s="65">
        <v>0</v>
      </c>
      <c r="N414" s="66">
        <v>0</v>
      </c>
      <c r="O414" s="65">
        <v>0</v>
      </c>
      <c r="P414" s="66">
        <v>0</v>
      </c>
      <c r="Q414" s="65">
        <v>0</v>
      </c>
      <c r="R414" s="66">
        <v>0</v>
      </c>
      <c r="S414" s="65">
        <v>0</v>
      </c>
      <c r="T414" s="66">
        <v>0</v>
      </c>
      <c r="U414" s="65">
        <v>0</v>
      </c>
      <c r="V414" s="66">
        <v>0</v>
      </c>
      <c r="W414" s="65">
        <v>0</v>
      </c>
      <c r="X414" s="66">
        <v>0</v>
      </c>
      <c r="Y414" s="65">
        <v>0</v>
      </c>
      <c r="Z414" s="66">
        <v>0</v>
      </c>
      <c r="AA414" s="65">
        <v>0</v>
      </c>
      <c r="AB414" s="66">
        <v>0</v>
      </c>
      <c r="AC414" s="238">
        <f t="shared" si="21"/>
        <v>0</v>
      </c>
      <c r="AD414" s="238"/>
      <c r="AE414" s="238"/>
    </row>
    <row r="415" spans="2:31" x14ac:dyDescent="0.3">
      <c r="B415" s="245" t="s">
        <v>57</v>
      </c>
      <c r="C415" s="245"/>
      <c r="D415" s="245"/>
      <c r="E415" s="65">
        <v>0</v>
      </c>
      <c r="F415" s="66">
        <v>0</v>
      </c>
      <c r="G415" s="65">
        <v>0</v>
      </c>
      <c r="H415" s="66">
        <v>0</v>
      </c>
      <c r="I415" s="65">
        <v>0</v>
      </c>
      <c r="J415" s="66">
        <v>0</v>
      </c>
      <c r="K415" s="65">
        <v>0</v>
      </c>
      <c r="L415" s="66">
        <v>0</v>
      </c>
      <c r="M415" s="65">
        <v>0</v>
      </c>
      <c r="N415" s="66">
        <v>0</v>
      </c>
      <c r="O415" s="65">
        <v>0</v>
      </c>
      <c r="P415" s="66">
        <v>0</v>
      </c>
      <c r="Q415" s="65">
        <v>0</v>
      </c>
      <c r="R415" s="66">
        <v>0</v>
      </c>
      <c r="S415" s="65">
        <v>0</v>
      </c>
      <c r="T415" s="66">
        <v>0</v>
      </c>
      <c r="U415" s="65">
        <v>0</v>
      </c>
      <c r="V415" s="66">
        <v>0</v>
      </c>
      <c r="W415" s="65">
        <v>0</v>
      </c>
      <c r="X415" s="66">
        <v>0</v>
      </c>
      <c r="Y415" s="65">
        <v>0</v>
      </c>
      <c r="Z415" s="66">
        <v>0</v>
      </c>
      <c r="AA415" s="65">
        <v>0</v>
      </c>
      <c r="AB415" s="66">
        <v>0</v>
      </c>
      <c r="AC415" s="238">
        <f t="shared" si="21"/>
        <v>0</v>
      </c>
      <c r="AD415" s="238"/>
      <c r="AE415" s="238"/>
    </row>
    <row r="416" spans="2:31" x14ac:dyDescent="0.3">
      <c r="B416" s="245" t="s">
        <v>58</v>
      </c>
      <c r="C416" s="245"/>
      <c r="D416" s="245"/>
      <c r="E416" s="65">
        <v>0</v>
      </c>
      <c r="F416" s="66">
        <v>0</v>
      </c>
      <c r="G416" s="65">
        <v>0</v>
      </c>
      <c r="H416" s="66">
        <v>0</v>
      </c>
      <c r="I416" s="65">
        <v>0</v>
      </c>
      <c r="J416" s="66">
        <v>0</v>
      </c>
      <c r="K416" s="65">
        <v>0</v>
      </c>
      <c r="L416" s="66">
        <v>0</v>
      </c>
      <c r="M416" s="65">
        <v>0</v>
      </c>
      <c r="N416" s="66">
        <v>0</v>
      </c>
      <c r="O416" s="65">
        <v>0</v>
      </c>
      <c r="P416" s="66">
        <v>0</v>
      </c>
      <c r="Q416" s="65">
        <v>0</v>
      </c>
      <c r="R416" s="66">
        <v>0</v>
      </c>
      <c r="S416" s="65">
        <v>0</v>
      </c>
      <c r="T416" s="66">
        <v>0</v>
      </c>
      <c r="U416" s="65">
        <v>0</v>
      </c>
      <c r="V416" s="66">
        <v>0</v>
      </c>
      <c r="W416" s="65">
        <v>0</v>
      </c>
      <c r="X416" s="66">
        <v>0</v>
      </c>
      <c r="Y416" s="65">
        <v>0</v>
      </c>
      <c r="Z416" s="66">
        <v>0</v>
      </c>
      <c r="AA416" s="65">
        <v>0</v>
      </c>
      <c r="AB416" s="66">
        <v>0</v>
      </c>
      <c r="AC416" s="238">
        <f t="shared" si="21"/>
        <v>0</v>
      </c>
      <c r="AD416" s="238"/>
      <c r="AE416" s="238"/>
    </row>
    <row r="417" spans="2:31" x14ac:dyDescent="0.3">
      <c r="B417" s="245" t="s">
        <v>95</v>
      </c>
      <c r="C417" s="245"/>
      <c r="D417" s="245"/>
      <c r="E417" s="65">
        <v>0</v>
      </c>
      <c r="F417" s="66">
        <v>0</v>
      </c>
      <c r="G417" s="65">
        <v>0</v>
      </c>
      <c r="H417" s="66">
        <v>0</v>
      </c>
      <c r="I417" s="65">
        <v>0</v>
      </c>
      <c r="J417" s="66">
        <v>0</v>
      </c>
      <c r="K417" s="65">
        <v>0</v>
      </c>
      <c r="L417" s="66">
        <v>0</v>
      </c>
      <c r="M417" s="65">
        <v>0</v>
      </c>
      <c r="N417" s="66">
        <v>0</v>
      </c>
      <c r="O417" s="65">
        <v>0</v>
      </c>
      <c r="P417" s="66">
        <v>0</v>
      </c>
      <c r="Q417" s="65">
        <v>0</v>
      </c>
      <c r="R417" s="66">
        <v>0</v>
      </c>
      <c r="S417" s="65">
        <v>0</v>
      </c>
      <c r="T417" s="66">
        <v>0</v>
      </c>
      <c r="U417" s="65">
        <v>0</v>
      </c>
      <c r="V417" s="66">
        <v>0</v>
      </c>
      <c r="W417" s="65">
        <v>0</v>
      </c>
      <c r="X417" s="66">
        <v>0</v>
      </c>
      <c r="Y417" s="65">
        <v>0</v>
      </c>
      <c r="Z417" s="66">
        <v>0</v>
      </c>
      <c r="AA417" s="65">
        <v>0</v>
      </c>
      <c r="AB417" s="66">
        <v>0</v>
      </c>
      <c r="AC417" s="238">
        <f t="shared" si="21"/>
        <v>0</v>
      </c>
      <c r="AD417" s="238"/>
      <c r="AE417" s="238"/>
    </row>
    <row r="418" spans="2:31" x14ac:dyDescent="0.3">
      <c r="B418" s="245" t="s">
        <v>59</v>
      </c>
      <c r="C418" s="245"/>
      <c r="D418" s="245"/>
      <c r="E418" s="65">
        <v>0</v>
      </c>
      <c r="F418" s="66">
        <v>0</v>
      </c>
      <c r="G418" s="65">
        <v>0</v>
      </c>
      <c r="H418" s="66">
        <v>0</v>
      </c>
      <c r="I418" s="65">
        <v>0</v>
      </c>
      <c r="J418" s="66">
        <v>0</v>
      </c>
      <c r="K418" s="65">
        <v>0</v>
      </c>
      <c r="L418" s="66">
        <v>0</v>
      </c>
      <c r="M418" s="65">
        <v>0</v>
      </c>
      <c r="N418" s="66">
        <v>0</v>
      </c>
      <c r="O418" s="65">
        <v>0</v>
      </c>
      <c r="P418" s="66">
        <v>0</v>
      </c>
      <c r="Q418" s="65">
        <v>0</v>
      </c>
      <c r="R418" s="66">
        <v>0</v>
      </c>
      <c r="S418" s="65">
        <v>0</v>
      </c>
      <c r="T418" s="66">
        <v>9.9844999999999988</v>
      </c>
      <c r="U418" s="65">
        <v>14.792833333333322</v>
      </c>
      <c r="V418" s="66">
        <v>15.008666666666663</v>
      </c>
      <c r="W418" s="65">
        <v>4.9194999999999975</v>
      </c>
      <c r="X418" s="66">
        <v>0</v>
      </c>
      <c r="Y418" s="65">
        <v>0</v>
      </c>
      <c r="Z418" s="66">
        <v>0</v>
      </c>
      <c r="AA418" s="65">
        <v>0</v>
      </c>
      <c r="AB418" s="66">
        <v>0</v>
      </c>
      <c r="AC418" s="238">
        <f t="shared" si="21"/>
        <v>44.705499999999986</v>
      </c>
      <c r="AD418" s="238"/>
      <c r="AE418" s="238"/>
    </row>
    <row r="419" spans="2:31" x14ac:dyDescent="0.3">
      <c r="B419" s="245" t="s">
        <v>60</v>
      </c>
      <c r="C419" s="245"/>
      <c r="D419" s="245"/>
      <c r="E419" s="65">
        <v>0</v>
      </c>
      <c r="F419" s="66">
        <v>0</v>
      </c>
      <c r="G419" s="65">
        <v>0</v>
      </c>
      <c r="H419" s="66">
        <v>0</v>
      </c>
      <c r="I419" s="65">
        <v>0</v>
      </c>
      <c r="J419" s="66">
        <v>0</v>
      </c>
      <c r="K419" s="65">
        <v>0</v>
      </c>
      <c r="L419" s="66">
        <v>0</v>
      </c>
      <c r="M419" s="65">
        <v>0</v>
      </c>
      <c r="N419" s="66">
        <v>0</v>
      </c>
      <c r="O419" s="65">
        <v>0</v>
      </c>
      <c r="P419" s="66">
        <v>0</v>
      </c>
      <c r="Q419" s="65">
        <v>0</v>
      </c>
      <c r="R419" s="66">
        <v>0</v>
      </c>
      <c r="S419" s="65">
        <v>0</v>
      </c>
      <c r="T419" s="66">
        <v>5.5023333333333309</v>
      </c>
      <c r="U419" s="65">
        <v>4.4158333333333335</v>
      </c>
      <c r="V419" s="66">
        <v>4.4771666666666627</v>
      </c>
      <c r="W419" s="65">
        <v>0</v>
      </c>
      <c r="X419" s="66">
        <v>0</v>
      </c>
      <c r="Y419" s="65">
        <v>0</v>
      </c>
      <c r="Z419" s="66">
        <v>0</v>
      </c>
      <c r="AA419" s="65">
        <v>0</v>
      </c>
      <c r="AB419" s="66">
        <v>0</v>
      </c>
      <c r="AC419" s="238">
        <f t="shared" si="21"/>
        <v>14.395333333333326</v>
      </c>
      <c r="AD419" s="238"/>
      <c r="AE419" s="238"/>
    </row>
    <row r="420" spans="2:31" x14ac:dyDescent="0.3">
      <c r="B420" s="245" t="s">
        <v>61</v>
      </c>
      <c r="C420" s="245"/>
      <c r="D420" s="245"/>
      <c r="E420" s="65">
        <v>0</v>
      </c>
      <c r="F420" s="66">
        <v>0</v>
      </c>
      <c r="G420" s="65">
        <v>0</v>
      </c>
      <c r="H420" s="66">
        <v>0</v>
      </c>
      <c r="I420" s="65">
        <v>0</v>
      </c>
      <c r="J420" s="66">
        <v>0</v>
      </c>
      <c r="K420" s="65">
        <v>0</v>
      </c>
      <c r="L420" s="66">
        <v>0</v>
      </c>
      <c r="M420" s="65">
        <v>0</v>
      </c>
      <c r="N420" s="66">
        <v>0</v>
      </c>
      <c r="O420" s="65">
        <v>0</v>
      </c>
      <c r="P420" s="66">
        <v>0</v>
      </c>
      <c r="Q420" s="65">
        <v>0</v>
      </c>
      <c r="R420" s="66">
        <v>0</v>
      </c>
      <c r="S420" s="65">
        <v>0</v>
      </c>
      <c r="T420" s="66">
        <v>0</v>
      </c>
      <c r="U420" s="65">
        <v>0</v>
      </c>
      <c r="V420" s="66">
        <v>0.46983333333333305</v>
      </c>
      <c r="W420" s="65">
        <v>0</v>
      </c>
      <c r="X420" s="66">
        <v>0</v>
      </c>
      <c r="Y420" s="65">
        <v>0</v>
      </c>
      <c r="Z420" s="66">
        <v>0</v>
      </c>
      <c r="AA420" s="65">
        <v>0</v>
      </c>
      <c r="AB420" s="66">
        <v>0</v>
      </c>
      <c r="AC420" s="238">
        <f t="shared" si="21"/>
        <v>0.46983333333333305</v>
      </c>
      <c r="AD420" s="238"/>
      <c r="AE420" s="238"/>
    </row>
    <row r="421" spans="2:31" x14ac:dyDescent="0.3">
      <c r="B421" s="245" t="s">
        <v>62</v>
      </c>
      <c r="C421" s="245"/>
      <c r="D421" s="245"/>
      <c r="E421" s="65">
        <v>0</v>
      </c>
      <c r="F421" s="66">
        <v>0</v>
      </c>
      <c r="G421" s="65">
        <v>0</v>
      </c>
      <c r="H421" s="66">
        <v>0</v>
      </c>
      <c r="I421" s="65">
        <v>0</v>
      </c>
      <c r="J421" s="66">
        <v>0</v>
      </c>
      <c r="K421" s="65">
        <v>0</v>
      </c>
      <c r="L421" s="66">
        <v>0</v>
      </c>
      <c r="M421" s="65">
        <v>0</v>
      </c>
      <c r="N421" s="66">
        <v>0</v>
      </c>
      <c r="O421" s="65">
        <v>0</v>
      </c>
      <c r="P421" s="66">
        <v>0</v>
      </c>
      <c r="Q421" s="65">
        <v>0</v>
      </c>
      <c r="R421" s="66">
        <v>0</v>
      </c>
      <c r="S421" s="65">
        <v>0</v>
      </c>
      <c r="T421" s="66">
        <v>0</v>
      </c>
      <c r="U421" s="65">
        <v>0</v>
      </c>
      <c r="V421" s="66">
        <v>0</v>
      </c>
      <c r="W421" s="65">
        <v>0</v>
      </c>
      <c r="X421" s="66">
        <v>0</v>
      </c>
      <c r="Y421" s="65">
        <v>0</v>
      </c>
      <c r="Z421" s="66">
        <v>0</v>
      </c>
      <c r="AA421" s="65">
        <v>0</v>
      </c>
      <c r="AB421" s="66">
        <v>0</v>
      </c>
      <c r="AC421" s="238">
        <f t="shared" si="21"/>
        <v>0</v>
      </c>
      <c r="AD421" s="238"/>
      <c r="AE421" s="238"/>
    </row>
    <row r="422" spans="2:31" x14ac:dyDescent="0.3">
      <c r="B422" s="245" t="s">
        <v>63</v>
      </c>
      <c r="C422" s="245"/>
      <c r="D422" s="245"/>
      <c r="E422" s="65">
        <v>0</v>
      </c>
      <c r="F422" s="66">
        <v>0</v>
      </c>
      <c r="G422" s="65">
        <v>0</v>
      </c>
      <c r="H422" s="66">
        <v>0</v>
      </c>
      <c r="I422" s="65">
        <v>0</v>
      </c>
      <c r="J422" s="66">
        <v>0</v>
      </c>
      <c r="K422" s="65">
        <v>0</v>
      </c>
      <c r="L422" s="66">
        <v>0</v>
      </c>
      <c r="M422" s="65">
        <v>0</v>
      </c>
      <c r="N422" s="66">
        <v>0</v>
      </c>
      <c r="O422" s="65">
        <v>0</v>
      </c>
      <c r="P422" s="66">
        <v>0</v>
      </c>
      <c r="Q422" s="65">
        <v>0</v>
      </c>
      <c r="R422" s="66">
        <v>0</v>
      </c>
      <c r="S422" s="65">
        <v>0</v>
      </c>
      <c r="T422" s="66">
        <v>0</v>
      </c>
      <c r="U422" s="65">
        <v>0</v>
      </c>
      <c r="V422" s="66">
        <v>0</v>
      </c>
      <c r="W422" s="65">
        <v>0</v>
      </c>
      <c r="X422" s="66">
        <v>0</v>
      </c>
      <c r="Y422" s="65">
        <v>0</v>
      </c>
      <c r="Z422" s="66">
        <v>0</v>
      </c>
      <c r="AA422" s="65">
        <v>0</v>
      </c>
      <c r="AB422" s="66">
        <v>0</v>
      </c>
      <c r="AC422" s="238">
        <f t="shared" si="21"/>
        <v>0</v>
      </c>
      <c r="AD422" s="238"/>
      <c r="AE422" s="238"/>
    </row>
    <row r="423" spans="2:31" x14ac:dyDescent="0.3">
      <c r="B423" s="245" t="s">
        <v>64</v>
      </c>
      <c r="C423" s="245"/>
      <c r="D423" s="245"/>
      <c r="E423" s="65">
        <v>0</v>
      </c>
      <c r="F423" s="66">
        <v>0</v>
      </c>
      <c r="G423" s="65">
        <v>0</v>
      </c>
      <c r="H423" s="66">
        <v>0</v>
      </c>
      <c r="I423" s="65">
        <v>0</v>
      </c>
      <c r="J423" s="66">
        <v>0</v>
      </c>
      <c r="K423" s="65">
        <v>0</v>
      </c>
      <c r="L423" s="66">
        <v>0</v>
      </c>
      <c r="M423" s="65">
        <v>0</v>
      </c>
      <c r="N423" s="66">
        <v>0</v>
      </c>
      <c r="O423" s="65">
        <v>0</v>
      </c>
      <c r="P423" s="66">
        <v>0</v>
      </c>
      <c r="Q423" s="65">
        <v>0</v>
      </c>
      <c r="R423" s="66">
        <v>0</v>
      </c>
      <c r="S423" s="65">
        <v>0</v>
      </c>
      <c r="T423" s="66">
        <v>0</v>
      </c>
      <c r="U423" s="65">
        <v>0</v>
      </c>
      <c r="V423" s="66">
        <v>0</v>
      </c>
      <c r="W423" s="65">
        <v>0</v>
      </c>
      <c r="X423" s="66">
        <v>0</v>
      </c>
      <c r="Y423" s="65">
        <v>0</v>
      </c>
      <c r="Z423" s="66">
        <v>0</v>
      </c>
      <c r="AA423" s="65">
        <v>0</v>
      </c>
      <c r="AB423" s="66">
        <v>0</v>
      </c>
      <c r="AC423" s="238">
        <f t="shared" si="21"/>
        <v>0</v>
      </c>
      <c r="AD423" s="238"/>
      <c r="AE423" s="238"/>
    </row>
    <row r="424" spans="2:31" x14ac:dyDescent="0.3">
      <c r="B424" s="245" t="s">
        <v>96</v>
      </c>
      <c r="C424" s="245"/>
      <c r="D424" s="245"/>
      <c r="E424" s="65">
        <v>0</v>
      </c>
      <c r="F424" s="66">
        <v>0</v>
      </c>
      <c r="G424" s="65">
        <v>0</v>
      </c>
      <c r="H424" s="66">
        <v>0</v>
      </c>
      <c r="I424" s="65">
        <v>0</v>
      </c>
      <c r="J424" s="66">
        <v>0</v>
      </c>
      <c r="K424" s="65">
        <v>0</v>
      </c>
      <c r="L424" s="66">
        <v>0</v>
      </c>
      <c r="M424" s="65">
        <v>0</v>
      </c>
      <c r="N424" s="66">
        <v>0</v>
      </c>
      <c r="O424" s="65">
        <v>0</v>
      </c>
      <c r="P424" s="66">
        <v>0</v>
      </c>
      <c r="Q424" s="65">
        <v>0</v>
      </c>
      <c r="R424" s="66">
        <v>0</v>
      </c>
      <c r="S424" s="65">
        <v>0</v>
      </c>
      <c r="T424" s="66">
        <v>0</v>
      </c>
      <c r="U424" s="65">
        <v>0</v>
      </c>
      <c r="V424" s="66">
        <v>0</v>
      </c>
      <c r="W424" s="65">
        <v>0</v>
      </c>
      <c r="X424" s="66">
        <v>0</v>
      </c>
      <c r="Y424" s="65">
        <v>0</v>
      </c>
      <c r="Z424" s="66">
        <v>0</v>
      </c>
      <c r="AA424" s="65">
        <v>0</v>
      </c>
      <c r="AB424" s="66">
        <v>0</v>
      </c>
      <c r="AC424" s="238">
        <f t="shared" si="21"/>
        <v>0</v>
      </c>
      <c r="AD424" s="238"/>
      <c r="AE424" s="238"/>
    </row>
    <row r="425" spans="2:31" x14ac:dyDescent="0.3">
      <c r="B425" s="245" t="s">
        <v>65</v>
      </c>
      <c r="C425" s="245"/>
      <c r="D425" s="245"/>
      <c r="E425" s="65">
        <v>0</v>
      </c>
      <c r="F425" s="66">
        <v>0</v>
      </c>
      <c r="G425" s="65">
        <v>0</v>
      </c>
      <c r="H425" s="66">
        <v>0</v>
      </c>
      <c r="I425" s="65">
        <v>0</v>
      </c>
      <c r="J425" s="66">
        <v>0</v>
      </c>
      <c r="K425" s="65">
        <v>0</v>
      </c>
      <c r="L425" s="66">
        <v>0</v>
      </c>
      <c r="M425" s="65">
        <v>0</v>
      </c>
      <c r="N425" s="66">
        <v>0</v>
      </c>
      <c r="O425" s="65">
        <v>0</v>
      </c>
      <c r="P425" s="66">
        <v>0</v>
      </c>
      <c r="Q425" s="65">
        <v>0</v>
      </c>
      <c r="R425" s="66">
        <v>0</v>
      </c>
      <c r="S425" s="65">
        <v>0</v>
      </c>
      <c r="T425" s="66">
        <v>0</v>
      </c>
      <c r="U425" s="65">
        <v>0</v>
      </c>
      <c r="V425" s="66">
        <v>0</v>
      </c>
      <c r="W425" s="65">
        <v>0</v>
      </c>
      <c r="X425" s="66">
        <v>0</v>
      </c>
      <c r="Y425" s="65">
        <v>0</v>
      </c>
      <c r="Z425" s="66">
        <v>0</v>
      </c>
      <c r="AA425" s="65">
        <v>0</v>
      </c>
      <c r="AB425" s="66">
        <v>0</v>
      </c>
      <c r="AC425" s="238">
        <f t="shared" si="21"/>
        <v>0</v>
      </c>
      <c r="AD425" s="238"/>
      <c r="AE425" s="238"/>
    </row>
    <row r="426" spans="2:31" x14ac:dyDescent="0.3">
      <c r="B426" s="245" t="s">
        <v>66</v>
      </c>
      <c r="C426" s="245"/>
      <c r="D426" s="245"/>
      <c r="E426" s="65">
        <v>0</v>
      </c>
      <c r="F426" s="66">
        <v>0</v>
      </c>
      <c r="G426" s="65">
        <v>0</v>
      </c>
      <c r="H426" s="66">
        <v>0</v>
      </c>
      <c r="I426" s="65">
        <v>0</v>
      </c>
      <c r="J426" s="66">
        <v>0</v>
      </c>
      <c r="K426" s="65">
        <v>0</v>
      </c>
      <c r="L426" s="66">
        <v>0</v>
      </c>
      <c r="M426" s="65">
        <v>0</v>
      </c>
      <c r="N426" s="66">
        <v>0</v>
      </c>
      <c r="O426" s="65">
        <v>0</v>
      </c>
      <c r="P426" s="66">
        <v>0</v>
      </c>
      <c r="Q426" s="65">
        <v>0</v>
      </c>
      <c r="R426" s="66">
        <v>0</v>
      </c>
      <c r="S426" s="65">
        <v>0</v>
      </c>
      <c r="T426" s="66">
        <v>0</v>
      </c>
      <c r="U426" s="65">
        <v>0</v>
      </c>
      <c r="V426" s="66">
        <v>0</v>
      </c>
      <c r="W426" s="65">
        <v>0</v>
      </c>
      <c r="X426" s="66">
        <v>0</v>
      </c>
      <c r="Y426" s="65">
        <v>0</v>
      </c>
      <c r="Z426" s="66">
        <v>0</v>
      </c>
      <c r="AA426" s="65">
        <v>0</v>
      </c>
      <c r="AB426" s="66">
        <v>0</v>
      </c>
      <c r="AC426" s="238">
        <f>SUM(E426:AB426)</f>
        <v>0</v>
      </c>
      <c r="AD426" s="238"/>
      <c r="AE426" s="238"/>
    </row>
    <row r="427" spans="2:31" x14ac:dyDescent="0.3">
      <c r="B427" s="245" t="s">
        <v>67</v>
      </c>
      <c r="C427" s="245"/>
      <c r="D427" s="245"/>
      <c r="E427" s="65">
        <v>0</v>
      </c>
      <c r="F427" s="66">
        <v>0</v>
      </c>
      <c r="G427" s="65">
        <v>0</v>
      </c>
      <c r="H427" s="66">
        <v>0</v>
      </c>
      <c r="I427" s="65">
        <v>0</v>
      </c>
      <c r="J427" s="66">
        <v>0</v>
      </c>
      <c r="K427" s="65">
        <v>0</v>
      </c>
      <c r="L427" s="66">
        <v>0</v>
      </c>
      <c r="M427" s="65">
        <v>0</v>
      </c>
      <c r="N427" s="66">
        <v>0</v>
      </c>
      <c r="O427" s="65">
        <v>0</v>
      </c>
      <c r="P427" s="66">
        <v>0</v>
      </c>
      <c r="Q427" s="65">
        <v>0</v>
      </c>
      <c r="R427" s="66">
        <v>0</v>
      </c>
      <c r="S427" s="65">
        <v>0</v>
      </c>
      <c r="T427" s="66">
        <v>0</v>
      </c>
      <c r="U427" s="65">
        <v>0</v>
      </c>
      <c r="V427" s="66">
        <v>0</v>
      </c>
      <c r="W427" s="65">
        <v>0</v>
      </c>
      <c r="X427" s="66">
        <v>0</v>
      </c>
      <c r="Y427" s="65">
        <v>0</v>
      </c>
      <c r="Z427" s="66">
        <v>0</v>
      </c>
      <c r="AA427" s="65">
        <v>0</v>
      </c>
      <c r="AB427" s="66">
        <v>0</v>
      </c>
      <c r="AC427" s="238">
        <f t="shared" ref="AC427:AC440" si="22">SUM(E427:AB427)</f>
        <v>0</v>
      </c>
      <c r="AD427" s="238"/>
      <c r="AE427" s="238"/>
    </row>
    <row r="428" spans="2:31" x14ac:dyDescent="0.3">
      <c r="B428" s="245" t="s">
        <v>68</v>
      </c>
      <c r="C428" s="245"/>
      <c r="D428" s="245"/>
      <c r="E428" s="65">
        <v>0</v>
      </c>
      <c r="F428" s="66">
        <v>0</v>
      </c>
      <c r="G428" s="65">
        <v>0</v>
      </c>
      <c r="H428" s="66">
        <v>0</v>
      </c>
      <c r="I428" s="65">
        <v>0</v>
      </c>
      <c r="J428" s="66">
        <v>0</v>
      </c>
      <c r="K428" s="65">
        <v>0</v>
      </c>
      <c r="L428" s="66">
        <v>0</v>
      </c>
      <c r="M428" s="65">
        <v>0</v>
      </c>
      <c r="N428" s="66">
        <v>0</v>
      </c>
      <c r="O428" s="65">
        <v>0</v>
      </c>
      <c r="P428" s="66">
        <v>0</v>
      </c>
      <c r="Q428" s="65">
        <v>0</v>
      </c>
      <c r="R428" s="66">
        <v>0</v>
      </c>
      <c r="S428" s="65">
        <v>0</v>
      </c>
      <c r="T428" s="66">
        <v>0</v>
      </c>
      <c r="U428" s="65">
        <v>0</v>
      </c>
      <c r="V428" s="66">
        <v>0</v>
      </c>
      <c r="W428" s="65">
        <v>0</v>
      </c>
      <c r="X428" s="66">
        <v>0</v>
      </c>
      <c r="Y428" s="65">
        <v>0</v>
      </c>
      <c r="Z428" s="66">
        <v>0</v>
      </c>
      <c r="AA428" s="65">
        <v>0</v>
      </c>
      <c r="AB428" s="66">
        <v>0</v>
      </c>
      <c r="AC428" s="238">
        <f t="shared" si="22"/>
        <v>0</v>
      </c>
      <c r="AD428" s="238"/>
      <c r="AE428" s="238"/>
    </row>
    <row r="429" spans="2:31" x14ac:dyDescent="0.3">
      <c r="B429" s="245" t="s">
        <v>69</v>
      </c>
      <c r="C429" s="245"/>
      <c r="D429" s="245"/>
      <c r="E429" s="65">
        <v>0</v>
      </c>
      <c r="F429" s="66">
        <v>0</v>
      </c>
      <c r="G429" s="65">
        <v>0</v>
      </c>
      <c r="H429" s="66">
        <v>0</v>
      </c>
      <c r="I429" s="65">
        <v>0</v>
      </c>
      <c r="J429" s="66">
        <v>0</v>
      </c>
      <c r="K429" s="65">
        <v>0</v>
      </c>
      <c r="L429" s="66">
        <v>0</v>
      </c>
      <c r="M429" s="65">
        <v>0</v>
      </c>
      <c r="N429" s="66">
        <v>0</v>
      </c>
      <c r="O429" s="65">
        <v>0</v>
      </c>
      <c r="P429" s="66">
        <v>0</v>
      </c>
      <c r="Q429" s="65">
        <v>0</v>
      </c>
      <c r="R429" s="66">
        <v>0</v>
      </c>
      <c r="S429" s="65">
        <v>0</v>
      </c>
      <c r="T429" s="66">
        <v>0</v>
      </c>
      <c r="U429" s="65">
        <v>0</v>
      </c>
      <c r="V429" s="66">
        <v>0</v>
      </c>
      <c r="W429" s="65">
        <v>0</v>
      </c>
      <c r="X429" s="66">
        <v>0</v>
      </c>
      <c r="Y429" s="65">
        <v>0</v>
      </c>
      <c r="Z429" s="66">
        <v>0</v>
      </c>
      <c r="AA429" s="65">
        <v>0</v>
      </c>
      <c r="AB429" s="66">
        <v>0</v>
      </c>
      <c r="AC429" s="238">
        <f t="shared" si="22"/>
        <v>0</v>
      </c>
      <c r="AD429" s="238"/>
      <c r="AE429" s="238"/>
    </row>
    <row r="430" spans="2:31" x14ac:dyDescent="0.3">
      <c r="B430" s="245" t="s">
        <v>70</v>
      </c>
      <c r="C430" s="245"/>
      <c r="D430" s="245"/>
      <c r="E430" s="65">
        <v>0</v>
      </c>
      <c r="F430" s="66">
        <v>0</v>
      </c>
      <c r="G430" s="65">
        <v>0</v>
      </c>
      <c r="H430" s="66">
        <v>0</v>
      </c>
      <c r="I430" s="65">
        <v>0</v>
      </c>
      <c r="J430" s="66">
        <v>0</v>
      </c>
      <c r="K430" s="65">
        <v>0</v>
      </c>
      <c r="L430" s="66">
        <v>0</v>
      </c>
      <c r="M430" s="65">
        <v>0</v>
      </c>
      <c r="N430" s="66">
        <v>0</v>
      </c>
      <c r="O430" s="65">
        <v>0</v>
      </c>
      <c r="P430" s="66">
        <v>0</v>
      </c>
      <c r="Q430" s="65">
        <v>0</v>
      </c>
      <c r="R430" s="66">
        <v>0</v>
      </c>
      <c r="S430" s="65">
        <v>0</v>
      </c>
      <c r="T430" s="66">
        <v>0</v>
      </c>
      <c r="U430" s="65">
        <v>0</v>
      </c>
      <c r="V430" s="66">
        <v>0</v>
      </c>
      <c r="W430" s="65">
        <v>0</v>
      </c>
      <c r="X430" s="66">
        <v>0</v>
      </c>
      <c r="Y430" s="65">
        <v>0</v>
      </c>
      <c r="Z430" s="66">
        <v>0</v>
      </c>
      <c r="AA430" s="65">
        <v>0</v>
      </c>
      <c r="AB430" s="66">
        <v>0</v>
      </c>
      <c r="AC430" s="238">
        <f t="shared" si="22"/>
        <v>0</v>
      </c>
      <c r="AD430" s="238"/>
      <c r="AE430" s="238"/>
    </row>
    <row r="431" spans="2:31" x14ac:dyDescent="0.3">
      <c r="B431" s="245" t="s">
        <v>71</v>
      </c>
      <c r="C431" s="245"/>
      <c r="D431" s="245"/>
      <c r="E431" s="65">
        <v>0</v>
      </c>
      <c r="F431" s="66">
        <v>0</v>
      </c>
      <c r="G431" s="65">
        <v>0</v>
      </c>
      <c r="H431" s="66">
        <v>0</v>
      </c>
      <c r="I431" s="65">
        <v>0</v>
      </c>
      <c r="J431" s="66">
        <v>0</v>
      </c>
      <c r="K431" s="65">
        <v>0</v>
      </c>
      <c r="L431" s="66">
        <v>0</v>
      </c>
      <c r="M431" s="65">
        <v>0</v>
      </c>
      <c r="N431" s="66">
        <v>0</v>
      </c>
      <c r="O431" s="65">
        <v>0</v>
      </c>
      <c r="P431" s="66">
        <v>0</v>
      </c>
      <c r="Q431" s="65">
        <v>0</v>
      </c>
      <c r="R431" s="66">
        <v>0</v>
      </c>
      <c r="S431" s="65">
        <v>0</v>
      </c>
      <c r="T431" s="66">
        <v>0</v>
      </c>
      <c r="U431" s="65">
        <v>0</v>
      </c>
      <c r="V431" s="66">
        <v>0</v>
      </c>
      <c r="W431" s="65">
        <v>0</v>
      </c>
      <c r="X431" s="66">
        <v>0</v>
      </c>
      <c r="Y431" s="65">
        <v>0</v>
      </c>
      <c r="Z431" s="66">
        <v>0</v>
      </c>
      <c r="AA431" s="65">
        <v>0</v>
      </c>
      <c r="AB431" s="66">
        <v>0</v>
      </c>
      <c r="AC431" s="238">
        <f t="shared" si="22"/>
        <v>0</v>
      </c>
      <c r="AD431" s="238"/>
      <c r="AE431" s="238"/>
    </row>
    <row r="432" spans="2:31" x14ac:dyDescent="0.3">
      <c r="B432" s="245" t="s">
        <v>72</v>
      </c>
      <c r="C432" s="245"/>
      <c r="D432" s="245"/>
      <c r="E432" s="65">
        <v>0</v>
      </c>
      <c r="F432" s="66">
        <v>0</v>
      </c>
      <c r="G432" s="65">
        <v>0</v>
      </c>
      <c r="H432" s="66">
        <v>0</v>
      </c>
      <c r="I432" s="65">
        <v>0</v>
      </c>
      <c r="J432" s="66">
        <v>0</v>
      </c>
      <c r="K432" s="65">
        <v>0</v>
      </c>
      <c r="L432" s="66">
        <v>0</v>
      </c>
      <c r="M432" s="65">
        <v>0</v>
      </c>
      <c r="N432" s="66">
        <v>0</v>
      </c>
      <c r="O432" s="65">
        <v>0</v>
      </c>
      <c r="P432" s="66">
        <v>0</v>
      </c>
      <c r="Q432" s="65">
        <v>0</v>
      </c>
      <c r="R432" s="66">
        <v>0</v>
      </c>
      <c r="S432" s="65">
        <v>0</v>
      </c>
      <c r="T432" s="66">
        <v>0</v>
      </c>
      <c r="U432" s="65">
        <v>0</v>
      </c>
      <c r="V432" s="66">
        <v>0</v>
      </c>
      <c r="W432" s="65">
        <v>0</v>
      </c>
      <c r="X432" s="66">
        <v>0</v>
      </c>
      <c r="Y432" s="65">
        <v>0</v>
      </c>
      <c r="Z432" s="66">
        <v>0</v>
      </c>
      <c r="AA432" s="65">
        <v>0</v>
      </c>
      <c r="AB432" s="66">
        <v>0</v>
      </c>
      <c r="AC432" s="238">
        <f t="shared" si="22"/>
        <v>0</v>
      </c>
      <c r="AD432" s="238"/>
      <c r="AE432" s="238"/>
    </row>
    <row r="433" spans="2:31" x14ac:dyDescent="0.3">
      <c r="B433" s="245" t="s">
        <v>73</v>
      </c>
      <c r="C433" s="245"/>
      <c r="D433" s="245"/>
      <c r="E433" s="65">
        <v>0</v>
      </c>
      <c r="F433" s="66">
        <v>0</v>
      </c>
      <c r="G433" s="65">
        <v>0</v>
      </c>
      <c r="H433" s="66">
        <v>0</v>
      </c>
      <c r="I433" s="65">
        <v>0</v>
      </c>
      <c r="J433" s="66">
        <v>0</v>
      </c>
      <c r="K433" s="65">
        <v>0</v>
      </c>
      <c r="L433" s="66">
        <v>0</v>
      </c>
      <c r="M433" s="65">
        <v>0</v>
      </c>
      <c r="N433" s="66">
        <v>0</v>
      </c>
      <c r="O433" s="65">
        <v>0</v>
      </c>
      <c r="P433" s="66">
        <v>0</v>
      </c>
      <c r="Q433" s="65">
        <v>0</v>
      </c>
      <c r="R433" s="66">
        <v>0</v>
      </c>
      <c r="S433" s="65">
        <v>0</v>
      </c>
      <c r="T433" s="66">
        <v>0</v>
      </c>
      <c r="U433" s="65">
        <v>0</v>
      </c>
      <c r="V433" s="66">
        <v>0</v>
      </c>
      <c r="W433" s="65">
        <v>0</v>
      </c>
      <c r="X433" s="66">
        <v>0</v>
      </c>
      <c r="Y433" s="65">
        <v>0</v>
      </c>
      <c r="Z433" s="66">
        <v>0</v>
      </c>
      <c r="AA433" s="65">
        <v>0</v>
      </c>
      <c r="AB433" s="66">
        <v>0</v>
      </c>
      <c r="AC433" s="238">
        <f t="shared" si="22"/>
        <v>0</v>
      </c>
      <c r="AD433" s="238"/>
      <c r="AE433" s="238"/>
    </row>
    <row r="434" spans="2:31" x14ac:dyDescent="0.3">
      <c r="B434" s="245" t="s">
        <v>74</v>
      </c>
      <c r="C434" s="245"/>
      <c r="D434" s="245"/>
      <c r="E434" s="65">
        <v>0</v>
      </c>
      <c r="F434" s="66">
        <v>0</v>
      </c>
      <c r="G434" s="65">
        <v>0</v>
      </c>
      <c r="H434" s="66">
        <v>0</v>
      </c>
      <c r="I434" s="65">
        <v>0</v>
      </c>
      <c r="J434" s="66">
        <v>0</v>
      </c>
      <c r="K434" s="65">
        <v>0</v>
      </c>
      <c r="L434" s="66">
        <v>0</v>
      </c>
      <c r="M434" s="65">
        <v>0</v>
      </c>
      <c r="N434" s="66">
        <v>0</v>
      </c>
      <c r="O434" s="65">
        <v>0</v>
      </c>
      <c r="P434" s="66">
        <v>0</v>
      </c>
      <c r="Q434" s="65">
        <v>0</v>
      </c>
      <c r="R434" s="66">
        <v>0</v>
      </c>
      <c r="S434" s="65">
        <v>0</v>
      </c>
      <c r="T434" s="66">
        <v>0</v>
      </c>
      <c r="U434" s="65">
        <v>0</v>
      </c>
      <c r="V434" s="66">
        <v>0</v>
      </c>
      <c r="W434" s="65">
        <v>0</v>
      </c>
      <c r="X434" s="66">
        <v>0</v>
      </c>
      <c r="Y434" s="65">
        <v>0</v>
      </c>
      <c r="Z434" s="66">
        <v>0</v>
      </c>
      <c r="AA434" s="65">
        <v>0</v>
      </c>
      <c r="AB434" s="66">
        <v>0</v>
      </c>
      <c r="AC434" s="238">
        <f t="shared" si="22"/>
        <v>0</v>
      </c>
      <c r="AD434" s="238"/>
      <c r="AE434" s="238"/>
    </row>
    <row r="435" spans="2:31" x14ac:dyDescent="0.3">
      <c r="B435" s="245" t="s">
        <v>75</v>
      </c>
      <c r="C435" s="245"/>
      <c r="D435" s="245"/>
      <c r="E435" s="65">
        <v>0</v>
      </c>
      <c r="F435" s="66">
        <v>0</v>
      </c>
      <c r="G435" s="65">
        <v>0</v>
      </c>
      <c r="H435" s="66">
        <v>0</v>
      </c>
      <c r="I435" s="65">
        <v>0</v>
      </c>
      <c r="J435" s="66">
        <v>0</v>
      </c>
      <c r="K435" s="65">
        <v>0</v>
      </c>
      <c r="L435" s="66">
        <v>0</v>
      </c>
      <c r="M435" s="65">
        <v>0</v>
      </c>
      <c r="N435" s="66">
        <v>0</v>
      </c>
      <c r="O435" s="65">
        <v>0</v>
      </c>
      <c r="P435" s="66">
        <v>0</v>
      </c>
      <c r="Q435" s="65">
        <v>0</v>
      </c>
      <c r="R435" s="66">
        <v>0</v>
      </c>
      <c r="S435" s="65">
        <v>0</v>
      </c>
      <c r="T435" s="66">
        <v>0</v>
      </c>
      <c r="U435" s="65">
        <v>0</v>
      </c>
      <c r="V435" s="66">
        <v>0</v>
      </c>
      <c r="W435" s="65">
        <v>0</v>
      </c>
      <c r="X435" s="66">
        <v>0</v>
      </c>
      <c r="Y435" s="65">
        <v>0</v>
      </c>
      <c r="Z435" s="66">
        <v>0</v>
      </c>
      <c r="AA435" s="65">
        <v>0</v>
      </c>
      <c r="AB435" s="66">
        <v>0</v>
      </c>
      <c r="AC435" s="238">
        <f t="shared" si="22"/>
        <v>0</v>
      </c>
      <c r="AD435" s="238"/>
      <c r="AE435" s="238"/>
    </row>
    <row r="436" spans="2:31" x14ac:dyDescent="0.3">
      <c r="B436" s="245" t="s">
        <v>76</v>
      </c>
      <c r="C436" s="245"/>
      <c r="D436" s="245"/>
      <c r="E436" s="65">
        <v>0</v>
      </c>
      <c r="F436" s="66">
        <v>0</v>
      </c>
      <c r="G436" s="65">
        <v>0</v>
      </c>
      <c r="H436" s="66">
        <v>0</v>
      </c>
      <c r="I436" s="65">
        <v>0</v>
      </c>
      <c r="J436" s="66">
        <v>0</v>
      </c>
      <c r="K436" s="65">
        <v>0</v>
      </c>
      <c r="L436" s="66">
        <v>0</v>
      </c>
      <c r="M436" s="65">
        <v>0</v>
      </c>
      <c r="N436" s="66">
        <v>0</v>
      </c>
      <c r="O436" s="65">
        <v>0</v>
      </c>
      <c r="P436" s="66">
        <v>0</v>
      </c>
      <c r="Q436" s="65">
        <v>0</v>
      </c>
      <c r="R436" s="66">
        <v>0</v>
      </c>
      <c r="S436" s="65">
        <v>0</v>
      </c>
      <c r="T436" s="66">
        <v>0</v>
      </c>
      <c r="U436" s="65">
        <v>0</v>
      </c>
      <c r="V436" s="66">
        <v>0</v>
      </c>
      <c r="W436" s="65">
        <v>0</v>
      </c>
      <c r="X436" s="66">
        <v>0</v>
      </c>
      <c r="Y436" s="65">
        <v>0</v>
      </c>
      <c r="Z436" s="66">
        <v>0</v>
      </c>
      <c r="AA436" s="65">
        <v>0</v>
      </c>
      <c r="AB436" s="66">
        <v>0</v>
      </c>
      <c r="AC436" s="238">
        <f t="shared" si="22"/>
        <v>0</v>
      </c>
      <c r="AD436" s="238"/>
      <c r="AE436" s="238"/>
    </row>
    <row r="437" spans="2:31" x14ac:dyDescent="0.3">
      <c r="B437" s="245" t="s">
        <v>77</v>
      </c>
      <c r="C437" s="245"/>
      <c r="D437" s="245"/>
      <c r="E437" s="65">
        <v>0</v>
      </c>
      <c r="F437" s="66">
        <v>0</v>
      </c>
      <c r="G437" s="65">
        <v>0</v>
      </c>
      <c r="H437" s="66">
        <v>0</v>
      </c>
      <c r="I437" s="65">
        <v>0</v>
      </c>
      <c r="J437" s="66">
        <v>0</v>
      </c>
      <c r="K437" s="65">
        <v>0</v>
      </c>
      <c r="L437" s="66">
        <v>0</v>
      </c>
      <c r="M437" s="65">
        <v>0</v>
      </c>
      <c r="N437" s="66">
        <v>0</v>
      </c>
      <c r="O437" s="65">
        <v>0</v>
      </c>
      <c r="P437" s="66">
        <v>0</v>
      </c>
      <c r="Q437" s="65">
        <v>0</v>
      </c>
      <c r="R437" s="66">
        <v>0</v>
      </c>
      <c r="S437" s="65">
        <v>0</v>
      </c>
      <c r="T437" s="66">
        <v>0</v>
      </c>
      <c r="U437" s="65">
        <v>0</v>
      </c>
      <c r="V437" s="66">
        <v>0</v>
      </c>
      <c r="W437" s="65">
        <v>0</v>
      </c>
      <c r="X437" s="66">
        <v>0</v>
      </c>
      <c r="Y437" s="65">
        <v>0</v>
      </c>
      <c r="Z437" s="66">
        <v>0</v>
      </c>
      <c r="AA437" s="65">
        <v>0</v>
      </c>
      <c r="AB437" s="66">
        <v>0</v>
      </c>
      <c r="AC437" s="238">
        <f t="shared" si="22"/>
        <v>0</v>
      </c>
      <c r="AD437" s="238"/>
      <c r="AE437" s="238"/>
    </row>
    <row r="438" spans="2:31" x14ac:dyDescent="0.3">
      <c r="B438" s="245" t="s">
        <v>78</v>
      </c>
      <c r="C438" s="245"/>
      <c r="D438" s="245"/>
      <c r="E438" s="65">
        <v>0</v>
      </c>
      <c r="F438" s="66">
        <v>0</v>
      </c>
      <c r="G438" s="65">
        <v>0</v>
      </c>
      <c r="H438" s="66">
        <v>0</v>
      </c>
      <c r="I438" s="65">
        <v>0</v>
      </c>
      <c r="J438" s="66">
        <v>0</v>
      </c>
      <c r="K438" s="65">
        <v>0</v>
      </c>
      <c r="L438" s="66">
        <v>0</v>
      </c>
      <c r="M438" s="65">
        <v>0</v>
      </c>
      <c r="N438" s="66">
        <v>0</v>
      </c>
      <c r="O438" s="65">
        <v>0</v>
      </c>
      <c r="P438" s="66">
        <v>0</v>
      </c>
      <c r="Q438" s="65">
        <v>0</v>
      </c>
      <c r="R438" s="66">
        <v>0</v>
      </c>
      <c r="S438" s="65">
        <v>0</v>
      </c>
      <c r="T438" s="66">
        <v>0</v>
      </c>
      <c r="U438" s="65">
        <v>0</v>
      </c>
      <c r="V438" s="66">
        <v>0</v>
      </c>
      <c r="W438" s="65">
        <v>0</v>
      </c>
      <c r="X438" s="66">
        <v>0</v>
      </c>
      <c r="Y438" s="65">
        <v>0</v>
      </c>
      <c r="Z438" s="66">
        <v>0</v>
      </c>
      <c r="AA438" s="65">
        <v>0</v>
      </c>
      <c r="AB438" s="66">
        <v>0</v>
      </c>
      <c r="AC438" s="238">
        <f t="shared" si="22"/>
        <v>0</v>
      </c>
      <c r="AD438" s="238"/>
      <c r="AE438" s="238"/>
    </row>
    <row r="439" spans="2:31" x14ac:dyDescent="0.3">
      <c r="B439" s="245" t="s">
        <v>79</v>
      </c>
      <c r="C439" s="245"/>
      <c r="D439" s="245"/>
      <c r="E439" s="65">
        <v>0</v>
      </c>
      <c r="F439" s="66">
        <v>0</v>
      </c>
      <c r="G439" s="65">
        <v>0</v>
      </c>
      <c r="H439" s="66">
        <v>0</v>
      </c>
      <c r="I439" s="65">
        <v>0</v>
      </c>
      <c r="J439" s="66">
        <v>0</v>
      </c>
      <c r="K439" s="65">
        <v>0</v>
      </c>
      <c r="L439" s="66">
        <v>0</v>
      </c>
      <c r="M439" s="65">
        <v>0</v>
      </c>
      <c r="N439" s="66">
        <v>0</v>
      </c>
      <c r="O439" s="65">
        <v>0</v>
      </c>
      <c r="P439" s="66">
        <v>0</v>
      </c>
      <c r="Q439" s="65">
        <v>0</v>
      </c>
      <c r="R439" s="66">
        <v>0</v>
      </c>
      <c r="S439" s="65">
        <v>0</v>
      </c>
      <c r="T439" s="66">
        <v>0</v>
      </c>
      <c r="U439" s="65">
        <v>0</v>
      </c>
      <c r="V439" s="66">
        <v>0</v>
      </c>
      <c r="W439" s="65">
        <v>0</v>
      </c>
      <c r="X439" s="66">
        <v>0</v>
      </c>
      <c r="Y439" s="65">
        <v>0</v>
      </c>
      <c r="Z439" s="66">
        <v>0</v>
      </c>
      <c r="AA439" s="65">
        <v>0</v>
      </c>
      <c r="AB439" s="66">
        <v>0</v>
      </c>
      <c r="AC439" s="238">
        <f t="shared" si="22"/>
        <v>0</v>
      </c>
      <c r="AD439" s="238"/>
      <c r="AE439" s="238"/>
    </row>
    <row r="440" spans="2:31" x14ac:dyDescent="0.3">
      <c r="B440" s="245" t="s">
        <v>80</v>
      </c>
      <c r="C440" s="245"/>
      <c r="D440" s="245"/>
      <c r="E440" s="65">
        <v>0</v>
      </c>
      <c r="F440" s="66">
        <v>0</v>
      </c>
      <c r="G440" s="65">
        <v>0</v>
      </c>
      <c r="H440" s="66">
        <v>0</v>
      </c>
      <c r="I440" s="65">
        <v>0</v>
      </c>
      <c r="J440" s="66">
        <v>0</v>
      </c>
      <c r="K440" s="65">
        <v>0</v>
      </c>
      <c r="L440" s="66">
        <v>0</v>
      </c>
      <c r="M440" s="65">
        <v>0</v>
      </c>
      <c r="N440" s="66">
        <v>0</v>
      </c>
      <c r="O440" s="65">
        <v>0</v>
      </c>
      <c r="P440" s="66">
        <v>0</v>
      </c>
      <c r="Q440" s="65">
        <v>0</v>
      </c>
      <c r="R440" s="66">
        <v>0</v>
      </c>
      <c r="S440" s="65">
        <v>0</v>
      </c>
      <c r="T440" s="66">
        <v>0</v>
      </c>
      <c r="U440" s="65">
        <v>0</v>
      </c>
      <c r="V440" s="66">
        <v>0</v>
      </c>
      <c r="W440" s="65">
        <v>0</v>
      </c>
      <c r="X440" s="66">
        <v>0</v>
      </c>
      <c r="Y440" s="65">
        <v>0</v>
      </c>
      <c r="Z440" s="66">
        <v>0</v>
      </c>
      <c r="AA440" s="65">
        <v>0</v>
      </c>
      <c r="AB440" s="66">
        <v>0</v>
      </c>
      <c r="AC440" s="238">
        <f t="shared" si="22"/>
        <v>0</v>
      </c>
      <c r="AD440" s="238"/>
      <c r="AE440" s="238"/>
    </row>
    <row r="441" spans="2:31" x14ac:dyDescent="0.3">
      <c r="B441" s="245" t="s">
        <v>93</v>
      </c>
      <c r="C441" s="245"/>
      <c r="D441" s="245"/>
      <c r="E441" s="65">
        <v>0</v>
      </c>
      <c r="F441" s="66">
        <v>0</v>
      </c>
      <c r="G441" s="65">
        <v>0</v>
      </c>
      <c r="H441" s="66">
        <v>0</v>
      </c>
      <c r="I441" s="65">
        <v>0</v>
      </c>
      <c r="J441" s="66">
        <v>0</v>
      </c>
      <c r="K441" s="65">
        <v>0</v>
      </c>
      <c r="L441" s="66">
        <v>0</v>
      </c>
      <c r="M441" s="65">
        <v>0</v>
      </c>
      <c r="N441" s="66">
        <v>0</v>
      </c>
      <c r="O441" s="65">
        <v>0</v>
      </c>
      <c r="P441" s="66">
        <v>0</v>
      </c>
      <c r="Q441" s="65">
        <v>0</v>
      </c>
      <c r="R441" s="66">
        <v>0</v>
      </c>
      <c r="S441" s="65">
        <v>0.88799999999999935</v>
      </c>
      <c r="T441" s="66">
        <v>0.52516666666666689</v>
      </c>
      <c r="U441" s="65">
        <v>1.162666666666667</v>
      </c>
      <c r="V441" s="66">
        <v>1.8993333333333331</v>
      </c>
      <c r="W441" s="65">
        <v>0.2479999999999998</v>
      </c>
      <c r="X441" s="66">
        <v>0.10833333333333334</v>
      </c>
      <c r="Y441" s="65">
        <v>0</v>
      </c>
      <c r="Z441" s="66">
        <v>0</v>
      </c>
      <c r="AA441" s="65">
        <v>0</v>
      </c>
      <c r="AB441" s="66">
        <v>0</v>
      </c>
      <c r="AC441" s="238">
        <f>SUM(E441:AB441)</f>
        <v>4.8315000000000001</v>
      </c>
      <c r="AD441" s="238"/>
      <c r="AE441" s="238"/>
    </row>
    <row r="442" spans="2:31" x14ac:dyDescent="0.3">
      <c r="B442" s="14" t="s">
        <v>2</v>
      </c>
      <c r="C442" s="14"/>
      <c r="D442" s="14"/>
      <c r="E442" s="15">
        <f t="shared" ref="E442:AB442" si="23">SUM(E393:E441)</f>
        <v>0</v>
      </c>
      <c r="F442" s="15">
        <f t="shared" si="23"/>
        <v>0</v>
      </c>
      <c r="G442" s="15">
        <f t="shared" si="23"/>
        <v>0</v>
      </c>
      <c r="H442" s="15">
        <f t="shared" si="23"/>
        <v>0</v>
      </c>
      <c r="I442" s="15">
        <f t="shared" si="23"/>
        <v>0</v>
      </c>
      <c r="J442" s="15">
        <f t="shared" si="23"/>
        <v>0</v>
      </c>
      <c r="K442" s="15">
        <f t="shared" si="23"/>
        <v>0</v>
      </c>
      <c r="L442" s="15">
        <f t="shared" si="23"/>
        <v>0</v>
      </c>
      <c r="M442" s="15">
        <f t="shared" si="23"/>
        <v>0</v>
      </c>
      <c r="N442" s="15">
        <f t="shared" si="23"/>
        <v>0</v>
      </c>
      <c r="O442" s="15">
        <f t="shared" si="23"/>
        <v>2.0631666666666701</v>
      </c>
      <c r="P442" s="15">
        <f t="shared" si="23"/>
        <v>8.0338333333333232</v>
      </c>
      <c r="Q442" s="15">
        <f t="shared" si="23"/>
        <v>47.727000000000039</v>
      </c>
      <c r="R442" s="15">
        <f t="shared" si="23"/>
        <v>48.671333333333351</v>
      </c>
      <c r="S442" s="15">
        <f t="shared" si="23"/>
        <v>66.088166666666666</v>
      </c>
      <c r="T442" s="15">
        <f t="shared" si="23"/>
        <v>86.700499999999991</v>
      </c>
      <c r="U442" s="15">
        <f t="shared" si="23"/>
        <v>40.41849999999998</v>
      </c>
      <c r="V442" s="15">
        <f t="shared" si="23"/>
        <v>42.570833333333333</v>
      </c>
      <c r="W442" s="15">
        <f t="shared" si="23"/>
        <v>9.8741666666666639</v>
      </c>
      <c r="X442" s="15">
        <f t="shared" si="23"/>
        <v>3.3010000000000002</v>
      </c>
      <c r="Y442" s="15">
        <f t="shared" si="23"/>
        <v>0.10000000000000002</v>
      </c>
      <c r="Z442" s="15">
        <f t="shared" si="23"/>
        <v>0</v>
      </c>
      <c r="AA442" s="15">
        <f t="shared" si="23"/>
        <v>0</v>
      </c>
      <c r="AB442" s="15">
        <f t="shared" si="23"/>
        <v>0</v>
      </c>
      <c r="AC442" s="249">
        <f>SUM(AC393:AE441)</f>
        <v>355.54849999999993</v>
      </c>
      <c r="AD442" s="249"/>
      <c r="AE442" s="249"/>
    </row>
    <row r="443" spans="2:31" x14ac:dyDescent="0.3">
      <c r="B443" s="16"/>
      <c r="C443" s="17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2:31" x14ac:dyDescent="0.3">
      <c r="B444" s="16"/>
      <c r="C444" s="17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2:31" x14ac:dyDescent="0.3">
      <c r="B445" s="8">
        <f>'Resumen-Mensual'!$M$22</f>
        <v>44570</v>
      </c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67"/>
      <c r="AD445" s="67"/>
      <c r="AE445" s="67"/>
    </row>
    <row r="446" spans="2:31" x14ac:dyDescent="0.3">
      <c r="B446" s="8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67"/>
      <c r="AD446" s="67"/>
      <c r="AE446" s="67"/>
    </row>
    <row r="447" spans="2:31" x14ac:dyDescent="0.3">
      <c r="B447" s="9" t="s">
        <v>81</v>
      </c>
      <c r="C447" s="10"/>
      <c r="D447" s="10"/>
      <c r="E447" s="11">
        <v>1</v>
      </c>
      <c r="F447" s="11">
        <v>2</v>
      </c>
      <c r="G447" s="11">
        <v>3</v>
      </c>
      <c r="H447" s="11">
        <v>4</v>
      </c>
      <c r="I447" s="11">
        <v>5</v>
      </c>
      <c r="J447" s="11">
        <v>6</v>
      </c>
      <c r="K447" s="11">
        <v>7</v>
      </c>
      <c r="L447" s="11">
        <v>8</v>
      </c>
      <c r="M447" s="11">
        <v>9</v>
      </c>
      <c r="N447" s="11">
        <v>10</v>
      </c>
      <c r="O447" s="11">
        <v>11</v>
      </c>
      <c r="P447" s="11">
        <v>12</v>
      </c>
      <c r="Q447" s="11">
        <v>13</v>
      </c>
      <c r="R447" s="11">
        <v>14</v>
      </c>
      <c r="S447" s="11">
        <v>15</v>
      </c>
      <c r="T447" s="11">
        <v>16</v>
      </c>
      <c r="U447" s="11">
        <v>17</v>
      </c>
      <c r="V447" s="11">
        <v>18</v>
      </c>
      <c r="W447" s="11">
        <v>19</v>
      </c>
      <c r="X447" s="11">
        <v>20</v>
      </c>
      <c r="Y447" s="11">
        <v>21</v>
      </c>
      <c r="Z447" s="11">
        <v>22</v>
      </c>
      <c r="AA447" s="11">
        <v>23</v>
      </c>
      <c r="AB447" s="11">
        <v>24</v>
      </c>
      <c r="AC447" s="248" t="s">
        <v>2</v>
      </c>
      <c r="AD447" s="248"/>
      <c r="AE447" s="248"/>
    </row>
    <row r="448" spans="2:31" x14ac:dyDescent="0.3">
      <c r="B448" s="245" t="s">
        <v>37</v>
      </c>
      <c r="C448" s="245"/>
      <c r="D448" s="245"/>
      <c r="E448" s="72">
        <v>0</v>
      </c>
      <c r="F448" s="73">
        <v>0</v>
      </c>
      <c r="G448" s="72">
        <v>0</v>
      </c>
      <c r="H448" s="73">
        <v>0</v>
      </c>
      <c r="I448" s="72">
        <v>0</v>
      </c>
      <c r="J448" s="73">
        <v>0</v>
      </c>
      <c r="K448" s="72">
        <v>0</v>
      </c>
      <c r="L448" s="73">
        <v>0</v>
      </c>
      <c r="M448" s="72">
        <v>0</v>
      </c>
      <c r="N448" s="73">
        <v>0</v>
      </c>
      <c r="O448" s="72">
        <v>0</v>
      </c>
      <c r="P448" s="73">
        <v>0</v>
      </c>
      <c r="Q448" s="72">
        <v>0</v>
      </c>
      <c r="R448" s="73">
        <v>0.29950000000000004</v>
      </c>
      <c r="S448" s="72">
        <v>0</v>
      </c>
      <c r="T448" s="73">
        <v>0</v>
      </c>
      <c r="U448" s="72">
        <v>0</v>
      </c>
      <c r="V448" s="73">
        <v>0</v>
      </c>
      <c r="W448" s="72">
        <v>0</v>
      </c>
      <c r="X448" s="73">
        <v>0</v>
      </c>
      <c r="Y448" s="72">
        <v>0</v>
      </c>
      <c r="Z448" s="73">
        <v>0</v>
      </c>
      <c r="AA448" s="72">
        <v>0</v>
      </c>
      <c r="AB448" s="73">
        <v>0</v>
      </c>
      <c r="AC448" s="238">
        <f t="shared" ref="AC448:AC480" si="24">SUM(E448:AB448)</f>
        <v>0.29950000000000004</v>
      </c>
      <c r="AD448" s="238"/>
      <c r="AE448" s="238"/>
    </row>
    <row r="449" spans="2:31" x14ac:dyDescent="0.3">
      <c r="B449" s="245" t="s">
        <v>38</v>
      </c>
      <c r="C449" s="245"/>
      <c r="D449" s="245"/>
      <c r="E449" s="72">
        <v>0</v>
      </c>
      <c r="F449" s="73">
        <v>0</v>
      </c>
      <c r="G449" s="72">
        <v>0</v>
      </c>
      <c r="H449" s="73">
        <v>0</v>
      </c>
      <c r="I449" s="72">
        <v>0</v>
      </c>
      <c r="J449" s="73">
        <v>0</v>
      </c>
      <c r="K449" s="72">
        <v>0</v>
      </c>
      <c r="L449" s="73">
        <v>0</v>
      </c>
      <c r="M449" s="72">
        <v>0</v>
      </c>
      <c r="N449" s="73">
        <v>0</v>
      </c>
      <c r="O449" s="72">
        <v>0</v>
      </c>
      <c r="P449" s="73">
        <v>0</v>
      </c>
      <c r="Q449" s="72">
        <v>0</v>
      </c>
      <c r="R449" s="73">
        <v>0.20266666666666644</v>
      </c>
      <c r="S449" s="72">
        <v>0</v>
      </c>
      <c r="T449" s="73">
        <v>0</v>
      </c>
      <c r="U449" s="72">
        <v>0</v>
      </c>
      <c r="V449" s="73">
        <v>0</v>
      </c>
      <c r="W449" s="72">
        <v>0</v>
      </c>
      <c r="X449" s="73">
        <v>0</v>
      </c>
      <c r="Y449" s="72">
        <v>0</v>
      </c>
      <c r="Z449" s="73">
        <v>0</v>
      </c>
      <c r="AA449" s="72">
        <v>0</v>
      </c>
      <c r="AB449" s="73">
        <v>0</v>
      </c>
      <c r="AC449" s="238">
        <f t="shared" si="24"/>
        <v>0.20266666666666644</v>
      </c>
      <c r="AD449" s="238"/>
      <c r="AE449" s="238"/>
    </row>
    <row r="450" spans="2:31" x14ac:dyDescent="0.3">
      <c r="B450" s="245" t="s">
        <v>39</v>
      </c>
      <c r="C450" s="245"/>
      <c r="D450" s="245"/>
      <c r="E450" s="72">
        <v>0</v>
      </c>
      <c r="F450" s="73">
        <v>0</v>
      </c>
      <c r="G450" s="72">
        <v>0</v>
      </c>
      <c r="H450" s="73">
        <v>0</v>
      </c>
      <c r="I450" s="72">
        <v>0</v>
      </c>
      <c r="J450" s="73">
        <v>0</v>
      </c>
      <c r="K450" s="72">
        <v>0</v>
      </c>
      <c r="L450" s="73">
        <v>0</v>
      </c>
      <c r="M450" s="72">
        <v>0</v>
      </c>
      <c r="N450" s="73">
        <v>0</v>
      </c>
      <c r="O450" s="72">
        <v>0</v>
      </c>
      <c r="P450" s="73">
        <v>0</v>
      </c>
      <c r="Q450" s="72">
        <v>0</v>
      </c>
      <c r="R450" s="73">
        <v>0</v>
      </c>
      <c r="S450" s="72">
        <v>0</v>
      </c>
      <c r="T450" s="73">
        <v>1.7000000000000053E-2</v>
      </c>
      <c r="U450" s="72">
        <v>0</v>
      </c>
      <c r="V450" s="73">
        <v>0</v>
      </c>
      <c r="W450" s="72">
        <v>0</v>
      </c>
      <c r="X450" s="73">
        <v>0</v>
      </c>
      <c r="Y450" s="72">
        <v>0</v>
      </c>
      <c r="Z450" s="73">
        <v>0</v>
      </c>
      <c r="AA450" s="72">
        <v>0</v>
      </c>
      <c r="AB450" s="73">
        <v>0</v>
      </c>
      <c r="AC450" s="238">
        <f t="shared" si="24"/>
        <v>1.7000000000000053E-2</v>
      </c>
      <c r="AD450" s="238"/>
      <c r="AE450" s="238"/>
    </row>
    <row r="451" spans="2:31" x14ac:dyDescent="0.3">
      <c r="B451" s="245" t="s">
        <v>40</v>
      </c>
      <c r="C451" s="245"/>
      <c r="D451" s="245"/>
      <c r="E451" s="72">
        <v>0</v>
      </c>
      <c r="F451" s="73">
        <v>0</v>
      </c>
      <c r="G451" s="72">
        <v>0</v>
      </c>
      <c r="H451" s="73">
        <v>0</v>
      </c>
      <c r="I451" s="72">
        <v>0</v>
      </c>
      <c r="J451" s="73">
        <v>0</v>
      </c>
      <c r="K451" s="72">
        <v>0</v>
      </c>
      <c r="L451" s="73">
        <v>0</v>
      </c>
      <c r="M451" s="72">
        <v>0</v>
      </c>
      <c r="N451" s="73">
        <v>0</v>
      </c>
      <c r="O451" s="72">
        <v>0</v>
      </c>
      <c r="P451" s="73">
        <v>0</v>
      </c>
      <c r="Q451" s="72">
        <v>0</v>
      </c>
      <c r="R451" s="73">
        <v>0</v>
      </c>
      <c r="S451" s="72">
        <v>0</v>
      </c>
      <c r="T451" s="73">
        <v>2.8333333333333616E-2</v>
      </c>
      <c r="U451" s="72">
        <v>0</v>
      </c>
      <c r="V451" s="73">
        <v>0</v>
      </c>
      <c r="W451" s="72">
        <v>0</v>
      </c>
      <c r="X451" s="73">
        <v>0</v>
      </c>
      <c r="Y451" s="72">
        <v>0</v>
      </c>
      <c r="Z451" s="73">
        <v>0</v>
      </c>
      <c r="AA451" s="72">
        <v>0</v>
      </c>
      <c r="AB451" s="73">
        <v>0</v>
      </c>
      <c r="AC451" s="238">
        <f t="shared" si="24"/>
        <v>2.8333333333333616E-2</v>
      </c>
      <c r="AD451" s="238"/>
      <c r="AE451" s="238"/>
    </row>
    <row r="452" spans="2:31" x14ac:dyDescent="0.3">
      <c r="B452" s="245" t="s">
        <v>41</v>
      </c>
      <c r="C452" s="245"/>
      <c r="D452" s="245"/>
      <c r="E452" s="72">
        <v>0</v>
      </c>
      <c r="F452" s="73">
        <v>0</v>
      </c>
      <c r="G452" s="72">
        <v>0</v>
      </c>
      <c r="H452" s="73">
        <v>0</v>
      </c>
      <c r="I452" s="72">
        <v>0</v>
      </c>
      <c r="J452" s="73">
        <v>0</v>
      </c>
      <c r="K452" s="72">
        <v>0</v>
      </c>
      <c r="L452" s="73">
        <v>0</v>
      </c>
      <c r="M452" s="72">
        <v>0</v>
      </c>
      <c r="N452" s="73">
        <v>0</v>
      </c>
      <c r="O452" s="72">
        <v>0</v>
      </c>
      <c r="P452" s="73">
        <v>0</v>
      </c>
      <c r="Q452" s="72">
        <v>0</v>
      </c>
      <c r="R452" s="73">
        <v>5.0178333333333383</v>
      </c>
      <c r="S452" s="72">
        <v>5.1523333333333277</v>
      </c>
      <c r="T452" s="73">
        <v>4.9615000000000062</v>
      </c>
      <c r="U452" s="72">
        <v>0</v>
      </c>
      <c r="V452" s="73">
        <v>0</v>
      </c>
      <c r="W452" s="72">
        <v>0</v>
      </c>
      <c r="X452" s="73">
        <v>0</v>
      </c>
      <c r="Y452" s="72">
        <v>0</v>
      </c>
      <c r="Z452" s="73">
        <v>0</v>
      </c>
      <c r="AA452" s="72">
        <v>0</v>
      </c>
      <c r="AB452" s="73">
        <v>0</v>
      </c>
      <c r="AC452" s="238">
        <f t="shared" si="24"/>
        <v>15.131666666666673</v>
      </c>
      <c r="AD452" s="238"/>
      <c r="AE452" s="238"/>
    </row>
    <row r="453" spans="2:31" x14ac:dyDescent="0.3">
      <c r="B453" s="245" t="s">
        <v>42</v>
      </c>
      <c r="C453" s="245"/>
      <c r="D453" s="245"/>
      <c r="E453" s="72">
        <v>0</v>
      </c>
      <c r="F453" s="73">
        <v>0</v>
      </c>
      <c r="G453" s="72">
        <v>0</v>
      </c>
      <c r="H453" s="73">
        <v>0</v>
      </c>
      <c r="I453" s="72">
        <v>0</v>
      </c>
      <c r="J453" s="73">
        <v>0</v>
      </c>
      <c r="K453" s="72">
        <v>0</v>
      </c>
      <c r="L453" s="73">
        <v>0</v>
      </c>
      <c r="M453" s="72">
        <v>0</v>
      </c>
      <c r="N453" s="73">
        <v>0</v>
      </c>
      <c r="O453" s="72">
        <v>0</v>
      </c>
      <c r="P453" s="73">
        <v>0</v>
      </c>
      <c r="Q453" s="72">
        <v>0</v>
      </c>
      <c r="R453" s="73">
        <v>0</v>
      </c>
      <c r="S453" s="72">
        <v>0</v>
      </c>
      <c r="T453" s="73">
        <v>0</v>
      </c>
      <c r="U453" s="72">
        <v>0</v>
      </c>
      <c r="V453" s="73">
        <v>0</v>
      </c>
      <c r="W453" s="72">
        <v>0</v>
      </c>
      <c r="X453" s="73">
        <v>0</v>
      </c>
      <c r="Y453" s="72">
        <v>0</v>
      </c>
      <c r="Z453" s="73">
        <v>0</v>
      </c>
      <c r="AA453" s="72">
        <v>0</v>
      </c>
      <c r="AB453" s="73">
        <v>0</v>
      </c>
      <c r="AC453" s="238">
        <f t="shared" si="24"/>
        <v>0</v>
      </c>
      <c r="AD453" s="238"/>
      <c r="AE453" s="238"/>
    </row>
    <row r="454" spans="2:31" x14ac:dyDescent="0.3">
      <c r="B454" s="245" t="s">
        <v>43</v>
      </c>
      <c r="C454" s="245"/>
      <c r="D454" s="245"/>
      <c r="E454" s="72">
        <v>0</v>
      </c>
      <c r="F454" s="73">
        <v>0</v>
      </c>
      <c r="G454" s="72">
        <v>0</v>
      </c>
      <c r="H454" s="73">
        <v>0</v>
      </c>
      <c r="I454" s="72">
        <v>0</v>
      </c>
      <c r="J454" s="73">
        <v>0</v>
      </c>
      <c r="K454" s="72">
        <v>0</v>
      </c>
      <c r="L454" s="73">
        <v>0</v>
      </c>
      <c r="M454" s="72">
        <v>0</v>
      </c>
      <c r="N454" s="73">
        <v>0</v>
      </c>
      <c r="O454" s="72">
        <v>0</v>
      </c>
      <c r="P454" s="73">
        <v>0</v>
      </c>
      <c r="Q454" s="72">
        <v>0</v>
      </c>
      <c r="R454" s="73">
        <v>1.3768333333333413</v>
      </c>
      <c r="S454" s="72">
        <v>4.3921666666666583</v>
      </c>
      <c r="T454" s="73">
        <v>5.7505000000000068</v>
      </c>
      <c r="U454" s="72">
        <v>6.4864999999999915</v>
      </c>
      <c r="V454" s="73">
        <v>5.048333333333332</v>
      </c>
      <c r="W454" s="72">
        <v>0</v>
      </c>
      <c r="X454" s="73">
        <v>0</v>
      </c>
      <c r="Y454" s="72">
        <v>0</v>
      </c>
      <c r="Z454" s="73">
        <v>0</v>
      </c>
      <c r="AA454" s="72">
        <v>0</v>
      </c>
      <c r="AB454" s="73">
        <v>0</v>
      </c>
      <c r="AC454" s="238">
        <f t="shared" si="24"/>
        <v>23.054333333333332</v>
      </c>
      <c r="AD454" s="238"/>
      <c r="AE454" s="238"/>
    </row>
    <row r="455" spans="2:31" x14ac:dyDescent="0.3">
      <c r="B455" s="245" t="s">
        <v>44</v>
      </c>
      <c r="C455" s="245"/>
      <c r="D455" s="245"/>
      <c r="E455" s="72">
        <v>0</v>
      </c>
      <c r="F455" s="73">
        <v>0</v>
      </c>
      <c r="G455" s="72">
        <v>0</v>
      </c>
      <c r="H455" s="73">
        <v>0</v>
      </c>
      <c r="I455" s="72">
        <v>0</v>
      </c>
      <c r="J455" s="73">
        <v>0</v>
      </c>
      <c r="K455" s="72">
        <v>0</v>
      </c>
      <c r="L455" s="73">
        <v>0</v>
      </c>
      <c r="M455" s="72">
        <v>0</v>
      </c>
      <c r="N455" s="73">
        <v>0</v>
      </c>
      <c r="O455" s="72">
        <v>0</v>
      </c>
      <c r="P455" s="73">
        <v>0</v>
      </c>
      <c r="Q455" s="72">
        <v>0</v>
      </c>
      <c r="R455" s="73">
        <v>0</v>
      </c>
      <c r="S455" s="72">
        <v>0</v>
      </c>
      <c r="T455" s="73">
        <v>0</v>
      </c>
      <c r="U455" s="72">
        <v>0</v>
      </c>
      <c r="V455" s="73">
        <v>0</v>
      </c>
      <c r="W455" s="72">
        <v>0</v>
      </c>
      <c r="X455" s="73">
        <v>0</v>
      </c>
      <c r="Y455" s="72">
        <v>0</v>
      </c>
      <c r="Z455" s="73">
        <v>0</v>
      </c>
      <c r="AA455" s="72">
        <v>0</v>
      </c>
      <c r="AB455" s="73">
        <v>0</v>
      </c>
      <c r="AC455" s="238">
        <f t="shared" si="24"/>
        <v>0</v>
      </c>
      <c r="AD455" s="238"/>
      <c r="AE455" s="238"/>
    </row>
    <row r="456" spans="2:31" x14ac:dyDescent="0.3">
      <c r="B456" s="245" t="s">
        <v>45</v>
      </c>
      <c r="C456" s="245"/>
      <c r="D456" s="245"/>
      <c r="E456" s="72">
        <v>0</v>
      </c>
      <c r="F456" s="73">
        <v>0</v>
      </c>
      <c r="G456" s="72">
        <v>0</v>
      </c>
      <c r="H456" s="73">
        <v>0</v>
      </c>
      <c r="I456" s="72">
        <v>0</v>
      </c>
      <c r="J456" s="73">
        <v>0</v>
      </c>
      <c r="K456" s="72">
        <v>0</v>
      </c>
      <c r="L456" s="73">
        <v>0</v>
      </c>
      <c r="M456" s="72">
        <v>0</v>
      </c>
      <c r="N456" s="73">
        <v>0</v>
      </c>
      <c r="O456" s="72">
        <v>0</v>
      </c>
      <c r="P456" s="73">
        <v>7.083000000000002</v>
      </c>
      <c r="Q456" s="72">
        <v>11.706500000000007</v>
      </c>
      <c r="R456" s="73">
        <v>0</v>
      </c>
      <c r="S456" s="72">
        <v>1.5499999999999983</v>
      </c>
      <c r="T456" s="73">
        <v>0</v>
      </c>
      <c r="U456" s="72">
        <v>20.849999999999998</v>
      </c>
      <c r="V456" s="73">
        <v>0</v>
      </c>
      <c r="W456" s="72">
        <v>1.5788333333333326</v>
      </c>
      <c r="X456" s="73">
        <v>0.5206666666666665</v>
      </c>
      <c r="Y456" s="72">
        <v>0</v>
      </c>
      <c r="Z456" s="73">
        <v>0</v>
      </c>
      <c r="AA456" s="72">
        <v>0</v>
      </c>
      <c r="AB456" s="73">
        <v>0</v>
      </c>
      <c r="AC456" s="238">
        <f t="shared" si="24"/>
        <v>43.289000000000009</v>
      </c>
      <c r="AD456" s="238"/>
      <c r="AE456" s="238"/>
    </row>
    <row r="457" spans="2:31" x14ac:dyDescent="0.3">
      <c r="B457" s="245" t="s">
        <v>46</v>
      </c>
      <c r="C457" s="245"/>
      <c r="D457" s="245"/>
      <c r="E457" s="72">
        <v>0</v>
      </c>
      <c r="F457" s="73">
        <v>0</v>
      </c>
      <c r="G457" s="72">
        <v>0</v>
      </c>
      <c r="H457" s="73">
        <v>0</v>
      </c>
      <c r="I457" s="72">
        <v>0</v>
      </c>
      <c r="J457" s="73">
        <v>0</v>
      </c>
      <c r="K457" s="72">
        <v>0</v>
      </c>
      <c r="L457" s="73">
        <v>0</v>
      </c>
      <c r="M457" s="72">
        <v>0</v>
      </c>
      <c r="N457" s="73">
        <v>0</v>
      </c>
      <c r="O457" s="72">
        <v>0</v>
      </c>
      <c r="P457" s="73">
        <v>0</v>
      </c>
      <c r="Q457" s="72">
        <v>0</v>
      </c>
      <c r="R457" s="73">
        <v>22.571666666666648</v>
      </c>
      <c r="S457" s="72">
        <v>30.436500000000017</v>
      </c>
      <c r="T457" s="73">
        <v>24.43566666666667</v>
      </c>
      <c r="U457" s="72">
        <v>12.529499999999992</v>
      </c>
      <c r="V457" s="73">
        <v>4.584499999999994</v>
      </c>
      <c r="W457" s="72">
        <v>0</v>
      </c>
      <c r="X457" s="73">
        <v>8.6666666666666684E-2</v>
      </c>
      <c r="Y457" s="72">
        <v>0</v>
      </c>
      <c r="Z457" s="73">
        <v>0</v>
      </c>
      <c r="AA457" s="72">
        <v>0</v>
      </c>
      <c r="AB457" s="73">
        <v>0</v>
      </c>
      <c r="AC457" s="238">
        <f t="shared" si="24"/>
        <v>94.644499999999994</v>
      </c>
      <c r="AD457" s="238"/>
      <c r="AE457" s="238"/>
    </row>
    <row r="458" spans="2:31" x14ac:dyDescent="0.3">
      <c r="B458" s="245" t="s">
        <v>47</v>
      </c>
      <c r="C458" s="245"/>
      <c r="D458" s="245"/>
      <c r="E458" s="72">
        <v>0</v>
      </c>
      <c r="F458" s="73">
        <v>0</v>
      </c>
      <c r="G458" s="72">
        <v>0</v>
      </c>
      <c r="H458" s="73">
        <v>0</v>
      </c>
      <c r="I458" s="72">
        <v>0</v>
      </c>
      <c r="J458" s="73">
        <v>0</v>
      </c>
      <c r="K458" s="72">
        <v>0</v>
      </c>
      <c r="L458" s="73">
        <v>0</v>
      </c>
      <c r="M458" s="72">
        <v>0</v>
      </c>
      <c r="N458" s="73">
        <v>0</v>
      </c>
      <c r="O458" s="72">
        <v>0</v>
      </c>
      <c r="P458" s="73">
        <v>0</v>
      </c>
      <c r="Q458" s="72">
        <v>0</v>
      </c>
      <c r="R458" s="73">
        <v>3.1618333333333357</v>
      </c>
      <c r="S458" s="72">
        <v>5.0694999999999952</v>
      </c>
      <c r="T458" s="73">
        <v>5.5923333333333325</v>
      </c>
      <c r="U458" s="72">
        <v>6.6448333333333327</v>
      </c>
      <c r="V458" s="73">
        <v>5.4900000000000047</v>
      </c>
      <c r="W458" s="72">
        <v>5.2333333333333197E-2</v>
      </c>
      <c r="X458" s="73">
        <v>0.22466666666666668</v>
      </c>
      <c r="Y458" s="72">
        <v>0</v>
      </c>
      <c r="Z458" s="73">
        <v>0</v>
      </c>
      <c r="AA458" s="72">
        <v>0</v>
      </c>
      <c r="AB458" s="73">
        <v>0</v>
      </c>
      <c r="AC458" s="238">
        <f t="shared" si="24"/>
        <v>26.235500000000005</v>
      </c>
      <c r="AD458" s="238"/>
      <c r="AE458" s="238"/>
    </row>
    <row r="459" spans="2:31" x14ac:dyDescent="0.3">
      <c r="B459" s="245" t="s">
        <v>48</v>
      </c>
      <c r="C459" s="245"/>
      <c r="D459" s="245"/>
      <c r="E459" s="72">
        <v>0</v>
      </c>
      <c r="F459" s="73">
        <v>0</v>
      </c>
      <c r="G459" s="72">
        <v>0</v>
      </c>
      <c r="H459" s="73">
        <v>0</v>
      </c>
      <c r="I459" s="72">
        <v>0</v>
      </c>
      <c r="J459" s="73">
        <v>0</v>
      </c>
      <c r="K459" s="72">
        <v>0</v>
      </c>
      <c r="L459" s="73">
        <v>0</v>
      </c>
      <c r="M459" s="72">
        <v>0</v>
      </c>
      <c r="N459" s="73">
        <v>0</v>
      </c>
      <c r="O459" s="72">
        <v>0</v>
      </c>
      <c r="P459" s="73">
        <v>1.4999999999999976E-3</v>
      </c>
      <c r="Q459" s="72">
        <v>0</v>
      </c>
      <c r="R459" s="73">
        <v>2.9741666666666688</v>
      </c>
      <c r="S459" s="72">
        <v>4.7120000000000006</v>
      </c>
      <c r="T459" s="73">
        <v>4.8154999999999983</v>
      </c>
      <c r="U459" s="72">
        <v>5.4804999999999984</v>
      </c>
      <c r="V459" s="73">
        <v>4.5399999999999956</v>
      </c>
      <c r="W459" s="72">
        <v>0.17866666666666539</v>
      </c>
      <c r="X459" s="73">
        <v>0.30666666666666664</v>
      </c>
      <c r="Y459" s="72">
        <v>0</v>
      </c>
      <c r="Z459" s="73">
        <v>0</v>
      </c>
      <c r="AA459" s="72">
        <v>0</v>
      </c>
      <c r="AB459" s="73">
        <v>0</v>
      </c>
      <c r="AC459" s="238">
        <f t="shared" si="24"/>
        <v>23.008999999999993</v>
      </c>
      <c r="AD459" s="238"/>
      <c r="AE459" s="238"/>
    </row>
    <row r="460" spans="2:31" x14ac:dyDescent="0.3">
      <c r="B460" s="245" t="s">
        <v>49</v>
      </c>
      <c r="C460" s="245"/>
      <c r="D460" s="245"/>
      <c r="E460" s="72">
        <v>0</v>
      </c>
      <c r="F460" s="73">
        <v>0</v>
      </c>
      <c r="G460" s="72">
        <v>0</v>
      </c>
      <c r="H460" s="73">
        <v>0</v>
      </c>
      <c r="I460" s="72">
        <v>0</v>
      </c>
      <c r="J460" s="73">
        <v>0</v>
      </c>
      <c r="K460" s="72">
        <v>0</v>
      </c>
      <c r="L460" s="73">
        <v>0</v>
      </c>
      <c r="M460" s="72">
        <v>0</v>
      </c>
      <c r="N460" s="73">
        <v>0</v>
      </c>
      <c r="O460" s="72">
        <v>8.0999999999999905E-2</v>
      </c>
      <c r="P460" s="73">
        <v>3.9666666666666711E-2</v>
      </c>
      <c r="Q460" s="72">
        <v>0.12783333333333333</v>
      </c>
      <c r="R460" s="73">
        <v>6.2000000000000187E-2</v>
      </c>
      <c r="S460" s="72">
        <v>6.1166666666666814E-2</v>
      </c>
      <c r="T460" s="73">
        <v>3.3666666666666775E-2</v>
      </c>
      <c r="U460" s="72">
        <v>6.8166666666666847E-2</v>
      </c>
      <c r="V460" s="73">
        <v>0.11566666666666663</v>
      </c>
      <c r="W460" s="72">
        <v>0</v>
      </c>
      <c r="X460" s="73">
        <v>0</v>
      </c>
      <c r="Y460" s="72">
        <v>0</v>
      </c>
      <c r="Z460" s="73">
        <v>0</v>
      </c>
      <c r="AA460" s="72">
        <v>0</v>
      </c>
      <c r="AB460" s="73">
        <v>0</v>
      </c>
      <c r="AC460" s="238">
        <f t="shared" si="24"/>
        <v>0.58916666666666717</v>
      </c>
      <c r="AD460" s="238"/>
      <c r="AE460" s="238"/>
    </row>
    <row r="461" spans="2:31" x14ac:dyDescent="0.3">
      <c r="B461" s="245" t="s">
        <v>50</v>
      </c>
      <c r="C461" s="245"/>
      <c r="D461" s="245"/>
      <c r="E461" s="72">
        <v>0</v>
      </c>
      <c r="F461" s="73">
        <v>0</v>
      </c>
      <c r="G461" s="72">
        <v>0</v>
      </c>
      <c r="H461" s="73">
        <v>0</v>
      </c>
      <c r="I461" s="72">
        <v>0</v>
      </c>
      <c r="J461" s="73">
        <v>0</v>
      </c>
      <c r="K461" s="72">
        <v>0</v>
      </c>
      <c r="L461" s="73">
        <v>0</v>
      </c>
      <c r="M461" s="72">
        <v>0</v>
      </c>
      <c r="N461" s="73">
        <v>0</v>
      </c>
      <c r="O461" s="72">
        <v>0</v>
      </c>
      <c r="P461" s="73">
        <v>0</v>
      </c>
      <c r="Q461" s="72">
        <v>0</v>
      </c>
      <c r="R461" s="73">
        <v>0</v>
      </c>
      <c r="S461" s="72">
        <v>0</v>
      </c>
      <c r="T461" s="73">
        <v>0.12066666666666682</v>
      </c>
      <c r="U461" s="72">
        <v>0.32566666666666627</v>
      </c>
      <c r="V461" s="73">
        <v>10.42716666666667</v>
      </c>
      <c r="W461" s="72">
        <v>0</v>
      </c>
      <c r="X461" s="73">
        <v>0</v>
      </c>
      <c r="Y461" s="72">
        <v>0</v>
      </c>
      <c r="Z461" s="73">
        <v>0</v>
      </c>
      <c r="AA461" s="72">
        <v>0</v>
      </c>
      <c r="AB461" s="73">
        <v>0</v>
      </c>
      <c r="AC461" s="238">
        <f t="shared" si="24"/>
        <v>10.873500000000003</v>
      </c>
      <c r="AD461" s="238"/>
      <c r="AE461" s="238"/>
    </row>
    <row r="462" spans="2:31" x14ac:dyDescent="0.3">
      <c r="B462" s="245" t="s">
        <v>97</v>
      </c>
      <c r="C462" s="245"/>
      <c r="D462" s="245"/>
      <c r="E462" s="72">
        <v>0</v>
      </c>
      <c r="F462" s="73">
        <v>0</v>
      </c>
      <c r="G462" s="72">
        <v>0</v>
      </c>
      <c r="H462" s="73">
        <v>0</v>
      </c>
      <c r="I462" s="72">
        <v>0</v>
      </c>
      <c r="J462" s="73">
        <v>0</v>
      </c>
      <c r="K462" s="72">
        <v>0</v>
      </c>
      <c r="L462" s="73">
        <v>0</v>
      </c>
      <c r="M462" s="72">
        <v>0</v>
      </c>
      <c r="N462" s="73">
        <v>0</v>
      </c>
      <c r="O462" s="72">
        <v>0</v>
      </c>
      <c r="P462" s="73">
        <v>0</v>
      </c>
      <c r="Q462" s="72">
        <v>0</v>
      </c>
      <c r="R462" s="73">
        <v>0</v>
      </c>
      <c r="S462" s="72">
        <v>0</v>
      </c>
      <c r="T462" s="73">
        <v>0</v>
      </c>
      <c r="U462" s="72">
        <v>0</v>
      </c>
      <c r="V462" s="73">
        <v>0</v>
      </c>
      <c r="W462" s="72">
        <v>0</v>
      </c>
      <c r="X462" s="73">
        <v>0</v>
      </c>
      <c r="Y462" s="72">
        <v>0</v>
      </c>
      <c r="Z462" s="73">
        <v>0</v>
      </c>
      <c r="AA462" s="72">
        <v>0</v>
      </c>
      <c r="AB462" s="73">
        <v>0</v>
      </c>
      <c r="AC462" s="238">
        <f t="shared" si="24"/>
        <v>0</v>
      </c>
      <c r="AD462" s="238"/>
      <c r="AE462" s="238"/>
    </row>
    <row r="463" spans="2:31" x14ac:dyDescent="0.3">
      <c r="B463" s="245" t="s">
        <v>51</v>
      </c>
      <c r="C463" s="245"/>
      <c r="D463" s="245"/>
      <c r="E463" s="72">
        <v>0</v>
      </c>
      <c r="F463" s="73">
        <v>0</v>
      </c>
      <c r="G463" s="72">
        <v>0</v>
      </c>
      <c r="H463" s="73">
        <v>0</v>
      </c>
      <c r="I463" s="72">
        <v>0</v>
      </c>
      <c r="J463" s="73">
        <v>0</v>
      </c>
      <c r="K463" s="72">
        <v>0</v>
      </c>
      <c r="L463" s="73">
        <v>0</v>
      </c>
      <c r="M463" s="72">
        <v>0</v>
      </c>
      <c r="N463" s="73">
        <v>0</v>
      </c>
      <c r="O463" s="72">
        <v>0</v>
      </c>
      <c r="P463" s="73">
        <v>0</v>
      </c>
      <c r="Q463" s="72">
        <v>0</v>
      </c>
      <c r="R463" s="73">
        <v>9.7254999999999985</v>
      </c>
      <c r="S463" s="72">
        <v>16.732833333333328</v>
      </c>
      <c r="T463" s="73">
        <v>3.7006666666666672</v>
      </c>
      <c r="U463" s="72">
        <v>0</v>
      </c>
      <c r="V463" s="73">
        <v>0</v>
      </c>
      <c r="W463" s="72">
        <v>0</v>
      </c>
      <c r="X463" s="73">
        <v>0</v>
      </c>
      <c r="Y463" s="72">
        <v>0</v>
      </c>
      <c r="Z463" s="73">
        <v>0</v>
      </c>
      <c r="AA463" s="72">
        <v>0</v>
      </c>
      <c r="AB463" s="73">
        <v>0</v>
      </c>
      <c r="AC463" s="238">
        <f t="shared" si="24"/>
        <v>30.158999999999995</v>
      </c>
      <c r="AD463" s="238"/>
      <c r="AE463" s="238"/>
    </row>
    <row r="464" spans="2:31" x14ac:dyDescent="0.3">
      <c r="B464" s="245" t="s">
        <v>52</v>
      </c>
      <c r="C464" s="245"/>
      <c r="D464" s="245"/>
      <c r="E464" s="72">
        <v>0</v>
      </c>
      <c r="F464" s="73">
        <v>0</v>
      </c>
      <c r="G464" s="72">
        <v>0</v>
      </c>
      <c r="H464" s="73">
        <v>0</v>
      </c>
      <c r="I464" s="72">
        <v>0</v>
      </c>
      <c r="J464" s="73">
        <v>0</v>
      </c>
      <c r="K464" s="72">
        <v>0</v>
      </c>
      <c r="L464" s="73">
        <v>0</v>
      </c>
      <c r="M464" s="72">
        <v>0</v>
      </c>
      <c r="N464" s="73">
        <v>0</v>
      </c>
      <c r="O464" s="72">
        <v>0</v>
      </c>
      <c r="P464" s="73">
        <v>0</v>
      </c>
      <c r="Q464" s="72">
        <v>0</v>
      </c>
      <c r="R464" s="73">
        <v>0</v>
      </c>
      <c r="S464" s="72">
        <v>0</v>
      </c>
      <c r="T464" s="73">
        <v>0</v>
      </c>
      <c r="U464" s="72">
        <v>0</v>
      </c>
      <c r="V464" s="73">
        <v>0</v>
      </c>
      <c r="W464" s="72">
        <v>0</v>
      </c>
      <c r="X464" s="73">
        <v>0</v>
      </c>
      <c r="Y464" s="72">
        <v>0</v>
      </c>
      <c r="Z464" s="73">
        <v>0</v>
      </c>
      <c r="AA464" s="72">
        <v>0</v>
      </c>
      <c r="AB464" s="73">
        <v>0</v>
      </c>
      <c r="AC464" s="238">
        <f t="shared" si="24"/>
        <v>0</v>
      </c>
      <c r="AD464" s="238"/>
      <c r="AE464" s="238"/>
    </row>
    <row r="465" spans="2:31" x14ac:dyDescent="0.3">
      <c r="B465" s="245" t="s">
        <v>53</v>
      </c>
      <c r="C465" s="245"/>
      <c r="D465" s="245"/>
      <c r="E465" s="72">
        <v>0</v>
      </c>
      <c r="F465" s="73">
        <v>0</v>
      </c>
      <c r="G465" s="72">
        <v>0</v>
      </c>
      <c r="H465" s="73">
        <v>0</v>
      </c>
      <c r="I465" s="72">
        <v>0</v>
      </c>
      <c r="J465" s="73">
        <v>0</v>
      </c>
      <c r="K465" s="72">
        <v>0</v>
      </c>
      <c r="L465" s="73">
        <v>0</v>
      </c>
      <c r="M465" s="72">
        <v>0</v>
      </c>
      <c r="N465" s="73">
        <v>0</v>
      </c>
      <c r="O465" s="72">
        <v>0</v>
      </c>
      <c r="P465" s="73">
        <v>0</v>
      </c>
      <c r="Q465" s="72">
        <v>0</v>
      </c>
      <c r="R465" s="73">
        <v>0</v>
      </c>
      <c r="S465" s="72">
        <v>0</v>
      </c>
      <c r="T465" s="73">
        <v>0</v>
      </c>
      <c r="U465" s="72">
        <v>0</v>
      </c>
      <c r="V465" s="73">
        <v>0</v>
      </c>
      <c r="W465" s="72">
        <v>0</v>
      </c>
      <c r="X465" s="73">
        <v>0</v>
      </c>
      <c r="Y465" s="72">
        <v>0</v>
      </c>
      <c r="Z465" s="73">
        <v>0</v>
      </c>
      <c r="AA465" s="72">
        <v>0</v>
      </c>
      <c r="AB465" s="73">
        <v>0</v>
      </c>
      <c r="AC465" s="238">
        <f t="shared" si="24"/>
        <v>0</v>
      </c>
      <c r="AD465" s="238"/>
      <c r="AE465" s="238"/>
    </row>
    <row r="466" spans="2:31" x14ac:dyDescent="0.3">
      <c r="B466" s="245" t="s">
        <v>54</v>
      </c>
      <c r="C466" s="245"/>
      <c r="D466" s="245"/>
      <c r="E466" s="72">
        <v>0</v>
      </c>
      <c r="F466" s="73">
        <v>0</v>
      </c>
      <c r="G466" s="72">
        <v>0</v>
      </c>
      <c r="H466" s="73">
        <v>0</v>
      </c>
      <c r="I466" s="72">
        <v>0</v>
      </c>
      <c r="J466" s="73">
        <v>0</v>
      </c>
      <c r="K466" s="72">
        <v>0</v>
      </c>
      <c r="L466" s="73">
        <v>0</v>
      </c>
      <c r="M466" s="72">
        <v>0</v>
      </c>
      <c r="N466" s="73">
        <v>0</v>
      </c>
      <c r="O466" s="72">
        <v>0</v>
      </c>
      <c r="P466" s="73">
        <v>0</v>
      </c>
      <c r="Q466" s="72">
        <v>0</v>
      </c>
      <c r="R466" s="73">
        <v>0</v>
      </c>
      <c r="S466" s="72">
        <v>1.0766666666666667</v>
      </c>
      <c r="T466" s="73">
        <v>0</v>
      </c>
      <c r="U466" s="72">
        <v>0</v>
      </c>
      <c r="V466" s="73">
        <v>0</v>
      </c>
      <c r="W466" s="72">
        <v>0</v>
      </c>
      <c r="X466" s="73">
        <v>0</v>
      </c>
      <c r="Y466" s="72">
        <v>0</v>
      </c>
      <c r="Z466" s="73">
        <v>0</v>
      </c>
      <c r="AA466" s="72">
        <v>0</v>
      </c>
      <c r="AB466" s="73">
        <v>0</v>
      </c>
      <c r="AC466" s="238">
        <f t="shared" si="24"/>
        <v>1.0766666666666667</v>
      </c>
      <c r="AD466" s="238"/>
      <c r="AE466" s="238"/>
    </row>
    <row r="467" spans="2:31" x14ac:dyDescent="0.3">
      <c r="B467" s="245" t="s">
        <v>55</v>
      </c>
      <c r="C467" s="245"/>
      <c r="D467" s="245"/>
      <c r="E467" s="72">
        <v>0</v>
      </c>
      <c r="F467" s="73">
        <v>0</v>
      </c>
      <c r="G467" s="72">
        <v>0</v>
      </c>
      <c r="H467" s="73">
        <v>0</v>
      </c>
      <c r="I467" s="72">
        <v>0</v>
      </c>
      <c r="J467" s="73">
        <v>0</v>
      </c>
      <c r="K467" s="72">
        <v>0</v>
      </c>
      <c r="L467" s="73">
        <v>0</v>
      </c>
      <c r="M467" s="72">
        <v>0</v>
      </c>
      <c r="N467" s="73">
        <v>0</v>
      </c>
      <c r="O467" s="72">
        <v>0</v>
      </c>
      <c r="P467" s="73">
        <v>0</v>
      </c>
      <c r="Q467" s="72">
        <v>0</v>
      </c>
      <c r="R467" s="73">
        <v>0</v>
      </c>
      <c r="S467" s="72">
        <v>0</v>
      </c>
      <c r="T467" s="73">
        <v>0</v>
      </c>
      <c r="U467" s="72">
        <v>0</v>
      </c>
      <c r="V467" s="73">
        <v>0</v>
      </c>
      <c r="W467" s="72">
        <v>0</v>
      </c>
      <c r="X467" s="73">
        <v>0</v>
      </c>
      <c r="Y467" s="72">
        <v>0</v>
      </c>
      <c r="Z467" s="73">
        <v>0</v>
      </c>
      <c r="AA467" s="72">
        <v>0</v>
      </c>
      <c r="AB467" s="73">
        <v>0</v>
      </c>
      <c r="AC467" s="238">
        <f t="shared" si="24"/>
        <v>0</v>
      </c>
      <c r="AD467" s="238"/>
      <c r="AE467" s="238"/>
    </row>
    <row r="468" spans="2:31" x14ac:dyDescent="0.3">
      <c r="B468" s="245" t="s">
        <v>56</v>
      </c>
      <c r="C468" s="245"/>
      <c r="D468" s="245"/>
      <c r="E468" s="72">
        <v>0</v>
      </c>
      <c r="F468" s="73">
        <v>0</v>
      </c>
      <c r="G468" s="72">
        <v>0</v>
      </c>
      <c r="H468" s="73">
        <v>0</v>
      </c>
      <c r="I468" s="72">
        <v>0</v>
      </c>
      <c r="J468" s="73">
        <v>0</v>
      </c>
      <c r="K468" s="72">
        <v>0</v>
      </c>
      <c r="L468" s="73">
        <v>0</v>
      </c>
      <c r="M468" s="72">
        <v>0</v>
      </c>
      <c r="N468" s="73">
        <v>0</v>
      </c>
      <c r="O468" s="72">
        <v>0</v>
      </c>
      <c r="P468" s="73">
        <v>0</v>
      </c>
      <c r="Q468" s="72">
        <v>0</v>
      </c>
      <c r="R468" s="73">
        <v>0</v>
      </c>
      <c r="S468" s="72">
        <v>0</v>
      </c>
      <c r="T468" s="73">
        <v>0</v>
      </c>
      <c r="U468" s="72">
        <v>0</v>
      </c>
      <c r="V468" s="73">
        <v>0</v>
      </c>
      <c r="W468" s="72">
        <v>0</v>
      </c>
      <c r="X468" s="73">
        <v>0</v>
      </c>
      <c r="Y468" s="72">
        <v>0</v>
      </c>
      <c r="Z468" s="73">
        <v>0</v>
      </c>
      <c r="AA468" s="72">
        <v>0</v>
      </c>
      <c r="AB468" s="73">
        <v>0</v>
      </c>
      <c r="AC468" s="238">
        <f t="shared" si="24"/>
        <v>0</v>
      </c>
      <c r="AD468" s="238"/>
      <c r="AE468" s="238"/>
    </row>
    <row r="469" spans="2:31" x14ac:dyDescent="0.3">
      <c r="B469" s="245" t="s">
        <v>94</v>
      </c>
      <c r="C469" s="245"/>
      <c r="D469" s="245"/>
      <c r="E469" s="72">
        <v>0</v>
      </c>
      <c r="F469" s="73">
        <v>0</v>
      </c>
      <c r="G469" s="72">
        <v>0</v>
      </c>
      <c r="H469" s="73">
        <v>0</v>
      </c>
      <c r="I469" s="72">
        <v>0</v>
      </c>
      <c r="J469" s="73">
        <v>0</v>
      </c>
      <c r="K469" s="72">
        <v>0</v>
      </c>
      <c r="L469" s="73">
        <v>0</v>
      </c>
      <c r="M469" s="72">
        <v>0</v>
      </c>
      <c r="N469" s="73">
        <v>0</v>
      </c>
      <c r="O469" s="72">
        <v>0</v>
      </c>
      <c r="P469" s="73">
        <v>0</v>
      </c>
      <c r="Q469" s="72">
        <v>0</v>
      </c>
      <c r="R469" s="73">
        <v>0</v>
      </c>
      <c r="S469" s="72">
        <v>0</v>
      </c>
      <c r="T469" s="73">
        <v>0</v>
      </c>
      <c r="U469" s="72">
        <v>0</v>
      </c>
      <c r="V469" s="73">
        <v>0</v>
      </c>
      <c r="W469" s="72">
        <v>0</v>
      </c>
      <c r="X469" s="73">
        <v>0</v>
      </c>
      <c r="Y469" s="72">
        <v>0</v>
      </c>
      <c r="Z469" s="73">
        <v>0</v>
      </c>
      <c r="AA469" s="72">
        <v>0</v>
      </c>
      <c r="AB469" s="73">
        <v>0</v>
      </c>
      <c r="AC469" s="238">
        <f t="shared" si="24"/>
        <v>0</v>
      </c>
      <c r="AD469" s="238"/>
      <c r="AE469" s="238"/>
    </row>
    <row r="470" spans="2:31" x14ac:dyDescent="0.3">
      <c r="B470" s="245" t="s">
        <v>57</v>
      </c>
      <c r="C470" s="245"/>
      <c r="D470" s="245"/>
      <c r="E470" s="72">
        <v>0</v>
      </c>
      <c r="F470" s="73">
        <v>0</v>
      </c>
      <c r="G470" s="72">
        <v>0</v>
      </c>
      <c r="H470" s="73">
        <v>0</v>
      </c>
      <c r="I470" s="72">
        <v>0</v>
      </c>
      <c r="J470" s="73">
        <v>0</v>
      </c>
      <c r="K470" s="72">
        <v>0</v>
      </c>
      <c r="L470" s="73">
        <v>0</v>
      </c>
      <c r="M470" s="72">
        <v>0</v>
      </c>
      <c r="N470" s="73">
        <v>0</v>
      </c>
      <c r="O470" s="72">
        <v>0</v>
      </c>
      <c r="P470" s="73">
        <v>0</v>
      </c>
      <c r="Q470" s="72">
        <v>0</v>
      </c>
      <c r="R470" s="73">
        <v>1.0775000000000006</v>
      </c>
      <c r="S470" s="72">
        <v>3.6999999999999984E-2</v>
      </c>
      <c r="T470" s="73">
        <v>0</v>
      </c>
      <c r="U470" s="72">
        <v>0</v>
      </c>
      <c r="V470" s="73">
        <v>0</v>
      </c>
      <c r="W470" s="72">
        <v>0</v>
      </c>
      <c r="X470" s="73">
        <v>0</v>
      </c>
      <c r="Y470" s="72">
        <v>0</v>
      </c>
      <c r="Z470" s="73">
        <v>0</v>
      </c>
      <c r="AA470" s="72">
        <v>0</v>
      </c>
      <c r="AB470" s="73">
        <v>0</v>
      </c>
      <c r="AC470" s="238">
        <f t="shared" si="24"/>
        <v>1.1145000000000005</v>
      </c>
      <c r="AD470" s="238"/>
      <c r="AE470" s="238"/>
    </row>
    <row r="471" spans="2:31" x14ac:dyDescent="0.3">
      <c r="B471" s="245" t="s">
        <v>58</v>
      </c>
      <c r="C471" s="245"/>
      <c r="D471" s="245"/>
      <c r="E471" s="72">
        <v>0</v>
      </c>
      <c r="F471" s="73">
        <v>0</v>
      </c>
      <c r="G471" s="72">
        <v>0</v>
      </c>
      <c r="H471" s="73">
        <v>0</v>
      </c>
      <c r="I471" s="72">
        <v>0</v>
      </c>
      <c r="J471" s="73">
        <v>0</v>
      </c>
      <c r="K471" s="72">
        <v>0</v>
      </c>
      <c r="L471" s="73">
        <v>0</v>
      </c>
      <c r="M471" s="72">
        <v>0</v>
      </c>
      <c r="N471" s="73">
        <v>0</v>
      </c>
      <c r="O471" s="72">
        <v>0</v>
      </c>
      <c r="P471" s="73">
        <v>0</v>
      </c>
      <c r="Q471" s="72">
        <v>0</v>
      </c>
      <c r="R471" s="73">
        <v>2.0916666666666677</v>
      </c>
      <c r="S471" s="72">
        <v>0.77866666666666629</v>
      </c>
      <c r="T471" s="73">
        <v>0.14316666666666683</v>
      </c>
      <c r="U471" s="72">
        <v>0</v>
      </c>
      <c r="V471" s="73">
        <v>0</v>
      </c>
      <c r="W471" s="72">
        <v>0</v>
      </c>
      <c r="X471" s="73">
        <v>0</v>
      </c>
      <c r="Y471" s="72">
        <v>0</v>
      </c>
      <c r="Z471" s="73">
        <v>0</v>
      </c>
      <c r="AA471" s="72">
        <v>0</v>
      </c>
      <c r="AB471" s="73">
        <v>0</v>
      </c>
      <c r="AC471" s="238">
        <f t="shared" si="24"/>
        <v>3.0135000000000005</v>
      </c>
      <c r="AD471" s="238"/>
      <c r="AE471" s="238"/>
    </row>
    <row r="472" spans="2:31" x14ac:dyDescent="0.3">
      <c r="B472" s="245" t="s">
        <v>95</v>
      </c>
      <c r="C472" s="245"/>
      <c r="D472" s="245"/>
      <c r="E472" s="72">
        <v>0</v>
      </c>
      <c r="F472" s="73">
        <v>0</v>
      </c>
      <c r="G472" s="72">
        <v>0</v>
      </c>
      <c r="H472" s="73">
        <v>0</v>
      </c>
      <c r="I472" s="72">
        <v>0</v>
      </c>
      <c r="J472" s="73">
        <v>0</v>
      </c>
      <c r="K472" s="72">
        <v>0</v>
      </c>
      <c r="L472" s="73">
        <v>0</v>
      </c>
      <c r="M472" s="72">
        <v>0</v>
      </c>
      <c r="N472" s="73">
        <v>0</v>
      </c>
      <c r="O472" s="72">
        <v>0</v>
      </c>
      <c r="P472" s="73">
        <v>0</v>
      </c>
      <c r="Q472" s="72">
        <v>0</v>
      </c>
      <c r="R472" s="73">
        <v>0</v>
      </c>
      <c r="S472" s="72">
        <v>0</v>
      </c>
      <c r="T472" s="73">
        <v>0</v>
      </c>
      <c r="U472" s="72">
        <v>0</v>
      </c>
      <c r="V472" s="73">
        <v>0</v>
      </c>
      <c r="W472" s="72">
        <v>0</v>
      </c>
      <c r="X472" s="73">
        <v>0</v>
      </c>
      <c r="Y472" s="72">
        <v>0</v>
      </c>
      <c r="Z472" s="73">
        <v>0</v>
      </c>
      <c r="AA472" s="72">
        <v>0</v>
      </c>
      <c r="AB472" s="73">
        <v>0</v>
      </c>
      <c r="AC472" s="238">
        <f t="shared" si="24"/>
        <v>0</v>
      </c>
      <c r="AD472" s="238"/>
      <c r="AE472" s="238"/>
    </row>
    <row r="473" spans="2:31" x14ac:dyDescent="0.3">
      <c r="B473" s="245" t="s">
        <v>59</v>
      </c>
      <c r="C473" s="245"/>
      <c r="D473" s="245"/>
      <c r="E473" s="72">
        <v>0</v>
      </c>
      <c r="F473" s="73">
        <v>0</v>
      </c>
      <c r="G473" s="72">
        <v>0</v>
      </c>
      <c r="H473" s="73">
        <v>0</v>
      </c>
      <c r="I473" s="72">
        <v>0</v>
      </c>
      <c r="J473" s="73">
        <v>0</v>
      </c>
      <c r="K473" s="72">
        <v>0</v>
      </c>
      <c r="L473" s="73">
        <v>0</v>
      </c>
      <c r="M473" s="72">
        <v>0</v>
      </c>
      <c r="N473" s="73">
        <v>16.009666666666682</v>
      </c>
      <c r="O473" s="72">
        <v>21.787666666666656</v>
      </c>
      <c r="P473" s="73">
        <v>22.609500000000001</v>
      </c>
      <c r="Q473" s="72">
        <v>22.497166666666672</v>
      </c>
      <c r="R473" s="73">
        <v>22.30333333333332</v>
      </c>
      <c r="S473" s="72">
        <v>23.701499999999999</v>
      </c>
      <c r="T473" s="73">
        <v>5.1146666666666647</v>
      </c>
      <c r="U473" s="72">
        <v>0</v>
      </c>
      <c r="V473" s="73">
        <v>0</v>
      </c>
      <c r="W473" s="72">
        <v>0</v>
      </c>
      <c r="X473" s="73">
        <v>0</v>
      </c>
      <c r="Y473" s="72">
        <v>0</v>
      </c>
      <c r="Z473" s="73">
        <v>0</v>
      </c>
      <c r="AA473" s="72">
        <v>0</v>
      </c>
      <c r="AB473" s="73">
        <v>0</v>
      </c>
      <c r="AC473" s="238">
        <f t="shared" si="24"/>
        <v>134.02350000000001</v>
      </c>
      <c r="AD473" s="238"/>
      <c r="AE473" s="238"/>
    </row>
    <row r="474" spans="2:31" x14ac:dyDescent="0.3">
      <c r="B474" s="245" t="s">
        <v>60</v>
      </c>
      <c r="C474" s="245"/>
      <c r="D474" s="245"/>
      <c r="E474" s="72">
        <v>0</v>
      </c>
      <c r="F474" s="73">
        <v>0</v>
      </c>
      <c r="G474" s="72">
        <v>0</v>
      </c>
      <c r="H474" s="73">
        <v>0</v>
      </c>
      <c r="I474" s="72">
        <v>0</v>
      </c>
      <c r="J474" s="73">
        <v>0</v>
      </c>
      <c r="K474" s="72">
        <v>0</v>
      </c>
      <c r="L474" s="73">
        <v>0</v>
      </c>
      <c r="M474" s="72">
        <v>0</v>
      </c>
      <c r="N474" s="73">
        <v>2.2441666666666644</v>
      </c>
      <c r="O474" s="72">
        <v>12.80516666666667</v>
      </c>
      <c r="P474" s="73">
        <v>16.131333333333345</v>
      </c>
      <c r="Q474" s="72">
        <v>17.172000000000011</v>
      </c>
      <c r="R474" s="73">
        <v>16.924666666666681</v>
      </c>
      <c r="S474" s="72">
        <v>17.288333333333341</v>
      </c>
      <c r="T474" s="73">
        <v>3.6520000000000001</v>
      </c>
      <c r="U474" s="72">
        <v>0</v>
      </c>
      <c r="V474" s="73">
        <v>0</v>
      </c>
      <c r="W474" s="72">
        <v>0</v>
      </c>
      <c r="X474" s="73">
        <v>0</v>
      </c>
      <c r="Y474" s="72">
        <v>0</v>
      </c>
      <c r="Z474" s="73">
        <v>0</v>
      </c>
      <c r="AA474" s="72">
        <v>0</v>
      </c>
      <c r="AB474" s="73">
        <v>0</v>
      </c>
      <c r="AC474" s="238">
        <f t="shared" si="24"/>
        <v>86.217666666666716</v>
      </c>
      <c r="AD474" s="238"/>
      <c r="AE474" s="238"/>
    </row>
    <row r="475" spans="2:31" x14ac:dyDescent="0.3">
      <c r="B475" s="245" t="s">
        <v>61</v>
      </c>
      <c r="C475" s="245"/>
      <c r="D475" s="245"/>
      <c r="E475" s="72">
        <v>0</v>
      </c>
      <c r="F475" s="73">
        <v>0</v>
      </c>
      <c r="G475" s="72">
        <v>0</v>
      </c>
      <c r="H475" s="73">
        <v>0</v>
      </c>
      <c r="I475" s="72">
        <v>0</v>
      </c>
      <c r="J475" s="73">
        <v>0</v>
      </c>
      <c r="K475" s="72">
        <v>0</v>
      </c>
      <c r="L475" s="73">
        <v>0</v>
      </c>
      <c r="M475" s="72">
        <v>0</v>
      </c>
      <c r="N475" s="73">
        <v>0</v>
      </c>
      <c r="O475" s="72">
        <v>4.3039999999999985</v>
      </c>
      <c r="P475" s="73">
        <v>3.906999999999996</v>
      </c>
      <c r="Q475" s="72">
        <v>0</v>
      </c>
      <c r="R475" s="73">
        <v>0</v>
      </c>
      <c r="S475" s="72">
        <v>0</v>
      </c>
      <c r="T475" s="73">
        <v>0</v>
      </c>
      <c r="U475" s="72">
        <v>0</v>
      </c>
      <c r="V475" s="73">
        <v>0</v>
      </c>
      <c r="W475" s="72">
        <v>0</v>
      </c>
      <c r="X475" s="73">
        <v>0</v>
      </c>
      <c r="Y475" s="72">
        <v>0</v>
      </c>
      <c r="Z475" s="73">
        <v>0</v>
      </c>
      <c r="AA475" s="72">
        <v>0</v>
      </c>
      <c r="AB475" s="73">
        <v>0</v>
      </c>
      <c r="AC475" s="238">
        <f t="shared" si="24"/>
        <v>8.210999999999995</v>
      </c>
      <c r="AD475" s="238"/>
      <c r="AE475" s="238"/>
    </row>
    <row r="476" spans="2:31" x14ac:dyDescent="0.3">
      <c r="B476" s="245" t="s">
        <v>62</v>
      </c>
      <c r="C476" s="245"/>
      <c r="D476" s="245"/>
      <c r="E476" s="72">
        <v>0</v>
      </c>
      <c r="F476" s="73">
        <v>0</v>
      </c>
      <c r="G476" s="72">
        <v>0</v>
      </c>
      <c r="H476" s="73">
        <v>0</v>
      </c>
      <c r="I476" s="72">
        <v>0</v>
      </c>
      <c r="J476" s="73">
        <v>0</v>
      </c>
      <c r="K476" s="72">
        <v>0</v>
      </c>
      <c r="L476" s="73">
        <v>0</v>
      </c>
      <c r="M476" s="72">
        <v>0</v>
      </c>
      <c r="N476" s="73">
        <v>0</v>
      </c>
      <c r="O476" s="72">
        <v>0</v>
      </c>
      <c r="P476" s="73">
        <v>0</v>
      </c>
      <c r="Q476" s="72">
        <v>0</v>
      </c>
      <c r="R476" s="73">
        <v>0</v>
      </c>
      <c r="S476" s="72">
        <v>0</v>
      </c>
      <c r="T476" s="73">
        <v>0</v>
      </c>
      <c r="U476" s="72">
        <v>0</v>
      </c>
      <c r="V476" s="73">
        <v>0</v>
      </c>
      <c r="W476" s="72">
        <v>0</v>
      </c>
      <c r="X476" s="73">
        <v>0</v>
      </c>
      <c r="Y476" s="72">
        <v>0</v>
      </c>
      <c r="Z476" s="73">
        <v>0</v>
      </c>
      <c r="AA476" s="72">
        <v>0</v>
      </c>
      <c r="AB476" s="73">
        <v>0</v>
      </c>
      <c r="AC476" s="238">
        <f t="shared" si="24"/>
        <v>0</v>
      </c>
      <c r="AD476" s="238"/>
      <c r="AE476" s="238"/>
    </row>
    <row r="477" spans="2:31" x14ac:dyDescent="0.3">
      <c r="B477" s="245" t="s">
        <v>63</v>
      </c>
      <c r="C477" s="245"/>
      <c r="D477" s="245"/>
      <c r="E477" s="72">
        <v>0</v>
      </c>
      <c r="F477" s="73">
        <v>0</v>
      </c>
      <c r="G477" s="72">
        <v>0</v>
      </c>
      <c r="H477" s="73">
        <v>0</v>
      </c>
      <c r="I477" s="72">
        <v>0</v>
      </c>
      <c r="J477" s="73">
        <v>0</v>
      </c>
      <c r="K477" s="72">
        <v>0</v>
      </c>
      <c r="L477" s="73">
        <v>0</v>
      </c>
      <c r="M477" s="72">
        <v>0</v>
      </c>
      <c r="N477" s="73">
        <v>0</v>
      </c>
      <c r="O477" s="72">
        <v>0</v>
      </c>
      <c r="P477" s="73">
        <v>0</v>
      </c>
      <c r="Q477" s="72">
        <v>0</v>
      </c>
      <c r="R477" s="73">
        <v>0</v>
      </c>
      <c r="S477" s="72">
        <v>0</v>
      </c>
      <c r="T477" s="73">
        <v>0</v>
      </c>
      <c r="U477" s="72">
        <v>0</v>
      </c>
      <c r="V477" s="73">
        <v>0</v>
      </c>
      <c r="W477" s="72">
        <v>0</v>
      </c>
      <c r="X477" s="73">
        <v>0</v>
      </c>
      <c r="Y477" s="72">
        <v>0</v>
      </c>
      <c r="Z477" s="73">
        <v>0</v>
      </c>
      <c r="AA477" s="72">
        <v>0</v>
      </c>
      <c r="AB477" s="73">
        <v>0</v>
      </c>
      <c r="AC477" s="238">
        <f t="shared" si="24"/>
        <v>0</v>
      </c>
      <c r="AD477" s="238"/>
      <c r="AE477" s="238"/>
    </row>
    <row r="478" spans="2:31" x14ac:dyDescent="0.3">
      <c r="B478" s="245" t="s">
        <v>64</v>
      </c>
      <c r="C478" s="245"/>
      <c r="D478" s="245"/>
      <c r="E478" s="72">
        <v>0</v>
      </c>
      <c r="F478" s="73">
        <v>0</v>
      </c>
      <c r="G478" s="72">
        <v>0</v>
      </c>
      <c r="H478" s="73">
        <v>0</v>
      </c>
      <c r="I478" s="72">
        <v>0</v>
      </c>
      <c r="J478" s="73">
        <v>0</v>
      </c>
      <c r="K478" s="72">
        <v>0</v>
      </c>
      <c r="L478" s="73">
        <v>0</v>
      </c>
      <c r="M478" s="72">
        <v>0</v>
      </c>
      <c r="N478" s="73">
        <v>0</v>
      </c>
      <c r="O478" s="72">
        <v>0</v>
      </c>
      <c r="P478" s="73">
        <v>0</v>
      </c>
      <c r="Q478" s="72">
        <v>0</v>
      </c>
      <c r="R478" s="73">
        <v>0</v>
      </c>
      <c r="S478" s="72">
        <v>0</v>
      </c>
      <c r="T478" s="73">
        <v>0</v>
      </c>
      <c r="U478" s="72">
        <v>0</v>
      </c>
      <c r="V478" s="73">
        <v>0</v>
      </c>
      <c r="W478" s="72">
        <v>0</v>
      </c>
      <c r="X478" s="73">
        <v>0</v>
      </c>
      <c r="Y478" s="72">
        <v>0</v>
      </c>
      <c r="Z478" s="73">
        <v>0</v>
      </c>
      <c r="AA478" s="72">
        <v>0</v>
      </c>
      <c r="AB478" s="73">
        <v>0</v>
      </c>
      <c r="AC478" s="238">
        <f t="shared" si="24"/>
        <v>0</v>
      </c>
      <c r="AD478" s="238"/>
      <c r="AE478" s="238"/>
    </row>
    <row r="479" spans="2:31" x14ac:dyDescent="0.3">
      <c r="B479" s="245" t="s">
        <v>96</v>
      </c>
      <c r="C479" s="245"/>
      <c r="D479" s="245"/>
      <c r="E479" s="72">
        <v>0</v>
      </c>
      <c r="F479" s="73">
        <v>0</v>
      </c>
      <c r="G479" s="72">
        <v>0</v>
      </c>
      <c r="H479" s="73">
        <v>0</v>
      </c>
      <c r="I479" s="72">
        <v>0</v>
      </c>
      <c r="J479" s="73">
        <v>0</v>
      </c>
      <c r="K479" s="72">
        <v>0</v>
      </c>
      <c r="L479" s="73">
        <v>0</v>
      </c>
      <c r="M479" s="72">
        <v>0</v>
      </c>
      <c r="N479" s="73">
        <v>0</v>
      </c>
      <c r="O479" s="72">
        <v>0</v>
      </c>
      <c r="P479" s="73">
        <v>0</v>
      </c>
      <c r="Q479" s="72">
        <v>0</v>
      </c>
      <c r="R479" s="73">
        <v>0</v>
      </c>
      <c r="S479" s="72">
        <v>0</v>
      </c>
      <c r="T479" s="73">
        <v>0</v>
      </c>
      <c r="U479" s="72">
        <v>0</v>
      </c>
      <c r="V479" s="73">
        <v>0</v>
      </c>
      <c r="W479" s="72">
        <v>0</v>
      </c>
      <c r="X479" s="73">
        <v>0</v>
      </c>
      <c r="Y479" s="72">
        <v>0</v>
      </c>
      <c r="Z479" s="73">
        <v>0</v>
      </c>
      <c r="AA479" s="72">
        <v>0</v>
      </c>
      <c r="AB479" s="73">
        <v>0</v>
      </c>
      <c r="AC479" s="238">
        <f t="shared" si="24"/>
        <v>0</v>
      </c>
      <c r="AD479" s="238"/>
      <c r="AE479" s="238"/>
    </row>
    <row r="480" spans="2:31" x14ac:dyDescent="0.3">
      <c r="B480" s="245" t="s">
        <v>65</v>
      </c>
      <c r="C480" s="245"/>
      <c r="D480" s="245"/>
      <c r="E480" s="72">
        <v>0</v>
      </c>
      <c r="F480" s="73">
        <v>0</v>
      </c>
      <c r="G480" s="72">
        <v>0</v>
      </c>
      <c r="H480" s="73">
        <v>0</v>
      </c>
      <c r="I480" s="72">
        <v>0</v>
      </c>
      <c r="J480" s="73">
        <v>0</v>
      </c>
      <c r="K480" s="72">
        <v>0</v>
      </c>
      <c r="L480" s="73">
        <v>0</v>
      </c>
      <c r="M480" s="72">
        <v>0</v>
      </c>
      <c r="N480" s="73">
        <v>0</v>
      </c>
      <c r="O480" s="72">
        <v>0</v>
      </c>
      <c r="P480" s="73">
        <v>0</v>
      </c>
      <c r="Q480" s="72">
        <v>0</v>
      </c>
      <c r="R480" s="73">
        <v>0</v>
      </c>
      <c r="S480" s="72">
        <v>1.4233333333333344</v>
      </c>
      <c r="T480" s="73">
        <v>0.47433333333333266</v>
      </c>
      <c r="U480" s="72">
        <v>0</v>
      </c>
      <c r="V480" s="73">
        <v>0</v>
      </c>
      <c r="W480" s="72">
        <v>0</v>
      </c>
      <c r="X480" s="73">
        <v>0</v>
      </c>
      <c r="Y480" s="72">
        <v>0</v>
      </c>
      <c r="Z480" s="73">
        <v>0</v>
      </c>
      <c r="AA480" s="72">
        <v>0</v>
      </c>
      <c r="AB480" s="73">
        <v>0</v>
      </c>
      <c r="AC480" s="238">
        <f t="shared" si="24"/>
        <v>1.8976666666666671</v>
      </c>
      <c r="AD480" s="238"/>
      <c r="AE480" s="238"/>
    </row>
    <row r="481" spans="2:31" x14ac:dyDescent="0.3">
      <c r="B481" s="245" t="s">
        <v>66</v>
      </c>
      <c r="C481" s="245"/>
      <c r="D481" s="245"/>
      <c r="E481" s="72">
        <v>0</v>
      </c>
      <c r="F481" s="73">
        <v>0</v>
      </c>
      <c r="G481" s="72">
        <v>0</v>
      </c>
      <c r="H481" s="73">
        <v>0</v>
      </c>
      <c r="I481" s="72">
        <v>0</v>
      </c>
      <c r="J481" s="73">
        <v>0</v>
      </c>
      <c r="K481" s="72">
        <v>0</v>
      </c>
      <c r="L481" s="73">
        <v>0</v>
      </c>
      <c r="M481" s="72">
        <v>0</v>
      </c>
      <c r="N481" s="73">
        <v>0</v>
      </c>
      <c r="O481" s="72">
        <v>0</v>
      </c>
      <c r="P481" s="73">
        <v>0</v>
      </c>
      <c r="Q481" s="72">
        <v>0</v>
      </c>
      <c r="R481" s="73">
        <v>0.23566666666666572</v>
      </c>
      <c r="S481" s="72">
        <v>0.97399999999999953</v>
      </c>
      <c r="T481" s="73">
        <v>0.31799999999999973</v>
      </c>
      <c r="U481" s="72">
        <v>0</v>
      </c>
      <c r="V481" s="73">
        <v>0</v>
      </c>
      <c r="W481" s="72">
        <v>0</v>
      </c>
      <c r="X481" s="73">
        <v>0</v>
      </c>
      <c r="Y481" s="72">
        <v>0</v>
      </c>
      <c r="Z481" s="73">
        <v>0</v>
      </c>
      <c r="AA481" s="72">
        <v>0</v>
      </c>
      <c r="AB481" s="73">
        <v>0</v>
      </c>
      <c r="AC481" s="238">
        <f>SUM(E481:AB481)</f>
        <v>1.527666666666665</v>
      </c>
      <c r="AD481" s="238"/>
      <c r="AE481" s="238"/>
    </row>
    <row r="482" spans="2:31" x14ac:dyDescent="0.3">
      <c r="B482" s="245" t="s">
        <v>67</v>
      </c>
      <c r="C482" s="245"/>
      <c r="D482" s="245"/>
      <c r="E482" s="72">
        <v>0</v>
      </c>
      <c r="F482" s="73">
        <v>0</v>
      </c>
      <c r="G482" s="72">
        <v>0</v>
      </c>
      <c r="H482" s="73">
        <v>0</v>
      </c>
      <c r="I482" s="72">
        <v>0</v>
      </c>
      <c r="J482" s="73">
        <v>0</v>
      </c>
      <c r="K482" s="72">
        <v>0</v>
      </c>
      <c r="L482" s="73">
        <v>0</v>
      </c>
      <c r="M482" s="72">
        <v>0</v>
      </c>
      <c r="N482" s="73">
        <v>0</v>
      </c>
      <c r="O482" s="72">
        <v>0</v>
      </c>
      <c r="P482" s="73">
        <v>0</v>
      </c>
      <c r="Q482" s="72">
        <v>0</v>
      </c>
      <c r="R482" s="73">
        <v>0</v>
      </c>
      <c r="S482" s="72">
        <v>0.15750000000000033</v>
      </c>
      <c r="T482" s="73">
        <v>0</v>
      </c>
      <c r="U482" s="72">
        <v>0</v>
      </c>
      <c r="V482" s="73">
        <v>0</v>
      </c>
      <c r="W482" s="72">
        <v>0</v>
      </c>
      <c r="X482" s="73">
        <v>0</v>
      </c>
      <c r="Y482" s="72">
        <v>0</v>
      </c>
      <c r="Z482" s="73">
        <v>0</v>
      </c>
      <c r="AA482" s="72">
        <v>0</v>
      </c>
      <c r="AB482" s="73">
        <v>0</v>
      </c>
      <c r="AC482" s="238">
        <f t="shared" ref="AC482:AC495" si="25">SUM(E482:AB482)</f>
        <v>0.15750000000000033</v>
      </c>
      <c r="AD482" s="238"/>
      <c r="AE482" s="238"/>
    </row>
    <row r="483" spans="2:31" x14ac:dyDescent="0.3">
      <c r="B483" s="245" t="s">
        <v>68</v>
      </c>
      <c r="C483" s="245"/>
      <c r="D483" s="245"/>
      <c r="E483" s="72">
        <v>0</v>
      </c>
      <c r="F483" s="73">
        <v>0</v>
      </c>
      <c r="G483" s="72">
        <v>0</v>
      </c>
      <c r="H483" s="73">
        <v>0</v>
      </c>
      <c r="I483" s="72">
        <v>0</v>
      </c>
      <c r="J483" s="73">
        <v>0</v>
      </c>
      <c r="K483" s="72">
        <v>0</v>
      </c>
      <c r="L483" s="73">
        <v>0</v>
      </c>
      <c r="M483" s="72">
        <v>0</v>
      </c>
      <c r="N483" s="73">
        <v>0</v>
      </c>
      <c r="O483" s="72">
        <v>0</v>
      </c>
      <c r="P483" s="73">
        <v>0</v>
      </c>
      <c r="Q483" s="72">
        <v>0</v>
      </c>
      <c r="R483" s="73">
        <v>0.66666666666666885</v>
      </c>
      <c r="S483" s="72">
        <v>2.1398333333333341</v>
      </c>
      <c r="T483" s="73">
        <v>0.27850000000000025</v>
      </c>
      <c r="U483" s="72">
        <v>0</v>
      </c>
      <c r="V483" s="73">
        <v>0</v>
      </c>
      <c r="W483" s="72">
        <v>0</v>
      </c>
      <c r="X483" s="73">
        <v>0</v>
      </c>
      <c r="Y483" s="72">
        <v>0</v>
      </c>
      <c r="Z483" s="73">
        <v>0</v>
      </c>
      <c r="AA483" s="72">
        <v>0</v>
      </c>
      <c r="AB483" s="73">
        <v>0</v>
      </c>
      <c r="AC483" s="238">
        <f t="shared" si="25"/>
        <v>3.0850000000000031</v>
      </c>
      <c r="AD483" s="238"/>
      <c r="AE483" s="238"/>
    </row>
    <row r="484" spans="2:31" x14ac:dyDescent="0.3">
      <c r="B484" s="245" t="s">
        <v>69</v>
      </c>
      <c r="C484" s="245"/>
      <c r="D484" s="245"/>
      <c r="E484" s="72">
        <v>0</v>
      </c>
      <c r="F484" s="73">
        <v>0</v>
      </c>
      <c r="G484" s="72">
        <v>0</v>
      </c>
      <c r="H484" s="73">
        <v>0</v>
      </c>
      <c r="I484" s="72">
        <v>0</v>
      </c>
      <c r="J484" s="73">
        <v>0</v>
      </c>
      <c r="K484" s="72">
        <v>0</v>
      </c>
      <c r="L484" s="73">
        <v>0</v>
      </c>
      <c r="M484" s="72">
        <v>0</v>
      </c>
      <c r="N484" s="73">
        <v>0</v>
      </c>
      <c r="O484" s="72">
        <v>0</v>
      </c>
      <c r="P484" s="73">
        <v>0</v>
      </c>
      <c r="Q484" s="72">
        <v>0</v>
      </c>
      <c r="R484" s="73">
        <v>0</v>
      </c>
      <c r="S484" s="72">
        <v>1.0808333333333335</v>
      </c>
      <c r="T484" s="73">
        <v>0</v>
      </c>
      <c r="U484" s="72">
        <v>0</v>
      </c>
      <c r="V484" s="73">
        <v>0</v>
      </c>
      <c r="W484" s="72">
        <v>0</v>
      </c>
      <c r="X484" s="73">
        <v>0</v>
      </c>
      <c r="Y484" s="72">
        <v>0</v>
      </c>
      <c r="Z484" s="73">
        <v>0</v>
      </c>
      <c r="AA484" s="72">
        <v>0</v>
      </c>
      <c r="AB484" s="73">
        <v>0</v>
      </c>
      <c r="AC484" s="238">
        <f t="shared" si="25"/>
        <v>1.0808333333333335</v>
      </c>
      <c r="AD484" s="238"/>
      <c r="AE484" s="238"/>
    </row>
    <row r="485" spans="2:31" x14ac:dyDescent="0.3">
      <c r="B485" s="245" t="s">
        <v>70</v>
      </c>
      <c r="C485" s="245"/>
      <c r="D485" s="245"/>
      <c r="E485" s="72">
        <v>0</v>
      </c>
      <c r="F485" s="73">
        <v>0</v>
      </c>
      <c r="G485" s="72">
        <v>0</v>
      </c>
      <c r="H485" s="73">
        <v>0</v>
      </c>
      <c r="I485" s="72">
        <v>0</v>
      </c>
      <c r="J485" s="73">
        <v>0</v>
      </c>
      <c r="K485" s="72">
        <v>0</v>
      </c>
      <c r="L485" s="73">
        <v>0</v>
      </c>
      <c r="M485" s="72">
        <v>0</v>
      </c>
      <c r="N485" s="73">
        <v>0</v>
      </c>
      <c r="O485" s="72">
        <v>0</v>
      </c>
      <c r="P485" s="73">
        <v>0</v>
      </c>
      <c r="Q485" s="72">
        <v>0</v>
      </c>
      <c r="R485" s="73">
        <v>3.9780000000000029</v>
      </c>
      <c r="S485" s="72">
        <v>7.5533333333333337</v>
      </c>
      <c r="T485" s="73">
        <v>0</v>
      </c>
      <c r="U485" s="72">
        <v>0</v>
      </c>
      <c r="V485" s="73">
        <v>0</v>
      </c>
      <c r="W485" s="72">
        <v>0</v>
      </c>
      <c r="X485" s="73">
        <v>0</v>
      </c>
      <c r="Y485" s="72">
        <v>0</v>
      </c>
      <c r="Z485" s="73">
        <v>0</v>
      </c>
      <c r="AA485" s="72">
        <v>0</v>
      </c>
      <c r="AB485" s="73">
        <v>0</v>
      </c>
      <c r="AC485" s="238">
        <f t="shared" si="25"/>
        <v>11.531333333333336</v>
      </c>
      <c r="AD485" s="238"/>
      <c r="AE485" s="238"/>
    </row>
    <row r="486" spans="2:31" x14ac:dyDescent="0.3">
      <c r="B486" s="245" t="s">
        <v>71</v>
      </c>
      <c r="C486" s="245"/>
      <c r="D486" s="245"/>
      <c r="E486" s="72">
        <v>0</v>
      </c>
      <c r="F486" s="73">
        <v>0</v>
      </c>
      <c r="G486" s="72">
        <v>0</v>
      </c>
      <c r="H486" s="73">
        <v>0</v>
      </c>
      <c r="I486" s="72">
        <v>0</v>
      </c>
      <c r="J486" s="73">
        <v>0</v>
      </c>
      <c r="K486" s="72">
        <v>0</v>
      </c>
      <c r="L486" s="73">
        <v>0</v>
      </c>
      <c r="M486" s="72">
        <v>0</v>
      </c>
      <c r="N486" s="73">
        <v>0</v>
      </c>
      <c r="O486" s="72">
        <v>0</v>
      </c>
      <c r="P486" s="73">
        <v>0</v>
      </c>
      <c r="Q486" s="72">
        <v>0</v>
      </c>
      <c r="R486" s="73">
        <v>0</v>
      </c>
      <c r="S486" s="72">
        <v>0.25050000000000028</v>
      </c>
      <c r="T486" s="73">
        <v>0</v>
      </c>
      <c r="U486" s="72">
        <v>0</v>
      </c>
      <c r="V486" s="73">
        <v>0</v>
      </c>
      <c r="W486" s="72">
        <v>0</v>
      </c>
      <c r="X486" s="73">
        <v>0</v>
      </c>
      <c r="Y486" s="72">
        <v>0</v>
      </c>
      <c r="Z486" s="73">
        <v>0</v>
      </c>
      <c r="AA486" s="72">
        <v>0</v>
      </c>
      <c r="AB486" s="73">
        <v>0</v>
      </c>
      <c r="AC486" s="238">
        <f t="shared" si="25"/>
        <v>0.25050000000000028</v>
      </c>
      <c r="AD486" s="238"/>
      <c r="AE486" s="238"/>
    </row>
    <row r="487" spans="2:31" x14ac:dyDescent="0.3">
      <c r="B487" s="245" t="s">
        <v>72</v>
      </c>
      <c r="C487" s="245"/>
      <c r="D487" s="245"/>
      <c r="E487" s="72">
        <v>0</v>
      </c>
      <c r="F487" s="73">
        <v>0</v>
      </c>
      <c r="G487" s="72">
        <v>0</v>
      </c>
      <c r="H487" s="73">
        <v>0</v>
      </c>
      <c r="I487" s="72">
        <v>0</v>
      </c>
      <c r="J487" s="73">
        <v>0</v>
      </c>
      <c r="K487" s="72">
        <v>0</v>
      </c>
      <c r="L487" s="73">
        <v>0</v>
      </c>
      <c r="M487" s="72">
        <v>0</v>
      </c>
      <c r="N487" s="73">
        <v>0</v>
      </c>
      <c r="O487" s="72">
        <v>0</v>
      </c>
      <c r="P487" s="73">
        <v>0</v>
      </c>
      <c r="Q487" s="72">
        <v>0</v>
      </c>
      <c r="R487" s="73">
        <v>0</v>
      </c>
      <c r="S487" s="72">
        <v>0.15699999999999992</v>
      </c>
      <c r="T487" s="73">
        <v>0</v>
      </c>
      <c r="U487" s="72">
        <v>0</v>
      </c>
      <c r="V487" s="73">
        <v>0</v>
      </c>
      <c r="W487" s="72">
        <v>0</v>
      </c>
      <c r="X487" s="73">
        <v>0</v>
      </c>
      <c r="Y487" s="72">
        <v>0</v>
      </c>
      <c r="Z487" s="73">
        <v>0</v>
      </c>
      <c r="AA487" s="72">
        <v>0</v>
      </c>
      <c r="AB487" s="73">
        <v>0</v>
      </c>
      <c r="AC487" s="238">
        <f t="shared" si="25"/>
        <v>0.15699999999999992</v>
      </c>
      <c r="AD487" s="238"/>
      <c r="AE487" s="238"/>
    </row>
    <row r="488" spans="2:31" x14ac:dyDescent="0.3">
      <c r="B488" s="245" t="s">
        <v>73</v>
      </c>
      <c r="C488" s="245"/>
      <c r="D488" s="245"/>
      <c r="E488" s="72">
        <v>0</v>
      </c>
      <c r="F488" s="73">
        <v>0</v>
      </c>
      <c r="G488" s="72">
        <v>0</v>
      </c>
      <c r="H488" s="73">
        <v>0</v>
      </c>
      <c r="I488" s="72">
        <v>0</v>
      </c>
      <c r="J488" s="73">
        <v>0</v>
      </c>
      <c r="K488" s="72">
        <v>0</v>
      </c>
      <c r="L488" s="73">
        <v>0</v>
      </c>
      <c r="M488" s="72">
        <v>0</v>
      </c>
      <c r="N488" s="73">
        <v>0</v>
      </c>
      <c r="O488" s="72">
        <v>0</v>
      </c>
      <c r="P488" s="73">
        <v>0</v>
      </c>
      <c r="Q488" s="72">
        <v>0</v>
      </c>
      <c r="R488" s="73">
        <v>1.5666666666667103E-2</v>
      </c>
      <c r="S488" s="72">
        <v>7.466666666666745E-2</v>
      </c>
      <c r="T488" s="73">
        <v>9.1666666666668558E-3</v>
      </c>
      <c r="U488" s="72">
        <v>0</v>
      </c>
      <c r="V488" s="73">
        <v>0</v>
      </c>
      <c r="W488" s="72">
        <v>0</v>
      </c>
      <c r="X488" s="73">
        <v>0</v>
      </c>
      <c r="Y488" s="72">
        <v>0</v>
      </c>
      <c r="Z488" s="73">
        <v>0</v>
      </c>
      <c r="AA488" s="72">
        <v>0</v>
      </c>
      <c r="AB488" s="73">
        <v>0</v>
      </c>
      <c r="AC488" s="238">
        <f t="shared" si="25"/>
        <v>9.9500000000001407E-2</v>
      </c>
      <c r="AD488" s="238"/>
      <c r="AE488" s="238"/>
    </row>
    <row r="489" spans="2:31" x14ac:dyDescent="0.3">
      <c r="B489" s="245" t="s">
        <v>74</v>
      </c>
      <c r="C489" s="245"/>
      <c r="D489" s="245"/>
      <c r="E489" s="72">
        <v>0</v>
      </c>
      <c r="F489" s="73">
        <v>0</v>
      </c>
      <c r="G489" s="72">
        <v>0</v>
      </c>
      <c r="H489" s="73">
        <v>0</v>
      </c>
      <c r="I489" s="72">
        <v>0</v>
      </c>
      <c r="J489" s="73">
        <v>0</v>
      </c>
      <c r="K489" s="72">
        <v>0</v>
      </c>
      <c r="L489" s="73">
        <v>0</v>
      </c>
      <c r="M489" s="72">
        <v>0</v>
      </c>
      <c r="N489" s="73">
        <v>0</v>
      </c>
      <c r="O489" s="72">
        <v>0</v>
      </c>
      <c r="P489" s="73">
        <v>0</v>
      </c>
      <c r="Q489" s="72">
        <v>0</v>
      </c>
      <c r="R489" s="73">
        <v>0.6</v>
      </c>
      <c r="S489" s="72">
        <v>2.2631666666666663</v>
      </c>
      <c r="T489" s="73">
        <v>0</v>
      </c>
      <c r="U489" s="72">
        <v>0</v>
      </c>
      <c r="V489" s="73">
        <v>0</v>
      </c>
      <c r="W489" s="72">
        <v>0</v>
      </c>
      <c r="X489" s="73">
        <v>0</v>
      </c>
      <c r="Y489" s="72">
        <v>0</v>
      </c>
      <c r="Z489" s="73">
        <v>0</v>
      </c>
      <c r="AA489" s="72">
        <v>0</v>
      </c>
      <c r="AB489" s="73">
        <v>0</v>
      </c>
      <c r="AC489" s="238">
        <f t="shared" si="25"/>
        <v>2.8631666666666664</v>
      </c>
      <c r="AD489" s="238"/>
      <c r="AE489" s="238"/>
    </row>
    <row r="490" spans="2:31" x14ac:dyDescent="0.3">
      <c r="B490" s="245" t="s">
        <v>75</v>
      </c>
      <c r="C490" s="245"/>
      <c r="D490" s="245"/>
      <c r="E490" s="72">
        <v>0</v>
      </c>
      <c r="F490" s="73">
        <v>0</v>
      </c>
      <c r="G490" s="72">
        <v>0</v>
      </c>
      <c r="H490" s="73">
        <v>0</v>
      </c>
      <c r="I490" s="72">
        <v>0</v>
      </c>
      <c r="J490" s="73">
        <v>0</v>
      </c>
      <c r="K490" s="72">
        <v>0</v>
      </c>
      <c r="L490" s="73">
        <v>0</v>
      </c>
      <c r="M490" s="72">
        <v>0</v>
      </c>
      <c r="N490" s="73">
        <v>0</v>
      </c>
      <c r="O490" s="72">
        <v>0</v>
      </c>
      <c r="P490" s="73">
        <v>0</v>
      </c>
      <c r="Q490" s="72">
        <v>0</v>
      </c>
      <c r="R490" s="73">
        <v>0</v>
      </c>
      <c r="S490" s="72">
        <v>0</v>
      </c>
      <c r="T490" s="73">
        <v>0</v>
      </c>
      <c r="U490" s="72">
        <v>0</v>
      </c>
      <c r="V490" s="73">
        <v>0</v>
      </c>
      <c r="W490" s="72">
        <v>0</v>
      </c>
      <c r="X490" s="73">
        <v>0</v>
      </c>
      <c r="Y490" s="72">
        <v>0</v>
      </c>
      <c r="Z490" s="73">
        <v>0</v>
      </c>
      <c r="AA490" s="72">
        <v>0</v>
      </c>
      <c r="AB490" s="73">
        <v>0</v>
      </c>
      <c r="AC490" s="238">
        <f t="shared" si="25"/>
        <v>0</v>
      </c>
      <c r="AD490" s="238"/>
      <c r="AE490" s="238"/>
    </row>
    <row r="491" spans="2:31" x14ac:dyDescent="0.3">
      <c r="B491" s="245" t="s">
        <v>76</v>
      </c>
      <c r="C491" s="245"/>
      <c r="D491" s="245"/>
      <c r="E491" s="72">
        <v>0</v>
      </c>
      <c r="F491" s="73">
        <v>0</v>
      </c>
      <c r="G491" s="72">
        <v>0</v>
      </c>
      <c r="H491" s="73">
        <v>0</v>
      </c>
      <c r="I491" s="72">
        <v>0</v>
      </c>
      <c r="J491" s="73">
        <v>0</v>
      </c>
      <c r="K491" s="72">
        <v>0</v>
      </c>
      <c r="L491" s="73">
        <v>0</v>
      </c>
      <c r="M491" s="72">
        <v>0</v>
      </c>
      <c r="N491" s="73">
        <v>0</v>
      </c>
      <c r="O491" s="72">
        <v>0</v>
      </c>
      <c r="P491" s="73">
        <v>0</v>
      </c>
      <c r="Q491" s="72">
        <v>0</v>
      </c>
      <c r="R491" s="73">
        <v>0</v>
      </c>
      <c r="S491" s="72">
        <v>0</v>
      </c>
      <c r="T491" s="73">
        <v>0</v>
      </c>
      <c r="U491" s="72">
        <v>0</v>
      </c>
      <c r="V491" s="73">
        <v>0</v>
      </c>
      <c r="W491" s="72">
        <v>0</v>
      </c>
      <c r="X491" s="73">
        <v>0</v>
      </c>
      <c r="Y491" s="72">
        <v>0</v>
      </c>
      <c r="Z491" s="73">
        <v>0</v>
      </c>
      <c r="AA491" s="72">
        <v>0</v>
      </c>
      <c r="AB491" s="73">
        <v>0</v>
      </c>
      <c r="AC491" s="238">
        <f t="shared" si="25"/>
        <v>0</v>
      </c>
      <c r="AD491" s="238"/>
      <c r="AE491" s="238"/>
    </row>
    <row r="492" spans="2:31" x14ac:dyDescent="0.3">
      <c r="B492" s="245" t="s">
        <v>77</v>
      </c>
      <c r="C492" s="245"/>
      <c r="D492" s="245"/>
      <c r="E492" s="72">
        <v>0</v>
      </c>
      <c r="F492" s="73">
        <v>0</v>
      </c>
      <c r="G492" s="72">
        <v>0</v>
      </c>
      <c r="H492" s="73">
        <v>0</v>
      </c>
      <c r="I492" s="72">
        <v>0</v>
      </c>
      <c r="J492" s="73">
        <v>0</v>
      </c>
      <c r="K492" s="72">
        <v>0</v>
      </c>
      <c r="L492" s="73">
        <v>0</v>
      </c>
      <c r="M492" s="72">
        <v>0</v>
      </c>
      <c r="N492" s="73">
        <v>0</v>
      </c>
      <c r="O492" s="72">
        <v>0</v>
      </c>
      <c r="P492" s="73">
        <v>0</v>
      </c>
      <c r="Q492" s="72">
        <v>0</v>
      </c>
      <c r="R492" s="73">
        <v>0.14116666666666663</v>
      </c>
      <c r="S492" s="72">
        <v>1.3333333333340155E-3</v>
      </c>
      <c r="T492" s="73">
        <v>0</v>
      </c>
      <c r="U492" s="72">
        <v>0</v>
      </c>
      <c r="V492" s="73">
        <v>0</v>
      </c>
      <c r="W492" s="72">
        <v>0</v>
      </c>
      <c r="X492" s="73">
        <v>0</v>
      </c>
      <c r="Y492" s="72">
        <v>0</v>
      </c>
      <c r="Z492" s="73">
        <v>0</v>
      </c>
      <c r="AA492" s="72">
        <v>0</v>
      </c>
      <c r="AB492" s="73">
        <v>0</v>
      </c>
      <c r="AC492" s="238">
        <f t="shared" si="25"/>
        <v>0.14250000000000065</v>
      </c>
      <c r="AD492" s="238"/>
      <c r="AE492" s="238"/>
    </row>
    <row r="493" spans="2:31" x14ac:dyDescent="0.3">
      <c r="B493" s="245" t="s">
        <v>78</v>
      </c>
      <c r="C493" s="245"/>
      <c r="D493" s="245"/>
      <c r="E493" s="72">
        <v>0</v>
      </c>
      <c r="F493" s="73">
        <v>0</v>
      </c>
      <c r="G493" s="72">
        <v>0</v>
      </c>
      <c r="H493" s="73">
        <v>0</v>
      </c>
      <c r="I493" s="72">
        <v>0</v>
      </c>
      <c r="J493" s="73">
        <v>0</v>
      </c>
      <c r="K493" s="72">
        <v>0</v>
      </c>
      <c r="L493" s="73">
        <v>0</v>
      </c>
      <c r="M493" s="72">
        <v>0</v>
      </c>
      <c r="N493" s="73">
        <v>0</v>
      </c>
      <c r="O493" s="72">
        <v>0</v>
      </c>
      <c r="P493" s="73">
        <v>0</v>
      </c>
      <c r="Q493" s="72">
        <v>0</v>
      </c>
      <c r="R493" s="73">
        <v>0.61999999999999977</v>
      </c>
      <c r="S493" s="72">
        <v>0</v>
      </c>
      <c r="T493" s="73">
        <v>9.3166666666666606E-2</v>
      </c>
      <c r="U493" s="72">
        <v>0</v>
      </c>
      <c r="V493" s="73">
        <v>0</v>
      </c>
      <c r="W493" s="72">
        <v>0</v>
      </c>
      <c r="X493" s="73">
        <v>0</v>
      </c>
      <c r="Y493" s="72">
        <v>0</v>
      </c>
      <c r="Z493" s="73">
        <v>0</v>
      </c>
      <c r="AA493" s="72">
        <v>0</v>
      </c>
      <c r="AB493" s="73">
        <v>0</v>
      </c>
      <c r="AC493" s="238">
        <f t="shared" si="25"/>
        <v>0.71316666666666639</v>
      </c>
      <c r="AD493" s="238"/>
      <c r="AE493" s="238"/>
    </row>
    <row r="494" spans="2:31" x14ac:dyDescent="0.3">
      <c r="B494" s="245" t="s">
        <v>79</v>
      </c>
      <c r="C494" s="245"/>
      <c r="D494" s="245"/>
      <c r="E494" s="72">
        <v>0</v>
      </c>
      <c r="F494" s="73">
        <v>0</v>
      </c>
      <c r="G494" s="72">
        <v>0</v>
      </c>
      <c r="H494" s="73">
        <v>0</v>
      </c>
      <c r="I494" s="72">
        <v>0</v>
      </c>
      <c r="J494" s="73">
        <v>0</v>
      </c>
      <c r="K494" s="72">
        <v>0</v>
      </c>
      <c r="L494" s="73">
        <v>0</v>
      </c>
      <c r="M494" s="72">
        <v>0</v>
      </c>
      <c r="N494" s="73">
        <v>0</v>
      </c>
      <c r="O494" s="72">
        <v>0</v>
      </c>
      <c r="P494" s="73">
        <v>0</v>
      </c>
      <c r="Q494" s="72">
        <v>0</v>
      </c>
      <c r="R494" s="73">
        <v>3.1101666666666667</v>
      </c>
      <c r="S494" s="72">
        <v>11.723833333333333</v>
      </c>
      <c r="T494" s="73">
        <v>0.21533333333333335</v>
      </c>
      <c r="U494" s="72">
        <v>0</v>
      </c>
      <c r="V494" s="73">
        <v>0</v>
      </c>
      <c r="W494" s="72">
        <v>0</v>
      </c>
      <c r="X494" s="73">
        <v>0</v>
      </c>
      <c r="Y494" s="72">
        <v>0</v>
      </c>
      <c r="Z494" s="73">
        <v>0</v>
      </c>
      <c r="AA494" s="72">
        <v>0</v>
      </c>
      <c r="AB494" s="73">
        <v>0</v>
      </c>
      <c r="AC494" s="238">
        <f t="shared" si="25"/>
        <v>15.049333333333333</v>
      </c>
      <c r="AD494" s="238"/>
      <c r="AE494" s="238"/>
    </row>
    <row r="495" spans="2:31" x14ac:dyDescent="0.3">
      <c r="B495" s="245" t="s">
        <v>80</v>
      </c>
      <c r="C495" s="245"/>
      <c r="D495" s="245"/>
      <c r="E495" s="72">
        <v>0</v>
      </c>
      <c r="F495" s="73">
        <v>0</v>
      </c>
      <c r="G495" s="72">
        <v>0</v>
      </c>
      <c r="H495" s="73">
        <v>0</v>
      </c>
      <c r="I495" s="72">
        <v>0</v>
      </c>
      <c r="J495" s="73">
        <v>0</v>
      </c>
      <c r="K495" s="72">
        <v>0</v>
      </c>
      <c r="L495" s="73">
        <v>0</v>
      </c>
      <c r="M495" s="72">
        <v>0</v>
      </c>
      <c r="N495" s="73">
        <v>0</v>
      </c>
      <c r="O495" s="72">
        <v>0</v>
      </c>
      <c r="P495" s="73">
        <v>0</v>
      </c>
      <c r="Q495" s="72">
        <v>0</v>
      </c>
      <c r="R495" s="73">
        <v>0</v>
      </c>
      <c r="S495" s="72">
        <v>0</v>
      </c>
      <c r="T495" s="73">
        <v>0</v>
      </c>
      <c r="U495" s="72">
        <v>0</v>
      </c>
      <c r="V495" s="73">
        <v>0</v>
      </c>
      <c r="W495" s="72">
        <v>0</v>
      </c>
      <c r="X495" s="73">
        <v>0</v>
      </c>
      <c r="Y495" s="72">
        <v>0</v>
      </c>
      <c r="Z495" s="73">
        <v>0</v>
      </c>
      <c r="AA495" s="72">
        <v>0</v>
      </c>
      <c r="AB495" s="73">
        <v>0</v>
      </c>
      <c r="AC495" s="238">
        <f t="shared" si="25"/>
        <v>0</v>
      </c>
      <c r="AD495" s="238"/>
      <c r="AE495" s="238"/>
    </row>
    <row r="496" spans="2:31" x14ac:dyDescent="0.3">
      <c r="B496" s="245" t="s">
        <v>93</v>
      </c>
      <c r="C496" s="245"/>
      <c r="D496" s="245"/>
      <c r="E496" s="72">
        <v>0</v>
      </c>
      <c r="F496" s="73">
        <v>0</v>
      </c>
      <c r="G496" s="72">
        <v>0</v>
      </c>
      <c r="H496" s="73">
        <v>0</v>
      </c>
      <c r="I496" s="72">
        <v>0</v>
      </c>
      <c r="J496" s="73">
        <v>0</v>
      </c>
      <c r="K496" s="72">
        <v>0</v>
      </c>
      <c r="L496" s="73">
        <v>0</v>
      </c>
      <c r="M496" s="72">
        <v>0</v>
      </c>
      <c r="N496" s="73">
        <v>0</v>
      </c>
      <c r="O496" s="72">
        <v>5.5000000000000014E-3</v>
      </c>
      <c r="P496" s="73">
        <v>0</v>
      </c>
      <c r="Q496" s="72">
        <v>0</v>
      </c>
      <c r="R496" s="73">
        <v>0</v>
      </c>
      <c r="S496" s="72">
        <v>0</v>
      </c>
      <c r="T496" s="73">
        <v>0.14049999999999999</v>
      </c>
      <c r="U496" s="72">
        <v>0</v>
      </c>
      <c r="V496" s="73">
        <v>0</v>
      </c>
      <c r="W496" s="72">
        <v>0</v>
      </c>
      <c r="X496" s="73">
        <v>0</v>
      </c>
      <c r="Y496" s="72">
        <v>0</v>
      </c>
      <c r="Z496" s="73">
        <v>0</v>
      </c>
      <c r="AA496" s="72">
        <v>0</v>
      </c>
      <c r="AB496" s="73">
        <v>0</v>
      </c>
      <c r="AC496" s="238">
        <f>SUM(E496:AB496)</f>
        <v>0.14599999999999999</v>
      </c>
      <c r="AD496" s="238"/>
      <c r="AE496" s="238"/>
    </row>
    <row r="497" spans="2:31" x14ac:dyDescent="0.3">
      <c r="B497" s="14" t="s">
        <v>2</v>
      </c>
      <c r="C497" s="14"/>
      <c r="D497" s="14"/>
      <c r="E497" s="15">
        <f t="shared" ref="E497:AB497" si="26">SUM(E448:E496)</f>
        <v>0</v>
      </c>
      <c r="F497" s="15">
        <f t="shared" si="26"/>
        <v>0</v>
      </c>
      <c r="G497" s="15">
        <f t="shared" si="26"/>
        <v>0</v>
      </c>
      <c r="H497" s="15">
        <f t="shared" si="26"/>
        <v>0</v>
      </c>
      <c r="I497" s="15">
        <f t="shared" si="26"/>
        <v>0</v>
      </c>
      <c r="J497" s="15">
        <f t="shared" si="26"/>
        <v>0</v>
      </c>
      <c r="K497" s="15">
        <f t="shared" si="26"/>
        <v>0</v>
      </c>
      <c r="L497" s="15">
        <f t="shared" si="26"/>
        <v>0</v>
      </c>
      <c r="M497" s="15">
        <f t="shared" si="26"/>
        <v>0</v>
      </c>
      <c r="N497" s="15">
        <f t="shared" si="26"/>
        <v>18.253833333333347</v>
      </c>
      <c r="O497" s="15">
        <f t="shared" si="26"/>
        <v>38.98333333333332</v>
      </c>
      <c r="P497" s="15">
        <f t="shared" si="26"/>
        <v>49.772000000000006</v>
      </c>
      <c r="Q497" s="15">
        <f t="shared" si="26"/>
        <v>51.503500000000024</v>
      </c>
      <c r="R497" s="15">
        <f t="shared" si="26"/>
        <v>97.156499999999994</v>
      </c>
      <c r="S497" s="15">
        <f t="shared" si="26"/>
        <v>138.78800000000001</v>
      </c>
      <c r="T497" s="15">
        <f t="shared" si="26"/>
        <v>59.89466666666668</v>
      </c>
      <c r="U497" s="15">
        <f t="shared" si="26"/>
        <v>52.385166666666649</v>
      </c>
      <c r="V497" s="15">
        <f t="shared" si="26"/>
        <v>30.205666666666666</v>
      </c>
      <c r="W497" s="15">
        <f t="shared" si="26"/>
        <v>1.8098333333333312</v>
      </c>
      <c r="X497" s="15">
        <f t="shared" si="26"/>
        <v>1.1386666666666665</v>
      </c>
      <c r="Y497" s="15">
        <f t="shared" si="26"/>
        <v>0</v>
      </c>
      <c r="Z497" s="15">
        <f t="shared" si="26"/>
        <v>0</v>
      </c>
      <c r="AA497" s="15">
        <f t="shared" si="26"/>
        <v>0</v>
      </c>
      <c r="AB497" s="15">
        <f t="shared" si="26"/>
        <v>0</v>
      </c>
      <c r="AC497" s="249">
        <f>SUM(AC448:AE496)</f>
        <v>539.89116666666689</v>
      </c>
      <c r="AD497" s="249"/>
      <c r="AE497" s="249"/>
    </row>
    <row r="498" spans="2:31" x14ac:dyDescent="0.3">
      <c r="B498" s="16"/>
      <c r="C498" s="17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2:31" x14ac:dyDescent="0.3">
      <c r="B499" s="16"/>
      <c r="C499" s="17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2:31" x14ac:dyDescent="0.3">
      <c r="B500" s="8">
        <f>'Resumen-Mensual'!$N$22</f>
        <v>44571</v>
      </c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74"/>
      <c r="AD500" s="74"/>
      <c r="AE500" s="74"/>
    </row>
    <row r="501" spans="2:31" x14ac:dyDescent="0.3">
      <c r="B501" s="8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74"/>
      <c r="AD501" s="74"/>
      <c r="AE501" s="74"/>
    </row>
    <row r="502" spans="2:31" x14ac:dyDescent="0.3">
      <c r="B502" s="9" t="s">
        <v>81</v>
      </c>
      <c r="C502" s="10"/>
      <c r="D502" s="10"/>
      <c r="E502" s="11">
        <v>1</v>
      </c>
      <c r="F502" s="11">
        <v>2</v>
      </c>
      <c r="G502" s="11">
        <v>3</v>
      </c>
      <c r="H502" s="11">
        <v>4</v>
      </c>
      <c r="I502" s="11">
        <v>5</v>
      </c>
      <c r="J502" s="11">
        <v>6</v>
      </c>
      <c r="K502" s="11">
        <v>7</v>
      </c>
      <c r="L502" s="11">
        <v>8</v>
      </c>
      <c r="M502" s="11">
        <v>9</v>
      </c>
      <c r="N502" s="11">
        <v>10</v>
      </c>
      <c r="O502" s="11">
        <v>11</v>
      </c>
      <c r="P502" s="11">
        <v>12</v>
      </c>
      <c r="Q502" s="11">
        <v>13</v>
      </c>
      <c r="R502" s="11">
        <v>14</v>
      </c>
      <c r="S502" s="11">
        <v>15</v>
      </c>
      <c r="T502" s="11">
        <v>16</v>
      </c>
      <c r="U502" s="11">
        <v>17</v>
      </c>
      <c r="V502" s="11">
        <v>18</v>
      </c>
      <c r="W502" s="11">
        <v>19</v>
      </c>
      <c r="X502" s="11">
        <v>20</v>
      </c>
      <c r="Y502" s="11">
        <v>21</v>
      </c>
      <c r="Z502" s="11">
        <v>22</v>
      </c>
      <c r="AA502" s="11">
        <v>23</v>
      </c>
      <c r="AB502" s="11">
        <v>24</v>
      </c>
      <c r="AC502" s="248" t="s">
        <v>2</v>
      </c>
      <c r="AD502" s="248"/>
      <c r="AE502" s="248"/>
    </row>
    <row r="503" spans="2:31" x14ac:dyDescent="0.3">
      <c r="B503" s="245" t="s">
        <v>37</v>
      </c>
      <c r="C503" s="245"/>
      <c r="D503" s="245"/>
      <c r="E503" s="79">
        <v>0</v>
      </c>
      <c r="F503" s="80">
        <v>0</v>
      </c>
      <c r="G503" s="79">
        <v>0</v>
      </c>
      <c r="H503" s="80">
        <v>0</v>
      </c>
      <c r="I503" s="79">
        <v>0</v>
      </c>
      <c r="J503" s="80">
        <v>0</v>
      </c>
      <c r="K503" s="79">
        <v>0</v>
      </c>
      <c r="L503" s="80">
        <v>0</v>
      </c>
      <c r="M503" s="79">
        <v>0</v>
      </c>
      <c r="N503" s="80">
        <v>0</v>
      </c>
      <c r="O503" s="79">
        <v>0</v>
      </c>
      <c r="P503" s="80">
        <v>0</v>
      </c>
      <c r="Q503" s="79">
        <v>0</v>
      </c>
      <c r="R503" s="80">
        <v>0</v>
      </c>
      <c r="S503" s="79">
        <v>0</v>
      </c>
      <c r="T503" s="80">
        <v>0</v>
      </c>
      <c r="U503" s="79">
        <v>0</v>
      </c>
      <c r="V503" s="80">
        <v>0</v>
      </c>
      <c r="W503" s="79">
        <v>0</v>
      </c>
      <c r="X503" s="80">
        <v>0</v>
      </c>
      <c r="Y503" s="79">
        <v>0</v>
      </c>
      <c r="Z503" s="80">
        <v>0</v>
      </c>
      <c r="AA503" s="79">
        <v>0</v>
      </c>
      <c r="AB503" s="80">
        <v>0</v>
      </c>
      <c r="AC503" s="238">
        <f t="shared" ref="AC503:AC535" si="27">SUM(E503:AB503)</f>
        <v>0</v>
      </c>
      <c r="AD503" s="238"/>
      <c r="AE503" s="238"/>
    </row>
    <row r="504" spans="2:31" x14ac:dyDescent="0.3">
      <c r="B504" s="245" t="s">
        <v>38</v>
      </c>
      <c r="C504" s="245"/>
      <c r="D504" s="245"/>
      <c r="E504" s="79">
        <v>0</v>
      </c>
      <c r="F504" s="80">
        <v>0</v>
      </c>
      <c r="G504" s="79">
        <v>0</v>
      </c>
      <c r="H504" s="80">
        <v>0</v>
      </c>
      <c r="I504" s="79">
        <v>0</v>
      </c>
      <c r="J504" s="80">
        <v>0</v>
      </c>
      <c r="K504" s="79">
        <v>0</v>
      </c>
      <c r="L504" s="80">
        <v>0</v>
      </c>
      <c r="M504" s="79">
        <v>0</v>
      </c>
      <c r="N504" s="80">
        <v>0</v>
      </c>
      <c r="O504" s="79">
        <v>0</v>
      </c>
      <c r="P504" s="80">
        <v>0</v>
      </c>
      <c r="Q504" s="79">
        <v>0</v>
      </c>
      <c r="R504" s="80">
        <v>0</v>
      </c>
      <c r="S504" s="79">
        <v>0</v>
      </c>
      <c r="T504" s="80">
        <v>0</v>
      </c>
      <c r="U504" s="79">
        <v>0</v>
      </c>
      <c r="V504" s="80">
        <v>0</v>
      </c>
      <c r="W504" s="79">
        <v>0</v>
      </c>
      <c r="X504" s="80">
        <v>0</v>
      </c>
      <c r="Y504" s="79">
        <v>0</v>
      </c>
      <c r="Z504" s="80">
        <v>0</v>
      </c>
      <c r="AA504" s="79">
        <v>0</v>
      </c>
      <c r="AB504" s="80">
        <v>0</v>
      </c>
      <c r="AC504" s="238">
        <f t="shared" si="27"/>
        <v>0</v>
      </c>
      <c r="AD504" s="238"/>
      <c r="AE504" s="238"/>
    </row>
    <row r="505" spans="2:31" x14ac:dyDescent="0.3">
      <c r="B505" s="245" t="s">
        <v>39</v>
      </c>
      <c r="C505" s="245"/>
      <c r="D505" s="245"/>
      <c r="E505" s="79">
        <v>0</v>
      </c>
      <c r="F505" s="80">
        <v>0</v>
      </c>
      <c r="G505" s="79">
        <v>0</v>
      </c>
      <c r="H505" s="80">
        <v>0</v>
      </c>
      <c r="I505" s="79">
        <v>0</v>
      </c>
      <c r="J505" s="80">
        <v>0</v>
      </c>
      <c r="K505" s="79">
        <v>0</v>
      </c>
      <c r="L505" s="80">
        <v>0</v>
      </c>
      <c r="M505" s="79">
        <v>0</v>
      </c>
      <c r="N505" s="80">
        <v>0</v>
      </c>
      <c r="O505" s="79">
        <v>0</v>
      </c>
      <c r="P505" s="80">
        <v>0</v>
      </c>
      <c r="Q505" s="79">
        <v>0</v>
      </c>
      <c r="R505" s="80">
        <v>0</v>
      </c>
      <c r="S505" s="79">
        <v>0</v>
      </c>
      <c r="T505" s="80">
        <v>0</v>
      </c>
      <c r="U505" s="79">
        <v>0</v>
      </c>
      <c r="V505" s="80">
        <v>0</v>
      </c>
      <c r="W505" s="79">
        <v>0</v>
      </c>
      <c r="X505" s="80">
        <v>0</v>
      </c>
      <c r="Y505" s="79">
        <v>0</v>
      </c>
      <c r="Z505" s="80">
        <v>0</v>
      </c>
      <c r="AA505" s="79">
        <v>0</v>
      </c>
      <c r="AB505" s="80">
        <v>0</v>
      </c>
      <c r="AC505" s="238">
        <f t="shared" si="27"/>
        <v>0</v>
      </c>
      <c r="AD505" s="238"/>
      <c r="AE505" s="238"/>
    </row>
    <row r="506" spans="2:31" x14ac:dyDescent="0.3">
      <c r="B506" s="245" t="s">
        <v>40</v>
      </c>
      <c r="C506" s="245"/>
      <c r="D506" s="245"/>
      <c r="E506" s="79">
        <v>0</v>
      </c>
      <c r="F506" s="80">
        <v>0</v>
      </c>
      <c r="G506" s="79">
        <v>0</v>
      </c>
      <c r="H506" s="80">
        <v>0</v>
      </c>
      <c r="I506" s="79">
        <v>0</v>
      </c>
      <c r="J506" s="80">
        <v>0</v>
      </c>
      <c r="K506" s="79">
        <v>0</v>
      </c>
      <c r="L506" s="80">
        <v>0</v>
      </c>
      <c r="M506" s="79">
        <v>0</v>
      </c>
      <c r="N506" s="80">
        <v>0</v>
      </c>
      <c r="O506" s="79">
        <v>0</v>
      </c>
      <c r="P506" s="80">
        <v>0</v>
      </c>
      <c r="Q506" s="79">
        <v>0</v>
      </c>
      <c r="R506" s="80">
        <v>0</v>
      </c>
      <c r="S506" s="79">
        <v>0</v>
      </c>
      <c r="T506" s="80">
        <v>0</v>
      </c>
      <c r="U506" s="79">
        <v>0</v>
      </c>
      <c r="V506" s="80">
        <v>0</v>
      </c>
      <c r="W506" s="79">
        <v>0</v>
      </c>
      <c r="X506" s="80">
        <v>0</v>
      </c>
      <c r="Y506" s="79">
        <v>0</v>
      </c>
      <c r="Z506" s="80">
        <v>0</v>
      </c>
      <c r="AA506" s="79">
        <v>0</v>
      </c>
      <c r="AB506" s="80">
        <v>0</v>
      </c>
      <c r="AC506" s="238">
        <f t="shared" si="27"/>
        <v>0</v>
      </c>
      <c r="AD506" s="238"/>
      <c r="AE506" s="238"/>
    </row>
    <row r="507" spans="2:31" x14ac:dyDescent="0.3">
      <c r="B507" s="245" t="s">
        <v>41</v>
      </c>
      <c r="C507" s="245"/>
      <c r="D507" s="245"/>
      <c r="E507" s="79">
        <v>0</v>
      </c>
      <c r="F507" s="80">
        <v>0</v>
      </c>
      <c r="G507" s="79">
        <v>0</v>
      </c>
      <c r="H507" s="80">
        <v>0</v>
      </c>
      <c r="I507" s="79">
        <v>0</v>
      </c>
      <c r="J507" s="80">
        <v>0</v>
      </c>
      <c r="K507" s="79">
        <v>0</v>
      </c>
      <c r="L507" s="80">
        <v>0</v>
      </c>
      <c r="M507" s="79">
        <v>0</v>
      </c>
      <c r="N507" s="80">
        <v>0</v>
      </c>
      <c r="O507" s="79">
        <v>0</v>
      </c>
      <c r="P507" s="80">
        <v>1.3903333333333339</v>
      </c>
      <c r="Q507" s="79">
        <v>11.417333333333326</v>
      </c>
      <c r="R507" s="80">
        <v>10.377499999999998</v>
      </c>
      <c r="S507" s="79">
        <v>7.4284999999999979</v>
      </c>
      <c r="T507" s="80">
        <v>14.740166666666694</v>
      </c>
      <c r="U507" s="79">
        <v>0</v>
      </c>
      <c r="V507" s="80">
        <v>0</v>
      </c>
      <c r="W507" s="79">
        <v>0</v>
      </c>
      <c r="X507" s="80">
        <v>0</v>
      </c>
      <c r="Y507" s="79">
        <v>0</v>
      </c>
      <c r="Z507" s="80">
        <v>0</v>
      </c>
      <c r="AA507" s="79">
        <v>0</v>
      </c>
      <c r="AB507" s="80">
        <v>0</v>
      </c>
      <c r="AC507" s="238">
        <f t="shared" si="27"/>
        <v>45.353833333333355</v>
      </c>
      <c r="AD507" s="238"/>
      <c r="AE507" s="238"/>
    </row>
    <row r="508" spans="2:31" x14ac:dyDescent="0.3">
      <c r="B508" s="245" t="s">
        <v>42</v>
      </c>
      <c r="C508" s="245"/>
      <c r="D508" s="245"/>
      <c r="E508" s="79">
        <v>0</v>
      </c>
      <c r="F508" s="80">
        <v>0</v>
      </c>
      <c r="G508" s="79">
        <v>0</v>
      </c>
      <c r="H508" s="80">
        <v>0</v>
      </c>
      <c r="I508" s="79">
        <v>0</v>
      </c>
      <c r="J508" s="80">
        <v>0</v>
      </c>
      <c r="K508" s="79">
        <v>0</v>
      </c>
      <c r="L508" s="80">
        <v>0</v>
      </c>
      <c r="M508" s="79">
        <v>0</v>
      </c>
      <c r="N508" s="80">
        <v>0</v>
      </c>
      <c r="O508" s="79">
        <v>0</v>
      </c>
      <c r="P508" s="80">
        <v>0</v>
      </c>
      <c r="Q508" s="79">
        <v>0</v>
      </c>
      <c r="R508" s="80">
        <v>0</v>
      </c>
      <c r="S508" s="79">
        <v>0</v>
      </c>
      <c r="T508" s="80">
        <v>0</v>
      </c>
      <c r="U508" s="79">
        <v>0</v>
      </c>
      <c r="V508" s="80">
        <v>0</v>
      </c>
      <c r="W508" s="79">
        <v>0</v>
      </c>
      <c r="X508" s="80">
        <v>0</v>
      </c>
      <c r="Y508" s="79">
        <v>0</v>
      </c>
      <c r="Z508" s="80">
        <v>0</v>
      </c>
      <c r="AA508" s="79">
        <v>0</v>
      </c>
      <c r="AB508" s="80">
        <v>0</v>
      </c>
      <c r="AC508" s="238">
        <f t="shared" si="27"/>
        <v>0</v>
      </c>
      <c r="AD508" s="238"/>
      <c r="AE508" s="238"/>
    </row>
    <row r="509" spans="2:31" x14ac:dyDescent="0.3">
      <c r="B509" s="245" t="s">
        <v>43</v>
      </c>
      <c r="C509" s="245"/>
      <c r="D509" s="245"/>
      <c r="E509" s="79">
        <v>0</v>
      </c>
      <c r="F509" s="80">
        <v>0</v>
      </c>
      <c r="G509" s="79">
        <v>0</v>
      </c>
      <c r="H509" s="80">
        <v>0</v>
      </c>
      <c r="I509" s="79">
        <v>0</v>
      </c>
      <c r="J509" s="80">
        <v>0</v>
      </c>
      <c r="K509" s="79">
        <v>0</v>
      </c>
      <c r="L509" s="80">
        <v>0</v>
      </c>
      <c r="M509" s="79">
        <v>0</v>
      </c>
      <c r="N509" s="80">
        <v>0</v>
      </c>
      <c r="O509" s="79">
        <v>4.7333333333333387E-2</v>
      </c>
      <c r="P509" s="80">
        <v>0</v>
      </c>
      <c r="Q509" s="79">
        <v>9.8166666666666916E-2</v>
      </c>
      <c r="R509" s="80">
        <v>0</v>
      </c>
      <c r="S509" s="79">
        <v>0</v>
      </c>
      <c r="T509" s="80">
        <v>0</v>
      </c>
      <c r="U509" s="79">
        <v>0</v>
      </c>
      <c r="V509" s="80">
        <v>0</v>
      </c>
      <c r="W509" s="79">
        <v>0</v>
      </c>
      <c r="X509" s="80">
        <v>0</v>
      </c>
      <c r="Y509" s="79">
        <v>0</v>
      </c>
      <c r="Z509" s="80">
        <v>0</v>
      </c>
      <c r="AA509" s="79">
        <v>0</v>
      </c>
      <c r="AB509" s="80">
        <v>0</v>
      </c>
      <c r="AC509" s="238">
        <f t="shared" si="27"/>
        <v>0.1455000000000003</v>
      </c>
      <c r="AD509" s="238"/>
      <c r="AE509" s="238"/>
    </row>
    <row r="510" spans="2:31" x14ac:dyDescent="0.3">
      <c r="B510" s="245" t="s">
        <v>44</v>
      </c>
      <c r="C510" s="245"/>
      <c r="D510" s="245"/>
      <c r="E510" s="79">
        <v>0</v>
      </c>
      <c r="F510" s="80">
        <v>0</v>
      </c>
      <c r="G510" s="79">
        <v>0</v>
      </c>
      <c r="H510" s="80">
        <v>0</v>
      </c>
      <c r="I510" s="79">
        <v>0</v>
      </c>
      <c r="J510" s="80">
        <v>0</v>
      </c>
      <c r="K510" s="79">
        <v>0</v>
      </c>
      <c r="L510" s="80">
        <v>0</v>
      </c>
      <c r="M510" s="79">
        <v>0</v>
      </c>
      <c r="N510" s="80">
        <v>0</v>
      </c>
      <c r="O510" s="79">
        <v>0</v>
      </c>
      <c r="P510" s="80">
        <v>0</v>
      </c>
      <c r="Q510" s="79">
        <v>0</v>
      </c>
      <c r="R510" s="80">
        <v>0</v>
      </c>
      <c r="S510" s="79">
        <v>0</v>
      </c>
      <c r="T510" s="80">
        <v>0</v>
      </c>
      <c r="U510" s="79">
        <v>0</v>
      </c>
      <c r="V510" s="80">
        <v>0</v>
      </c>
      <c r="W510" s="79">
        <v>0</v>
      </c>
      <c r="X510" s="80">
        <v>0</v>
      </c>
      <c r="Y510" s="79">
        <v>0</v>
      </c>
      <c r="Z510" s="80">
        <v>0</v>
      </c>
      <c r="AA510" s="79">
        <v>0</v>
      </c>
      <c r="AB510" s="80">
        <v>0</v>
      </c>
      <c r="AC510" s="238">
        <f t="shared" si="27"/>
        <v>0</v>
      </c>
      <c r="AD510" s="238"/>
      <c r="AE510" s="238"/>
    </row>
    <row r="511" spans="2:31" x14ac:dyDescent="0.3">
      <c r="B511" s="245" t="s">
        <v>45</v>
      </c>
      <c r="C511" s="245"/>
      <c r="D511" s="245"/>
      <c r="E511" s="79">
        <v>0</v>
      </c>
      <c r="F511" s="80">
        <v>0</v>
      </c>
      <c r="G511" s="79">
        <v>0</v>
      </c>
      <c r="H511" s="80">
        <v>0</v>
      </c>
      <c r="I511" s="79">
        <v>0</v>
      </c>
      <c r="J511" s="80">
        <v>0</v>
      </c>
      <c r="K511" s="79">
        <v>0</v>
      </c>
      <c r="L511" s="80">
        <v>0</v>
      </c>
      <c r="M511" s="79">
        <v>0</v>
      </c>
      <c r="N511" s="80">
        <v>0</v>
      </c>
      <c r="O511" s="79">
        <v>0</v>
      </c>
      <c r="P511" s="80">
        <v>6.6064999999999969</v>
      </c>
      <c r="Q511" s="79">
        <v>16.380999999999986</v>
      </c>
      <c r="R511" s="80">
        <v>15.439499999999994</v>
      </c>
      <c r="S511" s="79">
        <v>17.686000000000018</v>
      </c>
      <c r="T511" s="80">
        <v>17.941666666666666</v>
      </c>
      <c r="U511" s="79">
        <v>0</v>
      </c>
      <c r="V511" s="80">
        <v>0</v>
      </c>
      <c r="W511" s="79">
        <v>4.2148333333333321</v>
      </c>
      <c r="X511" s="80">
        <v>7.3333333333333254E-3</v>
      </c>
      <c r="Y511" s="79">
        <v>0</v>
      </c>
      <c r="Z511" s="80">
        <v>0</v>
      </c>
      <c r="AA511" s="79">
        <v>0</v>
      </c>
      <c r="AB511" s="80">
        <v>0</v>
      </c>
      <c r="AC511" s="238">
        <f t="shared" si="27"/>
        <v>78.276833333333329</v>
      </c>
      <c r="AD511" s="238"/>
      <c r="AE511" s="238"/>
    </row>
    <row r="512" spans="2:31" x14ac:dyDescent="0.3">
      <c r="B512" s="245" t="s">
        <v>46</v>
      </c>
      <c r="C512" s="245"/>
      <c r="D512" s="245"/>
      <c r="E512" s="79">
        <v>0</v>
      </c>
      <c r="F512" s="80">
        <v>0</v>
      </c>
      <c r="G512" s="79">
        <v>0</v>
      </c>
      <c r="H512" s="80">
        <v>0</v>
      </c>
      <c r="I512" s="79">
        <v>0</v>
      </c>
      <c r="J512" s="80">
        <v>0</v>
      </c>
      <c r="K512" s="79">
        <v>0</v>
      </c>
      <c r="L512" s="80">
        <v>0</v>
      </c>
      <c r="M512" s="79">
        <v>0</v>
      </c>
      <c r="N512" s="80">
        <v>0</v>
      </c>
      <c r="O512" s="79">
        <v>0</v>
      </c>
      <c r="P512" s="80">
        <v>6.8431666666666668</v>
      </c>
      <c r="Q512" s="79">
        <v>2.4886666666666661</v>
      </c>
      <c r="R512" s="80">
        <v>42.792333333333332</v>
      </c>
      <c r="S512" s="79">
        <v>55.53300000000003</v>
      </c>
      <c r="T512" s="80">
        <v>29.767666666666653</v>
      </c>
      <c r="U512" s="79">
        <v>46.388000000000034</v>
      </c>
      <c r="V512" s="80">
        <v>35.608333333333285</v>
      </c>
      <c r="W512" s="79">
        <v>14.191333333333317</v>
      </c>
      <c r="X512" s="80">
        <v>0.91200000000000003</v>
      </c>
      <c r="Y512" s="79">
        <v>0</v>
      </c>
      <c r="Z512" s="80">
        <v>0</v>
      </c>
      <c r="AA512" s="79">
        <v>0</v>
      </c>
      <c r="AB512" s="80">
        <v>0</v>
      </c>
      <c r="AC512" s="238">
        <f t="shared" si="27"/>
        <v>234.52449999999999</v>
      </c>
      <c r="AD512" s="238"/>
      <c r="AE512" s="238"/>
    </row>
    <row r="513" spans="2:31" x14ac:dyDescent="0.3">
      <c r="B513" s="245" t="s">
        <v>47</v>
      </c>
      <c r="C513" s="245"/>
      <c r="D513" s="245"/>
      <c r="E513" s="79">
        <v>0</v>
      </c>
      <c r="F513" s="80">
        <v>0</v>
      </c>
      <c r="G513" s="79">
        <v>0</v>
      </c>
      <c r="H513" s="80">
        <v>0</v>
      </c>
      <c r="I513" s="79">
        <v>0</v>
      </c>
      <c r="J513" s="80">
        <v>0</v>
      </c>
      <c r="K513" s="79">
        <v>0</v>
      </c>
      <c r="L513" s="80">
        <v>0</v>
      </c>
      <c r="M513" s="79">
        <v>0</v>
      </c>
      <c r="N513" s="80">
        <v>0</v>
      </c>
      <c r="O513" s="79">
        <v>0</v>
      </c>
      <c r="P513" s="80">
        <v>1.9660000000000002</v>
      </c>
      <c r="Q513" s="79">
        <v>0.26749999999999974</v>
      </c>
      <c r="R513" s="80">
        <v>7.566333333333338</v>
      </c>
      <c r="S513" s="79">
        <v>12.102166666666678</v>
      </c>
      <c r="T513" s="80">
        <v>13.209666666666664</v>
      </c>
      <c r="U513" s="79">
        <v>11.646666666666656</v>
      </c>
      <c r="V513" s="80">
        <v>8.7701666666666629</v>
      </c>
      <c r="W513" s="79">
        <v>4.5008333333333361</v>
      </c>
      <c r="X513" s="80">
        <v>1.2286666666666666</v>
      </c>
      <c r="Y513" s="79">
        <v>0</v>
      </c>
      <c r="Z513" s="80">
        <v>0</v>
      </c>
      <c r="AA513" s="79">
        <v>0</v>
      </c>
      <c r="AB513" s="80">
        <v>0</v>
      </c>
      <c r="AC513" s="238">
        <f t="shared" si="27"/>
        <v>61.257999999999996</v>
      </c>
      <c r="AD513" s="238"/>
      <c r="AE513" s="238"/>
    </row>
    <row r="514" spans="2:31" x14ac:dyDescent="0.3">
      <c r="B514" s="245" t="s">
        <v>48</v>
      </c>
      <c r="C514" s="245"/>
      <c r="D514" s="245"/>
      <c r="E514" s="79">
        <v>0</v>
      </c>
      <c r="F514" s="80">
        <v>0</v>
      </c>
      <c r="G514" s="79">
        <v>0</v>
      </c>
      <c r="H514" s="80">
        <v>0</v>
      </c>
      <c r="I514" s="79">
        <v>0</v>
      </c>
      <c r="J514" s="80">
        <v>0</v>
      </c>
      <c r="K514" s="79">
        <v>0</v>
      </c>
      <c r="L514" s="80">
        <v>0</v>
      </c>
      <c r="M514" s="79">
        <v>0</v>
      </c>
      <c r="N514" s="80">
        <v>0</v>
      </c>
      <c r="O514" s="79">
        <v>0</v>
      </c>
      <c r="P514" s="80">
        <v>1.630166666666667</v>
      </c>
      <c r="Q514" s="79">
        <v>0.33499999999999963</v>
      </c>
      <c r="R514" s="80">
        <v>6.7506666666666693</v>
      </c>
      <c r="S514" s="79">
        <v>0</v>
      </c>
      <c r="T514" s="80">
        <v>10.572499999999996</v>
      </c>
      <c r="U514" s="79">
        <v>9.1200000000000028</v>
      </c>
      <c r="V514" s="80">
        <v>7.7918333333333329</v>
      </c>
      <c r="W514" s="79">
        <v>4.318500000000002</v>
      </c>
      <c r="X514" s="80">
        <v>0.9368333333333333</v>
      </c>
      <c r="Y514" s="79">
        <v>0</v>
      </c>
      <c r="Z514" s="80">
        <v>0</v>
      </c>
      <c r="AA514" s="79">
        <v>0</v>
      </c>
      <c r="AB514" s="80">
        <v>0</v>
      </c>
      <c r="AC514" s="238">
        <f t="shared" si="27"/>
        <v>41.455500000000008</v>
      </c>
      <c r="AD514" s="238"/>
      <c r="AE514" s="238"/>
    </row>
    <row r="515" spans="2:31" x14ac:dyDescent="0.3">
      <c r="B515" s="245" t="s">
        <v>49</v>
      </c>
      <c r="C515" s="245"/>
      <c r="D515" s="245"/>
      <c r="E515" s="79">
        <v>0</v>
      </c>
      <c r="F515" s="80">
        <v>0</v>
      </c>
      <c r="G515" s="79">
        <v>0</v>
      </c>
      <c r="H515" s="80">
        <v>0</v>
      </c>
      <c r="I515" s="79">
        <v>0</v>
      </c>
      <c r="J515" s="80">
        <v>0</v>
      </c>
      <c r="K515" s="79">
        <v>0</v>
      </c>
      <c r="L515" s="80">
        <v>0</v>
      </c>
      <c r="M515" s="79">
        <v>0</v>
      </c>
      <c r="N515" s="80">
        <v>0</v>
      </c>
      <c r="O515" s="79">
        <v>0</v>
      </c>
      <c r="P515" s="80">
        <v>0</v>
      </c>
      <c r="Q515" s="79">
        <v>0</v>
      </c>
      <c r="R515" s="80">
        <v>0</v>
      </c>
      <c r="S515" s="79">
        <v>0</v>
      </c>
      <c r="T515" s="80">
        <v>0</v>
      </c>
      <c r="U515" s="79">
        <v>0</v>
      </c>
      <c r="V515" s="80">
        <v>0</v>
      </c>
      <c r="W515" s="79">
        <v>0</v>
      </c>
      <c r="X515" s="80">
        <v>0</v>
      </c>
      <c r="Y515" s="79">
        <v>0</v>
      </c>
      <c r="Z515" s="80">
        <v>0</v>
      </c>
      <c r="AA515" s="79">
        <v>0</v>
      </c>
      <c r="AB515" s="80">
        <v>0</v>
      </c>
      <c r="AC515" s="238">
        <f t="shared" si="27"/>
        <v>0</v>
      </c>
      <c r="AD515" s="238"/>
      <c r="AE515" s="238"/>
    </row>
    <row r="516" spans="2:31" x14ac:dyDescent="0.3">
      <c r="B516" s="245" t="s">
        <v>50</v>
      </c>
      <c r="C516" s="245"/>
      <c r="D516" s="245"/>
      <c r="E516" s="79">
        <v>0</v>
      </c>
      <c r="F516" s="80">
        <v>0</v>
      </c>
      <c r="G516" s="79">
        <v>0</v>
      </c>
      <c r="H516" s="80">
        <v>0</v>
      </c>
      <c r="I516" s="79">
        <v>0</v>
      </c>
      <c r="J516" s="80">
        <v>0</v>
      </c>
      <c r="K516" s="79">
        <v>0</v>
      </c>
      <c r="L516" s="80">
        <v>0</v>
      </c>
      <c r="M516" s="79">
        <v>0</v>
      </c>
      <c r="N516" s="80">
        <v>0</v>
      </c>
      <c r="O516" s="79">
        <v>0</v>
      </c>
      <c r="P516" s="80">
        <v>5.0699999999999985</v>
      </c>
      <c r="Q516" s="79">
        <v>0</v>
      </c>
      <c r="R516" s="80">
        <v>0</v>
      </c>
      <c r="S516" s="79">
        <v>0</v>
      </c>
      <c r="T516" s="80">
        <v>3.4293333333333336</v>
      </c>
      <c r="U516" s="79">
        <v>0</v>
      </c>
      <c r="V516" s="80">
        <v>0</v>
      </c>
      <c r="W516" s="79">
        <v>0</v>
      </c>
      <c r="X516" s="80">
        <v>0</v>
      </c>
      <c r="Y516" s="79">
        <v>0</v>
      </c>
      <c r="Z516" s="80">
        <v>0</v>
      </c>
      <c r="AA516" s="79">
        <v>0</v>
      </c>
      <c r="AB516" s="80">
        <v>0</v>
      </c>
      <c r="AC516" s="238">
        <f t="shared" si="27"/>
        <v>8.4993333333333325</v>
      </c>
      <c r="AD516" s="238"/>
      <c r="AE516" s="238"/>
    </row>
    <row r="517" spans="2:31" x14ac:dyDescent="0.3">
      <c r="B517" s="245" t="s">
        <v>97</v>
      </c>
      <c r="C517" s="245"/>
      <c r="D517" s="245"/>
      <c r="E517" s="79">
        <v>0</v>
      </c>
      <c r="F517" s="80">
        <v>0</v>
      </c>
      <c r="G517" s="79">
        <v>0</v>
      </c>
      <c r="H517" s="80">
        <v>0</v>
      </c>
      <c r="I517" s="79">
        <v>0</v>
      </c>
      <c r="J517" s="80">
        <v>0</v>
      </c>
      <c r="K517" s="79">
        <v>0</v>
      </c>
      <c r="L517" s="80">
        <v>0</v>
      </c>
      <c r="M517" s="79">
        <v>0</v>
      </c>
      <c r="N517" s="80">
        <v>0</v>
      </c>
      <c r="O517" s="79">
        <v>0</v>
      </c>
      <c r="P517" s="80">
        <v>0</v>
      </c>
      <c r="Q517" s="79">
        <v>0</v>
      </c>
      <c r="R517" s="80">
        <v>0</v>
      </c>
      <c r="S517" s="79">
        <v>0</v>
      </c>
      <c r="T517" s="80">
        <v>0</v>
      </c>
      <c r="U517" s="79">
        <v>0</v>
      </c>
      <c r="V517" s="80">
        <v>0</v>
      </c>
      <c r="W517" s="79">
        <v>0</v>
      </c>
      <c r="X517" s="80">
        <v>0</v>
      </c>
      <c r="Y517" s="79">
        <v>0</v>
      </c>
      <c r="Z517" s="80">
        <v>0</v>
      </c>
      <c r="AA517" s="79">
        <v>0</v>
      </c>
      <c r="AB517" s="80">
        <v>0</v>
      </c>
      <c r="AC517" s="238">
        <f t="shared" si="27"/>
        <v>0</v>
      </c>
      <c r="AD517" s="238"/>
      <c r="AE517" s="238"/>
    </row>
    <row r="518" spans="2:31" x14ac:dyDescent="0.3">
      <c r="B518" s="245" t="s">
        <v>51</v>
      </c>
      <c r="C518" s="245"/>
      <c r="D518" s="245"/>
      <c r="E518" s="79">
        <v>0</v>
      </c>
      <c r="F518" s="80">
        <v>0</v>
      </c>
      <c r="G518" s="79">
        <v>0</v>
      </c>
      <c r="H518" s="80">
        <v>0</v>
      </c>
      <c r="I518" s="79">
        <v>0</v>
      </c>
      <c r="J518" s="80">
        <v>0</v>
      </c>
      <c r="K518" s="79">
        <v>0</v>
      </c>
      <c r="L518" s="80">
        <v>0</v>
      </c>
      <c r="M518" s="79">
        <v>0</v>
      </c>
      <c r="N518" s="80">
        <v>0</v>
      </c>
      <c r="O518" s="79">
        <v>0</v>
      </c>
      <c r="P518" s="80">
        <v>0</v>
      </c>
      <c r="Q518" s="79">
        <v>0</v>
      </c>
      <c r="R518" s="80">
        <v>0</v>
      </c>
      <c r="S518" s="79">
        <v>0</v>
      </c>
      <c r="T518" s="80">
        <v>0</v>
      </c>
      <c r="U518" s="79">
        <v>0</v>
      </c>
      <c r="V518" s="80">
        <v>0</v>
      </c>
      <c r="W518" s="79">
        <v>0</v>
      </c>
      <c r="X518" s="80">
        <v>0</v>
      </c>
      <c r="Y518" s="79">
        <v>0</v>
      </c>
      <c r="Z518" s="80">
        <v>0</v>
      </c>
      <c r="AA518" s="79">
        <v>0</v>
      </c>
      <c r="AB518" s="80">
        <v>0</v>
      </c>
      <c r="AC518" s="238">
        <f t="shared" si="27"/>
        <v>0</v>
      </c>
      <c r="AD518" s="238"/>
      <c r="AE518" s="238"/>
    </row>
    <row r="519" spans="2:31" x14ac:dyDescent="0.3">
      <c r="B519" s="245" t="s">
        <v>52</v>
      </c>
      <c r="C519" s="245"/>
      <c r="D519" s="245"/>
      <c r="E519" s="79">
        <v>0</v>
      </c>
      <c r="F519" s="80">
        <v>0</v>
      </c>
      <c r="G519" s="79">
        <v>0</v>
      </c>
      <c r="H519" s="80">
        <v>0</v>
      </c>
      <c r="I519" s="79">
        <v>0</v>
      </c>
      <c r="J519" s="80">
        <v>0</v>
      </c>
      <c r="K519" s="79">
        <v>0</v>
      </c>
      <c r="L519" s="80">
        <v>0</v>
      </c>
      <c r="M519" s="79">
        <v>0</v>
      </c>
      <c r="N519" s="80">
        <v>0</v>
      </c>
      <c r="O519" s="79">
        <v>0</v>
      </c>
      <c r="P519" s="80">
        <v>0</v>
      </c>
      <c r="Q519" s="79">
        <v>0</v>
      </c>
      <c r="R519" s="80">
        <v>0</v>
      </c>
      <c r="S519" s="79">
        <v>0</v>
      </c>
      <c r="T519" s="80">
        <v>0</v>
      </c>
      <c r="U519" s="79">
        <v>0</v>
      </c>
      <c r="V519" s="80">
        <v>0</v>
      </c>
      <c r="W519" s="79">
        <v>0</v>
      </c>
      <c r="X519" s="80">
        <v>0</v>
      </c>
      <c r="Y519" s="79">
        <v>0</v>
      </c>
      <c r="Z519" s="80">
        <v>0</v>
      </c>
      <c r="AA519" s="79">
        <v>0</v>
      </c>
      <c r="AB519" s="80">
        <v>0</v>
      </c>
      <c r="AC519" s="238">
        <f t="shared" si="27"/>
        <v>0</v>
      </c>
      <c r="AD519" s="238"/>
      <c r="AE519" s="238"/>
    </row>
    <row r="520" spans="2:31" x14ac:dyDescent="0.3">
      <c r="B520" s="245" t="s">
        <v>53</v>
      </c>
      <c r="C520" s="245"/>
      <c r="D520" s="245"/>
      <c r="E520" s="79">
        <v>0</v>
      </c>
      <c r="F520" s="80">
        <v>0</v>
      </c>
      <c r="G520" s="79">
        <v>0</v>
      </c>
      <c r="H520" s="80">
        <v>0</v>
      </c>
      <c r="I520" s="79">
        <v>0</v>
      </c>
      <c r="J520" s="80">
        <v>0</v>
      </c>
      <c r="K520" s="79">
        <v>0</v>
      </c>
      <c r="L520" s="80">
        <v>0</v>
      </c>
      <c r="M520" s="79">
        <v>0</v>
      </c>
      <c r="N520" s="80">
        <v>0</v>
      </c>
      <c r="O520" s="79">
        <v>0</v>
      </c>
      <c r="P520" s="80">
        <v>0</v>
      </c>
      <c r="Q520" s="79">
        <v>0</v>
      </c>
      <c r="R520" s="80">
        <v>0</v>
      </c>
      <c r="S520" s="79">
        <v>0</v>
      </c>
      <c r="T520" s="80">
        <v>0</v>
      </c>
      <c r="U520" s="79">
        <v>0</v>
      </c>
      <c r="V520" s="80">
        <v>0</v>
      </c>
      <c r="W520" s="79">
        <v>0</v>
      </c>
      <c r="X520" s="80">
        <v>0</v>
      </c>
      <c r="Y520" s="79">
        <v>0</v>
      </c>
      <c r="Z520" s="80">
        <v>0</v>
      </c>
      <c r="AA520" s="79">
        <v>0</v>
      </c>
      <c r="AB520" s="80">
        <v>0</v>
      </c>
      <c r="AC520" s="238">
        <f t="shared" si="27"/>
        <v>0</v>
      </c>
      <c r="AD520" s="238"/>
      <c r="AE520" s="238"/>
    </row>
    <row r="521" spans="2:31" x14ac:dyDescent="0.3">
      <c r="B521" s="245" t="s">
        <v>54</v>
      </c>
      <c r="C521" s="245"/>
      <c r="D521" s="245"/>
      <c r="E521" s="79">
        <v>0</v>
      </c>
      <c r="F521" s="80">
        <v>0</v>
      </c>
      <c r="G521" s="79">
        <v>0</v>
      </c>
      <c r="H521" s="80">
        <v>0</v>
      </c>
      <c r="I521" s="79">
        <v>0</v>
      </c>
      <c r="J521" s="80">
        <v>0</v>
      </c>
      <c r="K521" s="79">
        <v>0</v>
      </c>
      <c r="L521" s="80">
        <v>0</v>
      </c>
      <c r="M521" s="79">
        <v>0</v>
      </c>
      <c r="N521" s="80">
        <v>0</v>
      </c>
      <c r="O521" s="79">
        <v>0</v>
      </c>
      <c r="P521" s="80">
        <v>0</v>
      </c>
      <c r="Q521" s="79">
        <v>0</v>
      </c>
      <c r="R521" s="80">
        <v>0</v>
      </c>
      <c r="S521" s="79">
        <v>0</v>
      </c>
      <c r="T521" s="80">
        <v>0</v>
      </c>
      <c r="U521" s="79">
        <v>0</v>
      </c>
      <c r="V521" s="80">
        <v>0</v>
      </c>
      <c r="W521" s="79">
        <v>0</v>
      </c>
      <c r="X521" s="80">
        <v>0</v>
      </c>
      <c r="Y521" s="79">
        <v>0</v>
      </c>
      <c r="Z521" s="80">
        <v>0</v>
      </c>
      <c r="AA521" s="79">
        <v>0</v>
      </c>
      <c r="AB521" s="80">
        <v>0</v>
      </c>
      <c r="AC521" s="238">
        <f t="shared" si="27"/>
        <v>0</v>
      </c>
      <c r="AD521" s="238"/>
      <c r="AE521" s="238"/>
    </row>
    <row r="522" spans="2:31" x14ac:dyDescent="0.3">
      <c r="B522" s="245" t="s">
        <v>55</v>
      </c>
      <c r="C522" s="245"/>
      <c r="D522" s="245"/>
      <c r="E522" s="79">
        <v>0</v>
      </c>
      <c r="F522" s="80">
        <v>0</v>
      </c>
      <c r="G522" s="79">
        <v>0</v>
      </c>
      <c r="H522" s="80">
        <v>0</v>
      </c>
      <c r="I522" s="79">
        <v>0</v>
      </c>
      <c r="J522" s="80">
        <v>0</v>
      </c>
      <c r="K522" s="79">
        <v>0</v>
      </c>
      <c r="L522" s="80">
        <v>0</v>
      </c>
      <c r="M522" s="79">
        <v>0</v>
      </c>
      <c r="N522" s="80">
        <v>0</v>
      </c>
      <c r="O522" s="79">
        <v>0</v>
      </c>
      <c r="P522" s="80">
        <v>0</v>
      </c>
      <c r="Q522" s="79">
        <v>0</v>
      </c>
      <c r="R522" s="80">
        <v>0</v>
      </c>
      <c r="S522" s="79">
        <v>0</v>
      </c>
      <c r="T522" s="80">
        <v>0</v>
      </c>
      <c r="U522" s="79">
        <v>0</v>
      </c>
      <c r="V522" s="80">
        <v>0</v>
      </c>
      <c r="W522" s="79">
        <v>0</v>
      </c>
      <c r="X522" s="80">
        <v>0</v>
      </c>
      <c r="Y522" s="79">
        <v>0</v>
      </c>
      <c r="Z522" s="80">
        <v>0</v>
      </c>
      <c r="AA522" s="79">
        <v>0</v>
      </c>
      <c r="AB522" s="80">
        <v>0</v>
      </c>
      <c r="AC522" s="238">
        <f t="shared" si="27"/>
        <v>0</v>
      </c>
      <c r="AD522" s="238"/>
      <c r="AE522" s="238"/>
    </row>
    <row r="523" spans="2:31" x14ac:dyDescent="0.3">
      <c r="B523" s="245" t="s">
        <v>56</v>
      </c>
      <c r="C523" s="245"/>
      <c r="D523" s="245"/>
      <c r="E523" s="79">
        <v>0</v>
      </c>
      <c r="F523" s="80">
        <v>0</v>
      </c>
      <c r="G523" s="79">
        <v>0</v>
      </c>
      <c r="H523" s="80">
        <v>0</v>
      </c>
      <c r="I523" s="79">
        <v>0</v>
      </c>
      <c r="J523" s="80">
        <v>0</v>
      </c>
      <c r="K523" s="79">
        <v>0</v>
      </c>
      <c r="L523" s="80">
        <v>0</v>
      </c>
      <c r="M523" s="79">
        <v>0</v>
      </c>
      <c r="N523" s="80">
        <v>0</v>
      </c>
      <c r="O523" s="79">
        <v>0</v>
      </c>
      <c r="P523" s="80">
        <v>0</v>
      </c>
      <c r="Q523" s="79">
        <v>0</v>
      </c>
      <c r="R523" s="80">
        <v>0</v>
      </c>
      <c r="S523" s="79">
        <v>0</v>
      </c>
      <c r="T523" s="80">
        <v>0</v>
      </c>
      <c r="U523" s="79">
        <v>0</v>
      </c>
      <c r="V523" s="80">
        <v>0</v>
      </c>
      <c r="W523" s="79">
        <v>0</v>
      </c>
      <c r="X523" s="80">
        <v>0</v>
      </c>
      <c r="Y523" s="79">
        <v>0</v>
      </c>
      <c r="Z523" s="80">
        <v>0</v>
      </c>
      <c r="AA523" s="79">
        <v>0</v>
      </c>
      <c r="AB523" s="80">
        <v>0</v>
      </c>
      <c r="AC523" s="238">
        <f t="shared" si="27"/>
        <v>0</v>
      </c>
      <c r="AD523" s="238"/>
      <c r="AE523" s="238"/>
    </row>
    <row r="524" spans="2:31" x14ac:dyDescent="0.3">
      <c r="B524" s="245" t="s">
        <v>94</v>
      </c>
      <c r="C524" s="245"/>
      <c r="D524" s="245"/>
      <c r="E524" s="79">
        <v>0</v>
      </c>
      <c r="F524" s="80">
        <v>0</v>
      </c>
      <c r="G524" s="79">
        <v>0</v>
      </c>
      <c r="H524" s="80">
        <v>0</v>
      </c>
      <c r="I524" s="79">
        <v>0</v>
      </c>
      <c r="J524" s="80">
        <v>0</v>
      </c>
      <c r="K524" s="79">
        <v>0</v>
      </c>
      <c r="L524" s="80">
        <v>0</v>
      </c>
      <c r="M524" s="79">
        <v>0</v>
      </c>
      <c r="N524" s="80">
        <v>0</v>
      </c>
      <c r="O524" s="79">
        <v>0</v>
      </c>
      <c r="P524" s="80">
        <v>0</v>
      </c>
      <c r="Q524" s="79">
        <v>0</v>
      </c>
      <c r="R524" s="80">
        <v>0</v>
      </c>
      <c r="S524" s="79">
        <v>0</v>
      </c>
      <c r="T524" s="80">
        <v>0</v>
      </c>
      <c r="U524" s="79">
        <v>0</v>
      </c>
      <c r="V524" s="80">
        <v>0</v>
      </c>
      <c r="W524" s="79">
        <v>0</v>
      </c>
      <c r="X524" s="80">
        <v>0</v>
      </c>
      <c r="Y524" s="79">
        <v>0</v>
      </c>
      <c r="Z524" s="80">
        <v>0</v>
      </c>
      <c r="AA524" s="79">
        <v>0</v>
      </c>
      <c r="AB524" s="80">
        <v>0</v>
      </c>
      <c r="AC524" s="238">
        <f t="shared" si="27"/>
        <v>0</v>
      </c>
      <c r="AD524" s="238"/>
      <c r="AE524" s="238"/>
    </row>
    <row r="525" spans="2:31" x14ac:dyDescent="0.3">
      <c r="B525" s="245" t="s">
        <v>57</v>
      </c>
      <c r="C525" s="245"/>
      <c r="D525" s="245"/>
      <c r="E525" s="79">
        <v>0</v>
      </c>
      <c r="F525" s="80">
        <v>0</v>
      </c>
      <c r="G525" s="79">
        <v>0</v>
      </c>
      <c r="H525" s="80">
        <v>0</v>
      </c>
      <c r="I525" s="79">
        <v>0</v>
      </c>
      <c r="J525" s="80">
        <v>0</v>
      </c>
      <c r="K525" s="79">
        <v>0</v>
      </c>
      <c r="L525" s="80">
        <v>0</v>
      </c>
      <c r="M525" s="79">
        <v>0</v>
      </c>
      <c r="N525" s="80">
        <v>0</v>
      </c>
      <c r="O525" s="79">
        <v>0</v>
      </c>
      <c r="P525" s="80">
        <v>0</v>
      </c>
      <c r="Q525" s="79">
        <v>0</v>
      </c>
      <c r="R525" s="80">
        <v>0</v>
      </c>
      <c r="S525" s="79">
        <v>0</v>
      </c>
      <c r="T525" s="80">
        <v>0</v>
      </c>
      <c r="U525" s="79">
        <v>0</v>
      </c>
      <c r="V525" s="80">
        <v>0</v>
      </c>
      <c r="W525" s="79">
        <v>0</v>
      </c>
      <c r="X525" s="80">
        <v>0</v>
      </c>
      <c r="Y525" s="79">
        <v>0</v>
      </c>
      <c r="Z525" s="80">
        <v>0</v>
      </c>
      <c r="AA525" s="79">
        <v>0</v>
      </c>
      <c r="AB525" s="80">
        <v>0</v>
      </c>
      <c r="AC525" s="238">
        <f t="shared" si="27"/>
        <v>0</v>
      </c>
      <c r="AD525" s="238"/>
      <c r="AE525" s="238"/>
    </row>
    <row r="526" spans="2:31" x14ac:dyDescent="0.3">
      <c r="B526" s="245" t="s">
        <v>58</v>
      </c>
      <c r="C526" s="245"/>
      <c r="D526" s="245"/>
      <c r="E526" s="79">
        <v>0</v>
      </c>
      <c r="F526" s="80">
        <v>0</v>
      </c>
      <c r="G526" s="79">
        <v>0</v>
      </c>
      <c r="H526" s="80">
        <v>0</v>
      </c>
      <c r="I526" s="79">
        <v>0</v>
      </c>
      <c r="J526" s="80">
        <v>0</v>
      </c>
      <c r="K526" s="79">
        <v>0</v>
      </c>
      <c r="L526" s="80">
        <v>0</v>
      </c>
      <c r="M526" s="79">
        <v>0</v>
      </c>
      <c r="N526" s="80">
        <v>0</v>
      </c>
      <c r="O526" s="79">
        <v>0</v>
      </c>
      <c r="P526" s="80">
        <v>0</v>
      </c>
      <c r="Q526" s="79">
        <v>0</v>
      </c>
      <c r="R526" s="80">
        <v>0</v>
      </c>
      <c r="S526" s="79">
        <v>0</v>
      </c>
      <c r="T526" s="80">
        <v>0</v>
      </c>
      <c r="U526" s="79">
        <v>0</v>
      </c>
      <c r="V526" s="80">
        <v>0</v>
      </c>
      <c r="W526" s="79">
        <v>0</v>
      </c>
      <c r="X526" s="80">
        <v>0</v>
      </c>
      <c r="Y526" s="79">
        <v>0</v>
      </c>
      <c r="Z526" s="80">
        <v>0</v>
      </c>
      <c r="AA526" s="79">
        <v>0</v>
      </c>
      <c r="AB526" s="80">
        <v>0</v>
      </c>
      <c r="AC526" s="238">
        <f t="shared" si="27"/>
        <v>0</v>
      </c>
      <c r="AD526" s="238"/>
      <c r="AE526" s="238"/>
    </row>
    <row r="527" spans="2:31" x14ac:dyDescent="0.3">
      <c r="B527" s="245" t="s">
        <v>95</v>
      </c>
      <c r="C527" s="245"/>
      <c r="D527" s="245"/>
      <c r="E527" s="79">
        <v>0</v>
      </c>
      <c r="F527" s="80">
        <v>0</v>
      </c>
      <c r="G527" s="79">
        <v>0</v>
      </c>
      <c r="H527" s="80">
        <v>0</v>
      </c>
      <c r="I527" s="79">
        <v>0</v>
      </c>
      <c r="J527" s="80">
        <v>0</v>
      </c>
      <c r="K527" s="79">
        <v>0</v>
      </c>
      <c r="L527" s="80">
        <v>0</v>
      </c>
      <c r="M527" s="79">
        <v>0</v>
      </c>
      <c r="N527" s="80">
        <v>0</v>
      </c>
      <c r="O527" s="79">
        <v>0</v>
      </c>
      <c r="P527" s="80">
        <v>0</v>
      </c>
      <c r="Q527" s="79">
        <v>0</v>
      </c>
      <c r="R527" s="80">
        <v>0</v>
      </c>
      <c r="S527" s="79">
        <v>0</v>
      </c>
      <c r="T527" s="80">
        <v>0</v>
      </c>
      <c r="U527" s="79">
        <v>0</v>
      </c>
      <c r="V527" s="80">
        <v>0</v>
      </c>
      <c r="W527" s="79">
        <v>0</v>
      </c>
      <c r="X527" s="80">
        <v>0</v>
      </c>
      <c r="Y527" s="79">
        <v>0</v>
      </c>
      <c r="Z527" s="80">
        <v>0</v>
      </c>
      <c r="AA527" s="79">
        <v>0</v>
      </c>
      <c r="AB527" s="80">
        <v>0</v>
      </c>
      <c r="AC527" s="238">
        <f t="shared" si="27"/>
        <v>0</v>
      </c>
      <c r="AD527" s="238"/>
      <c r="AE527" s="238"/>
    </row>
    <row r="528" spans="2:31" x14ac:dyDescent="0.3">
      <c r="B528" s="245" t="s">
        <v>59</v>
      </c>
      <c r="C528" s="245"/>
      <c r="D528" s="245"/>
      <c r="E528" s="79">
        <v>0</v>
      </c>
      <c r="F528" s="80">
        <v>0</v>
      </c>
      <c r="G528" s="79">
        <v>0</v>
      </c>
      <c r="H528" s="80">
        <v>0</v>
      </c>
      <c r="I528" s="79">
        <v>0</v>
      </c>
      <c r="J528" s="80">
        <v>0</v>
      </c>
      <c r="K528" s="79">
        <v>0</v>
      </c>
      <c r="L528" s="80">
        <v>0</v>
      </c>
      <c r="M528" s="79">
        <v>0</v>
      </c>
      <c r="N528" s="80">
        <v>0</v>
      </c>
      <c r="O528" s="79">
        <v>2.6346666666666692</v>
      </c>
      <c r="P528" s="80">
        <v>5.6018333333333317</v>
      </c>
      <c r="Q528" s="79">
        <v>3.9546666666666739</v>
      </c>
      <c r="R528" s="80">
        <v>4.248333333333334</v>
      </c>
      <c r="S528" s="79">
        <v>0</v>
      </c>
      <c r="T528" s="80">
        <v>0</v>
      </c>
      <c r="U528" s="79">
        <v>0</v>
      </c>
      <c r="V528" s="80">
        <v>0</v>
      </c>
      <c r="W528" s="79">
        <v>0</v>
      </c>
      <c r="X528" s="80">
        <v>0</v>
      </c>
      <c r="Y528" s="79">
        <v>0</v>
      </c>
      <c r="Z528" s="80">
        <v>0</v>
      </c>
      <c r="AA528" s="79">
        <v>0</v>
      </c>
      <c r="AB528" s="80">
        <v>0</v>
      </c>
      <c r="AC528" s="238">
        <f t="shared" si="27"/>
        <v>16.43950000000001</v>
      </c>
      <c r="AD528" s="238"/>
      <c r="AE528" s="238"/>
    </row>
    <row r="529" spans="2:31" x14ac:dyDescent="0.3">
      <c r="B529" s="245" t="s">
        <v>60</v>
      </c>
      <c r="C529" s="245"/>
      <c r="D529" s="245"/>
      <c r="E529" s="79">
        <v>0</v>
      </c>
      <c r="F529" s="80">
        <v>0</v>
      </c>
      <c r="G529" s="79">
        <v>0</v>
      </c>
      <c r="H529" s="80">
        <v>0</v>
      </c>
      <c r="I529" s="79">
        <v>0</v>
      </c>
      <c r="J529" s="80">
        <v>0</v>
      </c>
      <c r="K529" s="79">
        <v>0</v>
      </c>
      <c r="L529" s="80">
        <v>0</v>
      </c>
      <c r="M529" s="79">
        <v>0</v>
      </c>
      <c r="N529" s="80">
        <v>0</v>
      </c>
      <c r="O529" s="79">
        <v>0.96466666666666667</v>
      </c>
      <c r="P529" s="80">
        <v>2.0808333333333322</v>
      </c>
      <c r="Q529" s="79">
        <v>0.47516666666666674</v>
      </c>
      <c r="R529" s="80">
        <v>2.2410000000000005</v>
      </c>
      <c r="S529" s="79">
        <v>0</v>
      </c>
      <c r="T529" s="80">
        <v>0</v>
      </c>
      <c r="U529" s="79">
        <v>0</v>
      </c>
      <c r="V529" s="80">
        <v>0</v>
      </c>
      <c r="W529" s="79">
        <v>0</v>
      </c>
      <c r="X529" s="80">
        <v>0</v>
      </c>
      <c r="Y529" s="79">
        <v>0</v>
      </c>
      <c r="Z529" s="80">
        <v>0</v>
      </c>
      <c r="AA529" s="79">
        <v>0</v>
      </c>
      <c r="AB529" s="80">
        <v>0</v>
      </c>
      <c r="AC529" s="238">
        <f t="shared" si="27"/>
        <v>5.7616666666666658</v>
      </c>
      <c r="AD529" s="238"/>
      <c r="AE529" s="238"/>
    </row>
    <row r="530" spans="2:31" x14ac:dyDescent="0.3">
      <c r="B530" s="245" t="s">
        <v>61</v>
      </c>
      <c r="C530" s="245"/>
      <c r="D530" s="245"/>
      <c r="E530" s="79">
        <v>0</v>
      </c>
      <c r="F530" s="80">
        <v>0</v>
      </c>
      <c r="G530" s="79">
        <v>0</v>
      </c>
      <c r="H530" s="80">
        <v>0</v>
      </c>
      <c r="I530" s="79">
        <v>0</v>
      </c>
      <c r="J530" s="80">
        <v>0</v>
      </c>
      <c r="K530" s="79">
        <v>0</v>
      </c>
      <c r="L530" s="80">
        <v>0</v>
      </c>
      <c r="M530" s="79">
        <v>0</v>
      </c>
      <c r="N530" s="80">
        <v>0</v>
      </c>
      <c r="O530" s="79">
        <v>4.2266666666666666</v>
      </c>
      <c r="P530" s="80">
        <v>3.8153333333333337</v>
      </c>
      <c r="Q530" s="79">
        <v>0.26850000000000002</v>
      </c>
      <c r="R530" s="80">
        <v>2.8936666666666655</v>
      </c>
      <c r="S530" s="79">
        <v>0</v>
      </c>
      <c r="T530" s="80">
        <v>0</v>
      </c>
      <c r="U530" s="79">
        <v>0</v>
      </c>
      <c r="V530" s="80">
        <v>0</v>
      </c>
      <c r="W530" s="79">
        <v>0</v>
      </c>
      <c r="X530" s="80">
        <v>0</v>
      </c>
      <c r="Y530" s="79">
        <v>0</v>
      </c>
      <c r="Z530" s="80">
        <v>0</v>
      </c>
      <c r="AA530" s="79">
        <v>0</v>
      </c>
      <c r="AB530" s="80">
        <v>0</v>
      </c>
      <c r="AC530" s="238">
        <f t="shared" si="27"/>
        <v>11.204166666666666</v>
      </c>
      <c r="AD530" s="238"/>
      <c r="AE530" s="238"/>
    </row>
    <row r="531" spans="2:31" x14ac:dyDescent="0.3">
      <c r="B531" s="245" t="s">
        <v>62</v>
      </c>
      <c r="C531" s="245"/>
      <c r="D531" s="245"/>
      <c r="E531" s="79">
        <v>0</v>
      </c>
      <c r="F531" s="80">
        <v>0</v>
      </c>
      <c r="G531" s="79">
        <v>0</v>
      </c>
      <c r="H531" s="80">
        <v>0</v>
      </c>
      <c r="I531" s="79">
        <v>0</v>
      </c>
      <c r="J531" s="80">
        <v>0</v>
      </c>
      <c r="K531" s="79">
        <v>0</v>
      </c>
      <c r="L531" s="80">
        <v>0</v>
      </c>
      <c r="M531" s="79">
        <v>0</v>
      </c>
      <c r="N531" s="80">
        <v>0</v>
      </c>
      <c r="O531" s="79">
        <v>0</v>
      </c>
      <c r="P531" s="80">
        <v>0</v>
      </c>
      <c r="Q531" s="79">
        <v>0</v>
      </c>
      <c r="R531" s="80">
        <v>0</v>
      </c>
      <c r="S531" s="79">
        <v>0</v>
      </c>
      <c r="T531" s="80">
        <v>0</v>
      </c>
      <c r="U531" s="79">
        <v>0</v>
      </c>
      <c r="V531" s="80">
        <v>0</v>
      </c>
      <c r="W531" s="79">
        <v>0</v>
      </c>
      <c r="X531" s="80">
        <v>0</v>
      </c>
      <c r="Y531" s="79">
        <v>0</v>
      </c>
      <c r="Z531" s="80">
        <v>0</v>
      </c>
      <c r="AA531" s="79">
        <v>0</v>
      </c>
      <c r="AB531" s="80">
        <v>0</v>
      </c>
      <c r="AC531" s="238">
        <f t="shared" si="27"/>
        <v>0</v>
      </c>
      <c r="AD531" s="238"/>
      <c r="AE531" s="238"/>
    </row>
    <row r="532" spans="2:31" x14ac:dyDescent="0.3">
      <c r="B532" s="245" t="s">
        <v>63</v>
      </c>
      <c r="C532" s="245"/>
      <c r="D532" s="245"/>
      <c r="E532" s="79">
        <v>0</v>
      </c>
      <c r="F532" s="80">
        <v>0</v>
      </c>
      <c r="G532" s="79">
        <v>0</v>
      </c>
      <c r="H532" s="80">
        <v>0</v>
      </c>
      <c r="I532" s="79">
        <v>0</v>
      </c>
      <c r="J532" s="80">
        <v>0</v>
      </c>
      <c r="K532" s="79">
        <v>0</v>
      </c>
      <c r="L532" s="80">
        <v>0</v>
      </c>
      <c r="M532" s="79">
        <v>0</v>
      </c>
      <c r="N532" s="80">
        <v>0</v>
      </c>
      <c r="O532" s="79">
        <v>0</v>
      </c>
      <c r="P532" s="80">
        <v>0</v>
      </c>
      <c r="Q532" s="79">
        <v>0</v>
      </c>
      <c r="R532" s="80">
        <v>0</v>
      </c>
      <c r="S532" s="79">
        <v>0</v>
      </c>
      <c r="T532" s="80">
        <v>0</v>
      </c>
      <c r="U532" s="79">
        <v>0</v>
      </c>
      <c r="V532" s="80">
        <v>0</v>
      </c>
      <c r="W532" s="79">
        <v>0</v>
      </c>
      <c r="X532" s="80">
        <v>0</v>
      </c>
      <c r="Y532" s="79">
        <v>0</v>
      </c>
      <c r="Z532" s="80">
        <v>0</v>
      </c>
      <c r="AA532" s="79">
        <v>0</v>
      </c>
      <c r="AB532" s="80">
        <v>0</v>
      </c>
      <c r="AC532" s="238">
        <f t="shared" si="27"/>
        <v>0</v>
      </c>
      <c r="AD532" s="238"/>
      <c r="AE532" s="238"/>
    </row>
    <row r="533" spans="2:31" x14ac:dyDescent="0.3">
      <c r="B533" s="245" t="s">
        <v>64</v>
      </c>
      <c r="C533" s="245"/>
      <c r="D533" s="245"/>
      <c r="E533" s="79">
        <v>0</v>
      </c>
      <c r="F533" s="80">
        <v>0</v>
      </c>
      <c r="G533" s="79">
        <v>0</v>
      </c>
      <c r="H533" s="80">
        <v>0</v>
      </c>
      <c r="I533" s="79">
        <v>0</v>
      </c>
      <c r="J533" s="80">
        <v>0</v>
      </c>
      <c r="K533" s="79">
        <v>0</v>
      </c>
      <c r="L533" s="80">
        <v>0</v>
      </c>
      <c r="M533" s="79">
        <v>0</v>
      </c>
      <c r="N533" s="80">
        <v>0</v>
      </c>
      <c r="O533" s="79">
        <v>0</v>
      </c>
      <c r="P533" s="80">
        <v>0</v>
      </c>
      <c r="Q533" s="79">
        <v>0</v>
      </c>
      <c r="R533" s="80">
        <v>0</v>
      </c>
      <c r="S533" s="79">
        <v>0</v>
      </c>
      <c r="T533" s="80">
        <v>0</v>
      </c>
      <c r="U533" s="79">
        <v>0</v>
      </c>
      <c r="V533" s="80">
        <v>0</v>
      </c>
      <c r="W533" s="79">
        <v>0</v>
      </c>
      <c r="X533" s="80">
        <v>0</v>
      </c>
      <c r="Y533" s="79">
        <v>0</v>
      </c>
      <c r="Z533" s="80">
        <v>0</v>
      </c>
      <c r="AA533" s="79">
        <v>0</v>
      </c>
      <c r="AB533" s="80">
        <v>0</v>
      </c>
      <c r="AC533" s="238">
        <f t="shared" si="27"/>
        <v>0</v>
      </c>
      <c r="AD533" s="238"/>
      <c r="AE533" s="238"/>
    </row>
    <row r="534" spans="2:31" x14ac:dyDescent="0.3">
      <c r="B534" s="245" t="s">
        <v>96</v>
      </c>
      <c r="C534" s="245"/>
      <c r="D534" s="245"/>
      <c r="E534" s="79">
        <v>0</v>
      </c>
      <c r="F534" s="80">
        <v>0</v>
      </c>
      <c r="G534" s="79">
        <v>0</v>
      </c>
      <c r="H534" s="80">
        <v>0</v>
      </c>
      <c r="I534" s="79">
        <v>0</v>
      </c>
      <c r="J534" s="80">
        <v>0</v>
      </c>
      <c r="K534" s="79">
        <v>0</v>
      </c>
      <c r="L534" s="80">
        <v>0</v>
      </c>
      <c r="M534" s="79">
        <v>0</v>
      </c>
      <c r="N534" s="80">
        <v>0</v>
      </c>
      <c r="O534" s="79">
        <v>0</v>
      </c>
      <c r="P534" s="80">
        <v>0</v>
      </c>
      <c r="Q534" s="79">
        <v>0</v>
      </c>
      <c r="R534" s="80">
        <v>0</v>
      </c>
      <c r="S534" s="79">
        <v>0</v>
      </c>
      <c r="T534" s="80">
        <v>0</v>
      </c>
      <c r="U534" s="79">
        <v>0</v>
      </c>
      <c r="V534" s="80">
        <v>0</v>
      </c>
      <c r="W534" s="79">
        <v>0</v>
      </c>
      <c r="X534" s="80">
        <v>0</v>
      </c>
      <c r="Y534" s="79">
        <v>0</v>
      </c>
      <c r="Z534" s="80">
        <v>0</v>
      </c>
      <c r="AA534" s="79">
        <v>0</v>
      </c>
      <c r="AB534" s="80">
        <v>0</v>
      </c>
      <c r="AC534" s="238">
        <f t="shared" si="27"/>
        <v>0</v>
      </c>
      <c r="AD534" s="238"/>
      <c r="AE534" s="238"/>
    </row>
    <row r="535" spans="2:31" x14ac:dyDescent="0.3">
      <c r="B535" s="245" t="s">
        <v>65</v>
      </c>
      <c r="C535" s="245"/>
      <c r="D535" s="245"/>
      <c r="E535" s="79">
        <v>0</v>
      </c>
      <c r="F535" s="80">
        <v>0</v>
      </c>
      <c r="G535" s="79">
        <v>0</v>
      </c>
      <c r="H535" s="80">
        <v>0</v>
      </c>
      <c r="I535" s="79">
        <v>0</v>
      </c>
      <c r="J535" s="80">
        <v>0</v>
      </c>
      <c r="K535" s="79">
        <v>0</v>
      </c>
      <c r="L535" s="80">
        <v>0</v>
      </c>
      <c r="M535" s="79">
        <v>0</v>
      </c>
      <c r="N535" s="80">
        <v>0</v>
      </c>
      <c r="O535" s="79">
        <v>0</v>
      </c>
      <c r="P535" s="80">
        <v>0</v>
      </c>
      <c r="Q535" s="79">
        <v>0</v>
      </c>
      <c r="R535" s="80">
        <v>0</v>
      </c>
      <c r="S535" s="79">
        <v>0</v>
      </c>
      <c r="T535" s="80">
        <v>0</v>
      </c>
      <c r="U535" s="79">
        <v>0</v>
      </c>
      <c r="V535" s="80">
        <v>0</v>
      </c>
      <c r="W535" s="79">
        <v>0</v>
      </c>
      <c r="X535" s="80">
        <v>0</v>
      </c>
      <c r="Y535" s="79">
        <v>0</v>
      </c>
      <c r="Z535" s="80">
        <v>0</v>
      </c>
      <c r="AA535" s="79">
        <v>0</v>
      </c>
      <c r="AB535" s="80">
        <v>0</v>
      </c>
      <c r="AC535" s="238">
        <f t="shared" si="27"/>
        <v>0</v>
      </c>
      <c r="AD535" s="238"/>
      <c r="AE535" s="238"/>
    </row>
    <row r="536" spans="2:31" x14ac:dyDescent="0.3">
      <c r="B536" s="245" t="s">
        <v>66</v>
      </c>
      <c r="C536" s="245"/>
      <c r="D536" s="245"/>
      <c r="E536" s="79">
        <v>0</v>
      </c>
      <c r="F536" s="80">
        <v>0</v>
      </c>
      <c r="G536" s="79">
        <v>0</v>
      </c>
      <c r="H536" s="80">
        <v>0</v>
      </c>
      <c r="I536" s="79">
        <v>0</v>
      </c>
      <c r="J536" s="80">
        <v>0</v>
      </c>
      <c r="K536" s="79">
        <v>0</v>
      </c>
      <c r="L536" s="80">
        <v>0</v>
      </c>
      <c r="M536" s="79">
        <v>0</v>
      </c>
      <c r="N536" s="80">
        <v>0</v>
      </c>
      <c r="O536" s="79">
        <v>0</v>
      </c>
      <c r="P536" s="80">
        <v>0</v>
      </c>
      <c r="Q536" s="79">
        <v>0</v>
      </c>
      <c r="R536" s="80">
        <v>0</v>
      </c>
      <c r="S536" s="79">
        <v>0</v>
      </c>
      <c r="T536" s="80">
        <v>0</v>
      </c>
      <c r="U536" s="79">
        <v>0</v>
      </c>
      <c r="V536" s="80">
        <v>0</v>
      </c>
      <c r="W536" s="79">
        <v>0</v>
      </c>
      <c r="X536" s="80">
        <v>0</v>
      </c>
      <c r="Y536" s="79">
        <v>0</v>
      </c>
      <c r="Z536" s="80">
        <v>0</v>
      </c>
      <c r="AA536" s="79">
        <v>0</v>
      </c>
      <c r="AB536" s="80">
        <v>0</v>
      </c>
      <c r="AC536" s="238">
        <f>SUM(E536:AB536)</f>
        <v>0</v>
      </c>
      <c r="AD536" s="238"/>
      <c r="AE536" s="238"/>
    </row>
    <row r="537" spans="2:31" x14ac:dyDescent="0.3">
      <c r="B537" s="245" t="s">
        <v>67</v>
      </c>
      <c r="C537" s="245"/>
      <c r="D537" s="245"/>
      <c r="E537" s="79">
        <v>0</v>
      </c>
      <c r="F537" s="80">
        <v>0</v>
      </c>
      <c r="G537" s="79">
        <v>0</v>
      </c>
      <c r="H537" s="80">
        <v>0</v>
      </c>
      <c r="I537" s="79">
        <v>0</v>
      </c>
      <c r="J537" s="80">
        <v>0</v>
      </c>
      <c r="K537" s="79">
        <v>0</v>
      </c>
      <c r="L537" s="80">
        <v>0</v>
      </c>
      <c r="M537" s="79">
        <v>0</v>
      </c>
      <c r="N537" s="80">
        <v>0</v>
      </c>
      <c r="O537" s="79">
        <v>0</v>
      </c>
      <c r="P537" s="80">
        <v>0</v>
      </c>
      <c r="Q537" s="79">
        <v>0</v>
      </c>
      <c r="R537" s="80">
        <v>0</v>
      </c>
      <c r="S537" s="79">
        <v>0</v>
      </c>
      <c r="T537" s="80">
        <v>0</v>
      </c>
      <c r="U537" s="79">
        <v>0</v>
      </c>
      <c r="V537" s="80">
        <v>0</v>
      </c>
      <c r="W537" s="79">
        <v>0</v>
      </c>
      <c r="X537" s="80">
        <v>0</v>
      </c>
      <c r="Y537" s="79">
        <v>0</v>
      </c>
      <c r="Z537" s="80">
        <v>0</v>
      </c>
      <c r="AA537" s="79">
        <v>0</v>
      </c>
      <c r="AB537" s="80">
        <v>0</v>
      </c>
      <c r="AC537" s="238">
        <f t="shared" ref="AC537:AC550" si="28">SUM(E537:AB537)</f>
        <v>0</v>
      </c>
      <c r="AD537" s="238"/>
      <c r="AE537" s="238"/>
    </row>
    <row r="538" spans="2:31" x14ac:dyDescent="0.3">
      <c r="B538" s="245" t="s">
        <v>68</v>
      </c>
      <c r="C538" s="245"/>
      <c r="D538" s="245"/>
      <c r="E538" s="79">
        <v>0</v>
      </c>
      <c r="F538" s="80">
        <v>0</v>
      </c>
      <c r="G538" s="79">
        <v>0</v>
      </c>
      <c r="H538" s="80">
        <v>0</v>
      </c>
      <c r="I538" s="79">
        <v>0</v>
      </c>
      <c r="J538" s="80">
        <v>0</v>
      </c>
      <c r="K538" s="79">
        <v>0</v>
      </c>
      <c r="L538" s="80">
        <v>0</v>
      </c>
      <c r="M538" s="79">
        <v>0</v>
      </c>
      <c r="N538" s="80">
        <v>0</v>
      </c>
      <c r="O538" s="79">
        <v>0</v>
      </c>
      <c r="P538" s="80">
        <v>0</v>
      </c>
      <c r="Q538" s="79">
        <v>0</v>
      </c>
      <c r="R538" s="80">
        <v>0</v>
      </c>
      <c r="S538" s="79">
        <v>0</v>
      </c>
      <c r="T538" s="80">
        <v>0</v>
      </c>
      <c r="U538" s="79">
        <v>0</v>
      </c>
      <c r="V538" s="80">
        <v>0</v>
      </c>
      <c r="W538" s="79">
        <v>0</v>
      </c>
      <c r="X538" s="80">
        <v>0</v>
      </c>
      <c r="Y538" s="79">
        <v>0</v>
      </c>
      <c r="Z538" s="80">
        <v>0</v>
      </c>
      <c r="AA538" s="79">
        <v>0</v>
      </c>
      <c r="AB538" s="80">
        <v>0</v>
      </c>
      <c r="AC538" s="238">
        <f t="shared" si="28"/>
        <v>0</v>
      </c>
      <c r="AD538" s="238"/>
      <c r="AE538" s="238"/>
    </row>
    <row r="539" spans="2:31" x14ac:dyDescent="0.3">
      <c r="B539" s="245" t="s">
        <v>69</v>
      </c>
      <c r="C539" s="245"/>
      <c r="D539" s="245"/>
      <c r="E539" s="79">
        <v>0</v>
      </c>
      <c r="F539" s="80">
        <v>0</v>
      </c>
      <c r="G539" s="79">
        <v>0</v>
      </c>
      <c r="H539" s="80">
        <v>0</v>
      </c>
      <c r="I539" s="79">
        <v>0</v>
      </c>
      <c r="J539" s="80">
        <v>0</v>
      </c>
      <c r="K539" s="79">
        <v>0</v>
      </c>
      <c r="L539" s="80">
        <v>0</v>
      </c>
      <c r="M539" s="79">
        <v>0</v>
      </c>
      <c r="N539" s="80">
        <v>0</v>
      </c>
      <c r="O539" s="79">
        <v>0</v>
      </c>
      <c r="P539" s="80">
        <v>0</v>
      </c>
      <c r="Q539" s="79">
        <v>0</v>
      </c>
      <c r="R539" s="80">
        <v>0</v>
      </c>
      <c r="S539" s="79">
        <v>0</v>
      </c>
      <c r="T539" s="80">
        <v>0</v>
      </c>
      <c r="U539" s="79">
        <v>0</v>
      </c>
      <c r="V539" s="80">
        <v>0</v>
      </c>
      <c r="W539" s="79">
        <v>0</v>
      </c>
      <c r="X539" s="80">
        <v>0</v>
      </c>
      <c r="Y539" s="79">
        <v>0</v>
      </c>
      <c r="Z539" s="80">
        <v>0</v>
      </c>
      <c r="AA539" s="79">
        <v>0</v>
      </c>
      <c r="AB539" s="80">
        <v>0</v>
      </c>
      <c r="AC539" s="238">
        <f t="shared" si="28"/>
        <v>0</v>
      </c>
      <c r="AD539" s="238"/>
      <c r="AE539" s="238"/>
    </row>
    <row r="540" spans="2:31" x14ac:dyDescent="0.3">
      <c r="B540" s="245" t="s">
        <v>70</v>
      </c>
      <c r="C540" s="245"/>
      <c r="D540" s="245"/>
      <c r="E540" s="79">
        <v>0</v>
      </c>
      <c r="F540" s="80">
        <v>0</v>
      </c>
      <c r="G540" s="79">
        <v>0</v>
      </c>
      <c r="H540" s="80">
        <v>0</v>
      </c>
      <c r="I540" s="79">
        <v>0</v>
      </c>
      <c r="J540" s="80">
        <v>0</v>
      </c>
      <c r="K540" s="79">
        <v>0</v>
      </c>
      <c r="L540" s="80">
        <v>0</v>
      </c>
      <c r="M540" s="79">
        <v>0</v>
      </c>
      <c r="N540" s="80">
        <v>0</v>
      </c>
      <c r="O540" s="79">
        <v>0</v>
      </c>
      <c r="P540" s="80">
        <v>0</v>
      </c>
      <c r="Q540" s="79">
        <v>0</v>
      </c>
      <c r="R540" s="80">
        <v>0</v>
      </c>
      <c r="S540" s="79">
        <v>0</v>
      </c>
      <c r="T540" s="80">
        <v>0</v>
      </c>
      <c r="U540" s="79">
        <v>0</v>
      </c>
      <c r="V540" s="80">
        <v>0</v>
      </c>
      <c r="W540" s="79">
        <v>0</v>
      </c>
      <c r="X540" s="80">
        <v>0</v>
      </c>
      <c r="Y540" s="79">
        <v>0</v>
      </c>
      <c r="Z540" s="80">
        <v>0</v>
      </c>
      <c r="AA540" s="79">
        <v>0</v>
      </c>
      <c r="AB540" s="80">
        <v>0</v>
      </c>
      <c r="AC540" s="238">
        <f t="shared" si="28"/>
        <v>0</v>
      </c>
      <c r="AD540" s="238"/>
      <c r="AE540" s="238"/>
    </row>
    <row r="541" spans="2:31" x14ac:dyDescent="0.3">
      <c r="B541" s="245" t="s">
        <v>71</v>
      </c>
      <c r="C541" s="245"/>
      <c r="D541" s="245"/>
      <c r="E541" s="79">
        <v>0</v>
      </c>
      <c r="F541" s="80">
        <v>0</v>
      </c>
      <c r="G541" s="79">
        <v>0</v>
      </c>
      <c r="H541" s="80">
        <v>0</v>
      </c>
      <c r="I541" s="79">
        <v>0</v>
      </c>
      <c r="J541" s="80">
        <v>0</v>
      </c>
      <c r="K541" s="79">
        <v>0</v>
      </c>
      <c r="L541" s="80">
        <v>0</v>
      </c>
      <c r="M541" s="79">
        <v>0</v>
      </c>
      <c r="N541" s="80">
        <v>0</v>
      </c>
      <c r="O541" s="79">
        <v>0</v>
      </c>
      <c r="P541" s="80">
        <v>0</v>
      </c>
      <c r="Q541" s="79">
        <v>0</v>
      </c>
      <c r="R541" s="80">
        <v>0</v>
      </c>
      <c r="S541" s="79">
        <v>0</v>
      </c>
      <c r="T541" s="80">
        <v>0</v>
      </c>
      <c r="U541" s="79">
        <v>0</v>
      </c>
      <c r="V541" s="80">
        <v>0</v>
      </c>
      <c r="W541" s="79">
        <v>0</v>
      </c>
      <c r="X541" s="80">
        <v>0</v>
      </c>
      <c r="Y541" s="79">
        <v>0</v>
      </c>
      <c r="Z541" s="80">
        <v>0</v>
      </c>
      <c r="AA541" s="79">
        <v>0</v>
      </c>
      <c r="AB541" s="80">
        <v>0</v>
      </c>
      <c r="AC541" s="238">
        <f t="shared" si="28"/>
        <v>0</v>
      </c>
      <c r="AD541" s="238"/>
      <c r="AE541" s="238"/>
    </row>
    <row r="542" spans="2:31" x14ac:dyDescent="0.3">
      <c r="B542" s="245" t="s">
        <v>72</v>
      </c>
      <c r="C542" s="245"/>
      <c r="D542" s="245"/>
      <c r="E542" s="79">
        <v>0</v>
      </c>
      <c r="F542" s="80">
        <v>0</v>
      </c>
      <c r="G542" s="79">
        <v>0</v>
      </c>
      <c r="H542" s="80">
        <v>0</v>
      </c>
      <c r="I542" s="79">
        <v>0</v>
      </c>
      <c r="J542" s="80">
        <v>0</v>
      </c>
      <c r="K542" s="79">
        <v>0</v>
      </c>
      <c r="L542" s="80">
        <v>0</v>
      </c>
      <c r="M542" s="79">
        <v>0</v>
      </c>
      <c r="N542" s="80">
        <v>0</v>
      </c>
      <c r="O542" s="79">
        <v>0</v>
      </c>
      <c r="P542" s="80">
        <v>0</v>
      </c>
      <c r="Q542" s="79">
        <v>0</v>
      </c>
      <c r="R542" s="80">
        <v>0</v>
      </c>
      <c r="S542" s="79">
        <v>0</v>
      </c>
      <c r="T542" s="80">
        <v>0</v>
      </c>
      <c r="U542" s="79">
        <v>0</v>
      </c>
      <c r="V542" s="80">
        <v>0</v>
      </c>
      <c r="W542" s="79">
        <v>0</v>
      </c>
      <c r="X542" s="80">
        <v>0</v>
      </c>
      <c r="Y542" s="79">
        <v>0</v>
      </c>
      <c r="Z542" s="80">
        <v>0</v>
      </c>
      <c r="AA542" s="79">
        <v>0</v>
      </c>
      <c r="AB542" s="80">
        <v>0</v>
      </c>
      <c r="AC542" s="238">
        <f t="shared" si="28"/>
        <v>0</v>
      </c>
      <c r="AD542" s="238"/>
      <c r="AE542" s="238"/>
    </row>
    <row r="543" spans="2:31" x14ac:dyDescent="0.3">
      <c r="B543" s="245" t="s">
        <v>73</v>
      </c>
      <c r="C543" s="245"/>
      <c r="D543" s="245"/>
      <c r="E543" s="79">
        <v>0</v>
      </c>
      <c r="F543" s="80">
        <v>0</v>
      </c>
      <c r="G543" s="79">
        <v>0</v>
      </c>
      <c r="H543" s="80">
        <v>0</v>
      </c>
      <c r="I543" s="79">
        <v>0</v>
      </c>
      <c r="J543" s="80">
        <v>0</v>
      </c>
      <c r="K543" s="79">
        <v>0</v>
      </c>
      <c r="L543" s="80">
        <v>0</v>
      </c>
      <c r="M543" s="79">
        <v>0</v>
      </c>
      <c r="N543" s="80">
        <v>0</v>
      </c>
      <c r="O543" s="79">
        <v>0</v>
      </c>
      <c r="P543" s="80">
        <v>0</v>
      </c>
      <c r="Q543" s="79">
        <v>0</v>
      </c>
      <c r="R543" s="80">
        <v>0</v>
      </c>
      <c r="S543" s="79">
        <v>0</v>
      </c>
      <c r="T543" s="80">
        <v>0</v>
      </c>
      <c r="U543" s="79">
        <v>0</v>
      </c>
      <c r="V543" s="80">
        <v>0</v>
      </c>
      <c r="W543" s="79">
        <v>0</v>
      </c>
      <c r="X543" s="80">
        <v>0</v>
      </c>
      <c r="Y543" s="79">
        <v>0</v>
      </c>
      <c r="Z543" s="80">
        <v>0</v>
      </c>
      <c r="AA543" s="79">
        <v>0</v>
      </c>
      <c r="AB543" s="80">
        <v>0</v>
      </c>
      <c r="AC543" s="238">
        <f t="shared" si="28"/>
        <v>0</v>
      </c>
      <c r="AD543" s="238"/>
      <c r="AE543" s="238"/>
    </row>
    <row r="544" spans="2:31" x14ac:dyDescent="0.3">
      <c r="B544" s="245" t="s">
        <v>74</v>
      </c>
      <c r="C544" s="245"/>
      <c r="D544" s="245"/>
      <c r="E544" s="79">
        <v>0</v>
      </c>
      <c r="F544" s="80">
        <v>0</v>
      </c>
      <c r="G544" s="79">
        <v>0</v>
      </c>
      <c r="H544" s="80">
        <v>0</v>
      </c>
      <c r="I544" s="79">
        <v>0</v>
      </c>
      <c r="J544" s="80">
        <v>0</v>
      </c>
      <c r="K544" s="79">
        <v>0</v>
      </c>
      <c r="L544" s="80">
        <v>0</v>
      </c>
      <c r="M544" s="79">
        <v>0</v>
      </c>
      <c r="N544" s="80">
        <v>0</v>
      </c>
      <c r="O544" s="79">
        <v>0</v>
      </c>
      <c r="P544" s="80">
        <v>0</v>
      </c>
      <c r="Q544" s="79">
        <v>0</v>
      </c>
      <c r="R544" s="80">
        <v>0</v>
      </c>
      <c r="S544" s="79">
        <v>0</v>
      </c>
      <c r="T544" s="80">
        <v>0</v>
      </c>
      <c r="U544" s="79">
        <v>0</v>
      </c>
      <c r="V544" s="80">
        <v>0</v>
      </c>
      <c r="W544" s="79">
        <v>0</v>
      </c>
      <c r="X544" s="80">
        <v>0</v>
      </c>
      <c r="Y544" s="79">
        <v>0</v>
      </c>
      <c r="Z544" s="80">
        <v>0</v>
      </c>
      <c r="AA544" s="79">
        <v>0</v>
      </c>
      <c r="AB544" s="80">
        <v>0</v>
      </c>
      <c r="AC544" s="238">
        <f t="shared" si="28"/>
        <v>0</v>
      </c>
      <c r="AD544" s="238"/>
      <c r="AE544" s="238"/>
    </row>
    <row r="545" spans="2:31" x14ac:dyDescent="0.3">
      <c r="B545" s="245" t="s">
        <v>75</v>
      </c>
      <c r="C545" s="245"/>
      <c r="D545" s="245"/>
      <c r="E545" s="79">
        <v>0</v>
      </c>
      <c r="F545" s="80">
        <v>0</v>
      </c>
      <c r="G545" s="79">
        <v>0</v>
      </c>
      <c r="H545" s="80">
        <v>0</v>
      </c>
      <c r="I545" s="79">
        <v>0</v>
      </c>
      <c r="J545" s="80">
        <v>0</v>
      </c>
      <c r="K545" s="79">
        <v>0</v>
      </c>
      <c r="L545" s="80">
        <v>0</v>
      </c>
      <c r="M545" s="79">
        <v>0</v>
      </c>
      <c r="N545" s="80">
        <v>0</v>
      </c>
      <c r="O545" s="79">
        <v>0</v>
      </c>
      <c r="P545" s="80">
        <v>0</v>
      </c>
      <c r="Q545" s="79">
        <v>0</v>
      </c>
      <c r="R545" s="80">
        <v>0</v>
      </c>
      <c r="S545" s="79">
        <v>0</v>
      </c>
      <c r="T545" s="80">
        <v>0</v>
      </c>
      <c r="U545" s="79">
        <v>0</v>
      </c>
      <c r="V545" s="80">
        <v>0</v>
      </c>
      <c r="W545" s="79">
        <v>0</v>
      </c>
      <c r="X545" s="80">
        <v>0</v>
      </c>
      <c r="Y545" s="79">
        <v>0</v>
      </c>
      <c r="Z545" s="80">
        <v>0</v>
      </c>
      <c r="AA545" s="79">
        <v>0</v>
      </c>
      <c r="AB545" s="80">
        <v>0</v>
      </c>
      <c r="AC545" s="238">
        <f t="shared" si="28"/>
        <v>0</v>
      </c>
      <c r="AD545" s="238"/>
      <c r="AE545" s="238"/>
    </row>
    <row r="546" spans="2:31" x14ac:dyDescent="0.3">
      <c r="B546" s="245" t="s">
        <v>76</v>
      </c>
      <c r="C546" s="245"/>
      <c r="D546" s="245"/>
      <c r="E546" s="79">
        <v>0</v>
      </c>
      <c r="F546" s="80">
        <v>0</v>
      </c>
      <c r="G546" s="79">
        <v>0</v>
      </c>
      <c r="H546" s="80">
        <v>0</v>
      </c>
      <c r="I546" s="79">
        <v>0</v>
      </c>
      <c r="J546" s="80">
        <v>0</v>
      </c>
      <c r="K546" s="79">
        <v>0</v>
      </c>
      <c r="L546" s="80">
        <v>0</v>
      </c>
      <c r="M546" s="79">
        <v>0</v>
      </c>
      <c r="N546" s="80">
        <v>0</v>
      </c>
      <c r="O546" s="79">
        <v>0</v>
      </c>
      <c r="P546" s="80">
        <v>0</v>
      </c>
      <c r="Q546" s="79">
        <v>0</v>
      </c>
      <c r="R546" s="80">
        <v>0</v>
      </c>
      <c r="S546" s="79">
        <v>0</v>
      </c>
      <c r="T546" s="80">
        <v>0</v>
      </c>
      <c r="U546" s="79">
        <v>0</v>
      </c>
      <c r="V546" s="80">
        <v>0</v>
      </c>
      <c r="W546" s="79">
        <v>0</v>
      </c>
      <c r="X546" s="80">
        <v>0</v>
      </c>
      <c r="Y546" s="79">
        <v>0</v>
      </c>
      <c r="Z546" s="80">
        <v>0</v>
      </c>
      <c r="AA546" s="79">
        <v>0</v>
      </c>
      <c r="AB546" s="80">
        <v>0</v>
      </c>
      <c r="AC546" s="238">
        <f t="shared" si="28"/>
        <v>0</v>
      </c>
      <c r="AD546" s="238"/>
      <c r="AE546" s="238"/>
    </row>
    <row r="547" spans="2:31" x14ac:dyDescent="0.3">
      <c r="B547" s="245" t="s">
        <v>77</v>
      </c>
      <c r="C547" s="245"/>
      <c r="D547" s="245"/>
      <c r="E547" s="79">
        <v>0</v>
      </c>
      <c r="F547" s="80">
        <v>0</v>
      </c>
      <c r="G547" s="79">
        <v>0</v>
      </c>
      <c r="H547" s="80">
        <v>0</v>
      </c>
      <c r="I547" s="79">
        <v>0</v>
      </c>
      <c r="J547" s="80">
        <v>0</v>
      </c>
      <c r="K547" s="79">
        <v>0</v>
      </c>
      <c r="L547" s="80">
        <v>0</v>
      </c>
      <c r="M547" s="79">
        <v>0</v>
      </c>
      <c r="N547" s="80">
        <v>0</v>
      </c>
      <c r="O547" s="79">
        <v>0</v>
      </c>
      <c r="P547" s="80">
        <v>0</v>
      </c>
      <c r="Q547" s="79">
        <v>0</v>
      </c>
      <c r="R547" s="80">
        <v>0</v>
      </c>
      <c r="S547" s="79">
        <v>0</v>
      </c>
      <c r="T547" s="80">
        <v>0</v>
      </c>
      <c r="U547" s="79">
        <v>0</v>
      </c>
      <c r="V547" s="80">
        <v>0</v>
      </c>
      <c r="W547" s="79">
        <v>0</v>
      </c>
      <c r="X547" s="80">
        <v>0</v>
      </c>
      <c r="Y547" s="79">
        <v>0</v>
      </c>
      <c r="Z547" s="80">
        <v>0</v>
      </c>
      <c r="AA547" s="79">
        <v>0</v>
      </c>
      <c r="AB547" s="80">
        <v>0</v>
      </c>
      <c r="AC547" s="238">
        <f t="shared" si="28"/>
        <v>0</v>
      </c>
      <c r="AD547" s="238"/>
      <c r="AE547" s="238"/>
    </row>
    <row r="548" spans="2:31" x14ac:dyDescent="0.3">
      <c r="B548" s="245" t="s">
        <v>78</v>
      </c>
      <c r="C548" s="245"/>
      <c r="D548" s="245"/>
      <c r="E548" s="79">
        <v>0</v>
      </c>
      <c r="F548" s="80">
        <v>0</v>
      </c>
      <c r="G548" s="79">
        <v>0</v>
      </c>
      <c r="H548" s="80">
        <v>0</v>
      </c>
      <c r="I548" s="79">
        <v>0</v>
      </c>
      <c r="J548" s="80">
        <v>0</v>
      </c>
      <c r="K548" s="79">
        <v>0</v>
      </c>
      <c r="L548" s="80">
        <v>0</v>
      </c>
      <c r="M548" s="79">
        <v>0</v>
      </c>
      <c r="N548" s="80">
        <v>0</v>
      </c>
      <c r="O548" s="79">
        <v>0</v>
      </c>
      <c r="P548" s="80">
        <v>0</v>
      </c>
      <c r="Q548" s="79">
        <v>0</v>
      </c>
      <c r="R548" s="80">
        <v>0</v>
      </c>
      <c r="S548" s="79">
        <v>0</v>
      </c>
      <c r="T548" s="80">
        <v>0</v>
      </c>
      <c r="U548" s="79">
        <v>0</v>
      </c>
      <c r="V548" s="80">
        <v>0</v>
      </c>
      <c r="W548" s="79">
        <v>0</v>
      </c>
      <c r="X548" s="80">
        <v>0</v>
      </c>
      <c r="Y548" s="79">
        <v>0</v>
      </c>
      <c r="Z548" s="80">
        <v>0</v>
      </c>
      <c r="AA548" s="79">
        <v>0</v>
      </c>
      <c r="AB548" s="80">
        <v>0</v>
      </c>
      <c r="AC548" s="238">
        <f t="shared" si="28"/>
        <v>0</v>
      </c>
      <c r="AD548" s="238"/>
      <c r="AE548" s="238"/>
    </row>
    <row r="549" spans="2:31" x14ac:dyDescent="0.3">
      <c r="B549" s="245" t="s">
        <v>79</v>
      </c>
      <c r="C549" s="245"/>
      <c r="D549" s="245"/>
      <c r="E549" s="79">
        <v>0</v>
      </c>
      <c r="F549" s="80">
        <v>0</v>
      </c>
      <c r="G549" s="79">
        <v>0</v>
      </c>
      <c r="H549" s="80">
        <v>0</v>
      </c>
      <c r="I549" s="79">
        <v>0</v>
      </c>
      <c r="J549" s="80">
        <v>0</v>
      </c>
      <c r="K549" s="79">
        <v>0</v>
      </c>
      <c r="L549" s="80">
        <v>0</v>
      </c>
      <c r="M549" s="79">
        <v>0</v>
      </c>
      <c r="N549" s="80">
        <v>0</v>
      </c>
      <c r="O549" s="79">
        <v>0</v>
      </c>
      <c r="P549" s="80">
        <v>0</v>
      </c>
      <c r="Q549" s="79">
        <v>0</v>
      </c>
      <c r="R549" s="80">
        <v>0</v>
      </c>
      <c r="S549" s="79">
        <v>0</v>
      </c>
      <c r="T549" s="80">
        <v>0</v>
      </c>
      <c r="U549" s="79">
        <v>0</v>
      </c>
      <c r="V549" s="80">
        <v>0</v>
      </c>
      <c r="W549" s="79">
        <v>0</v>
      </c>
      <c r="X549" s="80">
        <v>0</v>
      </c>
      <c r="Y549" s="79">
        <v>0</v>
      </c>
      <c r="Z549" s="80">
        <v>0</v>
      </c>
      <c r="AA549" s="79">
        <v>0</v>
      </c>
      <c r="AB549" s="80">
        <v>0</v>
      </c>
      <c r="AC549" s="238">
        <f t="shared" si="28"/>
        <v>0</v>
      </c>
      <c r="AD549" s="238"/>
      <c r="AE549" s="238"/>
    </row>
    <row r="550" spans="2:31" x14ac:dyDescent="0.3">
      <c r="B550" s="245" t="s">
        <v>80</v>
      </c>
      <c r="C550" s="245"/>
      <c r="D550" s="245"/>
      <c r="E550" s="79">
        <v>0</v>
      </c>
      <c r="F550" s="80">
        <v>0</v>
      </c>
      <c r="G550" s="79">
        <v>0</v>
      </c>
      <c r="H550" s="80">
        <v>0</v>
      </c>
      <c r="I550" s="79">
        <v>0</v>
      </c>
      <c r="J550" s="80">
        <v>0</v>
      </c>
      <c r="K550" s="79">
        <v>0</v>
      </c>
      <c r="L550" s="80">
        <v>0</v>
      </c>
      <c r="M550" s="79">
        <v>0</v>
      </c>
      <c r="N550" s="80">
        <v>0</v>
      </c>
      <c r="O550" s="79">
        <v>0</v>
      </c>
      <c r="P550" s="80">
        <v>0</v>
      </c>
      <c r="Q550" s="79">
        <v>0</v>
      </c>
      <c r="R550" s="80">
        <v>0</v>
      </c>
      <c r="S550" s="79">
        <v>0</v>
      </c>
      <c r="T550" s="80">
        <v>0</v>
      </c>
      <c r="U550" s="79">
        <v>0</v>
      </c>
      <c r="V550" s="80">
        <v>0</v>
      </c>
      <c r="W550" s="79">
        <v>0</v>
      </c>
      <c r="X550" s="80">
        <v>0</v>
      </c>
      <c r="Y550" s="79">
        <v>0</v>
      </c>
      <c r="Z550" s="80">
        <v>0</v>
      </c>
      <c r="AA550" s="79">
        <v>0</v>
      </c>
      <c r="AB550" s="80">
        <v>0</v>
      </c>
      <c r="AC550" s="238">
        <f t="shared" si="28"/>
        <v>0</v>
      </c>
      <c r="AD550" s="238"/>
      <c r="AE550" s="238"/>
    </row>
    <row r="551" spans="2:31" x14ac:dyDescent="0.3">
      <c r="B551" s="245" t="s">
        <v>93</v>
      </c>
      <c r="C551" s="245"/>
      <c r="D551" s="245"/>
      <c r="E551" s="79">
        <v>0</v>
      </c>
      <c r="F551" s="80">
        <v>0</v>
      </c>
      <c r="G551" s="79">
        <v>0</v>
      </c>
      <c r="H551" s="80">
        <v>0</v>
      </c>
      <c r="I551" s="79">
        <v>0</v>
      </c>
      <c r="J551" s="80">
        <v>0</v>
      </c>
      <c r="K551" s="79">
        <v>0</v>
      </c>
      <c r="L551" s="80">
        <v>0</v>
      </c>
      <c r="M551" s="79">
        <v>0</v>
      </c>
      <c r="N551" s="80">
        <v>0</v>
      </c>
      <c r="O551" s="79">
        <v>0</v>
      </c>
      <c r="P551" s="80">
        <v>1.9666666666666648E-2</v>
      </c>
      <c r="Q551" s="79">
        <v>6.6666666666666729E-4</v>
      </c>
      <c r="R551" s="80">
        <v>7.3666666666666616E-2</v>
      </c>
      <c r="S551" s="79">
        <v>3.3166666666666657E-2</v>
      </c>
      <c r="T551" s="80">
        <v>0</v>
      </c>
      <c r="U551" s="79">
        <v>8.4999999999999971E-3</v>
      </c>
      <c r="V551" s="80">
        <v>6.2500000000000014E-2</v>
      </c>
      <c r="W551" s="79">
        <v>1.0699999999999994</v>
      </c>
      <c r="X551" s="80">
        <v>0.12999999999999998</v>
      </c>
      <c r="Y551" s="79">
        <v>0</v>
      </c>
      <c r="Z551" s="80">
        <v>0</v>
      </c>
      <c r="AA551" s="79">
        <v>0</v>
      </c>
      <c r="AB551" s="80">
        <v>0</v>
      </c>
      <c r="AC551" s="238">
        <f>SUM(E551:AB551)</f>
        <v>1.3981666666666659</v>
      </c>
      <c r="AD551" s="238"/>
      <c r="AE551" s="238"/>
    </row>
    <row r="552" spans="2:31" x14ac:dyDescent="0.3">
      <c r="B552" s="14" t="s">
        <v>2</v>
      </c>
      <c r="C552" s="14"/>
      <c r="D552" s="14"/>
      <c r="E552" s="15">
        <f t="shared" ref="E552:AB552" si="29">SUM(E503:E551)</f>
        <v>0</v>
      </c>
      <c r="F552" s="15">
        <f t="shared" si="29"/>
        <v>0</v>
      </c>
      <c r="G552" s="15">
        <f t="shared" si="29"/>
        <v>0</v>
      </c>
      <c r="H552" s="15">
        <f t="shared" si="29"/>
        <v>0</v>
      </c>
      <c r="I552" s="15">
        <f t="shared" si="29"/>
        <v>0</v>
      </c>
      <c r="J552" s="15">
        <f t="shared" si="29"/>
        <v>0</v>
      </c>
      <c r="K552" s="15">
        <f t="shared" si="29"/>
        <v>0</v>
      </c>
      <c r="L552" s="15">
        <f t="shared" si="29"/>
        <v>0</v>
      </c>
      <c r="M552" s="15">
        <f t="shared" si="29"/>
        <v>0</v>
      </c>
      <c r="N552" s="15">
        <f t="shared" si="29"/>
        <v>0</v>
      </c>
      <c r="O552" s="15">
        <f t="shared" si="29"/>
        <v>7.8733333333333357</v>
      </c>
      <c r="P552" s="15">
        <f t="shared" si="29"/>
        <v>35.023833333333329</v>
      </c>
      <c r="Q552" s="15">
        <f t="shared" si="29"/>
        <v>35.68666666666666</v>
      </c>
      <c r="R552" s="15">
        <f t="shared" si="29"/>
        <v>92.382999999999996</v>
      </c>
      <c r="S552" s="15">
        <f t="shared" si="29"/>
        <v>92.782833333333386</v>
      </c>
      <c r="T552" s="15">
        <f t="shared" si="29"/>
        <v>89.661000000000001</v>
      </c>
      <c r="U552" s="15">
        <f t="shared" si="29"/>
        <v>67.163166666666683</v>
      </c>
      <c r="V552" s="15">
        <f t="shared" si="29"/>
        <v>52.232833333333275</v>
      </c>
      <c r="W552" s="15">
        <f t="shared" si="29"/>
        <v>28.29549999999999</v>
      </c>
      <c r="X552" s="15">
        <f t="shared" si="29"/>
        <v>3.214833333333333</v>
      </c>
      <c r="Y552" s="15">
        <f t="shared" si="29"/>
        <v>0</v>
      </c>
      <c r="Z552" s="15">
        <f t="shared" si="29"/>
        <v>0</v>
      </c>
      <c r="AA552" s="15">
        <f t="shared" si="29"/>
        <v>0</v>
      </c>
      <c r="AB552" s="15">
        <f t="shared" si="29"/>
        <v>0</v>
      </c>
      <c r="AC552" s="249">
        <f>SUM(AC503:AE551)</f>
        <v>504.31699999999995</v>
      </c>
      <c r="AD552" s="249"/>
      <c r="AE552" s="249"/>
    </row>
    <row r="553" spans="2:31" x14ac:dyDescent="0.3">
      <c r="B553" s="16"/>
      <c r="C553" s="17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2:31" x14ac:dyDescent="0.3">
      <c r="B554" s="16"/>
      <c r="C554" s="17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2:31" x14ac:dyDescent="0.3">
      <c r="B555" s="8">
        <f>'Resumen-Mensual'!$O$22</f>
        <v>44572</v>
      </c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81"/>
      <c r="AD555" s="81"/>
      <c r="AE555" s="81"/>
    </row>
    <row r="556" spans="2:31" x14ac:dyDescent="0.3">
      <c r="B556" s="8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81"/>
      <c r="AD556" s="81"/>
      <c r="AE556" s="81"/>
    </row>
    <row r="557" spans="2:31" x14ac:dyDescent="0.3">
      <c r="B557" s="9" t="s">
        <v>81</v>
      </c>
      <c r="C557" s="10"/>
      <c r="D557" s="10"/>
      <c r="E557" s="11">
        <v>1</v>
      </c>
      <c r="F557" s="11">
        <v>2</v>
      </c>
      <c r="G557" s="11">
        <v>3</v>
      </c>
      <c r="H557" s="11">
        <v>4</v>
      </c>
      <c r="I557" s="11">
        <v>5</v>
      </c>
      <c r="J557" s="11">
        <v>6</v>
      </c>
      <c r="K557" s="11">
        <v>7</v>
      </c>
      <c r="L557" s="11">
        <v>8</v>
      </c>
      <c r="M557" s="11">
        <v>9</v>
      </c>
      <c r="N557" s="11">
        <v>10</v>
      </c>
      <c r="O557" s="11">
        <v>11</v>
      </c>
      <c r="P557" s="11">
        <v>12</v>
      </c>
      <c r="Q557" s="11">
        <v>13</v>
      </c>
      <c r="R557" s="11">
        <v>14</v>
      </c>
      <c r="S557" s="11">
        <v>15</v>
      </c>
      <c r="T557" s="11">
        <v>16</v>
      </c>
      <c r="U557" s="11">
        <v>17</v>
      </c>
      <c r="V557" s="11">
        <v>18</v>
      </c>
      <c r="W557" s="11">
        <v>19</v>
      </c>
      <c r="X557" s="11">
        <v>20</v>
      </c>
      <c r="Y557" s="11">
        <v>21</v>
      </c>
      <c r="Z557" s="11">
        <v>22</v>
      </c>
      <c r="AA557" s="11">
        <v>23</v>
      </c>
      <c r="AB557" s="11">
        <v>24</v>
      </c>
      <c r="AC557" s="248" t="s">
        <v>2</v>
      </c>
      <c r="AD557" s="248"/>
      <c r="AE557" s="248"/>
    </row>
    <row r="558" spans="2:31" x14ac:dyDescent="0.3">
      <c r="B558" s="245" t="s">
        <v>37</v>
      </c>
      <c r="C558" s="245"/>
      <c r="D558" s="245"/>
      <c r="E558" s="86">
        <v>0</v>
      </c>
      <c r="F558" s="87">
        <v>0</v>
      </c>
      <c r="G558" s="86">
        <v>0</v>
      </c>
      <c r="H558" s="87">
        <v>0</v>
      </c>
      <c r="I558" s="86">
        <v>0</v>
      </c>
      <c r="J558" s="87">
        <v>0</v>
      </c>
      <c r="K558" s="86">
        <v>0</v>
      </c>
      <c r="L558" s="87">
        <v>0</v>
      </c>
      <c r="M558" s="86">
        <v>0</v>
      </c>
      <c r="N558" s="87">
        <v>0</v>
      </c>
      <c r="O558" s="86">
        <v>0</v>
      </c>
      <c r="P558" s="87">
        <v>0</v>
      </c>
      <c r="Q558" s="86">
        <v>0</v>
      </c>
      <c r="R558" s="87">
        <v>0</v>
      </c>
      <c r="S558" s="86">
        <v>0</v>
      </c>
      <c r="T558" s="87">
        <v>0</v>
      </c>
      <c r="U558" s="86">
        <v>0</v>
      </c>
      <c r="V558" s="87">
        <v>0</v>
      </c>
      <c r="W558" s="86">
        <v>0</v>
      </c>
      <c r="X558" s="87">
        <v>0</v>
      </c>
      <c r="Y558" s="86">
        <v>0</v>
      </c>
      <c r="Z558" s="87">
        <v>0</v>
      </c>
      <c r="AA558" s="86">
        <v>0</v>
      </c>
      <c r="AB558" s="87">
        <v>0</v>
      </c>
      <c r="AC558" s="238">
        <f t="shared" ref="AC558:AC590" si="30">SUM(E558:AB558)</f>
        <v>0</v>
      </c>
      <c r="AD558" s="238"/>
      <c r="AE558" s="238"/>
    </row>
    <row r="559" spans="2:31" x14ac:dyDescent="0.3">
      <c r="B559" s="245" t="s">
        <v>38</v>
      </c>
      <c r="C559" s="245"/>
      <c r="D559" s="245"/>
      <c r="E559" s="86">
        <v>0</v>
      </c>
      <c r="F559" s="87">
        <v>0</v>
      </c>
      <c r="G559" s="86">
        <v>0</v>
      </c>
      <c r="H559" s="87">
        <v>0</v>
      </c>
      <c r="I559" s="86">
        <v>0</v>
      </c>
      <c r="J559" s="87">
        <v>0</v>
      </c>
      <c r="K559" s="86">
        <v>0</v>
      </c>
      <c r="L559" s="87">
        <v>0</v>
      </c>
      <c r="M559" s="86">
        <v>0</v>
      </c>
      <c r="N559" s="87">
        <v>0</v>
      </c>
      <c r="O559" s="86">
        <v>0</v>
      </c>
      <c r="P559" s="87">
        <v>0</v>
      </c>
      <c r="Q559" s="86">
        <v>0</v>
      </c>
      <c r="R559" s="87">
        <v>0</v>
      </c>
      <c r="S559" s="86">
        <v>0.33699999999999991</v>
      </c>
      <c r="T559" s="87">
        <v>1.3500000000000009E-2</v>
      </c>
      <c r="U559" s="86">
        <v>0.16166666666666663</v>
      </c>
      <c r="V559" s="87">
        <v>0</v>
      </c>
      <c r="W559" s="86">
        <v>0</v>
      </c>
      <c r="X559" s="87">
        <v>0</v>
      </c>
      <c r="Y559" s="86">
        <v>0</v>
      </c>
      <c r="Z559" s="87">
        <v>0</v>
      </c>
      <c r="AA559" s="86">
        <v>0</v>
      </c>
      <c r="AB559" s="87">
        <v>0</v>
      </c>
      <c r="AC559" s="238">
        <f t="shared" si="30"/>
        <v>0.51216666666666655</v>
      </c>
      <c r="AD559" s="238"/>
      <c r="AE559" s="238"/>
    </row>
    <row r="560" spans="2:31" x14ac:dyDescent="0.3">
      <c r="B560" s="245" t="s">
        <v>39</v>
      </c>
      <c r="C560" s="245"/>
      <c r="D560" s="245"/>
      <c r="E560" s="86">
        <v>0</v>
      </c>
      <c r="F560" s="87">
        <v>0</v>
      </c>
      <c r="G560" s="86">
        <v>0</v>
      </c>
      <c r="H560" s="87">
        <v>0</v>
      </c>
      <c r="I560" s="86">
        <v>0</v>
      </c>
      <c r="J560" s="87">
        <v>0</v>
      </c>
      <c r="K560" s="86">
        <v>0</v>
      </c>
      <c r="L560" s="87">
        <v>0</v>
      </c>
      <c r="M560" s="86">
        <v>0</v>
      </c>
      <c r="N560" s="87">
        <v>0</v>
      </c>
      <c r="O560" s="86">
        <v>0</v>
      </c>
      <c r="P560" s="87">
        <v>0</v>
      </c>
      <c r="Q560" s="86">
        <v>0</v>
      </c>
      <c r="R560" s="87">
        <v>1.4086666666666665</v>
      </c>
      <c r="S560" s="86">
        <v>2.4980000000000007</v>
      </c>
      <c r="T560" s="87">
        <v>0.52516666666666678</v>
      </c>
      <c r="U560" s="86">
        <v>0.91983333333333339</v>
      </c>
      <c r="V560" s="87">
        <v>0</v>
      </c>
      <c r="W560" s="86">
        <v>0</v>
      </c>
      <c r="X560" s="87">
        <v>0</v>
      </c>
      <c r="Y560" s="86">
        <v>0</v>
      </c>
      <c r="Z560" s="87">
        <v>0</v>
      </c>
      <c r="AA560" s="86">
        <v>0</v>
      </c>
      <c r="AB560" s="87">
        <v>0</v>
      </c>
      <c r="AC560" s="238">
        <f t="shared" si="30"/>
        <v>5.3516666666666666</v>
      </c>
      <c r="AD560" s="238"/>
      <c r="AE560" s="238"/>
    </row>
    <row r="561" spans="2:31" x14ac:dyDescent="0.3">
      <c r="B561" s="245" t="s">
        <v>40</v>
      </c>
      <c r="C561" s="245"/>
      <c r="D561" s="245"/>
      <c r="E561" s="86">
        <v>0</v>
      </c>
      <c r="F561" s="87">
        <v>0</v>
      </c>
      <c r="G561" s="86">
        <v>0</v>
      </c>
      <c r="H561" s="87">
        <v>0</v>
      </c>
      <c r="I561" s="86">
        <v>0</v>
      </c>
      <c r="J561" s="87">
        <v>0</v>
      </c>
      <c r="K561" s="86">
        <v>0</v>
      </c>
      <c r="L561" s="87">
        <v>0</v>
      </c>
      <c r="M561" s="86">
        <v>0</v>
      </c>
      <c r="N561" s="87">
        <v>0</v>
      </c>
      <c r="O561" s="86">
        <v>0</v>
      </c>
      <c r="P561" s="87">
        <v>0</v>
      </c>
      <c r="Q561" s="86">
        <v>0</v>
      </c>
      <c r="R561" s="87">
        <v>0.54899999999999849</v>
      </c>
      <c r="S561" s="86">
        <v>0</v>
      </c>
      <c r="T561" s="87">
        <v>11.661333333333326</v>
      </c>
      <c r="U561" s="86">
        <v>9.7086666666666623</v>
      </c>
      <c r="V561" s="87">
        <v>0</v>
      </c>
      <c r="W561" s="86">
        <v>0</v>
      </c>
      <c r="X561" s="87">
        <v>0</v>
      </c>
      <c r="Y561" s="86">
        <v>0</v>
      </c>
      <c r="Z561" s="87">
        <v>0</v>
      </c>
      <c r="AA561" s="86">
        <v>0</v>
      </c>
      <c r="AB561" s="87">
        <v>0</v>
      </c>
      <c r="AC561" s="238">
        <f t="shared" si="30"/>
        <v>21.918999999999986</v>
      </c>
      <c r="AD561" s="238"/>
      <c r="AE561" s="238"/>
    </row>
    <row r="562" spans="2:31" x14ac:dyDescent="0.3">
      <c r="B562" s="245" t="s">
        <v>41</v>
      </c>
      <c r="C562" s="245"/>
      <c r="D562" s="245"/>
      <c r="E562" s="86">
        <v>0</v>
      </c>
      <c r="F562" s="87">
        <v>0</v>
      </c>
      <c r="G562" s="86">
        <v>0</v>
      </c>
      <c r="H562" s="87">
        <v>0</v>
      </c>
      <c r="I562" s="86">
        <v>0</v>
      </c>
      <c r="J562" s="87">
        <v>0</v>
      </c>
      <c r="K562" s="86">
        <v>0</v>
      </c>
      <c r="L562" s="87">
        <v>0</v>
      </c>
      <c r="M562" s="86">
        <v>0</v>
      </c>
      <c r="N562" s="87">
        <v>0</v>
      </c>
      <c r="O562" s="86">
        <v>0</v>
      </c>
      <c r="P562" s="87">
        <v>0</v>
      </c>
      <c r="Q562" s="86">
        <v>2.3000000000000041E-2</v>
      </c>
      <c r="R562" s="87">
        <v>26.831500000000005</v>
      </c>
      <c r="S562" s="86">
        <v>24.792666666666662</v>
      </c>
      <c r="T562" s="87">
        <v>34.805833333333339</v>
      </c>
      <c r="U562" s="86">
        <v>21.456500000000002</v>
      </c>
      <c r="V562" s="87">
        <v>13.358500000000001</v>
      </c>
      <c r="W562" s="86">
        <v>0</v>
      </c>
      <c r="X562" s="87">
        <v>0</v>
      </c>
      <c r="Y562" s="86">
        <v>0</v>
      </c>
      <c r="Z562" s="87">
        <v>0</v>
      </c>
      <c r="AA562" s="86">
        <v>0</v>
      </c>
      <c r="AB562" s="87">
        <v>0</v>
      </c>
      <c r="AC562" s="238">
        <f t="shared" si="30"/>
        <v>121.26800000000001</v>
      </c>
      <c r="AD562" s="238"/>
      <c r="AE562" s="238"/>
    </row>
    <row r="563" spans="2:31" x14ac:dyDescent="0.3">
      <c r="B563" s="245" t="s">
        <v>42</v>
      </c>
      <c r="C563" s="245"/>
      <c r="D563" s="245"/>
      <c r="E563" s="86">
        <v>0</v>
      </c>
      <c r="F563" s="87">
        <v>0</v>
      </c>
      <c r="G563" s="86">
        <v>0</v>
      </c>
      <c r="H563" s="87">
        <v>0</v>
      </c>
      <c r="I563" s="86">
        <v>0</v>
      </c>
      <c r="J563" s="87">
        <v>0</v>
      </c>
      <c r="K563" s="86">
        <v>0</v>
      </c>
      <c r="L563" s="87">
        <v>0</v>
      </c>
      <c r="M563" s="86">
        <v>0</v>
      </c>
      <c r="N563" s="87">
        <v>0</v>
      </c>
      <c r="O563" s="86">
        <v>0</v>
      </c>
      <c r="P563" s="87">
        <v>0</v>
      </c>
      <c r="Q563" s="86">
        <v>0</v>
      </c>
      <c r="R563" s="87">
        <v>3.0666666666666724E-2</v>
      </c>
      <c r="S563" s="86">
        <v>1.4296666666666664</v>
      </c>
      <c r="T563" s="87">
        <v>2.2973333333333339</v>
      </c>
      <c r="U563" s="86">
        <v>0</v>
      </c>
      <c r="V563" s="87">
        <v>0</v>
      </c>
      <c r="W563" s="86">
        <v>0</v>
      </c>
      <c r="X563" s="87">
        <v>0</v>
      </c>
      <c r="Y563" s="86">
        <v>0</v>
      </c>
      <c r="Z563" s="87">
        <v>0</v>
      </c>
      <c r="AA563" s="86">
        <v>0</v>
      </c>
      <c r="AB563" s="87">
        <v>0</v>
      </c>
      <c r="AC563" s="238">
        <f t="shared" si="30"/>
        <v>3.7576666666666672</v>
      </c>
      <c r="AD563" s="238"/>
      <c r="AE563" s="238"/>
    </row>
    <row r="564" spans="2:31" x14ac:dyDescent="0.3">
      <c r="B564" s="245" t="s">
        <v>43</v>
      </c>
      <c r="C564" s="245"/>
      <c r="D564" s="245"/>
      <c r="E564" s="86">
        <v>0</v>
      </c>
      <c r="F564" s="87">
        <v>0</v>
      </c>
      <c r="G564" s="86">
        <v>0</v>
      </c>
      <c r="H564" s="87">
        <v>0</v>
      </c>
      <c r="I564" s="86">
        <v>0</v>
      </c>
      <c r="J564" s="87">
        <v>0</v>
      </c>
      <c r="K564" s="86">
        <v>0</v>
      </c>
      <c r="L564" s="87">
        <v>0</v>
      </c>
      <c r="M564" s="86">
        <v>0</v>
      </c>
      <c r="N564" s="87">
        <v>0</v>
      </c>
      <c r="O564" s="86">
        <v>0</v>
      </c>
      <c r="P564" s="87">
        <v>6.4381666666666684</v>
      </c>
      <c r="Q564" s="86">
        <v>19.638833333333352</v>
      </c>
      <c r="R564" s="87">
        <v>11.609333333333336</v>
      </c>
      <c r="S564" s="86">
        <v>6.3485000000000005</v>
      </c>
      <c r="T564" s="87">
        <v>6.2071666666666676</v>
      </c>
      <c r="U564" s="86">
        <v>42.230333333333341</v>
      </c>
      <c r="V564" s="87">
        <v>23.562999999999995</v>
      </c>
      <c r="W564" s="86">
        <v>0</v>
      </c>
      <c r="X564" s="87">
        <v>0</v>
      </c>
      <c r="Y564" s="86">
        <v>0</v>
      </c>
      <c r="Z564" s="87">
        <v>0</v>
      </c>
      <c r="AA564" s="86">
        <v>0</v>
      </c>
      <c r="AB564" s="87">
        <v>0</v>
      </c>
      <c r="AC564" s="238">
        <f t="shared" si="30"/>
        <v>116.03533333333334</v>
      </c>
      <c r="AD564" s="238"/>
      <c r="AE564" s="238"/>
    </row>
    <row r="565" spans="2:31" x14ac:dyDescent="0.3">
      <c r="B565" s="245" t="s">
        <v>44</v>
      </c>
      <c r="C565" s="245"/>
      <c r="D565" s="245"/>
      <c r="E565" s="86">
        <v>0</v>
      </c>
      <c r="F565" s="87">
        <v>0</v>
      </c>
      <c r="G565" s="86">
        <v>0</v>
      </c>
      <c r="H565" s="87">
        <v>0</v>
      </c>
      <c r="I565" s="86">
        <v>0</v>
      </c>
      <c r="J565" s="87">
        <v>0</v>
      </c>
      <c r="K565" s="86">
        <v>0</v>
      </c>
      <c r="L565" s="87">
        <v>0</v>
      </c>
      <c r="M565" s="86">
        <v>0</v>
      </c>
      <c r="N565" s="87">
        <v>0</v>
      </c>
      <c r="O565" s="86">
        <v>0</v>
      </c>
      <c r="P565" s="87">
        <v>0</v>
      </c>
      <c r="Q565" s="86">
        <v>0</v>
      </c>
      <c r="R565" s="87">
        <v>0</v>
      </c>
      <c r="S565" s="86">
        <v>0</v>
      </c>
      <c r="T565" s="87">
        <v>0</v>
      </c>
      <c r="U565" s="86">
        <v>11.768333333333333</v>
      </c>
      <c r="V565" s="87">
        <v>1.4690000000000001</v>
      </c>
      <c r="W565" s="86">
        <v>0</v>
      </c>
      <c r="X565" s="87">
        <v>0</v>
      </c>
      <c r="Y565" s="86">
        <v>0</v>
      </c>
      <c r="Z565" s="87">
        <v>0</v>
      </c>
      <c r="AA565" s="86">
        <v>0</v>
      </c>
      <c r="AB565" s="87">
        <v>0</v>
      </c>
      <c r="AC565" s="238">
        <f t="shared" si="30"/>
        <v>13.237333333333332</v>
      </c>
      <c r="AD565" s="238"/>
      <c r="AE565" s="238"/>
    </row>
    <row r="566" spans="2:31" x14ac:dyDescent="0.3">
      <c r="B566" s="245" t="s">
        <v>45</v>
      </c>
      <c r="C566" s="245"/>
      <c r="D566" s="245"/>
      <c r="E566" s="86">
        <v>0</v>
      </c>
      <c r="F566" s="87">
        <v>0</v>
      </c>
      <c r="G566" s="86">
        <v>0</v>
      </c>
      <c r="H566" s="87">
        <v>0</v>
      </c>
      <c r="I566" s="86">
        <v>0</v>
      </c>
      <c r="J566" s="87">
        <v>0</v>
      </c>
      <c r="K566" s="86">
        <v>0</v>
      </c>
      <c r="L566" s="87">
        <v>0</v>
      </c>
      <c r="M566" s="86">
        <v>0</v>
      </c>
      <c r="N566" s="87">
        <v>0</v>
      </c>
      <c r="O566" s="86">
        <v>0</v>
      </c>
      <c r="P566" s="87">
        <v>11.624000000000013</v>
      </c>
      <c r="Q566" s="86">
        <v>17.450000000000021</v>
      </c>
      <c r="R566" s="87">
        <v>14.725999999999996</v>
      </c>
      <c r="S566" s="86">
        <v>14.610000000000012</v>
      </c>
      <c r="T566" s="87">
        <v>26.791166666666644</v>
      </c>
      <c r="U566" s="86">
        <v>0</v>
      </c>
      <c r="V566" s="87">
        <v>11.342499999999999</v>
      </c>
      <c r="W566" s="86">
        <v>3.3059999999999992</v>
      </c>
      <c r="X566" s="87">
        <v>0</v>
      </c>
      <c r="Y566" s="86">
        <v>0</v>
      </c>
      <c r="Z566" s="87">
        <v>0</v>
      </c>
      <c r="AA566" s="86">
        <v>0</v>
      </c>
      <c r="AB566" s="87">
        <v>0</v>
      </c>
      <c r="AC566" s="238">
        <f t="shared" si="30"/>
        <v>99.849666666666678</v>
      </c>
      <c r="AD566" s="238"/>
      <c r="AE566" s="238"/>
    </row>
    <row r="567" spans="2:31" x14ac:dyDescent="0.3">
      <c r="B567" s="245" t="s">
        <v>46</v>
      </c>
      <c r="C567" s="245"/>
      <c r="D567" s="245"/>
      <c r="E567" s="86">
        <v>0</v>
      </c>
      <c r="F567" s="87">
        <v>0</v>
      </c>
      <c r="G567" s="86">
        <v>0</v>
      </c>
      <c r="H567" s="87">
        <v>0</v>
      </c>
      <c r="I567" s="86">
        <v>0</v>
      </c>
      <c r="J567" s="87">
        <v>0</v>
      </c>
      <c r="K567" s="86">
        <v>0</v>
      </c>
      <c r="L567" s="87">
        <v>0</v>
      </c>
      <c r="M567" s="86">
        <v>0</v>
      </c>
      <c r="N567" s="87">
        <v>0</v>
      </c>
      <c r="O567" s="86">
        <v>0</v>
      </c>
      <c r="P567" s="87">
        <v>2.3308333333333349</v>
      </c>
      <c r="Q567" s="86">
        <v>4.0995000000000008</v>
      </c>
      <c r="R567" s="87">
        <v>0</v>
      </c>
      <c r="S567" s="86">
        <v>0</v>
      </c>
      <c r="T567" s="87">
        <v>0.73366666666666858</v>
      </c>
      <c r="U567" s="86">
        <v>0</v>
      </c>
      <c r="V567" s="87">
        <v>0</v>
      </c>
      <c r="W567" s="86">
        <v>0.66650000000000065</v>
      </c>
      <c r="X567" s="87">
        <v>0</v>
      </c>
      <c r="Y567" s="86">
        <v>0</v>
      </c>
      <c r="Z567" s="87">
        <v>0</v>
      </c>
      <c r="AA567" s="86">
        <v>0</v>
      </c>
      <c r="AB567" s="87">
        <v>0</v>
      </c>
      <c r="AC567" s="238">
        <f t="shared" si="30"/>
        <v>7.8305000000000051</v>
      </c>
      <c r="AD567" s="238"/>
      <c r="AE567" s="238"/>
    </row>
    <row r="568" spans="2:31" x14ac:dyDescent="0.3">
      <c r="B568" s="245" t="s">
        <v>47</v>
      </c>
      <c r="C568" s="245"/>
      <c r="D568" s="245"/>
      <c r="E568" s="86">
        <v>0</v>
      </c>
      <c r="F568" s="87">
        <v>0</v>
      </c>
      <c r="G568" s="86">
        <v>0</v>
      </c>
      <c r="H568" s="87">
        <v>0</v>
      </c>
      <c r="I568" s="86">
        <v>0</v>
      </c>
      <c r="J568" s="87">
        <v>0</v>
      </c>
      <c r="K568" s="86">
        <v>0</v>
      </c>
      <c r="L568" s="87">
        <v>0</v>
      </c>
      <c r="M568" s="86">
        <v>0</v>
      </c>
      <c r="N568" s="87">
        <v>0</v>
      </c>
      <c r="O568" s="86">
        <v>0</v>
      </c>
      <c r="P568" s="87">
        <v>0</v>
      </c>
      <c r="Q568" s="86">
        <v>0</v>
      </c>
      <c r="R568" s="87">
        <v>0</v>
      </c>
      <c r="S568" s="86">
        <v>0.89766666666666661</v>
      </c>
      <c r="T568" s="87">
        <v>6.1108333333333347</v>
      </c>
      <c r="U568" s="86">
        <v>6.4101666666666661</v>
      </c>
      <c r="V568" s="87">
        <v>4.9829999999999988</v>
      </c>
      <c r="W568" s="86">
        <v>0.94300000000000006</v>
      </c>
      <c r="X568" s="87">
        <v>0</v>
      </c>
      <c r="Y568" s="86">
        <v>0</v>
      </c>
      <c r="Z568" s="87">
        <v>0</v>
      </c>
      <c r="AA568" s="86">
        <v>0</v>
      </c>
      <c r="AB568" s="87">
        <v>0</v>
      </c>
      <c r="AC568" s="238">
        <f t="shared" si="30"/>
        <v>19.344666666666665</v>
      </c>
      <c r="AD568" s="238"/>
      <c r="AE568" s="238"/>
    </row>
    <row r="569" spans="2:31" x14ac:dyDescent="0.3">
      <c r="B569" s="245" t="s">
        <v>48</v>
      </c>
      <c r="C569" s="245"/>
      <c r="D569" s="245"/>
      <c r="E569" s="86">
        <v>0</v>
      </c>
      <c r="F569" s="87">
        <v>0</v>
      </c>
      <c r="G569" s="86">
        <v>0</v>
      </c>
      <c r="H569" s="87">
        <v>0</v>
      </c>
      <c r="I569" s="86">
        <v>0</v>
      </c>
      <c r="J569" s="87">
        <v>0</v>
      </c>
      <c r="K569" s="86">
        <v>0</v>
      </c>
      <c r="L569" s="87">
        <v>0</v>
      </c>
      <c r="M569" s="86">
        <v>0</v>
      </c>
      <c r="N569" s="87">
        <v>0</v>
      </c>
      <c r="O569" s="86">
        <v>0</v>
      </c>
      <c r="P569" s="87">
        <v>0</v>
      </c>
      <c r="Q569" s="86">
        <v>0</v>
      </c>
      <c r="R569" s="87">
        <v>0</v>
      </c>
      <c r="S569" s="86">
        <v>1.3640000000000001</v>
      </c>
      <c r="T569" s="87">
        <v>5.1525000000000043</v>
      </c>
      <c r="U569" s="86">
        <v>5.2779999999999969</v>
      </c>
      <c r="V569" s="87">
        <v>4.5718333333333359</v>
      </c>
      <c r="W569" s="86">
        <v>0.57666666666666677</v>
      </c>
      <c r="X569" s="87">
        <v>0</v>
      </c>
      <c r="Y569" s="86">
        <v>0</v>
      </c>
      <c r="Z569" s="87">
        <v>0</v>
      </c>
      <c r="AA569" s="86">
        <v>0</v>
      </c>
      <c r="AB569" s="87">
        <v>0</v>
      </c>
      <c r="AC569" s="238">
        <f t="shared" si="30"/>
        <v>16.943000000000005</v>
      </c>
      <c r="AD569" s="238"/>
      <c r="AE569" s="238"/>
    </row>
    <row r="570" spans="2:31" x14ac:dyDescent="0.3">
      <c r="B570" s="245" t="s">
        <v>49</v>
      </c>
      <c r="C570" s="245"/>
      <c r="D570" s="245"/>
      <c r="E570" s="86">
        <v>0</v>
      </c>
      <c r="F570" s="87">
        <v>0</v>
      </c>
      <c r="G570" s="86">
        <v>0</v>
      </c>
      <c r="H570" s="87">
        <v>0</v>
      </c>
      <c r="I570" s="86">
        <v>0</v>
      </c>
      <c r="J570" s="87">
        <v>0</v>
      </c>
      <c r="K570" s="86">
        <v>0</v>
      </c>
      <c r="L570" s="87">
        <v>0</v>
      </c>
      <c r="M570" s="86">
        <v>0</v>
      </c>
      <c r="N570" s="87">
        <v>0</v>
      </c>
      <c r="O570" s="86">
        <v>0</v>
      </c>
      <c r="P570" s="87">
        <v>4.116666666666665E-2</v>
      </c>
      <c r="Q570" s="86">
        <v>0.11700000000000005</v>
      </c>
      <c r="R570" s="87">
        <v>0</v>
      </c>
      <c r="S570" s="86">
        <v>0</v>
      </c>
      <c r="T570" s="87">
        <v>0</v>
      </c>
      <c r="U570" s="86">
        <v>0.12766666666666665</v>
      </c>
      <c r="V570" s="87">
        <v>5.1333333333333363E-2</v>
      </c>
      <c r="W570" s="86">
        <v>0</v>
      </c>
      <c r="X570" s="87">
        <v>0</v>
      </c>
      <c r="Y570" s="86">
        <v>0</v>
      </c>
      <c r="Z570" s="87">
        <v>0</v>
      </c>
      <c r="AA570" s="86">
        <v>0</v>
      </c>
      <c r="AB570" s="87">
        <v>0</v>
      </c>
      <c r="AC570" s="238">
        <f t="shared" si="30"/>
        <v>0.33716666666666673</v>
      </c>
      <c r="AD570" s="238"/>
      <c r="AE570" s="238"/>
    </row>
    <row r="571" spans="2:31" x14ac:dyDescent="0.3">
      <c r="B571" s="245" t="s">
        <v>50</v>
      </c>
      <c r="C571" s="245"/>
      <c r="D571" s="245"/>
      <c r="E571" s="86">
        <v>0</v>
      </c>
      <c r="F571" s="87">
        <v>0</v>
      </c>
      <c r="G571" s="86">
        <v>0</v>
      </c>
      <c r="H571" s="87">
        <v>0</v>
      </c>
      <c r="I571" s="86">
        <v>0</v>
      </c>
      <c r="J571" s="87">
        <v>0</v>
      </c>
      <c r="K571" s="86">
        <v>0</v>
      </c>
      <c r="L571" s="87">
        <v>0</v>
      </c>
      <c r="M571" s="86">
        <v>0</v>
      </c>
      <c r="N571" s="87">
        <v>0</v>
      </c>
      <c r="O571" s="86">
        <v>0</v>
      </c>
      <c r="P571" s="87">
        <v>0</v>
      </c>
      <c r="Q571" s="86">
        <v>2.5001666666666673</v>
      </c>
      <c r="R571" s="87">
        <v>10.035666666666662</v>
      </c>
      <c r="S571" s="86">
        <v>13.896333333333347</v>
      </c>
      <c r="T571" s="87">
        <v>12.094166666666666</v>
      </c>
      <c r="U571" s="86">
        <v>11.267666666666663</v>
      </c>
      <c r="V571" s="87">
        <v>3.6633333333333336</v>
      </c>
      <c r="W571" s="86">
        <v>0</v>
      </c>
      <c r="X571" s="87">
        <v>0</v>
      </c>
      <c r="Y571" s="86">
        <v>0</v>
      </c>
      <c r="Z571" s="87">
        <v>0</v>
      </c>
      <c r="AA571" s="86">
        <v>0</v>
      </c>
      <c r="AB571" s="87">
        <v>0</v>
      </c>
      <c r="AC571" s="238">
        <f t="shared" si="30"/>
        <v>53.457333333333338</v>
      </c>
      <c r="AD571" s="238"/>
      <c r="AE571" s="238"/>
    </row>
    <row r="572" spans="2:31" x14ac:dyDescent="0.3">
      <c r="B572" s="245" t="s">
        <v>97</v>
      </c>
      <c r="C572" s="245"/>
      <c r="D572" s="245"/>
      <c r="E572" s="86">
        <v>0</v>
      </c>
      <c r="F572" s="87">
        <v>0</v>
      </c>
      <c r="G572" s="86">
        <v>0</v>
      </c>
      <c r="H572" s="87">
        <v>0</v>
      </c>
      <c r="I572" s="86">
        <v>0</v>
      </c>
      <c r="J572" s="87">
        <v>0</v>
      </c>
      <c r="K572" s="86">
        <v>0</v>
      </c>
      <c r="L572" s="87">
        <v>0</v>
      </c>
      <c r="M572" s="86">
        <v>0</v>
      </c>
      <c r="N572" s="87">
        <v>0</v>
      </c>
      <c r="O572" s="86">
        <v>0</v>
      </c>
      <c r="P572" s="87">
        <v>0</v>
      </c>
      <c r="Q572" s="86">
        <v>0</v>
      </c>
      <c r="R572" s="87">
        <v>0</v>
      </c>
      <c r="S572" s="86">
        <v>0</v>
      </c>
      <c r="T572" s="87">
        <v>0</v>
      </c>
      <c r="U572" s="86">
        <v>0</v>
      </c>
      <c r="V572" s="87">
        <v>0</v>
      </c>
      <c r="W572" s="86">
        <v>0</v>
      </c>
      <c r="X572" s="87">
        <v>0</v>
      </c>
      <c r="Y572" s="86">
        <v>0</v>
      </c>
      <c r="Z572" s="87">
        <v>0</v>
      </c>
      <c r="AA572" s="86">
        <v>0</v>
      </c>
      <c r="AB572" s="87">
        <v>0</v>
      </c>
      <c r="AC572" s="238">
        <f t="shared" si="30"/>
        <v>0</v>
      </c>
      <c r="AD572" s="238"/>
      <c r="AE572" s="238"/>
    </row>
    <row r="573" spans="2:31" x14ac:dyDescent="0.3">
      <c r="B573" s="245" t="s">
        <v>51</v>
      </c>
      <c r="C573" s="245"/>
      <c r="D573" s="245"/>
      <c r="E573" s="86">
        <v>0</v>
      </c>
      <c r="F573" s="87">
        <v>0</v>
      </c>
      <c r="G573" s="86">
        <v>0</v>
      </c>
      <c r="H573" s="87">
        <v>0</v>
      </c>
      <c r="I573" s="86">
        <v>0</v>
      </c>
      <c r="J573" s="87">
        <v>0</v>
      </c>
      <c r="K573" s="86">
        <v>0</v>
      </c>
      <c r="L573" s="87">
        <v>0</v>
      </c>
      <c r="M573" s="86">
        <v>0</v>
      </c>
      <c r="N573" s="87">
        <v>0</v>
      </c>
      <c r="O573" s="86">
        <v>0</v>
      </c>
      <c r="P573" s="87">
        <v>0</v>
      </c>
      <c r="Q573" s="86">
        <v>0</v>
      </c>
      <c r="R573" s="87">
        <v>20.446166666666663</v>
      </c>
      <c r="S573" s="86">
        <v>34.147166666666671</v>
      </c>
      <c r="T573" s="87">
        <v>0.41816666666666674</v>
      </c>
      <c r="U573" s="86">
        <v>2.5995000000000008</v>
      </c>
      <c r="V573" s="87">
        <v>0</v>
      </c>
      <c r="W573" s="86">
        <v>0</v>
      </c>
      <c r="X573" s="87">
        <v>0</v>
      </c>
      <c r="Y573" s="86">
        <v>0</v>
      </c>
      <c r="Z573" s="87">
        <v>0</v>
      </c>
      <c r="AA573" s="86">
        <v>0</v>
      </c>
      <c r="AB573" s="87">
        <v>0</v>
      </c>
      <c r="AC573" s="238">
        <f t="shared" si="30"/>
        <v>57.610999999999997</v>
      </c>
      <c r="AD573" s="238"/>
      <c r="AE573" s="238"/>
    </row>
    <row r="574" spans="2:31" x14ac:dyDescent="0.3">
      <c r="B574" s="245" t="s">
        <v>52</v>
      </c>
      <c r="C574" s="245"/>
      <c r="D574" s="245"/>
      <c r="E574" s="86">
        <v>0</v>
      </c>
      <c r="F574" s="87">
        <v>0</v>
      </c>
      <c r="G574" s="86">
        <v>0</v>
      </c>
      <c r="H574" s="87">
        <v>0</v>
      </c>
      <c r="I574" s="86">
        <v>0</v>
      </c>
      <c r="J574" s="87">
        <v>0</v>
      </c>
      <c r="K574" s="86">
        <v>0</v>
      </c>
      <c r="L574" s="87">
        <v>0</v>
      </c>
      <c r="M574" s="86">
        <v>0</v>
      </c>
      <c r="N574" s="87">
        <v>0</v>
      </c>
      <c r="O574" s="86">
        <v>0</v>
      </c>
      <c r="P574" s="87">
        <v>0</v>
      </c>
      <c r="Q574" s="86">
        <v>0</v>
      </c>
      <c r="R574" s="87">
        <v>0</v>
      </c>
      <c r="S574" s="86">
        <v>0</v>
      </c>
      <c r="T574" s="87">
        <v>0</v>
      </c>
      <c r="U574" s="86">
        <v>0</v>
      </c>
      <c r="V574" s="87">
        <v>0</v>
      </c>
      <c r="W574" s="86">
        <v>0</v>
      </c>
      <c r="X574" s="87">
        <v>0</v>
      </c>
      <c r="Y574" s="86">
        <v>0</v>
      </c>
      <c r="Z574" s="87">
        <v>0</v>
      </c>
      <c r="AA574" s="86">
        <v>0</v>
      </c>
      <c r="AB574" s="87">
        <v>0</v>
      </c>
      <c r="AC574" s="238">
        <f t="shared" si="30"/>
        <v>0</v>
      </c>
      <c r="AD574" s="238"/>
      <c r="AE574" s="238"/>
    </row>
    <row r="575" spans="2:31" x14ac:dyDescent="0.3">
      <c r="B575" s="245" t="s">
        <v>53</v>
      </c>
      <c r="C575" s="245"/>
      <c r="D575" s="245"/>
      <c r="E575" s="86">
        <v>0</v>
      </c>
      <c r="F575" s="87">
        <v>0</v>
      </c>
      <c r="G575" s="86">
        <v>0</v>
      </c>
      <c r="H575" s="87">
        <v>0</v>
      </c>
      <c r="I575" s="86">
        <v>0</v>
      </c>
      <c r="J575" s="87">
        <v>0</v>
      </c>
      <c r="K575" s="86">
        <v>0</v>
      </c>
      <c r="L575" s="87">
        <v>0</v>
      </c>
      <c r="M575" s="86">
        <v>0</v>
      </c>
      <c r="N575" s="87">
        <v>0</v>
      </c>
      <c r="O575" s="86">
        <v>0</v>
      </c>
      <c r="P575" s="87">
        <v>0</v>
      </c>
      <c r="Q575" s="86">
        <v>0</v>
      </c>
      <c r="R575" s="87">
        <v>0.47966666666666646</v>
      </c>
      <c r="S575" s="86">
        <v>0.59283333333333321</v>
      </c>
      <c r="T575" s="87">
        <v>0</v>
      </c>
      <c r="U575" s="86">
        <v>0</v>
      </c>
      <c r="V575" s="87">
        <v>0</v>
      </c>
      <c r="W575" s="86">
        <v>0</v>
      </c>
      <c r="X575" s="87">
        <v>0</v>
      </c>
      <c r="Y575" s="86">
        <v>0</v>
      </c>
      <c r="Z575" s="87">
        <v>0</v>
      </c>
      <c r="AA575" s="86">
        <v>0</v>
      </c>
      <c r="AB575" s="87">
        <v>0</v>
      </c>
      <c r="AC575" s="238">
        <f t="shared" si="30"/>
        <v>1.0724999999999998</v>
      </c>
      <c r="AD575" s="238"/>
      <c r="AE575" s="238"/>
    </row>
    <row r="576" spans="2:31" x14ac:dyDescent="0.3">
      <c r="B576" s="245" t="s">
        <v>54</v>
      </c>
      <c r="C576" s="245"/>
      <c r="D576" s="245"/>
      <c r="E576" s="86">
        <v>0</v>
      </c>
      <c r="F576" s="87">
        <v>0</v>
      </c>
      <c r="G576" s="86">
        <v>0</v>
      </c>
      <c r="H576" s="87">
        <v>0</v>
      </c>
      <c r="I576" s="86">
        <v>0</v>
      </c>
      <c r="J576" s="87">
        <v>0</v>
      </c>
      <c r="K576" s="86">
        <v>0</v>
      </c>
      <c r="L576" s="87">
        <v>0</v>
      </c>
      <c r="M576" s="86">
        <v>0</v>
      </c>
      <c r="N576" s="87">
        <v>0</v>
      </c>
      <c r="O576" s="86">
        <v>0</v>
      </c>
      <c r="P576" s="87">
        <v>0</v>
      </c>
      <c r="Q576" s="86">
        <v>0</v>
      </c>
      <c r="R576" s="87">
        <v>0</v>
      </c>
      <c r="S576" s="86">
        <v>3.0748333333333324</v>
      </c>
      <c r="T576" s="87">
        <v>0.98</v>
      </c>
      <c r="U576" s="86">
        <v>0</v>
      </c>
      <c r="V576" s="87">
        <v>0</v>
      </c>
      <c r="W576" s="86">
        <v>0</v>
      </c>
      <c r="X576" s="87">
        <v>0</v>
      </c>
      <c r="Y576" s="86">
        <v>0</v>
      </c>
      <c r="Z576" s="87">
        <v>0</v>
      </c>
      <c r="AA576" s="86">
        <v>0</v>
      </c>
      <c r="AB576" s="87">
        <v>0</v>
      </c>
      <c r="AC576" s="238">
        <f t="shared" si="30"/>
        <v>4.0548333333333328</v>
      </c>
      <c r="AD576" s="238"/>
      <c r="AE576" s="238"/>
    </row>
    <row r="577" spans="2:31" x14ac:dyDescent="0.3">
      <c r="B577" s="245" t="s">
        <v>55</v>
      </c>
      <c r="C577" s="245"/>
      <c r="D577" s="245"/>
      <c r="E577" s="86">
        <v>0</v>
      </c>
      <c r="F577" s="87">
        <v>0</v>
      </c>
      <c r="G577" s="86">
        <v>0</v>
      </c>
      <c r="H577" s="87">
        <v>0</v>
      </c>
      <c r="I577" s="86">
        <v>0</v>
      </c>
      <c r="J577" s="87">
        <v>0</v>
      </c>
      <c r="K577" s="86">
        <v>0</v>
      </c>
      <c r="L577" s="87">
        <v>0</v>
      </c>
      <c r="M577" s="86">
        <v>0</v>
      </c>
      <c r="N577" s="87">
        <v>0</v>
      </c>
      <c r="O577" s="86">
        <v>0</v>
      </c>
      <c r="P577" s="87">
        <v>0</v>
      </c>
      <c r="Q577" s="86">
        <v>0</v>
      </c>
      <c r="R577" s="87">
        <v>8.18</v>
      </c>
      <c r="S577" s="86">
        <v>0</v>
      </c>
      <c r="T577" s="87">
        <v>0</v>
      </c>
      <c r="U577" s="86">
        <v>13.09333333333333</v>
      </c>
      <c r="V577" s="87">
        <v>0</v>
      </c>
      <c r="W577" s="86">
        <v>0</v>
      </c>
      <c r="X577" s="87">
        <v>0</v>
      </c>
      <c r="Y577" s="86">
        <v>0</v>
      </c>
      <c r="Z577" s="87">
        <v>0</v>
      </c>
      <c r="AA577" s="86">
        <v>0</v>
      </c>
      <c r="AB577" s="87">
        <v>0</v>
      </c>
      <c r="AC577" s="238">
        <f t="shared" si="30"/>
        <v>21.27333333333333</v>
      </c>
      <c r="AD577" s="238"/>
      <c r="AE577" s="238"/>
    </row>
    <row r="578" spans="2:31" x14ac:dyDescent="0.3">
      <c r="B578" s="245" t="s">
        <v>56</v>
      </c>
      <c r="C578" s="245"/>
      <c r="D578" s="245"/>
      <c r="E578" s="86">
        <v>0</v>
      </c>
      <c r="F578" s="87">
        <v>0</v>
      </c>
      <c r="G578" s="86">
        <v>0</v>
      </c>
      <c r="H578" s="87">
        <v>0</v>
      </c>
      <c r="I578" s="86">
        <v>0</v>
      </c>
      <c r="J578" s="87">
        <v>0</v>
      </c>
      <c r="K578" s="86">
        <v>0</v>
      </c>
      <c r="L578" s="87">
        <v>0</v>
      </c>
      <c r="M578" s="86">
        <v>0</v>
      </c>
      <c r="N578" s="87">
        <v>0</v>
      </c>
      <c r="O578" s="86">
        <v>0</v>
      </c>
      <c r="P578" s="87">
        <v>0</v>
      </c>
      <c r="Q578" s="86">
        <v>0</v>
      </c>
      <c r="R578" s="87">
        <v>0</v>
      </c>
      <c r="S578" s="86">
        <v>0</v>
      </c>
      <c r="T578" s="87">
        <v>0</v>
      </c>
      <c r="U578" s="86">
        <v>0</v>
      </c>
      <c r="V578" s="87">
        <v>0</v>
      </c>
      <c r="W578" s="86">
        <v>0</v>
      </c>
      <c r="X578" s="87">
        <v>0</v>
      </c>
      <c r="Y578" s="86">
        <v>0</v>
      </c>
      <c r="Z578" s="87">
        <v>0</v>
      </c>
      <c r="AA578" s="86">
        <v>0</v>
      </c>
      <c r="AB578" s="87">
        <v>0</v>
      </c>
      <c r="AC578" s="238">
        <f t="shared" si="30"/>
        <v>0</v>
      </c>
      <c r="AD578" s="238"/>
      <c r="AE578" s="238"/>
    </row>
    <row r="579" spans="2:31" x14ac:dyDescent="0.3">
      <c r="B579" s="245" t="s">
        <v>94</v>
      </c>
      <c r="C579" s="245"/>
      <c r="D579" s="245"/>
      <c r="E579" s="86">
        <v>0</v>
      </c>
      <c r="F579" s="87">
        <v>0</v>
      </c>
      <c r="G579" s="86">
        <v>0</v>
      </c>
      <c r="H579" s="87">
        <v>0</v>
      </c>
      <c r="I579" s="86">
        <v>0</v>
      </c>
      <c r="J579" s="87">
        <v>0</v>
      </c>
      <c r="K579" s="86">
        <v>0</v>
      </c>
      <c r="L579" s="87">
        <v>0</v>
      </c>
      <c r="M579" s="86">
        <v>0</v>
      </c>
      <c r="N579" s="87">
        <v>0</v>
      </c>
      <c r="O579" s="86">
        <v>0</v>
      </c>
      <c r="P579" s="87">
        <v>0</v>
      </c>
      <c r="Q579" s="86">
        <v>0</v>
      </c>
      <c r="R579" s="87">
        <v>0</v>
      </c>
      <c r="S579" s="86">
        <v>0</v>
      </c>
      <c r="T579" s="87">
        <v>0</v>
      </c>
      <c r="U579" s="86">
        <v>0</v>
      </c>
      <c r="V579" s="87">
        <v>0</v>
      </c>
      <c r="W579" s="86">
        <v>0</v>
      </c>
      <c r="X579" s="87">
        <v>0</v>
      </c>
      <c r="Y579" s="86">
        <v>0</v>
      </c>
      <c r="Z579" s="87">
        <v>0</v>
      </c>
      <c r="AA579" s="86">
        <v>0</v>
      </c>
      <c r="AB579" s="87">
        <v>0</v>
      </c>
      <c r="AC579" s="238">
        <f t="shared" si="30"/>
        <v>0</v>
      </c>
      <c r="AD579" s="238"/>
      <c r="AE579" s="238"/>
    </row>
    <row r="580" spans="2:31" x14ac:dyDescent="0.3">
      <c r="B580" s="245" t="s">
        <v>57</v>
      </c>
      <c r="C580" s="245"/>
      <c r="D580" s="245"/>
      <c r="E580" s="86">
        <v>0</v>
      </c>
      <c r="F580" s="87">
        <v>0</v>
      </c>
      <c r="G580" s="86">
        <v>0</v>
      </c>
      <c r="H580" s="87">
        <v>0</v>
      </c>
      <c r="I580" s="86">
        <v>0</v>
      </c>
      <c r="J580" s="87">
        <v>0</v>
      </c>
      <c r="K580" s="86">
        <v>0</v>
      </c>
      <c r="L580" s="87">
        <v>0</v>
      </c>
      <c r="M580" s="86">
        <v>0</v>
      </c>
      <c r="N580" s="87">
        <v>0</v>
      </c>
      <c r="O580" s="86">
        <v>0</v>
      </c>
      <c r="P580" s="87">
        <v>0</v>
      </c>
      <c r="Q580" s="86">
        <v>0</v>
      </c>
      <c r="R580" s="87">
        <v>0.4931666666666667</v>
      </c>
      <c r="S580" s="86">
        <v>0.41699999999999987</v>
      </c>
      <c r="T580" s="87">
        <v>0</v>
      </c>
      <c r="U580" s="86">
        <v>0</v>
      </c>
      <c r="V580" s="87">
        <v>0</v>
      </c>
      <c r="W580" s="86">
        <v>0</v>
      </c>
      <c r="X580" s="87">
        <v>0</v>
      </c>
      <c r="Y580" s="86">
        <v>0</v>
      </c>
      <c r="Z580" s="87">
        <v>0</v>
      </c>
      <c r="AA580" s="86">
        <v>0</v>
      </c>
      <c r="AB580" s="87">
        <v>0</v>
      </c>
      <c r="AC580" s="238">
        <f t="shared" si="30"/>
        <v>0.91016666666666657</v>
      </c>
      <c r="AD580" s="238"/>
      <c r="AE580" s="238"/>
    </row>
    <row r="581" spans="2:31" x14ac:dyDescent="0.3">
      <c r="B581" s="245" t="s">
        <v>58</v>
      </c>
      <c r="C581" s="245"/>
      <c r="D581" s="245"/>
      <c r="E581" s="86">
        <v>0</v>
      </c>
      <c r="F581" s="87">
        <v>0</v>
      </c>
      <c r="G581" s="86">
        <v>0</v>
      </c>
      <c r="H581" s="87">
        <v>0</v>
      </c>
      <c r="I581" s="86">
        <v>0</v>
      </c>
      <c r="J581" s="87">
        <v>0</v>
      </c>
      <c r="K581" s="86">
        <v>0</v>
      </c>
      <c r="L581" s="87">
        <v>0</v>
      </c>
      <c r="M581" s="86">
        <v>0</v>
      </c>
      <c r="N581" s="87">
        <v>0</v>
      </c>
      <c r="O581" s="86">
        <v>0</v>
      </c>
      <c r="P581" s="87">
        <v>0</v>
      </c>
      <c r="Q581" s="86">
        <v>0</v>
      </c>
      <c r="R581" s="87">
        <v>0</v>
      </c>
      <c r="S581" s="86">
        <v>0</v>
      </c>
      <c r="T581" s="87">
        <v>0.33516666666666678</v>
      </c>
      <c r="U581" s="86">
        <v>0</v>
      </c>
      <c r="V581" s="87">
        <v>0</v>
      </c>
      <c r="W581" s="86">
        <v>0</v>
      </c>
      <c r="X581" s="87">
        <v>0</v>
      </c>
      <c r="Y581" s="86">
        <v>0</v>
      </c>
      <c r="Z581" s="87">
        <v>0</v>
      </c>
      <c r="AA581" s="86">
        <v>0</v>
      </c>
      <c r="AB581" s="87">
        <v>0</v>
      </c>
      <c r="AC581" s="238">
        <f t="shared" si="30"/>
        <v>0.33516666666666678</v>
      </c>
      <c r="AD581" s="238"/>
      <c r="AE581" s="238"/>
    </row>
    <row r="582" spans="2:31" x14ac:dyDescent="0.3">
      <c r="B582" s="245" t="s">
        <v>95</v>
      </c>
      <c r="C582" s="245"/>
      <c r="D582" s="245"/>
      <c r="E582" s="86">
        <v>0</v>
      </c>
      <c r="F582" s="87">
        <v>0</v>
      </c>
      <c r="G582" s="86">
        <v>0</v>
      </c>
      <c r="H582" s="87">
        <v>0</v>
      </c>
      <c r="I582" s="86">
        <v>0</v>
      </c>
      <c r="J582" s="87">
        <v>0</v>
      </c>
      <c r="K582" s="86">
        <v>0</v>
      </c>
      <c r="L582" s="87">
        <v>0</v>
      </c>
      <c r="M582" s="86">
        <v>0</v>
      </c>
      <c r="N582" s="87">
        <v>0</v>
      </c>
      <c r="O582" s="86">
        <v>0</v>
      </c>
      <c r="P582" s="87">
        <v>0</v>
      </c>
      <c r="Q582" s="86">
        <v>0</v>
      </c>
      <c r="R582" s="87">
        <v>0</v>
      </c>
      <c r="S582" s="86">
        <v>0</v>
      </c>
      <c r="T582" s="87">
        <v>0</v>
      </c>
      <c r="U582" s="86">
        <v>0</v>
      </c>
      <c r="V582" s="87">
        <v>0</v>
      </c>
      <c r="W582" s="86">
        <v>0</v>
      </c>
      <c r="X582" s="87">
        <v>0</v>
      </c>
      <c r="Y582" s="86">
        <v>0</v>
      </c>
      <c r="Z582" s="87">
        <v>0</v>
      </c>
      <c r="AA582" s="86">
        <v>0</v>
      </c>
      <c r="AB582" s="87">
        <v>0</v>
      </c>
      <c r="AC582" s="238">
        <f t="shared" si="30"/>
        <v>0</v>
      </c>
      <c r="AD582" s="238"/>
      <c r="AE582" s="238"/>
    </row>
    <row r="583" spans="2:31" x14ac:dyDescent="0.3">
      <c r="B583" s="245" t="s">
        <v>59</v>
      </c>
      <c r="C583" s="245"/>
      <c r="D583" s="245"/>
      <c r="E583" s="86">
        <v>0</v>
      </c>
      <c r="F583" s="87">
        <v>0</v>
      </c>
      <c r="G583" s="86">
        <v>0</v>
      </c>
      <c r="H583" s="87">
        <v>0</v>
      </c>
      <c r="I583" s="86">
        <v>0</v>
      </c>
      <c r="J583" s="87">
        <v>0</v>
      </c>
      <c r="K583" s="86">
        <v>0</v>
      </c>
      <c r="L583" s="87">
        <v>0</v>
      </c>
      <c r="M583" s="86">
        <v>0</v>
      </c>
      <c r="N583" s="87">
        <v>0</v>
      </c>
      <c r="O583" s="86">
        <v>0</v>
      </c>
      <c r="P583" s="87">
        <v>0</v>
      </c>
      <c r="Q583" s="86">
        <v>0</v>
      </c>
      <c r="R583" s="87">
        <v>5.0171666666666672</v>
      </c>
      <c r="S583" s="86">
        <v>8.4403333333333315</v>
      </c>
      <c r="T583" s="87">
        <v>7.2016666666666627</v>
      </c>
      <c r="U583" s="86">
        <v>10.660166666666671</v>
      </c>
      <c r="V583" s="87">
        <v>5.7006666666666623</v>
      </c>
      <c r="W583" s="86">
        <v>0</v>
      </c>
      <c r="X583" s="87">
        <v>0</v>
      </c>
      <c r="Y583" s="86">
        <v>0</v>
      </c>
      <c r="Z583" s="87">
        <v>0</v>
      </c>
      <c r="AA583" s="86">
        <v>0</v>
      </c>
      <c r="AB583" s="87">
        <v>0</v>
      </c>
      <c r="AC583" s="238">
        <f t="shared" si="30"/>
        <v>37.019999999999996</v>
      </c>
      <c r="AD583" s="238"/>
      <c r="AE583" s="238"/>
    </row>
    <row r="584" spans="2:31" x14ac:dyDescent="0.3">
      <c r="B584" s="245" t="s">
        <v>60</v>
      </c>
      <c r="C584" s="245"/>
      <c r="D584" s="245"/>
      <c r="E584" s="86">
        <v>0</v>
      </c>
      <c r="F584" s="87">
        <v>0</v>
      </c>
      <c r="G584" s="86">
        <v>0</v>
      </c>
      <c r="H584" s="87">
        <v>0</v>
      </c>
      <c r="I584" s="86">
        <v>0</v>
      </c>
      <c r="J584" s="87">
        <v>0</v>
      </c>
      <c r="K584" s="86">
        <v>0</v>
      </c>
      <c r="L584" s="87">
        <v>0</v>
      </c>
      <c r="M584" s="86">
        <v>0</v>
      </c>
      <c r="N584" s="87">
        <v>0</v>
      </c>
      <c r="O584" s="86">
        <v>0</v>
      </c>
      <c r="P584" s="87">
        <v>0</v>
      </c>
      <c r="Q584" s="86">
        <v>0</v>
      </c>
      <c r="R584" s="87">
        <v>0</v>
      </c>
      <c r="S584" s="86">
        <v>0</v>
      </c>
      <c r="T584" s="87">
        <v>0</v>
      </c>
      <c r="U584" s="86">
        <v>2.6138333333333348</v>
      </c>
      <c r="V584" s="87">
        <v>4.1408333333333331</v>
      </c>
      <c r="W584" s="86">
        <v>0</v>
      </c>
      <c r="X584" s="87">
        <v>0</v>
      </c>
      <c r="Y584" s="86">
        <v>0</v>
      </c>
      <c r="Z584" s="87">
        <v>0</v>
      </c>
      <c r="AA584" s="86">
        <v>0</v>
      </c>
      <c r="AB584" s="87">
        <v>0</v>
      </c>
      <c r="AC584" s="238">
        <f t="shared" si="30"/>
        <v>6.7546666666666679</v>
      </c>
      <c r="AD584" s="238"/>
      <c r="AE584" s="238"/>
    </row>
    <row r="585" spans="2:31" x14ac:dyDescent="0.3">
      <c r="B585" s="245" t="s">
        <v>61</v>
      </c>
      <c r="C585" s="245"/>
      <c r="D585" s="245"/>
      <c r="E585" s="86">
        <v>0</v>
      </c>
      <c r="F585" s="87">
        <v>0</v>
      </c>
      <c r="G585" s="86">
        <v>0</v>
      </c>
      <c r="H585" s="87">
        <v>0</v>
      </c>
      <c r="I585" s="86">
        <v>0</v>
      </c>
      <c r="J585" s="87">
        <v>0</v>
      </c>
      <c r="K585" s="86">
        <v>0</v>
      </c>
      <c r="L585" s="87">
        <v>0</v>
      </c>
      <c r="M585" s="86">
        <v>0</v>
      </c>
      <c r="N585" s="87">
        <v>0</v>
      </c>
      <c r="O585" s="86">
        <v>0</v>
      </c>
      <c r="P585" s="87">
        <v>0</v>
      </c>
      <c r="Q585" s="86">
        <v>0</v>
      </c>
      <c r="R585" s="87">
        <v>0</v>
      </c>
      <c r="S585" s="86">
        <v>0</v>
      </c>
      <c r="T585" s="87">
        <v>0</v>
      </c>
      <c r="U585" s="86">
        <v>0</v>
      </c>
      <c r="V585" s="87">
        <v>0.12133333333333311</v>
      </c>
      <c r="W585" s="86">
        <v>0</v>
      </c>
      <c r="X585" s="87">
        <v>0</v>
      </c>
      <c r="Y585" s="86">
        <v>0</v>
      </c>
      <c r="Z585" s="87">
        <v>0</v>
      </c>
      <c r="AA585" s="86">
        <v>0</v>
      </c>
      <c r="AB585" s="87">
        <v>0</v>
      </c>
      <c r="AC585" s="238">
        <f t="shared" si="30"/>
        <v>0.12133333333333311</v>
      </c>
      <c r="AD585" s="238"/>
      <c r="AE585" s="238"/>
    </row>
    <row r="586" spans="2:31" x14ac:dyDescent="0.3">
      <c r="B586" s="245" t="s">
        <v>62</v>
      </c>
      <c r="C586" s="245"/>
      <c r="D586" s="245"/>
      <c r="E586" s="86">
        <v>0</v>
      </c>
      <c r="F586" s="87">
        <v>0</v>
      </c>
      <c r="G586" s="86">
        <v>0</v>
      </c>
      <c r="H586" s="87">
        <v>0</v>
      </c>
      <c r="I586" s="86">
        <v>0</v>
      </c>
      <c r="J586" s="87">
        <v>0</v>
      </c>
      <c r="K586" s="86">
        <v>0</v>
      </c>
      <c r="L586" s="87">
        <v>0</v>
      </c>
      <c r="M586" s="86">
        <v>0</v>
      </c>
      <c r="N586" s="87">
        <v>0</v>
      </c>
      <c r="O586" s="86">
        <v>0</v>
      </c>
      <c r="P586" s="87">
        <v>0</v>
      </c>
      <c r="Q586" s="86">
        <v>0</v>
      </c>
      <c r="R586" s="87">
        <v>0</v>
      </c>
      <c r="S586" s="86">
        <v>0</v>
      </c>
      <c r="T586" s="87">
        <v>0</v>
      </c>
      <c r="U586" s="86">
        <v>0</v>
      </c>
      <c r="V586" s="87">
        <v>0</v>
      </c>
      <c r="W586" s="86">
        <v>0</v>
      </c>
      <c r="X586" s="87">
        <v>0</v>
      </c>
      <c r="Y586" s="86">
        <v>0</v>
      </c>
      <c r="Z586" s="87">
        <v>0</v>
      </c>
      <c r="AA586" s="86">
        <v>0</v>
      </c>
      <c r="AB586" s="87">
        <v>0</v>
      </c>
      <c r="AC586" s="238">
        <f t="shared" si="30"/>
        <v>0</v>
      </c>
      <c r="AD586" s="238"/>
      <c r="AE586" s="238"/>
    </row>
    <row r="587" spans="2:31" x14ac:dyDescent="0.3">
      <c r="B587" s="245" t="s">
        <v>63</v>
      </c>
      <c r="C587" s="245"/>
      <c r="D587" s="245"/>
      <c r="E587" s="86">
        <v>0</v>
      </c>
      <c r="F587" s="87">
        <v>0</v>
      </c>
      <c r="G587" s="86">
        <v>0</v>
      </c>
      <c r="H587" s="87">
        <v>0</v>
      </c>
      <c r="I587" s="86">
        <v>0</v>
      </c>
      <c r="J587" s="87">
        <v>0</v>
      </c>
      <c r="K587" s="86">
        <v>0</v>
      </c>
      <c r="L587" s="87">
        <v>0</v>
      </c>
      <c r="M587" s="86">
        <v>0</v>
      </c>
      <c r="N587" s="87">
        <v>0</v>
      </c>
      <c r="O587" s="86">
        <v>0</v>
      </c>
      <c r="P587" s="87">
        <v>0</v>
      </c>
      <c r="Q587" s="86">
        <v>0</v>
      </c>
      <c r="R587" s="87">
        <v>0</v>
      </c>
      <c r="S587" s="86">
        <v>0</v>
      </c>
      <c r="T587" s="87">
        <v>0</v>
      </c>
      <c r="U587" s="86">
        <v>0</v>
      </c>
      <c r="V587" s="87">
        <v>0</v>
      </c>
      <c r="W587" s="86">
        <v>0</v>
      </c>
      <c r="X587" s="87">
        <v>0</v>
      </c>
      <c r="Y587" s="86">
        <v>0</v>
      </c>
      <c r="Z587" s="87">
        <v>0</v>
      </c>
      <c r="AA587" s="86">
        <v>0</v>
      </c>
      <c r="AB587" s="87">
        <v>0</v>
      </c>
      <c r="AC587" s="238">
        <f t="shared" si="30"/>
        <v>0</v>
      </c>
      <c r="AD587" s="238"/>
      <c r="AE587" s="238"/>
    </row>
    <row r="588" spans="2:31" x14ac:dyDescent="0.3">
      <c r="B588" s="245" t="s">
        <v>64</v>
      </c>
      <c r="C588" s="245"/>
      <c r="D588" s="245"/>
      <c r="E588" s="86">
        <v>0</v>
      </c>
      <c r="F588" s="87">
        <v>0</v>
      </c>
      <c r="G588" s="86">
        <v>0</v>
      </c>
      <c r="H588" s="87">
        <v>0</v>
      </c>
      <c r="I588" s="86">
        <v>0</v>
      </c>
      <c r="J588" s="87">
        <v>0</v>
      </c>
      <c r="K588" s="86">
        <v>0</v>
      </c>
      <c r="L588" s="87">
        <v>0</v>
      </c>
      <c r="M588" s="86">
        <v>0</v>
      </c>
      <c r="N588" s="87">
        <v>0</v>
      </c>
      <c r="O588" s="86">
        <v>0</v>
      </c>
      <c r="P588" s="87">
        <v>0</v>
      </c>
      <c r="Q588" s="86">
        <v>0</v>
      </c>
      <c r="R588" s="87">
        <v>0</v>
      </c>
      <c r="S588" s="86">
        <v>1.2051666666666667</v>
      </c>
      <c r="T588" s="87">
        <v>0</v>
      </c>
      <c r="U588" s="86">
        <v>0</v>
      </c>
      <c r="V588" s="87">
        <v>0</v>
      </c>
      <c r="W588" s="86">
        <v>0</v>
      </c>
      <c r="X588" s="87">
        <v>0</v>
      </c>
      <c r="Y588" s="86">
        <v>0</v>
      </c>
      <c r="Z588" s="87">
        <v>0</v>
      </c>
      <c r="AA588" s="86">
        <v>0</v>
      </c>
      <c r="AB588" s="87">
        <v>0</v>
      </c>
      <c r="AC588" s="238">
        <f t="shared" si="30"/>
        <v>1.2051666666666667</v>
      </c>
      <c r="AD588" s="238"/>
      <c r="AE588" s="238"/>
    </row>
    <row r="589" spans="2:31" x14ac:dyDescent="0.3">
      <c r="B589" s="245" t="s">
        <v>96</v>
      </c>
      <c r="C589" s="245"/>
      <c r="D589" s="245"/>
      <c r="E589" s="86">
        <v>0</v>
      </c>
      <c r="F589" s="87">
        <v>0</v>
      </c>
      <c r="G589" s="86">
        <v>0</v>
      </c>
      <c r="H589" s="87">
        <v>0</v>
      </c>
      <c r="I589" s="86">
        <v>0</v>
      </c>
      <c r="J589" s="87">
        <v>0</v>
      </c>
      <c r="K589" s="86">
        <v>0</v>
      </c>
      <c r="L589" s="87">
        <v>0</v>
      </c>
      <c r="M589" s="86">
        <v>0</v>
      </c>
      <c r="N589" s="87">
        <v>0</v>
      </c>
      <c r="O589" s="86">
        <v>0</v>
      </c>
      <c r="P589" s="87">
        <v>0</v>
      </c>
      <c r="Q589" s="86">
        <v>0</v>
      </c>
      <c r="R589" s="87">
        <v>0</v>
      </c>
      <c r="S589" s="86">
        <v>0</v>
      </c>
      <c r="T589" s="87">
        <v>0</v>
      </c>
      <c r="U589" s="86">
        <v>0</v>
      </c>
      <c r="V589" s="87">
        <v>0</v>
      </c>
      <c r="W589" s="86">
        <v>0</v>
      </c>
      <c r="X589" s="87">
        <v>0</v>
      </c>
      <c r="Y589" s="86">
        <v>0</v>
      </c>
      <c r="Z589" s="87">
        <v>0</v>
      </c>
      <c r="AA589" s="86">
        <v>0</v>
      </c>
      <c r="AB589" s="87">
        <v>0</v>
      </c>
      <c r="AC589" s="238">
        <f t="shared" si="30"/>
        <v>0</v>
      </c>
      <c r="AD589" s="238"/>
      <c r="AE589" s="238"/>
    </row>
    <row r="590" spans="2:31" x14ac:dyDescent="0.3">
      <c r="B590" s="245" t="s">
        <v>65</v>
      </c>
      <c r="C590" s="245"/>
      <c r="D590" s="245"/>
      <c r="E590" s="86">
        <v>0</v>
      </c>
      <c r="F590" s="87">
        <v>0</v>
      </c>
      <c r="G590" s="86">
        <v>0</v>
      </c>
      <c r="H590" s="87">
        <v>0</v>
      </c>
      <c r="I590" s="86">
        <v>0</v>
      </c>
      <c r="J590" s="87">
        <v>0</v>
      </c>
      <c r="K590" s="86">
        <v>0</v>
      </c>
      <c r="L590" s="87">
        <v>0</v>
      </c>
      <c r="M590" s="86">
        <v>0</v>
      </c>
      <c r="N590" s="87">
        <v>0</v>
      </c>
      <c r="O590" s="86">
        <v>0</v>
      </c>
      <c r="P590" s="87">
        <v>0</v>
      </c>
      <c r="Q590" s="86">
        <v>0</v>
      </c>
      <c r="R590" s="87">
        <v>0.17299999999999921</v>
      </c>
      <c r="S590" s="86">
        <v>0.21700000000000266</v>
      </c>
      <c r="T590" s="87">
        <v>0</v>
      </c>
      <c r="U590" s="86">
        <v>0</v>
      </c>
      <c r="V590" s="87">
        <v>0</v>
      </c>
      <c r="W590" s="86">
        <v>0</v>
      </c>
      <c r="X590" s="87">
        <v>0</v>
      </c>
      <c r="Y590" s="86">
        <v>0</v>
      </c>
      <c r="Z590" s="87">
        <v>0</v>
      </c>
      <c r="AA590" s="86">
        <v>0</v>
      </c>
      <c r="AB590" s="87">
        <v>0</v>
      </c>
      <c r="AC590" s="238">
        <f t="shared" si="30"/>
        <v>0.3900000000000019</v>
      </c>
      <c r="AD590" s="238"/>
      <c r="AE590" s="238"/>
    </row>
    <row r="591" spans="2:31" x14ac:dyDescent="0.3">
      <c r="B591" s="245" t="s">
        <v>66</v>
      </c>
      <c r="C591" s="245"/>
      <c r="D591" s="245"/>
      <c r="E591" s="86">
        <v>0</v>
      </c>
      <c r="F591" s="87">
        <v>0</v>
      </c>
      <c r="G591" s="86">
        <v>0</v>
      </c>
      <c r="H591" s="87">
        <v>0</v>
      </c>
      <c r="I591" s="86">
        <v>0</v>
      </c>
      <c r="J591" s="87">
        <v>0</v>
      </c>
      <c r="K591" s="86">
        <v>0</v>
      </c>
      <c r="L591" s="87">
        <v>0</v>
      </c>
      <c r="M591" s="86">
        <v>0</v>
      </c>
      <c r="N591" s="87">
        <v>0</v>
      </c>
      <c r="O591" s="86">
        <v>0</v>
      </c>
      <c r="P591" s="87">
        <v>0</v>
      </c>
      <c r="Q591" s="86">
        <v>0</v>
      </c>
      <c r="R591" s="87">
        <v>0</v>
      </c>
      <c r="S591" s="86">
        <v>0</v>
      </c>
      <c r="T591" s="87">
        <v>0</v>
      </c>
      <c r="U591" s="86">
        <v>0.70766666666666689</v>
      </c>
      <c r="V591" s="87">
        <v>0.26566666666666677</v>
      </c>
      <c r="W591" s="86">
        <v>0</v>
      </c>
      <c r="X591" s="87">
        <v>0</v>
      </c>
      <c r="Y591" s="86">
        <v>0</v>
      </c>
      <c r="Z591" s="87">
        <v>0</v>
      </c>
      <c r="AA591" s="86">
        <v>0</v>
      </c>
      <c r="AB591" s="87">
        <v>0</v>
      </c>
      <c r="AC591" s="238">
        <f>SUM(E591:AB591)</f>
        <v>0.97333333333333361</v>
      </c>
      <c r="AD591" s="238"/>
      <c r="AE591" s="238"/>
    </row>
    <row r="592" spans="2:31" x14ac:dyDescent="0.3">
      <c r="B592" s="245" t="s">
        <v>67</v>
      </c>
      <c r="C592" s="245"/>
      <c r="D592" s="245"/>
      <c r="E592" s="86">
        <v>0</v>
      </c>
      <c r="F592" s="87">
        <v>0</v>
      </c>
      <c r="G592" s="86">
        <v>0</v>
      </c>
      <c r="H592" s="87">
        <v>0</v>
      </c>
      <c r="I592" s="86">
        <v>0</v>
      </c>
      <c r="J592" s="87">
        <v>0</v>
      </c>
      <c r="K592" s="86">
        <v>0</v>
      </c>
      <c r="L592" s="87">
        <v>0</v>
      </c>
      <c r="M592" s="86">
        <v>0</v>
      </c>
      <c r="N592" s="87">
        <v>0</v>
      </c>
      <c r="O592" s="86">
        <v>0</v>
      </c>
      <c r="P592" s="87">
        <v>0</v>
      </c>
      <c r="Q592" s="86">
        <v>0</v>
      </c>
      <c r="R592" s="87">
        <v>0</v>
      </c>
      <c r="S592" s="86">
        <v>0</v>
      </c>
      <c r="T592" s="87">
        <v>0</v>
      </c>
      <c r="U592" s="86">
        <v>8.8833333333333181E-2</v>
      </c>
      <c r="V592" s="87">
        <v>0</v>
      </c>
      <c r="W592" s="86">
        <v>0</v>
      </c>
      <c r="X592" s="87">
        <v>0</v>
      </c>
      <c r="Y592" s="86">
        <v>0</v>
      </c>
      <c r="Z592" s="87">
        <v>0</v>
      </c>
      <c r="AA592" s="86">
        <v>0</v>
      </c>
      <c r="AB592" s="87">
        <v>0</v>
      </c>
      <c r="AC592" s="238">
        <f t="shared" ref="AC592:AC605" si="31">SUM(E592:AB592)</f>
        <v>8.8833333333333181E-2</v>
      </c>
      <c r="AD592" s="238"/>
      <c r="AE592" s="238"/>
    </row>
    <row r="593" spans="2:31" x14ac:dyDescent="0.3">
      <c r="B593" s="245" t="s">
        <v>68</v>
      </c>
      <c r="C593" s="245"/>
      <c r="D593" s="245"/>
      <c r="E593" s="86">
        <v>0</v>
      </c>
      <c r="F593" s="87">
        <v>0</v>
      </c>
      <c r="G593" s="86">
        <v>0</v>
      </c>
      <c r="H593" s="87">
        <v>0</v>
      </c>
      <c r="I593" s="86">
        <v>0</v>
      </c>
      <c r="J593" s="87">
        <v>0</v>
      </c>
      <c r="K593" s="86">
        <v>0</v>
      </c>
      <c r="L593" s="87">
        <v>0</v>
      </c>
      <c r="M593" s="86">
        <v>0</v>
      </c>
      <c r="N593" s="87">
        <v>0</v>
      </c>
      <c r="O593" s="86">
        <v>0</v>
      </c>
      <c r="P593" s="87">
        <v>0</v>
      </c>
      <c r="Q593" s="86">
        <v>0</v>
      </c>
      <c r="R593" s="87">
        <v>0</v>
      </c>
      <c r="S593" s="86">
        <v>7.183333333333361E-2</v>
      </c>
      <c r="T593" s="87">
        <v>2.3773333333333313</v>
      </c>
      <c r="U593" s="86">
        <v>8.7444999999999986</v>
      </c>
      <c r="V593" s="87">
        <v>0.57750000000000001</v>
      </c>
      <c r="W593" s="86">
        <v>0</v>
      </c>
      <c r="X593" s="87">
        <v>0</v>
      </c>
      <c r="Y593" s="86">
        <v>0</v>
      </c>
      <c r="Z593" s="87">
        <v>0</v>
      </c>
      <c r="AA593" s="86">
        <v>0</v>
      </c>
      <c r="AB593" s="87">
        <v>0</v>
      </c>
      <c r="AC593" s="238">
        <f t="shared" si="31"/>
        <v>11.771166666666664</v>
      </c>
      <c r="AD593" s="238"/>
      <c r="AE593" s="238"/>
    </row>
    <row r="594" spans="2:31" x14ac:dyDescent="0.3">
      <c r="B594" s="245" t="s">
        <v>69</v>
      </c>
      <c r="C594" s="245"/>
      <c r="D594" s="245"/>
      <c r="E594" s="86">
        <v>0</v>
      </c>
      <c r="F594" s="87">
        <v>0</v>
      </c>
      <c r="G594" s="86">
        <v>0</v>
      </c>
      <c r="H594" s="87">
        <v>0</v>
      </c>
      <c r="I594" s="86">
        <v>0</v>
      </c>
      <c r="J594" s="87">
        <v>0</v>
      </c>
      <c r="K594" s="86">
        <v>0</v>
      </c>
      <c r="L594" s="87">
        <v>0</v>
      </c>
      <c r="M594" s="86">
        <v>0</v>
      </c>
      <c r="N594" s="87">
        <v>0</v>
      </c>
      <c r="O594" s="86">
        <v>0</v>
      </c>
      <c r="P594" s="87">
        <v>0</v>
      </c>
      <c r="Q594" s="86">
        <v>0</v>
      </c>
      <c r="R594" s="87">
        <v>0</v>
      </c>
      <c r="S594" s="86">
        <v>0</v>
      </c>
      <c r="T594" s="87">
        <v>0</v>
      </c>
      <c r="U594" s="86">
        <v>0</v>
      </c>
      <c r="V594" s="87">
        <v>0</v>
      </c>
      <c r="W594" s="86">
        <v>0</v>
      </c>
      <c r="X594" s="87">
        <v>0</v>
      </c>
      <c r="Y594" s="86">
        <v>0</v>
      </c>
      <c r="Z594" s="87">
        <v>0</v>
      </c>
      <c r="AA594" s="86">
        <v>0</v>
      </c>
      <c r="AB594" s="87">
        <v>0</v>
      </c>
      <c r="AC594" s="238">
        <f t="shared" si="31"/>
        <v>0</v>
      </c>
      <c r="AD594" s="238"/>
      <c r="AE594" s="238"/>
    </row>
    <row r="595" spans="2:31" x14ac:dyDescent="0.3">
      <c r="B595" s="245" t="s">
        <v>70</v>
      </c>
      <c r="C595" s="245"/>
      <c r="D595" s="245"/>
      <c r="E595" s="86">
        <v>0</v>
      </c>
      <c r="F595" s="87">
        <v>0</v>
      </c>
      <c r="G595" s="86">
        <v>0</v>
      </c>
      <c r="H595" s="87">
        <v>0</v>
      </c>
      <c r="I595" s="86">
        <v>0</v>
      </c>
      <c r="J595" s="87">
        <v>0</v>
      </c>
      <c r="K595" s="86">
        <v>0</v>
      </c>
      <c r="L595" s="87">
        <v>0</v>
      </c>
      <c r="M595" s="86">
        <v>0</v>
      </c>
      <c r="N595" s="87">
        <v>0</v>
      </c>
      <c r="O595" s="86">
        <v>0</v>
      </c>
      <c r="P595" s="87">
        <v>0</v>
      </c>
      <c r="Q595" s="86">
        <v>0</v>
      </c>
      <c r="R595" s="87">
        <v>5.701000000000005</v>
      </c>
      <c r="S595" s="86">
        <v>0.50283333333333335</v>
      </c>
      <c r="T595" s="87">
        <v>0</v>
      </c>
      <c r="U595" s="86">
        <v>0</v>
      </c>
      <c r="V595" s="87">
        <v>0</v>
      </c>
      <c r="W595" s="86">
        <v>0</v>
      </c>
      <c r="X595" s="87">
        <v>0</v>
      </c>
      <c r="Y595" s="86">
        <v>0</v>
      </c>
      <c r="Z595" s="87">
        <v>0</v>
      </c>
      <c r="AA595" s="86">
        <v>0</v>
      </c>
      <c r="AB595" s="87">
        <v>0</v>
      </c>
      <c r="AC595" s="238">
        <f t="shared" si="31"/>
        <v>6.2038333333333382</v>
      </c>
      <c r="AD595" s="238"/>
      <c r="AE595" s="238"/>
    </row>
    <row r="596" spans="2:31" x14ac:dyDescent="0.3">
      <c r="B596" s="245" t="s">
        <v>71</v>
      </c>
      <c r="C596" s="245"/>
      <c r="D596" s="245"/>
      <c r="E596" s="86">
        <v>0</v>
      </c>
      <c r="F596" s="87">
        <v>0</v>
      </c>
      <c r="G596" s="86">
        <v>0</v>
      </c>
      <c r="H596" s="87">
        <v>0</v>
      </c>
      <c r="I596" s="86">
        <v>0</v>
      </c>
      <c r="J596" s="87">
        <v>0</v>
      </c>
      <c r="K596" s="86">
        <v>0</v>
      </c>
      <c r="L596" s="87">
        <v>0</v>
      </c>
      <c r="M596" s="86">
        <v>0</v>
      </c>
      <c r="N596" s="87">
        <v>0</v>
      </c>
      <c r="O596" s="86">
        <v>0</v>
      </c>
      <c r="P596" s="87">
        <v>0</v>
      </c>
      <c r="Q596" s="86">
        <v>0</v>
      </c>
      <c r="R596" s="87">
        <v>0</v>
      </c>
      <c r="S596" s="86">
        <v>0</v>
      </c>
      <c r="T596" s="87">
        <v>0</v>
      </c>
      <c r="U596" s="86">
        <v>0</v>
      </c>
      <c r="V596" s="87">
        <v>0</v>
      </c>
      <c r="W596" s="86">
        <v>0</v>
      </c>
      <c r="X596" s="87">
        <v>0</v>
      </c>
      <c r="Y596" s="86">
        <v>0</v>
      </c>
      <c r="Z596" s="87">
        <v>0</v>
      </c>
      <c r="AA596" s="86">
        <v>0</v>
      </c>
      <c r="AB596" s="87">
        <v>0</v>
      </c>
      <c r="AC596" s="238">
        <f t="shared" si="31"/>
        <v>0</v>
      </c>
      <c r="AD596" s="238"/>
      <c r="AE596" s="238"/>
    </row>
    <row r="597" spans="2:31" x14ac:dyDescent="0.3">
      <c r="B597" s="245" t="s">
        <v>72</v>
      </c>
      <c r="C597" s="245"/>
      <c r="D597" s="245"/>
      <c r="E597" s="86">
        <v>0</v>
      </c>
      <c r="F597" s="87">
        <v>0</v>
      </c>
      <c r="G597" s="86">
        <v>0</v>
      </c>
      <c r="H597" s="87">
        <v>0</v>
      </c>
      <c r="I597" s="86">
        <v>0</v>
      </c>
      <c r="J597" s="87">
        <v>0</v>
      </c>
      <c r="K597" s="86">
        <v>0</v>
      </c>
      <c r="L597" s="87">
        <v>0</v>
      </c>
      <c r="M597" s="86">
        <v>0</v>
      </c>
      <c r="N597" s="87">
        <v>0</v>
      </c>
      <c r="O597" s="86">
        <v>0</v>
      </c>
      <c r="P597" s="87">
        <v>0</v>
      </c>
      <c r="Q597" s="86">
        <v>0</v>
      </c>
      <c r="R597" s="87">
        <v>0</v>
      </c>
      <c r="S597" s="86">
        <v>0</v>
      </c>
      <c r="T597" s="87">
        <v>0</v>
      </c>
      <c r="U597" s="86">
        <v>0</v>
      </c>
      <c r="V597" s="87">
        <v>0</v>
      </c>
      <c r="W597" s="86">
        <v>0</v>
      </c>
      <c r="X597" s="87">
        <v>0</v>
      </c>
      <c r="Y597" s="86">
        <v>0</v>
      </c>
      <c r="Z597" s="87">
        <v>0</v>
      </c>
      <c r="AA597" s="86">
        <v>0</v>
      </c>
      <c r="AB597" s="87">
        <v>0</v>
      </c>
      <c r="AC597" s="238">
        <f t="shared" si="31"/>
        <v>0</v>
      </c>
      <c r="AD597" s="238"/>
      <c r="AE597" s="238"/>
    </row>
    <row r="598" spans="2:31" x14ac:dyDescent="0.3">
      <c r="B598" s="245" t="s">
        <v>73</v>
      </c>
      <c r="C598" s="245"/>
      <c r="D598" s="245"/>
      <c r="E598" s="86">
        <v>0</v>
      </c>
      <c r="F598" s="87">
        <v>0</v>
      </c>
      <c r="G598" s="86">
        <v>0</v>
      </c>
      <c r="H598" s="87">
        <v>0</v>
      </c>
      <c r="I598" s="86">
        <v>0</v>
      </c>
      <c r="J598" s="87">
        <v>0</v>
      </c>
      <c r="K598" s="86">
        <v>0</v>
      </c>
      <c r="L598" s="87">
        <v>0</v>
      </c>
      <c r="M598" s="86">
        <v>0</v>
      </c>
      <c r="N598" s="87">
        <v>0</v>
      </c>
      <c r="O598" s="86">
        <v>0</v>
      </c>
      <c r="P598" s="87">
        <v>0</v>
      </c>
      <c r="Q598" s="86">
        <v>0</v>
      </c>
      <c r="R598" s="87">
        <v>0</v>
      </c>
      <c r="S598" s="86">
        <v>0</v>
      </c>
      <c r="T598" s="87">
        <v>0</v>
      </c>
      <c r="U598" s="86">
        <v>0</v>
      </c>
      <c r="V598" s="87">
        <v>0</v>
      </c>
      <c r="W598" s="86">
        <v>0</v>
      </c>
      <c r="X598" s="87">
        <v>0</v>
      </c>
      <c r="Y598" s="86">
        <v>0</v>
      </c>
      <c r="Z598" s="87">
        <v>0</v>
      </c>
      <c r="AA598" s="86">
        <v>0</v>
      </c>
      <c r="AB598" s="87">
        <v>0</v>
      </c>
      <c r="AC598" s="238">
        <f t="shared" si="31"/>
        <v>0</v>
      </c>
      <c r="AD598" s="238"/>
      <c r="AE598" s="238"/>
    </row>
    <row r="599" spans="2:31" x14ac:dyDescent="0.3">
      <c r="B599" s="245" t="s">
        <v>74</v>
      </c>
      <c r="C599" s="245"/>
      <c r="D599" s="245"/>
      <c r="E599" s="86">
        <v>0</v>
      </c>
      <c r="F599" s="87">
        <v>0</v>
      </c>
      <c r="G599" s="86">
        <v>0</v>
      </c>
      <c r="H599" s="87">
        <v>0</v>
      </c>
      <c r="I599" s="86">
        <v>0</v>
      </c>
      <c r="J599" s="87">
        <v>0</v>
      </c>
      <c r="K599" s="86">
        <v>0</v>
      </c>
      <c r="L599" s="87">
        <v>0</v>
      </c>
      <c r="M599" s="86">
        <v>0</v>
      </c>
      <c r="N599" s="87">
        <v>0</v>
      </c>
      <c r="O599" s="86">
        <v>0</v>
      </c>
      <c r="P599" s="87">
        <v>0</v>
      </c>
      <c r="Q599" s="86">
        <v>0</v>
      </c>
      <c r="R599" s="87">
        <v>6.5000000000000092E-3</v>
      </c>
      <c r="S599" s="86">
        <v>3.9666666666666711E-2</v>
      </c>
      <c r="T599" s="87">
        <v>1.3110000000000002</v>
      </c>
      <c r="U599" s="86">
        <v>0.6276666666666666</v>
      </c>
      <c r="V599" s="87">
        <v>0</v>
      </c>
      <c r="W599" s="86">
        <v>0</v>
      </c>
      <c r="X599" s="87">
        <v>0</v>
      </c>
      <c r="Y599" s="86">
        <v>0</v>
      </c>
      <c r="Z599" s="87">
        <v>0</v>
      </c>
      <c r="AA599" s="86">
        <v>0</v>
      </c>
      <c r="AB599" s="87">
        <v>0</v>
      </c>
      <c r="AC599" s="238">
        <f t="shared" si="31"/>
        <v>1.9848333333333334</v>
      </c>
      <c r="AD599" s="238"/>
      <c r="AE599" s="238"/>
    </row>
    <row r="600" spans="2:31" x14ac:dyDescent="0.3">
      <c r="B600" s="245" t="s">
        <v>75</v>
      </c>
      <c r="C600" s="245"/>
      <c r="D600" s="245"/>
      <c r="E600" s="86">
        <v>0</v>
      </c>
      <c r="F600" s="87">
        <v>0</v>
      </c>
      <c r="G600" s="86">
        <v>0</v>
      </c>
      <c r="H600" s="87">
        <v>0</v>
      </c>
      <c r="I600" s="86">
        <v>0</v>
      </c>
      <c r="J600" s="87">
        <v>0</v>
      </c>
      <c r="K600" s="86">
        <v>0</v>
      </c>
      <c r="L600" s="87">
        <v>0</v>
      </c>
      <c r="M600" s="86">
        <v>0</v>
      </c>
      <c r="N600" s="87">
        <v>0</v>
      </c>
      <c r="O600" s="86">
        <v>0</v>
      </c>
      <c r="P600" s="87">
        <v>0</v>
      </c>
      <c r="Q600" s="86">
        <v>0</v>
      </c>
      <c r="R600" s="87">
        <v>0.30250000000000105</v>
      </c>
      <c r="S600" s="86">
        <v>0</v>
      </c>
      <c r="T600" s="87">
        <v>2.9500000000000644E-2</v>
      </c>
      <c r="U600" s="86">
        <v>0.75033333333333307</v>
      </c>
      <c r="V600" s="87">
        <v>0</v>
      </c>
      <c r="W600" s="86">
        <v>0</v>
      </c>
      <c r="X600" s="87">
        <v>0</v>
      </c>
      <c r="Y600" s="86">
        <v>0</v>
      </c>
      <c r="Z600" s="87">
        <v>0</v>
      </c>
      <c r="AA600" s="86">
        <v>0</v>
      </c>
      <c r="AB600" s="87">
        <v>0</v>
      </c>
      <c r="AC600" s="238">
        <f t="shared" si="31"/>
        <v>1.0823333333333347</v>
      </c>
      <c r="AD600" s="238"/>
      <c r="AE600" s="238"/>
    </row>
    <row r="601" spans="2:31" x14ac:dyDescent="0.3">
      <c r="B601" s="245" t="s">
        <v>76</v>
      </c>
      <c r="C601" s="245"/>
      <c r="D601" s="245"/>
      <c r="E601" s="86">
        <v>0</v>
      </c>
      <c r="F601" s="87">
        <v>0</v>
      </c>
      <c r="G601" s="86">
        <v>0</v>
      </c>
      <c r="H601" s="87">
        <v>0</v>
      </c>
      <c r="I601" s="86">
        <v>0</v>
      </c>
      <c r="J601" s="87">
        <v>0</v>
      </c>
      <c r="K601" s="86">
        <v>0</v>
      </c>
      <c r="L601" s="87">
        <v>0</v>
      </c>
      <c r="M601" s="86">
        <v>0</v>
      </c>
      <c r="N601" s="87">
        <v>0</v>
      </c>
      <c r="O601" s="86">
        <v>0</v>
      </c>
      <c r="P601" s="87">
        <v>0</v>
      </c>
      <c r="Q601" s="86">
        <v>0</v>
      </c>
      <c r="R601" s="87">
        <v>0</v>
      </c>
      <c r="S601" s="86">
        <v>0</v>
      </c>
      <c r="T601" s="87">
        <v>0</v>
      </c>
      <c r="U601" s="86">
        <v>0</v>
      </c>
      <c r="V601" s="87">
        <v>0</v>
      </c>
      <c r="W601" s="86">
        <v>0</v>
      </c>
      <c r="X601" s="87">
        <v>0</v>
      </c>
      <c r="Y601" s="86">
        <v>0</v>
      </c>
      <c r="Z601" s="87">
        <v>0</v>
      </c>
      <c r="AA601" s="86">
        <v>0</v>
      </c>
      <c r="AB601" s="87">
        <v>0</v>
      </c>
      <c r="AC601" s="238">
        <f t="shared" si="31"/>
        <v>0</v>
      </c>
      <c r="AD601" s="238"/>
      <c r="AE601" s="238"/>
    </row>
    <row r="602" spans="2:31" x14ac:dyDescent="0.3">
      <c r="B602" s="245" t="s">
        <v>77</v>
      </c>
      <c r="C602" s="245"/>
      <c r="D602" s="245"/>
      <c r="E602" s="86">
        <v>0</v>
      </c>
      <c r="F602" s="87">
        <v>0</v>
      </c>
      <c r="G602" s="86">
        <v>0</v>
      </c>
      <c r="H602" s="87">
        <v>0</v>
      </c>
      <c r="I602" s="86">
        <v>0</v>
      </c>
      <c r="J602" s="87">
        <v>0</v>
      </c>
      <c r="K602" s="86">
        <v>0</v>
      </c>
      <c r="L602" s="87">
        <v>0</v>
      </c>
      <c r="M602" s="86">
        <v>0</v>
      </c>
      <c r="N602" s="87">
        <v>0</v>
      </c>
      <c r="O602" s="86">
        <v>0</v>
      </c>
      <c r="P602" s="87">
        <v>0</v>
      </c>
      <c r="Q602" s="86">
        <v>0</v>
      </c>
      <c r="R602" s="87">
        <v>2.4198333333333317</v>
      </c>
      <c r="S602" s="86">
        <v>4.257333333333329</v>
      </c>
      <c r="T602" s="87">
        <v>2.5615000000000028</v>
      </c>
      <c r="U602" s="86">
        <v>0</v>
      </c>
      <c r="V602" s="87">
        <v>0</v>
      </c>
      <c r="W602" s="86">
        <v>0</v>
      </c>
      <c r="X602" s="87">
        <v>0</v>
      </c>
      <c r="Y602" s="86">
        <v>0</v>
      </c>
      <c r="Z602" s="87">
        <v>0</v>
      </c>
      <c r="AA602" s="86">
        <v>0</v>
      </c>
      <c r="AB602" s="87">
        <v>0</v>
      </c>
      <c r="AC602" s="238">
        <f t="shared" si="31"/>
        <v>9.2386666666666635</v>
      </c>
      <c r="AD602" s="238"/>
      <c r="AE602" s="238"/>
    </row>
    <row r="603" spans="2:31" x14ac:dyDescent="0.3">
      <c r="B603" s="245" t="s">
        <v>78</v>
      </c>
      <c r="C603" s="245"/>
      <c r="D603" s="245"/>
      <c r="E603" s="86">
        <v>0</v>
      </c>
      <c r="F603" s="87">
        <v>0</v>
      </c>
      <c r="G603" s="86">
        <v>0</v>
      </c>
      <c r="H603" s="87">
        <v>0</v>
      </c>
      <c r="I603" s="86">
        <v>0</v>
      </c>
      <c r="J603" s="87">
        <v>0</v>
      </c>
      <c r="K603" s="86">
        <v>0</v>
      </c>
      <c r="L603" s="87">
        <v>0</v>
      </c>
      <c r="M603" s="86">
        <v>0</v>
      </c>
      <c r="N603" s="87">
        <v>0</v>
      </c>
      <c r="O603" s="86">
        <v>0</v>
      </c>
      <c r="P603" s="87">
        <v>0</v>
      </c>
      <c r="Q603" s="86">
        <v>0</v>
      </c>
      <c r="R603" s="87">
        <v>3.1533333333333329</v>
      </c>
      <c r="S603" s="86">
        <v>5.3299999999999894</v>
      </c>
      <c r="T603" s="87">
        <v>3.1299999999999963</v>
      </c>
      <c r="U603" s="86">
        <v>0.12999999999999901</v>
      </c>
      <c r="V603" s="87">
        <v>0</v>
      </c>
      <c r="W603" s="86">
        <v>0</v>
      </c>
      <c r="X603" s="87">
        <v>0</v>
      </c>
      <c r="Y603" s="86">
        <v>0</v>
      </c>
      <c r="Z603" s="87">
        <v>0</v>
      </c>
      <c r="AA603" s="86">
        <v>0</v>
      </c>
      <c r="AB603" s="87">
        <v>0</v>
      </c>
      <c r="AC603" s="238">
        <f t="shared" si="31"/>
        <v>11.743333333333318</v>
      </c>
      <c r="AD603" s="238"/>
      <c r="AE603" s="238"/>
    </row>
    <row r="604" spans="2:31" x14ac:dyDescent="0.3">
      <c r="B604" s="245" t="s">
        <v>79</v>
      </c>
      <c r="C604" s="245"/>
      <c r="D604" s="245"/>
      <c r="E604" s="86">
        <v>0</v>
      </c>
      <c r="F604" s="87">
        <v>0</v>
      </c>
      <c r="G604" s="86">
        <v>0</v>
      </c>
      <c r="H604" s="87">
        <v>0</v>
      </c>
      <c r="I604" s="86">
        <v>0</v>
      </c>
      <c r="J604" s="87">
        <v>0</v>
      </c>
      <c r="K604" s="86">
        <v>0</v>
      </c>
      <c r="L604" s="87">
        <v>0</v>
      </c>
      <c r="M604" s="86">
        <v>0</v>
      </c>
      <c r="N604" s="87">
        <v>0</v>
      </c>
      <c r="O604" s="86">
        <v>0</v>
      </c>
      <c r="P604" s="87">
        <v>0</v>
      </c>
      <c r="Q604" s="86">
        <v>0</v>
      </c>
      <c r="R604" s="87">
        <v>0</v>
      </c>
      <c r="S604" s="86">
        <v>0</v>
      </c>
      <c r="T604" s="87">
        <v>0</v>
      </c>
      <c r="U604" s="86">
        <v>0</v>
      </c>
      <c r="V604" s="87">
        <v>0</v>
      </c>
      <c r="W604" s="86">
        <v>0</v>
      </c>
      <c r="X604" s="87">
        <v>0</v>
      </c>
      <c r="Y604" s="86">
        <v>0</v>
      </c>
      <c r="Z604" s="87">
        <v>0</v>
      </c>
      <c r="AA604" s="86">
        <v>0</v>
      </c>
      <c r="AB604" s="87">
        <v>0</v>
      </c>
      <c r="AC604" s="238">
        <f t="shared" si="31"/>
        <v>0</v>
      </c>
      <c r="AD604" s="238"/>
      <c r="AE604" s="238"/>
    </row>
    <row r="605" spans="2:31" x14ac:dyDescent="0.3">
      <c r="B605" s="245" t="s">
        <v>80</v>
      </c>
      <c r="C605" s="245"/>
      <c r="D605" s="245"/>
      <c r="E605" s="86">
        <v>0</v>
      </c>
      <c r="F605" s="87">
        <v>0</v>
      </c>
      <c r="G605" s="86">
        <v>0</v>
      </c>
      <c r="H605" s="87">
        <v>0</v>
      </c>
      <c r="I605" s="86">
        <v>0</v>
      </c>
      <c r="J605" s="87">
        <v>0</v>
      </c>
      <c r="K605" s="86">
        <v>0</v>
      </c>
      <c r="L605" s="87">
        <v>0</v>
      </c>
      <c r="M605" s="86">
        <v>0</v>
      </c>
      <c r="N605" s="87">
        <v>0</v>
      </c>
      <c r="O605" s="86">
        <v>0</v>
      </c>
      <c r="P605" s="87">
        <v>0</v>
      </c>
      <c r="Q605" s="86">
        <v>0</v>
      </c>
      <c r="R605" s="87">
        <v>0</v>
      </c>
      <c r="S605" s="86">
        <v>0</v>
      </c>
      <c r="T605" s="87">
        <v>0</v>
      </c>
      <c r="U605" s="86">
        <v>0</v>
      </c>
      <c r="V605" s="87">
        <v>0</v>
      </c>
      <c r="W605" s="86">
        <v>0</v>
      </c>
      <c r="X605" s="87">
        <v>0</v>
      </c>
      <c r="Y605" s="86">
        <v>0</v>
      </c>
      <c r="Z605" s="87">
        <v>0</v>
      </c>
      <c r="AA605" s="86">
        <v>0</v>
      </c>
      <c r="AB605" s="87">
        <v>0</v>
      </c>
      <c r="AC605" s="238">
        <f t="shared" si="31"/>
        <v>0</v>
      </c>
      <c r="AD605" s="238"/>
      <c r="AE605" s="238"/>
    </row>
    <row r="606" spans="2:31" x14ac:dyDescent="0.3">
      <c r="B606" s="245" t="s">
        <v>93</v>
      </c>
      <c r="C606" s="245"/>
      <c r="D606" s="245"/>
      <c r="E606" s="86">
        <v>0</v>
      </c>
      <c r="F606" s="87">
        <v>0</v>
      </c>
      <c r="G606" s="86">
        <v>0</v>
      </c>
      <c r="H606" s="87">
        <v>0</v>
      </c>
      <c r="I606" s="86">
        <v>0</v>
      </c>
      <c r="J606" s="87">
        <v>0</v>
      </c>
      <c r="K606" s="86">
        <v>0</v>
      </c>
      <c r="L606" s="87">
        <v>0</v>
      </c>
      <c r="M606" s="86">
        <v>0</v>
      </c>
      <c r="N606" s="87">
        <v>0</v>
      </c>
      <c r="O606" s="86">
        <v>0</v>
      </c>
      <c r="P606" s="87">
        <v>0</v>
      </c>
      <c r="Q606" s="86">
        <v>0</v>
      </c>
      <c r="R606" s="87">
        <v>0</v>
      </c>
      <c r="S606" s="86">
        <v>0</v>
      </c>
      <c r="T606" s="87">
        <v>0.51333333333333286</v>
      </c>
      <c r="U606" s="86">
        <v>0.21966666666666648</v>
      </c>
      <c r="V606" s="87">
        <v>0.10316666666666666</v>
      </c>
      <c r="W606" s="86">
        <v>0.37283333333333329</v>
      </c>
      <c r="X606" s="87">
        <v>0</v>
      </c>
      <c r="Y606" s="86">
        <v>0</v>
      </c>
      <c r="Z606" s="87">
        <v>0</v>
      </c>
      <c r="AA606" s="86">
        <v>0</v>
      </c>
      <c r="AB606" s="87">
        <v>0</v>
      </c>
      <c r="AC606" s="238">
        <f>SUM(E606:AB606)</f>
        <v>1.2089999999999992</v>
      </c>
      <c r="AD606" s="238"/>
      <c r="AE606" s="238"/>
    </row>
    <row r="607" spans="2:31" x14ac:dyDescent="0.3">
      <c r="B607" s="14" t="s">
        <v>2</v>
      </c>
      <c r="C607" s="14"/>
      <c r="D607" s="14"/>
      <c r="E607" s="15">
        <f t="shared" ref="E607:AB607" si="32">SUM(E558:E606)</f>
        <v>0</v>
      </c>
      <c r="F607" s="15">
        <f t="shared" si="32"/>
        <v>0</v>
      </c>
      <c r="G607" s="15">
        <f t="shared" si="32"/>
        <v>0</v>
      </c>
      <c r="H607" s="15">
        <f t="shared" si="32"/>
        <v>0</v>
      </c>
      <c r="I607" s="15">
        <f t="shared" si="32"/>
        <v>0</v>
      </c>
      <c r="J607" s="15">
        <f t="shared" si="32"/>
        <v>0</v>
      </c>
      <c r="K607" s="15">
        <f t="shared" si="32"/>
        <v>0</v>
      </c>
      <c r="L607" s="15">
        <f t="shared" si="32"/>
        <v>0</v>
      </c>
      <c r="M607" s="15">
        <f t="shared" si="32"/>
        <v>0</v>
      </c>
      <c r="N607" s="15">
        <f t="shared" si="32"/>
        <v>0</v>
      </c>
      <c r="O607" s="15">
        <f t="shared" si="32"/>
        <v>0</v>
      </c>
      <c r="P607" s="15">
        <f t="shared" si="32"/>
        <v>20.43416666666668</v>
      </c>
      <c r="Q607" s="15">
        <f t="shared" si="32"/>
        <v>43.828500000000034</v>
      </c>
      <c r="R607" s="15">
        <f t="shared" si="32"/>
        <v>111.56316666666666</v>
      </c>
      <c r="S607" s="15">
        <f t="shared" si="32"/>
        <v>124.46983333333333</v>
      </c>
      <c r="T607" s="15">
        <f t="shared" si="32"/>
        <v>125.25033333333332</v>
      </c>
      <c r="U607" s="15">
        <f t="shared" si="32"/>
        <v>149.56433333333331</v>
      </c>
      <c r="V607" s="15">
        <f t="shared" si="32"/>
        <v>73.911666666666662</v>
      </c>
      <c r="W607" s="15">
        <f t="shared" si="32"/>
        <v>5.8650000000000002</v>
      </c>
      <c r="X607" s="15">
        <f t="shared" si="32"/>
        <v>0</v>
      </c>
      <c r="Y607" s="15">
        <f t="shared" si="32"/>
        <v>0</v>
      </c>
      <c r="Z607" s="15">
        <f t="shared" si="32"/>
        <v>0</v>
      </c>
      <c r="AA607" s="15">
        <f t="shared" si="32"/>
        <v>0</v>
      </c>
      <c r="AB607" s="15">
        <f t="shared" si="32"/>
        <v>0</v>
      </c>
      <c r="AC607" s="249">
        <f>SUM(AC558:AE606)</f>
        <v>654.88699999999994</v>
      </c>
      <c r="AD607" s="249"/>
      <c r="AE607" s="249"/>
    </row>
    <row r="608" spans="2:31" x14ac:dyDescent="0.3">
      <c r="B608" s="16"/>
      <c r="C608" s="17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2:31" x14ac:dyDescent="0.3">
      <c r="B609" s="16"/>
      <c r="C609" s="17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2:31" x14ac:dyDescent="0.3">
      <c r="B610" s="8">
        <f>'Resumen-Mensual'!$P$22</f>
        <v>44573</v>
      </c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88"/>
      <c r="AD610" s="88"/>
      <c r="AE610" s="88"/>
    </row>
    <row r="611" spans="2:31" x14ac:dyDescent="0.3">
      <c r="B611" s="8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88"/>
      <c r="AD611" s="88"/>
      <c r="AE611" s="88"/>
    </row>
    <row r="612" spans="2:31" x14ac:dyDescent="0.3">
      <c r="B612" s="9" t="s">
        <v>81</v>
      </c>
      <c r="C612" s="10"/>
      <c r="D612" s="10"/>
      <c r="E612" s="11">
        <v>1</v>
      </c>
      <c r="F612" s="11">
        <v>2</v>
      </c>
      <c r="G612" s="11">
        <v>3</v>
      </c>
      <c r="H612" s="11">
        <v>4</v>
      </c>
      <c r="I612" s="11">
        <v>5</v>
      </c>
      <c r="J612" s="11">
        <v>6</v>
      </c>
      <c r="K612" s="11">
        <v>7</v>
      </c>
      <c r="L612" s="11">
        <v>8</v>
      </c>
      <c r="M612" s="11">
        <v>9</v>
      </c>
      <c r="N612" s="11">
        <v>10</v>
      </c>
      <c r="O612" s="11">
        <v>11</v>
      </c>
      <c r="P612" s="11">
        <v>12</v>
      </c>
      <c r="Q612" s="11">
        <v>13</v>
      </c>
      <c r="R612" s="11">
        <v>14</v>
      </c>
      <c r="S612" s="11">
        <v>15</v>
      </c>
      <c r="T612" s="11">
        <v>16</v>
      </c>
      <c r="U612" s="11">
        <v>17</v>
      </c>
      <c r="V612" s="11">
        <v>18</v>
      </c>
      <c r="W612" s="11">
        <v>19</v>
      </c>
      <c r="X612" s="11">
        <v>20</v>
      </c>
      <c r="Y612" s="11">
        <v>21</v>
      </c>
      <c r="Z612" s="11">
        <v>22</v>
      </c>
      <c r="AA612" s="11">
        <v>23</v>
      </c>
      <c r="AB612" s="11">
        <v>24</v>
      </c>
      <c r="AC612" s="248" t="s">
        <v>2</v>
      </c>
      <c r="AD612" s="248"/>
      <c r="AE612" s="248"/>
    </row>
    <row r="613" spans="2:31" x14ac:dyDescent="0.3">
      <c r="B613" s="245" t="s">
        <v>37</v>
      </c>
      <c r="C613" s="245"/>
      <c r="D613" s="245"/>
      <c r="E613" s="93">
        <v>0</v>
      </c>
      <c r="F613" s="94">
        <v>0</v>
      </c>
      <c r="G613" s="93">
        <v>0</v>
      </c>
      <c r="H613" s="94">
        <v>0</v>
      </c>
      <c r="I613" s="93">
        <v>0</v>
      </c>
      <c r="J613" s="94">
        <v>0</v>
      </c>
      <c r="K613" s="93">
        <v>0</v>
      </c>
      <c r="L613" s="94">
        <v>0</v>
      </c>
      <c r="M613" s="93">
        <v>0</v>
      </c>
      <c r="N613" s="94">
        <v>0</v>
      </c>
      <c r="O613" s="93">
        <v>0</v>
      </c>
      <c r="P613" s="94">
        <v>0</v>
      </c>
      <c r="Q613" s="93">
        <v>6.6833333333333342E-2</v>
      </c>
      <c r="R613" s="94">
        <v>0.58299999999999996</v>
      </c>
      <c r="S613" s="93">
        <v>0</v>
      </c>
      <c r="T613" s="94">
        <v>0</v>
      </c>
      <c r="U613" s="93">
        <v>0</v>
      </c>
      <c r="V613" s="94">
        <v>0</v>
      </c>
      <c r="W613" s="93">
        <v>0</v>
      </c>
      <c r="X613" s="94">
        <v>0</v>
      </c>
      <c r="Y613" s="93">
        <v>0</v>
      </c>
      <c r="Z613" s="94">
        <v>0</v>
      </c>
      <c r="AA613" s="93">
        <v>0</v>
      </c>
      <c r="AB613" s="94">
        <v>0</v>
      </c>
      <c r="AC613" s="238">
        <f t="shared" ref="AC613:AC645" si="33">SUM(E613:AB613)</f>
        <v>0.64983333333333326</v>
      </c>
      <c r="AD613" s="238"/>
      <c r="AE613" s="238"/>
    </row>
    <row r="614" spans="2:31" x14ac:dyDescent="0.3">
      <c r="B614" s="245" t="s">
        <v>38</v>
      </c>
      <c r="C614" s="245"/>
      <c r="D614" s="245"/>
      <c r="E614" s="93">
        <v>0</v>
      </c>
      <c r="F614" s="94">
        <v>0</v>
      </c>
      <c r="G614" s="93">
        <v>0</v>
      </c>
      <c r="H614" s="94">
        <v>0</v>
      </c>
      <c r="I614" s="93">
        <v>0</v>
      </c>
      <c r="J614" s="94">
        <v>0</v>
      </c>
      <c r="K614" s="93">
        <v>0</v>
      </c>
      <c r="L614" s="94">
        <v>0</v>
      </c>
      <c r="M614" s="93">
        <v>0</v>
      </c>
      <c r="N614" s="94">
        <v>0</v>
      </c>
      <c r="O614" s="93">
        <v>0</v>
      </c>
      <c r="P614" s="94">
        <v>0</v>
      </c>
      <c r="Q614" s="93">
        <v>0</v>
      </c>
      <c r="R614" s="94">
        <v>1.6831666666666663</v>
      </c>
      <c r="S614" s="93">
        <v>0</v>
      </c>
      <c r="T614" s="94">
        <v>0.35150000000000003</v>
      </c>
      <c r="U614" s="93">
        <v>2.7333333333333522E-2</v>
      </c>
      <c r="V614" s="94">
        <v>0</v>
      </c>
      <c r="W614" s="93">
        <v>0</v>
      </c>
      <c r="X614" s="94">
        <v>0</v>
      </c>
      <c r="Y614" s="93">
        <v>0</v>
      </c>
      <c r="Z614" s="94">
        <v>0</v>
      </c>
      <c r="AA614" s="93">
        <v>0</v>
      </c>
      <c r="AB614" s="94">
        <v>0</v>
      </c>
      <c r="AC614" s="238">
        <f t="shared" si="33"/>
        <v>2.0619999999999998</v>
      </c>
      <c r="AD614" s="238"/>
      <c r="AE614" s="238"/>
    </row>
    <row r="615" spans="2:31" x14ac:dyDescent="0.3">
      <c r="B615" s="245" t="s">
        <v>39</v>
      </c>
      <c r="C615" s="245"/>
      <c r="D615" s="245"/>
      <c r="E615" s="93">
        <v>0</v>
      </c>
      <c r="F615" s="94">
        <v>0</v>
      </c>
      <c r="G615" s="93">
        <v>0</v>
      </c>
      <c r="H615" s="94">
        <v>0</v>
      </c>
      <c r="I615" s="93">
        <v>0</v>
      </c>
      <c r="J615" s="94">
        <v>0</v>
      </c>
      <c r="K615" s="93">
        <v>0</v>
      </c>
      <c r="L615" s="94">
        <v>0</v>
      </c>
      <c r="M615" s="93">
        <v>0</v>
      </c>
      <c r="N615" s="94">
        <v>0</v>
      </c>
      <c r="O615" s="93">
        <v>0</v>
      </c>
      <c r="P615" s="94">
        <v>0</v>
      </c>
      <c r="Q615" s="93">
        <v>1.5</v>
      </c>
      <c r="R615" s="94">
        <v>4.5554999999999994</v>
      </c>
      <c r="S615" s="93">
        <v>0</v>
      </c>
      <c r="T615" s="94">
        <v>8.6006666666666671</v>
      </c>
      <c r="U615" s="93">
        <v>6.241666666666668</v>
      </c>
      <c r="V615" s="94">
        <v>4.2351666666666654</v>
      </c>
      <c r="W615" s="93">
        <v>7.3166666666666672E-2</v>
      </c>
      <c r="X615" s="94">
        <v>0</v>
      </c>
      <c r="Y615" s="93">
        <v>0</v>
      </c>
      <c r="Z615" s="94">
        <v>0</v>
      </c>
      <c r="AA615" s="93">
        <v>0</v>
      </c>
      <c r="AB615" s="94">
        <v>0</v>
      </c>
      <c r="AC615" s="238">
        <f t="shared" si="33"/>
        <v>25.206166666666665</v>
      </c>
      <c r="AD615" s="238"/>
      <c r="AE615" s="238"/>
    </row>
    <row r="616" spans="2:31" x14ac:dyDescent="0.3">
      <c r="B616" s="245" t="s">
        <v>40</v>
      </c>
      <c r="C616" s="245"/>
      <c r="D616" s="245"/>
      <c r="E616" s="93">
        <v>0</v>
      </c>
      <c r="F616" s="94">
        <v>0</v>
      </c>
      <c r="G616" s="93">
        <v>0</v>
      </c>
      <c r="H616" s="94">
        <v>0</v>
      </c>
      <c r="I616" s="93">
        <v>0</v>
      </c>
      <c r="J616" s="94">
        <v>0</v>
      </c>
      <c r="K616" s="93">
        <v>0</v>
      </c>
      <c r="L616" s="94">
        <v>0</v>
      </c>
      <c r="M616" s="93">
        <v>0</v>
      </c>
      <c r="N616" s="94">
        <v>0</v>
      </c>
      <c r="O616" s="93">
        <v>0</v>
      </c>
      <c r="P616" s="94">
        <v>0</v>
      </c>
      <c r="Q616" s="93">
        <v>0</v>
      </c>
      <c r="R616" s="94">
        <v>0</v>
      </c>
      <c r="S616" s="93">
        <v>0</v>
      </c>
      <c r="T616" s="94">
        <v>0</v>
      </c>
      <c r="U616" s="93">
        <v>1.6265000000000016</v>
      </c>
      <c r="V616" s="94">
        <v>1.7218333333333324</v>
      </c>
      <c r="W616" s="93">
        <v>0</v>
      </c>
      <c r="X616" s="94">
        <v>0</v>
      </c>
      <c r="Y616" s="93">
        <v>0</v>
      </c>
      <c r="Z616" s="94">
        <v>0</v>
      </c>
      <c r="AA616" s="93">
        <v>0</v>
      </c>
      <c r="AB616" s="94">
        <v>0</v>
      </c>
      <c r="AC616" s="238">
        <f t="shared" si="33"/>
        <v>3.348333333333334</v>
      </c>
      <c r="AD616" s="238"/>
      <c r="AE616" s="238"/>
    </row>
    <row r="617" spans="2:31" x14ac:dyDescent="0.3">
      <c r="B617" s="245" t="s">
        <v>41</v>
      </c>
      <c r="C617" s="245"/>
      <c r="D617" s="245"/>
      <c r="E617" s="93">
        <v>0</v>
      </c>
      <c r="F617" s="94">
        <v>0</v>
      </c>
      <c r="G617" s="93">
        <v>0</v>
      </c>
      <c r="H617" s="94">
        <v>0</v>
      </c>
      <c r="I617" s="93">
        <v>0</v>
      </c>
      <c r="J617" s="94">
        <v>0</v>
      </c>
      <c r="K617" s="93">
        <v>0</v>
      </c>
      <c r="L617" s="94">
        <v>0</v>
      </c>
      <c r="M617" s="93">
        <v>0</v>
      </c>
      <c r="N617" s="94">
        <v>0</v>
      </c>
      <c r="O617" s="93">
        <v>0</v>
      </c>
      <c r="P617" s="94">
        <v>0</v>
      </c>
      <c r="Q617" s="93">
        <v>0</v>
      </c>
      <c r="R617" s="94">
        <v>0</v>
      </c>
      <c r="S617" s="93">
        <v>1.8255000000000028</v>
      </c>
      <c r="T617" s="94">
        <v>0</v>
      </c>
      <c r="U617" s="93">
        <v>0</v>
      </c>
      <c r="V617" s="94">
        <v>18.006166666666665</v>
      </c>
      <c r="W617" s="93">
        <v>2.2941666666666669</v>
      </c>
      <c r="X617" s="94">
        <v>0</v>
      </c>
      <c r="Y617" s="93">
        <v>0</v>
      </c>
      <c r="Z617" s="94">
        <v>0</v>
      </c>
      <c r="AA617" s="93">
        <v>0</v>
      </c>
      <c r="AB617" s="94">
        <v>0</v>
      </c>
      <c r="AC617" s="238">
        <f t="shared" si="33"/>
        <v>22.125833333333333</v>
      </c>
      <c r="AD617" s="238"/>
      <c r="AE617" s="238"/>
    </row>
    <row r="618" spans="2:31" x14ac:dyDescent="0.3">
      <c r="B618" s="245" t="s">
        <v>42</v>
      </c>
      <c r="C618" s="245"/>
      <c r="D618" s="245"/>
      <c r="E618" s="93">
        <v>0</v>
      </c>
      <c r="F618" s="94">
        <v>0</v>
      </c>
      <c r="G618" s="93">
        <v>0</v>
      </c>
      <c r="H618" s="94">
        <v>0</v>
      </c>
      <c r="I618" s="93">
        <v>0</v>
      </c>
      <c r="J618" s="94">
        <v>0</v>
      </c>
      <c r="K618" s="93">
        <v>0</v>
      </c>
      <c r="L618" s="94">
        <v>0</v>
      </c>
      <c r="M618" s="93">
        <v>0</v>
      </c>
      <c r="N618" s="94">
        <v>0</v>
      </c>
      <c r="O618" s="93">
        <v>0</v>
      </c>
      <c r="P618" s="94">
        <v>0</v>
      </c>
      <c r="Q618" s="93">
        <v>0</v>
      </c>
      <c r="R618" s="94">
        <v>0</v>
      </c>
      <c r="S618" s="93">
        <v>0</v>
      </c>
      <c r="T618" s="94">
        <v>0</v>
      </c>
      <c r="U618" s="93">
        <v>0</v>
      </c>
      <c r="V618" s="94">
        <v>20.582333333333342</v>
      </c>
      <c r="W618" s="93">
        <v>6.559333333333333</v>
      </c>
      <c r="X618" s="94">
        <v>0</v>
      </c>
      <c r="Y618" s="93">
        <v>0</v>
      </c>
      <c r="Z618" s="94">
        <v>0</v>
      </c>
      <c r="AA618" s="93">
        <v>0</v>
      </c>
      <c r="AB618" s="94">
        <v>0</v>
      </c>
      <c r="AC618" s="238">
        <f t="shared" si="33"/>
        <v>27.141666666666673</v>
      </c>
      <c r="AD618" s="238"/>
      <c r="AE618" s="238"/>
    </row>
    <row r="619" spans="2:31" x14ac:dyDescent="0.3">
      <c r="B619" s="245" t="s">
        <v>43</v>
      </c>
      <c r="C619" s="245"/>
      <c r="D619" s="245"/>
      <c r="E619" s="93">
        <v>0</v>
      </c>
      <c r="F619" s="94">
        <v>0</v>
      </c>
      <c r="G619" s="93">
        <v>0</v>
      </c>
      <c r="H619" s="94">
        <v>0</v>
      </c>
      <c r="I619" s="93">
        <v>0</v>
      </c>
      <c r="J619" s="94">
        <v>0</v>
      </c>
      <c r="K619" s="93">
        <v>0</v>
      </c>
      <c r="L619" s="94">
        <v>0</v>
      </c>
      <c r="M619" s="93">
        <v>0</v>
      </c>
      <c r="N619" s="94">
        <v>0</v>
      </c>
      <c r="O619" s="93">
        <v>3.7225000000000081</v>
      </c>
      <c r="P619" s="94">
        <v>4.148833333333326</v>
      </c>
      <c r="Q619" s="93">
        <v>8.1745000000000054</v>
      </c>
      <c r="R619" s="94">
        <v>1.700166666666665</v>
      </c>
      <c r="S619" s="93">
        <v>8.2263333333333399</v>
      </c>
      <c r="T619" s="94">
        <v>9.0515000000000008</v>
      </c>
      <c r="U619" s="93">
        <v>0</v>
      </c>
      <c r="V619" s="94">
        <v>4.3620000000000028</v>
      </c>
      <c r="W619" s="93">
        <v>0</v>
      </c>
      <c r="X619" s="94">
        <v>0</v>
      </c>
      <c r="Y619" s="93">
        <v>0</v>
      </c>
      <c r="Z619" s="94">
        <v>0</v>
      </c>
      <c r="AA619" s="93">
        <v>0</v>
      </c>
      <c r="AB619" s="94">
        <v>0</v>
      </c>
      <c r="AC619" s="238">
        <f t="shared" si="33"/>
        <v>39.385833333333345</v>
      </c>
      <c r="AD619" s="238"/>
      <c r="AE619" s="238"/>
    </row>
    <row r="620" spans="2:31" x14ac:dyDescent="0.3">
      <c r="B620" s="245" t="s">
        <v>44</v>
      </c>
      <c r="C620" s="245"/>
      <c r="D620" s="245"/>
      <c r="E620" s="93">
        <v>0</v>
      </c>
      <c r="F620" s="94">
        <v>0</v>
      </c>
      <c r="G620" s="93">
        <v>0</v>
      </c>
      <c r="H620" s="94">
        <v>0</v>
      </c>
      <c r="I620" s="93">
        <v>0</v>
      </c>
      <c r="J620" s="94">
        <v>0</v>
      </c>
      <c r="K620" s="93">
        <v>0</v>
      </c>
      <c r="L620" s="94">
        <v>0</v>
      </c>
      <c r="M620" s="93">
        <v>0</v>
      </c>
      <c r="N620" s="94">
        <v>0</v>
      </c>
      <c r="O620" s="93">
        <v>0</v>
      </c>
      <c r="P620" s="94">
        <v>0</v>
      </c>
      <c r="Q620" s="93">
        <v>0</v>
      </c>
      <c r="R620" s="94">
        <v>0</v>
      </c>
      <c r="S620" s="93">
        <v>0</v>
      </c>
      <c r="T620" s="94">
        <v>0</v>
      </c>
      <c r="U620" s="93">
        <v>2.3626666666666654</v>
      </c>
      <c r="V620" s="94">
        <v>33.643333333333338</v>
      </c>
      <c r="W620" s="93">
        <v>18.538666666666664</v>
      </c>
      <c r="X620" s="94">
        <v>0</v>
      </c>
      <c r="Y620" s="93">
        <v>0</v>
      </c>
      <c r="Z620" s="94">
        <v>0</v>
      </c>
      <c r="AA620" s="93">
        <v>0</v>
      </c>
      <c r="AB620" s="94">
        <v>0</v>
      </c>
      <c r="AC620" s="238">
        <f t="shared" si="33"/>
        <v>54.544666666666664</v>
      </c>
      <c r="AD620" s="238"/>
      <c r="AE620" s="238"/>
    </row>
    <row r="621" spans="2:31" x14ac:dyDescent="0.3">
      <c r="B621" s="245" t="s">
        <v>45</v>
      </c>
      <c r="C621" s="245"/>
      <c r="D621" s="245"/>
      <c r="E621" s="93">
        <v>0</v>
      </c>
      <c r="F621" s="94">
        <v>0</v>
      </c>
      <c r="G621" s="93">
        <v>0</v>
      </c>
      <c r="H621" s="94">
        <v>0</v>
      </c>
      <c r="I621" s="93">
        <v>0</v>
      </c>
      <c r="J621" s="94">
        <v>0</v>
      </c>
      <c r="K621" s="93">
        <v>0</v>
      </c>
      <c r="L621" s="94">
        <v>0</v>
      </c>
      <c r="M621" s="93">
        <v>0</v>
      </c>
      <c r="N621" s="94">
        <v>0</v>
      </c>
      <c r="O621" s="93">
        <v>0</v>
      </c>
      <c r="P621" s="94">
        <v>3.460666666666667</v>
      </c>
      <c r="Q621" s="93">
        <v>0.73133333333333517</v>
      </c>
      <c r="R621" s="94">
        <v>5.1384999999999961</v>
      </c>
      <c r="S621" s="93">
        <v>0</v>
      </c>
      <c r="T621" s="94">
        <v>7.8673333333333391</v>
      </c>
      <c r="U621" s="93">
        <v>4.4619999999999997</v>
      </c>
      <c r="V621" s="94">
        <v>6.2183333333333346</v>
      </c>
      <c r="W621" s="93">
        <v>2.5203333333333333</v>
      </c>
      <c r="X621" s="94">
        <v>0</v>
      </c>
      <c r="Y621" s="93">
        <v>0</v>
      </c>
      <c r="Z621" s="94">
        <v>0</v>
      </c>
      <c r="AA621" s="93">
        <v>0</v>
      </c>
      <c r="AB621" s="94">
        <v>0</v>
      </c>
      <c r="AC621" s="238">
        <f t="shared" si="33"/>
        <v>30.398500000000002</v>
      </c>
      <c r="AD621" s="238"/>
      <c r="AE621" s="238"/>
    </row>
    <row r="622" spans="2:31" x14ac:dyDescent="0.3">
      <c r="B622" s="245" t="s">
        <v>46</v>
      </c>
      <c r="C622" s="245"/>
      <c r="D622" s="245"/>
      <c r="E622" s="93">
        <v>0</v>
      </c>
      <c r="F622" s="94">
        <v>0</v>
      </c>
      <c r="G622" s="93">
        <v>0</v>
      </c>
      <c r="H622" s="94">
        <v>0</v>
      </c>
      <c r="I622" s="93">
        <v>0</v>
      </c>
      <c r="J622" s="94">
        <v>0</v>
      </c>
      <c r="K622" s="93">
        <v>0</v>
      </c>
      <c r="L622" s="94">
        <v>0</v>
      </c>
      <c r="M622" s="93">
        <v>0</v>
      </c>
      <c r="N622" s="94">
        <v>0</v>
      </c>
      <c r="O622" s="93">
        <v>0</v>
      </c>
      <c r="P622" s="94">
        <v>2.6718333333333373</v>
      </c>
      <c r="Q622" s="93">
        <v>9.7749999999999932</v>
      </c>
      <c r="R622" s="94">
        <v>20.604833333333335</v>
      </c>
      <c r="S622" s="93">
        <v>31.98800000000001</v>
      </c>
      <c r="T622" s="94">
        <v>0.47799999999999726</v>
      </c>
      <c r="U622" s="93">
        <v>6.7831666666666726</v>
      </c>
      <c r="V622" s="94">
        <v>4.4734999999999978</v>
      </c>
      <c r="W622" s="93">
        <v>1.8686666666666669</v>
      </c>
      <c r="X622" s="94">
        <v>0</v>
      </c>
      <c r="Y622" s="93">
        <v>0</v>
      </c>
      <c r="Z622" s="94">
        <v>0</v>
      </c>
      <c r="AA622" s="93">
        <v>0</v>
      </c>
      <c r="AB622" s="94">
        <v>0</v>
      </c>
      <c r="AC622" s="238">
        <f t="shared" si="33"/>
        <v>78.643000000000015</v>
      </c>
      <c r="AD622" s="238"/>
      <c r="AE622" s="238"/>
    </row>
    <row r="623" spans="2:31" x14ac:dyDescent="0.3">
      <c r="B623" s="245" t="s">
        <v>47</v>
      </c>
      <c r="C623" s="245"/>
      <c r="D623" s="245"/>
      <c r="E623" s="93">
        <v>0</v>
      </c>
      <c r="F623" s="94">
        <v>0</v>
      </c>
      <c r="G623" s="93">
        <v>0</v>
      </c>
      <c r="H623" s="94">
        <v>0</v>
      </c>
      <c r="I623" s="93">
        <v>0</v>
      </c>
      <c r="J623" s="94">
        <v>0</v>
      </c>
      <c r="K623" s="93">
        <v>0</v>
      </c>
      <c r="L623" s="94">
        <v>0</v>
      </c>
      <c r="M623" s="93">
        <v>0</v>
      </c>
      <c r="N623" s="94">
        <v>0</v>
      </c>
      <c r="O623" s="93">
        <v>0</v>
      </c>
      <c r="P623" s="94">
        <v>2.7234999999999983</v>
      </c>
      <c r="Q623" s="93">
        <v>8.2599999999999927</v>
      </c>
      <c r="R623" s="94">
        <v>11.15616666666666</v>
      </c>
      <c r="S623" s="93">
        <v>14.879999999999997</v>
      </c>
      <c r="T623" s="94">
        <v>14.879999999999997</v>
      </c>
      <c r="U623" s="93">
        <v>14.879999999999997</v>
      </c>
      <c r="V623" s="94">
        <v>0</v>
      </c>
      <c r="W623" s="93">
        <v>13.637999999999998</v>
      </c>
      <c r="X623" s="94">
        <v>2.419</v>
      </c>
      <c r="Y623" s="93">
        <v>0</v>
      </c>
      <c r="Z623" s="94">
        <v>0</v>
      </c>
      <c r="AA623" s="93">
        <v>0</v>
      </c>
      <c r="AB623" s="94">
        <v>0</v>
      </c>
      <c r="AC623" s="238">
        <f t="shared" si="33"/>
        <v>82.83666666666663</v>
      </c>
      <c r="AD623" s="238"/>
      <c r="AE623" s="238"/>
    </row>
    <row r="624" spans="2:31" x14ac:dyDescent="0.3">
      <c r="B624" s="245" t="s">
        <v>48</v>
      </c>
      <c r="C624" s="245"/>
      <c r="D624" s="245"/>
      <c r="E624" s="93">
        <v>0</v>
      </c>
      <c r="F624" s="94">
        <v>0</v>
      </c>
      <c r="G624" s="93">
        <v>0</v>
      </c>
      <c r="H624" s="94">
        <v>0</v>
      </c>
      <c r="I624" s="93">
        <v>0</v>
      </c>
      <c r="J624" s="94">
        <v>0</v>
      </c>
      <c r="K624" s="93">
        <v>0</v>
      </c>
      <c r="L624" s="94">
        <v>0</v>
      </c>
      <c r="M624" s="93">
        <v>0</v>
      </c>
      <c r="N624" s="94">
        <v>0</v>
      </c>
      <c r="O624" s="93">
        <v>0</v>
      </c>
      <c r="P624" s="94">
        <v>0</v>
      </c>
      <c r="Q624" s="93">
        <v>0</v>
      </c>
      <c r="R624" s="94">
        <v>0</v>
      </c>
      <c r="S624" s="93">
        <v>0</v>
      </c>
      <c r="T624" s="94">
        <v>0</v>
      </c>
      <c r="U624" s="93">
        <v>0</v>
      </c>
      <c r="V624" s="94">
        <v>0</v>
      </c>
      <c r="W624" s="93">
        <v>8.0166666666666664E-2</v>
      </c>
      <c r="X624" s="94">
        <v>0</v>
      </c>
      <c r="Y624" s="93">
        <v>0</v>
      </c>
      <c r="Z624" s="94">
        <v>0</v>
      </c>
      <c r="AA624" s="93">
        <v>0</v>
      </c>
      <c r="AB624" s="94">
        <v>0</v>
      </c>
      <c r="AC624" s="238">
        <f t="shared" si="33"/>
        <v>8.0166666666666664E-2</v>
      </c>
      <c r="AD624" s="238"/>
      <c r="AE624" s="238"/>
    </row>
    <row r="625" spans="2:31" x14ac:dyDescent="0.3">
      <c r="B625" s="245" t="s">
        <v>49</v>
      </c>
      <c r="C625" s="245"/>
      <c r="D625" s="245"/>
      <c r="E625" s="93">
        <v>0</v>
      </c>
      <c r="F625" s="94">
        <v>0</v>
      </c>
      <c r="G625" s="93">
        <v>0</v>
      </c>
      <c r="H625" s="94">
        <v>0</v>
      </c>
      <c r="I625" s="93">
        <v>0</v>
      </c>
      <c r="J625" s="94">
        <v>0</v>
      </c>
      <c r="K625" s="93">
        <v>0</v>
      </c>
      <c r="L625" s="94">
        <v>0</v>
      </c>
      <c r="M625" s="93">
        <v>0</v>
      </c>
      <c r="N625" s="94">
        <v>1.6833333333333329E-2</v>
      </c>
      <c r="O625" s="93">
        <v>0</v>
      </c>
      <c r="P625" s="94">
        <v>0</v>
      </c>
      <c r="Q625" s="93">
        <v>0</v>
      </c>
      <c r="R625" s="94">
        <v>0</v>
      </c>
      <c r="S625" s="93">
        <v>0</v>
      </c>
      <c r="T625" s="94">
        <v>0</v>
      </c>
      <c r="U625" s="93">
        <v>0.15766666666666665</v>
      </c>
      <c r="V625" s="94">
        <v>0.14649999999999999</v>
      </c>
      <c r="W625" s="93">
        <v>5.5833333333333297E-2</v>
      </c>
      <c r="X625" s="94">
        <v>0</v>
      </c>
      <c r="Y625" s="93">
        <v>0</v>
      </c>
      <c r="Z625" s="94">
        <v>0</v>
      </c>
      <c r="AA625" s="93">
        <v>0</v>
      </c>
      <c r="AB625" s="94">
        <v>0</v>
      </c>
      <c r="AC625" s="238">
        <f t="shared" si="33"/>
        <v>0.37683333333333324</v>
      </c>
      <c r="AD625" s="238"/>
      <c r="AE625" s="238"/>
    </row>
    <row r="626" spans="2:31" x14ac:dyDescent="0.3">
      <c r="B626" s="245" t="s">
        <v>50</v>
      </c>
      <c r="C626" s="245"/>
      <c r="D626" s="245"/>
      <c r="E626" s="93">
        <v>0</v>
      </c>
      <c r="F626" s="94">
        <v>0</v>
      </c>
      <c r="G626" s="93">
        <v>0</v>
      </c>
      <c r="H626" s="94">
        <v>0</v>
      </c>
      <c r="I626" s="93">
        <v>0</v>
      </c>
      <c r="J626" s="94">
        <v>0</v>
      </c>
      <c r="K626" s="93">
        <v>0</v>
      </c>
      <c r="L626" s="94">
        <v>0</v>
      </c>
      <c r="M626" s="93">
        <v>0</v>
      </c>
      <c r="N626" s="94">
        <v>0</v>
      </c>
      <c r="O626" s="93">
        <v>3.1333333333333333</v>
      </c>
      <c r="P626" s="94">
        <v>3.7266666666666621</v>
      </c>
      <c r="Q626" s="93">
        <v>0</v>
      </c>
      <c r="R626" s="94">
        <v>3.9946666666666695</v>
      </c>
      <c r="S626" s="93">
        <v>0</v>
      </c>
      <c r="T626" s="94">
        <v>0</v>
      </c>
      <c r="U626" s="93">
        <v>1.1388333333333316</v>
      </c>
      <c r="V626" s="94">
        <v>0</v>
      </c>
      <c r="W626" s="93">
        <v>0</v>
      </c>
      <c r="X626" s="94">
        <v>0</v>
      </c>
      <c r="Y626" s="93">
        <v>0</v>
      </c>
      <c r="Z626" s="94">
        <v>0</v>
      </c>
      <c r="AA626" s="93">
        <v>0</v>
      </c>
      <c r="AB626" s="94">
        <v>0</v>
      </c>
      <c r="AC626" s="238">
        <f t="shared" si="33"/>
        <v>11.993499999999997</v>
      </c>
      <c r="AD626" s="238"/>
      <c r="AE626" s="238"/>
    </row>
    <row r="627" spans="2:31" x14ac:dyDescent="0.3">
      <c r="B627" s="245" t="s">
        <v>97</v>
      </c>
      <c r="C627" s="245"/>
      <c r="D627" s="245"/>
      <c r="E627" s="93">
        <v>0</v>
      </c>
      <c r="F627" s="94">
        <v>0</v>
      </c>
      <c r="G627" s="93">
        <v>0</v>
      </c>
      <c r="H627" s="94">
        <v>0</v>
      </c>
      <c r="I627" s="93">
        <v>0</v>
      </c>
      <c r="J627" s="94">
        <v>0</v>
      </c>
      <c r="K627" s="93">
        <v>0</v>
      </c>
      <c r="L627" s="94">
        <v>0</v>
      </c>
      <c r="M627" s="93">
        <v>0</v>
      </c>
      <c r="N627" s="94">
        <v>0</v>
      </c>
      <c r="O627" s="93">
        <v>0</v>
      </c>
      <c r="P627" s="94">
        <v>0</v>
      </c>
      <c r="Q627" s="93">
        <v>0</v>
      </c>
      <c r="R627" s="94">
        <v>0</v>
      </c>
      <c r="S627" s="93">
        <v>0</v>
      </c>
      <c r="T627" s="94">
        <v>0</v>
      </c>
      <c r="U627" s="93">
        <v>0</v>
      </c>
      <c r="V627" s="94">
        <v>0</v>
      </c>
      <c r="W627" s="93">
        <v>0</v>
      </c>
      <c r="X627" s="94">
        <v>0</v>
      </c>
      <c r="Y627" s="93">
        <v>0</v>
      </c>
      <c r="Z627" s="94">
        <v>0</v>
      </c>
      <c r="AA627" s="93">
        <v>0</v>
      </c>
      <c r="AB627" s="94">
        <v>0</v>
      </c>
      <c r="AC627" s="238">
        <f t="shared" si="33"/>
        <v>0</v>
      </c>
      <c r="AD627" s="238"/>
      <c r="AE627" s="238"/>
    </row>
    <row r="628" spans="2:31" x14ac:dyDescent="0.3">
      <c r="B628" s="245" t="s">
        <v>51</v>
      </c>
      <c r="C628" s="245"/>
      <c r="D628" s="245"/>
      <c r="E628" s="93">
        <v>0</v>
      </c>
      <c r="F628" s="94">
        <v>0</v>
      </c>
      <c r="G628" s="93">
        <v>0</v>
      </c>
      <c r="H628" s="94">
        <v>0</v>
      </c>
      <c r="I628" s="93">
        <v>0</v>
      </c>
      <c r="J628" s="94">
        <v>0</v>
      </c>
      <c r="K628" s="93">
        <v>0</v>
      </c>
      <c r="L628" s="94">
        <v>0</v>
      </c>
      <c r="M628" s="93">
        <v>0</v>
      </c>
      <c r="N628" s="94">
        <v>0</v>
      </c>
      <c r="O628" s="93">
        <v>0</v>
      </c>
      <c r="P628" s="94">
        <v>0</v>
      </c>
      <c r="Q628" s="93">
        <v>15.416666666666666</v>
      </c>
      <c r="R628" s="94">
        <v>93.699999999999889</v>
      </c>
      <c r="S628" s="93">
        <v>93.199999999999889</v>
      </c>
      <c r="T628" s="94">
        <v>89.182999999999993</v>
      </c>
      <c r="U628" s="93">
        <v>74.995500000000007</v>
      </c>
      <c r="V628" s="94">
        <v>61.504499999999993</v>
      </c>
      <c r="W628" s="93">
        <v>11.930833333333334</v>
      </c>
      <c r="X628" s="94">
        <v>0</v>
      </c>
      <c r="Y628" s="93">
        <v>0</v>
      </c>
      <c r="Z628" s="94">
        <v>0</v>
      </c>
      <c r="AA628" s="93">
        <v>0</v>
      </c>
      <c r="AB628" s="94">
        <v>0</v>
      </c>
      <c r="AC628" s="238">
        <f t="shared" si="33"/>
        <v>439.93049999999977</v>
      </c>
      <c r="AD628" s="238"/>
      <c r="AE628" s="238"/>
    </row>
    <row r="629" spans="2:31" x14ac:dyDescent="0.3">
      <c r="B629" s="245" t="s">
        <v>52</v>
      </c>
      <c r="C629" s="245"/>
      <c r="D629" s="245"/>
      <c r="E629" s="93">
        <v>0</v>
      </c>
      <c r="F629" s="94">
        <v>0</v>
      </c>
      <c r="G629" s="93">
        <v>0</v>
      </c>
      <c r="H629" s="94">
        <v>0</v>
      </c>
      <c r="I629" s="93">
        <v>0</v>
      </c>
      <c r="J629" s="94">
        <v>0</v>
      </c>
      <c r="K629" s="93">
        <v>0</v>
      </c>
      <c r="L629" s="94">
        <v>0</v>
      </c>
      <c r="M629" s="93">
        <v>0</v>
      </c>
      <c r="N629" s="94">
        <v>0</v>
      </c>
      <c r="O629" s="93">
        <v>0</v>
      </c>
      <c r="P629" s="94">
        <v>0</v>
      </c>
      <c r="Q629" s="93">
        <v>0</v>
      </c>
      <c r="R629" s="94">
        <v>0</v>
      </c>
      <c r="S629" s="93">
        <v>0</v>
      </c>
      <c r="T629" s="94">
        <v>0</v>
      </c>
      <c r="U629" s="93">
        <v>0</v>
      </c>
      <c r="V629" s="94">
        <v>0</v>
      </c>
      <c r="W629" s="93">
        <v>0</v>
      </c>
      <c r="X629" s="94">
        <v>0</v>
      </c>
      <c r="Y629" s="93">
        <v>0</v>
      </c>
      <c r="Z629" s="94">
        <v>0</v>
      </c>
      <c r="AA629" s="93">
        <v>0</v>
      </c>
      <c r="AB629" s="94">
        <v>0</v>
      </c>
      <c r="AC629" s="238">
        <f t="shared" si="33"/>
        <v>0</v>
      </c>
      <c r="AD629" s="238"/>
      <c r="AE629" s="238"/>
    </row>
    <row r="630" spans="2:31" x14ac:dyDescent="0.3">
      <c r="B630" s="245" t="s">
        <v>53</v>
      </c>
      <c r="C630" s="245"/>
      <c r="D630" s="245"/>
      <c r="E630" s="93">
        <v>0</v>
      </c>
      <c r="F630" s="94">
        <v>0</v>
      </c>
      <c r="G630" s="93">
        <v>0</v>
      </c>
      <c r="H630" s="94">
        <v>0</v>
      </c>
      <c r="I630" s="93">
        <v>0</v>
      </c>
      <c r="J630" s="94">
        <v>0</v>
      </c>
      <c r="K630" s="93">
        <v>0</v>
      </c>
      <c r="L630" s="94">
        <v>0</v>
      </c>
      <c r="M630" s="93">
        <v>0</v>
      </c>
      <c r="N630" s="94">
        <v>0</v>
      </c>
      <c r="O630" s="93">
        <v>0</v>
      </c>
      <c r="P630" s="94">
        <v>0</v>
      </c>
      <c r="Q630" s="93">
        <v>0</v>
      </c>
      <c r="R630" s="94">
        <v>0</v>
      </c>
      <c r="S630" s="93">
        <v>0</v>
      </c>
      <c r="T630" s="94">
        <v>0</v>
      </c>
      <c r="U630" s="93">
        <v>0</v>
      </c>
      <c r="V630" s="94">
        <v>0</v>
      </c>
      <c r="W630" s="93">
        <v>0</v>
      </c>
      <c r="X630" s="94">
        <v>0</v>
      </c>
      <c r="Y630" s="93">
        <v>0</v>
      </c>
      <c r="Z630" s="94">
        <v>0</v>
      </c>
      <c r="AA630" s="93">
        <v>0</v>
      </c>
      <c r="AB630" s="94">
        <v>0</v>
      </c>
      <c r="AC630" s="238">
        <f t="shared" si="33"/>
        <v>0</v>
      </c>
      <c r="AD630" s="238"/>
      <c r="AE630" s="238"/>
    </row>
    <row r="631" spans="2:31" x14ac:dyDescent="0.3">
      <c r="B631" s="245" t="s">
        <v>54</v>
      </c>
      <c r="C631" s="245"/>
      <c r="D631" s="245"/>
      <c r="E631" s="93">
        <v>0</v>
      </c>
      <c r="F631" s="94">
        <v>0</v>
      </c>
      <c r="G631" s="93">
        <v>0</v>
      </c>
      <c r="H631" s="94">
        <v>0</v>
      </c>
      <c r="I631" s="93">
        <v>0</v>
      </c>
      <c r="J631" s="94">
        <v>0</v>
      </c>
      <c r="K631" s="93">
        <v>0</v>
      </c>
      <c r="L631" s="94">
        <v>0</v>
      </c>
      <c r="M631" s="93">
        <v>0</v>
      </c>
      <c r="N631" s="94">
        <v>0</v>
      </c>
      <c r="O631" s="93">
        <v>0</v>
      </c>
      <c r="P631" s="94">
        <v>0</v>
      </c>
      <c r="Q631" s="93">
        <v>0</v>
      </c>
      <c r="R631" s="94">
        <v>58.666666666666664</v>
      </c>
      <c r="S631" s="93">
        <v>82.399999999999991</v>
      </c>
      <c r="T631" s="94">
        <v>81.199999999999903</v>
      </c>
      <c r="U631" s="93">
        <v>78.40000000000002</v>
      </c>
      <c r="V631" s="94">
        <v>2.496666666666667</v>
      </c>
      <c r="W631" s="93">
        <v>0</v>
      </c>
      <c r="X631" s="94">
        <v>0</v>
      </c>
      <c r="Y631" s="93">
        <v>0</v>
      </c>
      <c r="Z631" s="94">
        <v>0</v>
      </c>
      <c r="AA631" s="93">
        <v>0</v>
      </c>
      <c r="AB631" s="94">
        <v>0</v>
      </c>
      <c r="AC631" s="238">
        <f t="shared" si="33"/>
        <v>303.16333333333324</v>
      </c>
      <c r="AD631" s="238"/>
      <c r="AE631" s="238"/>
    </row>
    <row r="632" spans="2:31" x14ac:dyDescent="0.3">
      <c r="B632" s="245" t="s">
        <v>55</v>
      </c>
      <c r="C632" s="245"/>
      <c r="D632" s="245"/>
      <c r="E632" s="93">
        <v>0</v>
      </c>
      <c r="F632" s="94">
        <v>0</v>
      </c>
      <c r="G632" s="93">
        <v>0</v>
      </c>
      <c r="H632" s="94">
        <v>0</v>
      </c>
      <c r="I632" s="93">
        <v>0</v>
      </c>
      <c r="J632" s="94">
        <v>0</v>
      </c>
      <c r="K632" s="93">
        <v>0</v>
      </c>
      <c r="L632" s="94">
        <v>0</v>
      </c>
      <c r="M632" s="93">
        <v>0</v>
      </c>
      <c r="N632" s="94">
        <v>0</v>
      </c>
      <c r="O632" s="93">
        <v>0</v>
      </c>
      <c r="P632" s="94">
        <v>0</v>
      </c>
      <c r="Q632" s="93">
        <v>0</v>
      </c>
      <c r="R632" s="94">
        <v>0</v>
      </c>
      <c r="S632" s="93">
        <v>0</v>
      </c>
      <c r="T632" s="94">
        <v>0</v>
      </c>
      <c r="U632" s="93">
        <v>0</v>
      </c>
      <c r="V632" s="94">
        <v>0</v>
      </c>
      <c r="W632" s="93">
        <v>0</v>
      </c>
      <c r="X632" s="94">
        <v>0</v>
      </c>
      <c r="Y632" s="93">
        <v>0</v>
      </c>
      <c r="Z632" s="94">
        <v>0</v>
      </c>
      <c r="AA632" s="93">
        <v>0</v>
      </c>
      <c r="AB632" s="94">
        <v>0</v>
      </c>
      <c r="AC632" s="238">
        <f t="shared" si="33"/>
        <v>0</v>
      </c>
      <c r="AD632" s="238"/>
      <c r="AE632" s="238"/>
    </row>
    <row r="633" spans="2:31" x14ac:dyDescent="0.3">
      <c r="B633" s="245" t="s">
        <v>56</v>
      </c>
      <c r="C633" s="245"/>
      <c r="D633" s="245"/>
      <c r="E633" s="93">
        <v>0</v>
      </c>
      <c r="F633" s="94">
        <v>0</v>
      </c>
      <c r="G633" s="93">
        <v>0</v>
      </c>
      <c r="H633" s="94">
        <v>0</v>
      </c>
      <c r="I633" s="93">
        <v>0</v>
      </c>
      <c r="J633" s="94">
        <v>0</v>
      </c>
      <c r="K633" s="93">
        <v>0</v>
      </c>
      <c r="L633" s="94">
        <v>0</v>
      </c>
      <c r="M633" s="93">
        <v>0</v>
      </c>
      <c r="N633" s="94">
        <v>0</v>
      </c>
      <c r="O633" s="93">
        <v>0</v>
      </c>
      <c r="P633" s="94">
        <v>0</v>
      </c>
      <c r="Q633" s="93">
        <v>0</v>
      </c>
      <c r="R633" s="94">
        <v>0</v>
      </c>
      <c r="S633" s="93">
        <v>0</v>
      </c>
      <c r="T633" s="94">
        <v>0</v>
      </c>
      <c r="U633" s="93">
        <v>0</v>
      </c>
      <c r="V633" s="94">
        <v>0</v>
      </c>
      <c r="W633" s="93">
        <v>0</v>
      </c>
      <c r="X633" s="94">
        <v>0</v>
      </c>
      <c r="Y633" s="93">
        <v>0</v>
      </c>
      <c r="Z633" s="94">
        <v>0</v>
      </c>
      <c r="AA633" s="93">
        <v>0</v>
      </c>
      <c r="AB633" s="94">
        <v>0</v>
      </c>
      <c r="AC633" s="238">
        <f t="shared" si="33"/>
        <v>0</v>
      </c>
      <c r="AD633" s="238"/>
      <c r="AE633" s="238"/>
    </row>
    <row r="634" spans="2:31" x14ac:dyDescent="0.3">
      <c r="B634" s="245" t="s">
        <v>94</v>
      </c>
      <c r="C634" s="245"/>
      <c r="D634" s="245"/>
      <c r="E634" s="93">
        <v>0</v>
      </c>
      <c r="F634" s="94">
        <v>0</v>
      </c>
      <c r="G634" s="93">
        <v>0</v>
      </c>
      <c r="H634" s="94">
        <v>0</v>
      </c>
      <c r="I634" s="93">
        <v>0</v>
      </c>
      <c r="J634" s="94">
        <v>0</v>
      </c>
      <c r="K634" s="93">
        <v>0</v>
      </c>
      <c r="L634" s="94">
        <v>0</v>
      </c>
      <c r="M634" s="93">
        <v>0</v>
      </c>
      <c r="N634" s="94">
        <v>0</v>
      </c>
      <c r="O634" s="93">
        <v>0</v>
      </c>
      <c r="P634" s="94">
        <v>0</v>
      </c>
      <c r="Q634" s="93">
        <v>0</v>
      </c>
      <c r="R634" s="94">
        <v>0</v>
      </c>
      <c r="S634" s="93">
        <v>0</v>
      </c>
      <c r="T634" s="94">
        <v>0</v>
      </c>
      <c r="U634" s="93">
        <v>0</v>
      </c>
      <c r="V634" s="94">
        <v>0</v>
      </c>
      <c r="W634" s="93">
        <v>0</v>
      </c>
      <c r="X634" s="94">
        <v>0</v>
      </c>
      <c r="Y634" s="93">
        <v>0</v>
      </c>
      <c r="Z634" s="94">
        <v>0</v>
      </c>
      <c r="AA634" s="93">
        <v>0</v>
      </c>
      <c r="AB634" s="94">
        <v>0</v>
      </c>
      <c r="AC634" s="238">
        <f t="shared" si="33"/>
        <v>0</v>
      </c>
      <c r="AD634" s="238"/>
      <c r="AE634" s="238"/>
    </row>
    <row r="635" spans="2:31" x14ac:dyDescent="0.3">
      <c r="B635" s="245" t="s">
        <v>57</v>
      </c>
      <c r="C635" s="245"/>
      <c r="D635" s="245"/>
      <c r="E635" s="93">
        <v>0</v>
      </c>
      <c r="F635" s="94">
        <v>0</v>
      </c>
      <c r="G635" s="93">
        <v>0</v>
      </c>
      <c r="H635" s="94">
        <v>0</v>
      </c>
      <c r="I635" s="93">
        <v>0</v>
      </c>
      <c r="J635" s="94">
        <v>0</v>
      </c>
      <c r="K635" s="93">
        <v>0</v>
      </c>
      <c r="L635" s="94">
        <v>0</v>
      </c>
      <c r="M635" s="93">
        <v>0</v>
      </c>
      <c r="N635" s="94">
        <v>0</v>
      </c>
      <c r="O635" s="93">
        <v>0</v>
      </c>
      <c r="P635" s="94">
        <v>0</v>
      </c>
      <c r="Q635" s="93">
        <v>1.3500000000000009E-2</v>
      </c>
      <c r="R635" s="94">
        <v>1.6544999999999999</v>
      </c>
      <c r="S635" s="93">
        <v>2.385666666666665</v>
      </c>
      <c r="T635" s="94">
        <v>0</v>
      </c>
      <c r="U635" s="93">
        <v>2.0646666666666667</v>
      </c>
      <c r="V635" s="94">
        <v>5.3321666666666685</v>
      </c>
      <c r="W635" s="93">
        <v>1.3026666666666669</v>
      </c>
      <c r="X635" s="94">
        <v>0</v>
      </c>
      <c r="Y635" s="93">
        <v>0</v>
      </c>
      <c r="Z635" s="94">
        <v>0</v>
      </c>
      <c r="AA635" s="93">
        <v>0</v>
      </c>
      <c r="AB635" s="94">
        <v>0</v>
      </c>
      <c r="AC635" s="238">
        <f t="shared" si="33"/>
        <v>12.753166666666667</v>
      </c>
      <c r="AD635" s="238"/>
      <c r="AE635" s="238"/>
    </row>
    <row r="636" spans="2:31" x14ac:dyDescent="0.3">
      <c r="B636" s="245" t="s">
        <v>58</v>
      </c>
      <c r="C636" s="245"/>
      <c r="D636" s="245"/>
      <c r="E636" s="93">
        <v>0</v>
      </c>
      <c r="F636" s="94">
        <v>0</v>
      </c>
      <c r="G636" s="93">
        <v>0</v>
      </c>
      <c r="H636" s="94">
        <v>0</v>
      </c>
      <c r="I636" s="93">
        <v>0</v>
      </c>
      <c r="J636" s="94">
        <v>0</v>
      </c>
      <c r="K636" s="93">
        <v>0</v>
      </c>
      <c r="L636" s="94">
        <v>0</v>
      </c>
      <c r="M636" s="93">
        <v>0</v>
      </c>
      <c r="N636" s="94">
        <v>0</v>
      </c>
      <c r="O636" s="93">
        <v>0</v>
      </c>
      <c r="P636" s="94">
        <v>0</v>
      </c>
      <c r="Q636" s="93">
        <v>6.5499999999999878E-2</v>
      </c>
      <c r="R636" s="94">
        <v>6.743000000000003</v>
      </c>
      <c r="S636" s="93">
        <v>2.4498333333333351</v>
      </c>
      <c r="T636" s="94">
        <v>0</v>
      </c>
      <c r="U636" s="93">
        <v>6.0524999999999993</v>
      </c>
      <c r="V636" s="94">
        <v>16.335333333333335</v>
      </c>
      <c r="W636" s="93">
        <v>4.2900000000000009</v>
      </c>
      <c r="X636" s="94">
        <v>0</v>
      </c>
      <c r="Y636" s="93">
        <v>0</v>
      </c>
      <c r="Z636" s="94">
        <v>0</v>
      </c>
      <c r="AA636" s="93">
        <v>0</v>
      </c>
      <c r="AB636" s="94">
        <v>0</v>
      </c>
      <c r="AC636" s="238">
        <f t="shared" si="33"/>
        <v>35.936166666666672</v>
      </c>
      <c r="AD636" s="238"/>
      <c r="AE636" s="238"/>
    </row>
    <row r="637" spans="2:31" x14ac:dyDescent="0.3">
      <c r="B637" s="245" t="s">
        <v>95</v>
      </c>
      <c r="C637" s="245"/>
      <c r="D637" s="245"/>
      <c r="E637" s="93">
        <v>0</v>
      </c>
      <c r="F637" s="94">
        <v>0</v>
      </c>
      <c r="G637" s="93">
        <v>0</v>
      </c>
      <c r="H637" s="94">
        <v>0</v>
      </c>
      <c r="I637" s="93">
        <v>0</v>
      </c>
      <c r="J637" s="94">
        <v>0</v>
      </c>
      <c r="K637" s="93">
        <v>0</v>
      </c>
      <c r="L637" s="94">
        <v>0</v>
      </c>
      <c r="M637" s="93">
        <v>0</v>
      </c>
      <c r="N637" s="94">
        <v>0</v>
      </c>
      <c r="O637" s="93">
        <v>0</v>
      </c>
      <c r="P637" s="94">
        <v>0</v>
      </c>
      <c r="Q637" s="93">
        <v>0</v>
      </c>
      <c r="R637" s="94">
        <v>0</v>
      </c>
      <c r="S637" s="93">
        <v>0</v>
      </c>
      <c r="T637" s="94">
        <v>0</v>
      </c>
      <c r="U637" s="93">
        <v>0</v>
      </c>
      <c r="V637" s="94">
        <v>0</v>
      </c>
      <c r="W637" s="93">
        <v>0</v>
      </c>
      <c r="X637" s="94">
        <v>0</v>
      </c>
      <c r="Y637" s="93">
        <v>0</v>
      </c>
      <c r="Z637" s="94">
        <v>0</v>
      </c>
      <c r="AA637" s="93">
        <v>0</v>
      </c>
      <c r="AB637" s="94">
        <v>0</v>
      </c>
      <c r="AC637" s="238">
        <f t="shared" si="33"/>
        <v>0</v>
      </c>
      <c r="AD637" s="238"/>
      <c r="AE637" s="238"/>
    </row>
    <row r="638" spans="2:31" x14ac:dyDescent="0.3">
      <c r="B638" s="245" t="s">
        <v>59</v>
      </c>
      <c r="C638" s="245"/>
      <c r="D638" s="245"/>
      <c r="E638" s="93">
        <v>0</v>
      </c>
      <c r="F638" s="94">
        <v>0</v>
      </c>
      <c r="G638" s="93">
        <v>0</v>
      </c>
      <c r="H638" s="94">
        <v>0</v>
      </c>
      <c r="I638" s="93">
        <v>0</v>
      </c>
      <c r="J638" s="94">
        <v>0</v>
      </c>
      <c r="K638" s="93">
        <v>0</v>
      </c>
      <c r="L638" s="94">
        <v>0</v>
      </c>
      <c r="M638" s="93">
        <v>0</v>
      </c>
      <c r="N638" s="94">
        <v>0</v>
      </c>
      <c r="O638" s="93">
        <v>0</v>
      </c>
      <c r="P638" s="94">
        <v>0</v>
      </c>
      <c r="Q638" s="93">
        <v>1.8921666666666661</v>
      </c>
      <c r="R638" s="94">
        <v>12.699166666666676</v>
      </c>
      <c r="S638" s="93">
        <v>12.844333333333333</v>
      </c>
      <c r="T638" s="94">
        <v>14.673166666666672</v>
      </c>
      <c r="U638" s="93">
        <v>15.189500000000006</v>
      </c>
      <c r="V638" s="94">
        <v>15.42033333333333</v>
      </c>
      <c r="W638" s="93">
        <v>1.2299999999999998</v>
      </c>
      <c r="X638" s="94">
        <v>0</v>
      </c>
      <c r="Y638" s="93">
        <v>0</v>
      </c>
      <c r="Z638" s="94">
        <v>0</v>
      </c>
      <c r="AA638" s="93">
        <v>0</v>
      </c>
      <c r="AB638" s="94">
        <v>0</v>
      </c>
      <c r="AC638" s="238">
        <f t="shared" si="33"/>
        <v>73.948666666666696</v>
      </c>
      <c r="AD638" s="238"/>
      <c r="AE638" s="238"/>
    </row>
    <row r="639" spans="2:31" x14ac:dyDescent="0.3">
      <c r="B639" s="245" t="s">
        <v>60</v>
      </c>
      <c r="C639" s="245"/>
      <c r="D639" s="245"/>
      <c r="E639" s="93">
        <v>0</v>
      </c>
      <c r="F639" s="94">
        <v>0</v>
      </c>
      <c r="G639" s="93">
        <v>0</v>
      </c>
      <c r="H639" s="94">
        <v>0</v>
      </c>
      <c r="I639" s="93">
        <v>0</v>
      </c>
      <c r="J639" s="94">
        <v>0</v>
      </c>
      <c r="K639" s="93">
        <v>0</v>
      </c>
      <c r="L639" s="94">
        <v>0</v>
      </c>
      <c r="M639" s="93">
        <v>0</v>
      </c>
      <c r="N639" s="94">
        <v>0</v>
      </c>
      <c r="O639" s="93">
        <v>0</v>
      </c>
      <c r="P639" s="94">
        <v>0</v>
      </c>
      <c r="Q639" s="93">
        <v>0</v>
      </c>
      <c r="R639" s="94">
        <v>0.44399999999999695</v>
      </c>
      <c r="S639" s="93">
        <v>0.30616666666667042</v>
      </c>
      <c r="T639" s="94">
        <v>0.18850000000000253</v>
      </c>
      <c r="U639" s="93">
        <v>0</v>
      </c>
      <c r="V639" s="94">
        <v>1.8823333333333323</v>
      </c>
      <c r="W639" s="93">
        <v>0</v>
      </c>
      <c r="X639" s="94">
        <v>0</v>
      </c>
      <c r="Y639" s="93">
        <v>0</v>
      </c>
      <c r="Z639" s="94">
        <v>0</v>
      </c>
      <c r="AA639" s="93">
        <v>0</v>
      </c>
      <c r="AB639" s="94">
        <v>0</v>
      </c>
      <c r="AC639" s="238">
        <f t="shared" si="33"/>
        <v>2.8210000000000024</v>
      </c>
      <c r="AD639" s="238"/>
      <c r="AE639" s="238"/>
    </row>
    <row r="640" spans="2:31" x14ac:dyDescent="0.3">
      <c r="B640" s="245" t="s">
        <v>61</v>
      </c>
      <c r="C640" s="245"/>
      <c r="D640" s="245"/>
      <c r="E640" s="93">
        <v>0</v>
      </c>
      <c r="F640" s="94">
        <v>0</v>
      </c>
      <c r="G640" s="93">
        <v>0</v>
      </c>
      <c r="H640" s="94">
        <v>0</v>
      </c>
      <c r="I640" s="93">
        <v>0</v>
      </c>
      <c r="J640" s="94">
        <v>0</v>
      </c>
      <c r="K640" s="93">
        <v>0</v>
      </c>
      <c r="L640" s="94">
        <v>0</v>
      </c>
      <c r="M640" s="93">
        <v>0</v>
      </c>
      <c r="N640" s="94">
        <v>0</v>
      </c>
      <c r="O640" s="93">
        <v>0</v>
      </c>
      <c r="P640" s="94">
        <v>0</v>
      </c>
      <c r="Q640" s="93">
        <v>0</v>
      </c>
      <c r="R640" s="94">
        <v>0</v>
      </c>
      <c r="S640" s="93">
        <v>0</v>
      </c>
      <c r="T640" s="94">
        <v>0</v>
      </c>
      <c r="U640" s="93">
        <v>0</v>
      </c>
      <c r="V640" s="94">
        <v>0</v>
      </c>
      <c r="W640" s="93">
        <v>0</v>
      </c>
      <c r="X640" s="94">
        <v>0</v>
      </c>
      <c r="Y640" s="93">
        <v>0</v>
      </c>
      <c r="Z640" s="94">
        <v>0</v>
      </c>
      <c r="AA640" s="93">
        <v>0</v>
      </c>
      <c r="AB640" s="94">
        <v>0</v>
      </c>
      <c r="AC640" s="238">
        <f t="shared" si="33"/>
        <v>0</v>
      </c>
      <c r="AD640" s="238"/>
      <c r="AE640" s="238"/>
    </row>
    <row r="641" spans="2:31" x14ac:dyDescent="0.3">
      <c r="B641" s="245" t="s">
        <v>62</v>
      </c>
      <c r="C641" s="245"/>
      <c r="D641" s="245"/>
      <c r="E641" s="93">
        <v>0</v>
      </c>
      <c r="F641" s="94">
        <v>0</v>
      </c>
      <c r="G641" s="93">
        <v>0</v>
      </c>
      <c r="H641" s="94">
        <v>0</v>
      </c>
      <c r="I641" s="93">
        <v>0</v>
      </c>
      <c r="J641" s="94">
        <v>0</v>
      </c>
      <c r="K641" s="93">
        <v>0</v>
      </c>
      <c r="L641" s="94">
        <v>0</v>
      </c>
      <c r="M641" s="93">
        <v>0</v>
      </c>
      <c r="N641" s="94">
        <v>0</v>
      </c>
      <c r="O641" s="93">
        <v>0</v>
      </c>
      <c r="P641" s="94">
        <v>0</v>
      </c>
      <c r="Q641" s="93">
        <v>0</v>
      </c>
      <c r="R641" s="94">
        <v>0</v>
      </c>
      <c r="S641" s="93">
        <v>0</v>
      </c>
      <c r="T641" s="94">
        <v>0</v>
      </c>
      <c r="U641" s="93">
        <v>0</v>
      </c>
      <c r="V641" s="94">
        <v>0</v>
      </c>
      <c r="W641" s="93">
        <v>0</v>
      </c>
      <c r="X641" s="94">
        <v>0</v>
      </c>
      <c r="Y641" s="93">
        <v>0</v>
      </c>
      <c r="Z641" s="94">
        <v>0</v>
      </c>
      <c r="AA641" s="93">
        <v>0</v>
      </c>
      <c r="AB641" s="94">
        <v>0</v>
      </c>
      <c r="AC641" s="238">
        <f t="shared" si="33"/>
        <v>0</v>
      </c>
      <c r="AD641" s="238"/>
      <c r="AE641" s="238"/>
    </row>
    <row r="642" spans="2:31" x14ac:dyDescent="0.3">
      <c r="B642" s="245" t="s">
        <v>63</v>
      </c>
      <c r="C642" s="245"/>
      <c r="D642" s="245"/>
      <c r="E642" s="93">
        <v>0</v>
      </c>
      <c r="F642" s="94">
        <v>0</v>
      </c>
      <c r="G642" s="93">
        <v>0</v>
      </c>
      <c r="H642" s="94">
        <v>0</v>
      </c>
      <c r="I642" s="93">
        <v>0</v>
      </c>
      <c r="J642" s="94">
        <v>0</v>
      </c>
      <c r="K642" s="93">
        <v>0</v>
      </c>
      <c r="L642" s="94">
        <v>0</v>
      </c>
      <c r="M642" s="93">
        <v>0</v>
      </c>
      <c r="N642" s="94">
        <v>0</v>
      </c>
      <c r="O642" s="93">
        <v>0</v>
      </c>
      <c r="P642" s="94">
        <v>0</v>
      </c>
      <c r="Q642" s="93">
        <v>0</v>
      </c>
      <c r="R642" s="94">
        <v>0</v>
      </c>
      <c r="S642" s="93">
        <v>0</v>
      </c>
      <c r="T642" s="94">
        <v>0</v>
      </c>
      <c r="U642" s="93">
        <v>0</v>
      </c>
      <c r="V642" s="94">
        <v>0</v>
      </c>
      <c r="W642" s="93">
        <v>0</v>
      </c>
      <c r="X642" s="94">
        <v>0</v>
      </c>
      <c r="Y642" s="93">
        <v>0</v>
      </c>
      <c r="Z642" s="94">
        <v>0</v>
      </c>
      <c r="AA642" s="93">
        <v>0</v>
      </c>
      <c r="AB642" s="94">
        <v>0</v>
      </c>
      <c r="AC642" s="238">
        <f t="shared" si="33"/>
        <v>0</v>
      </c>
      <c r="AD642" s="238"/>
      <c r="AE642" s="238"/>
    </row>
    <row r="643" spans="2:31" x14ac:dyDescent="0.3">
      <c r="B643" s="245" t="s">
        <v>64</v>
      </c>
      <c r="C643" s="245"/>
      <c r="D643" s="245"/>
      <c r="E643" s="93">
        <v>0</v>
      </c>
      <c r="F643" s="94">
        <v>0</v>
      </c>
      <c r="G643" s="93">
        <v>0</v>
      </c>
      <c r="H643" s="94">
        <v>0</v>
      </c>
      <c r="I643" s="93">
        <v>0</v>
      </c>
      <c r="J643" s="94">
        <v>0</v>
      </c>
      <c r="K643" s="93">
        <v>0</v>
      </c>
      <c r="L643" s="94">
        <v>0</v>
      </c>
      <c r="M643" s="93">
        <v>0</v>
      </c>
      <c r="N643" s="94">
        <v>0</v>
      </c>
      <c r="O643" s="93">
        <v>0</v>
      </c>
      <c r="P643" s="94">
        <v>0</v>
      </c>
      <c r="Q643" s="93">
        <v>0</v>
      </c>
      <c r="R643" s="94">
        <v>0</v>
      </c>
      <c r="S643" s="93">
        <v>0</v>
      </c>
      <c r="T643" s="94">
        <v>0</v>
      </c>
      <c r="U643" s="93">
        <v>0</v>
      </c>
      <c r="V643" s="94">
        <v>0</v>
      </c>
      <c r="W643" s="93">
        <v>0</v>
      </c>
      <c r="X643" s="94">
        <v>0</v>
      </c>
      <c r="Y643" s="93">
        <v>0</v>
      </c>
      <c r="Z643" s="94">
        <v>0</v>
      </c>
      <c r="AA643" s="93">
        <v>0</v>
      </c>
      <c r="AB643" s="94">
        <v>0</v>
      </c>
      <c r="AC643" s="238">
        <f t="shared" si="33"/>
        <v>0</v>
      </c>
      <c r="AD643" s="238"/>
      <c r="AE643" s="238"/>
    </row>
    <row r="644" spans="2:31" x14ac:dyDescent="0.3">
      <c r="B644" s="245" t="s">
        <v>96</v>
      </c>
      <c r="C644" s="245"/>
      <c r="D644" s="245"/>
      <c r="E644" s="93">
        <v>0</v>
      </c>
      <c r="F644" s="94">
        <v>0</v>
      </c>
      <c r="G644" s="93">
        <v>0</v>
      </c>
      <c r="H644" s="94">
        <v>0</v>
      </c>
      <c r="I644" s="93">
        <v>0</v>
      </c>
      <c r="J644" s="94">
        <v>0</v>
      </c>
      <c r="K644" s="93">
        <v>0</v>
      </c>
      <c r="L644" s="94">
        <v>0</v>
      </c>
      <c r="M644" s="93">
        <v>0</v>
      </c>
      <c r="N644" s="94">
        <v>0</v>
      </c>
      <c r="O644" s="93">
        <v>0</v>
      </c>
      <c r="P644" s="94">
        <v>0</v>
      </c>
      <c r="Q644" s="93">
        <v>0</v>
      </c>
      <c r="R644" s="94">
        <v>0</v>
      </c>
      <c r="S644" s="93">
        <v>0</v>
      </c>
      <c r="T644" s="94">
        <v>0</v>
      </c>
      <c r="U644" s="93">
        <v>0</v>
      </c>
      <c r="V644" s="94">
        <v>0</v>
      </c>
      <c r="W644" s="93">
        <v>0</v>
      </c>
      <c r="X644" s="94">
        <v>0</v>
      </c>
      <c r="Y644" s="93">
        <v>0</v>
      </c>
      <c r="Z644" s="94">
        <v>0</v>
      </c>
      <c r="AA644" s="93">
        <v>0</v>
      </c>
      <c r="AB644" s="94">
        <v>0</v>
      </c>
      <c r="AC644" s="238">
        <f t="shared" si="33"/>
        <v>0</v>
      </c>
      <c r="AD644" s="238"/>
      <c r="AE644" s="238"/>
    </row>
    <row r="645" spans="2:31" x14ac:dyDescent="0.3">
      <c r="B645" s="245" t="s">
        <v>65</v>
      </c>
      <c r="C645" s="245"/>
      <c r="D645" s="245"/>
      <c r="E645" s="93">
        <v>0</v>
      </c>
      <c r="F645" s="94">
        <v>0</v>
      </c>
      <c r="G645" s="93">
        <v>0</v>
      </c>
      <c r="H645" s="94">
        <v>0</v>
      </c>
      <c r="I645" s="93">
        <v>0</v>
      </c>
      <c r="J645" s="94">
        <v>0</v>
      </c>
      <c r="K645" s="93">
        <v>0</v>
      </c>
      <c r="L645" s="94">
        <v>0</v>
      </c>
      <c r="M645" s="93">
        <v>0</v>
      </c>
      <c r="N645" s="94">
        <v>0</v>
      </c>
      <c r="O645" s="93">
        <v>0</v>
      </c>
      <c r="P645" s="94">
        <v>0</v>
      </c>
      <c r="Q645" s="93">
        <v>0</v>
      </c>
      <c r="R645" s="94">
        <v>0</v>
      </c>
      <c r="S645" s="93">
        <v>0</v>
      </c>
      <c r="T645" s="94">
        <v>0</v>
      </c>
      <c r="U645" s="93">
        <v>0</v>
      </c>
      <c r="V645" s="94">
        <v>0</v>
      </c>
      <c r="W645" s="93">
        <v>0</v>
      </c>
      <c r="X645" s="94">
        <v>0</v>
      </c>
      <c r="Y645" s="93">
        <v>0</v>
      </c>
      <c r="Z645" s="94">
        <v>0</v>
      </c>
      <c r="AA645" s="93">
        <v>0</v>
      </c>
      <c r="AB645" s="94">
        <v>0</v>
      </c>
      <c r="AC645" s="238">
        <f t="shared" si="33"/>
        <v>0</v>
      </c>
      <c r="AD645" s="238"/>
      <c r="AE645" s="238"/>
    </row>
    <row r="646" spans="2:31" x14ac:dyDescent="0.3">
      <c r="B646" s="245" t="s">
        <v>66</v>
      </c>
      <c r="C646" s="245"/>
      <c r="D646" s="245"/>
      <c r="E646" s="93">
        <v>0</v>
      </c>
      <c r="F646" s="94">
        <v>0</v>
      </c>
      <c r="G646" s="93">
        <v>0</v>
      </c>
      <c r="H646" s="94">
        <v>0</v>
      </c>
      <c r="I646" s="93">
        <v>0</v>
      </c>
      <c r="J646" s="94">
        <v>0</v>
      </c>
      <c r="K646" s="93">
        <v>0</v>
      </c>
      <c r="L646" s="94">
        <v>0</v>
      </c>
      <c r="M646" s="93">
        <v>0</v>
      </c>
      <c r="N646" s="94">
        <v>0</v>
      </c>
      <c r="O646" s="93">
        <v>0</v>
      </c>
      <c r="P646" s="94">
        <v>0</v>
      </c>
      <c r="Q646" s="93">
        <v>0</v>
      </c>
      <c r="R646" s="94">
        <v>1.5636666666666665</v>
      </c>
      <c r="S646" s="93">
        <v>0.89116666666666988</v>
      </c>
      <c r="T646" s="94">
        <v>0</v>
      </c>
      <c r="U646" s="93">
        <v>0</v>
      </c>
      <c r="V646" s="94">
        <v>0</v>
      </c>
      <c r="W646" s="93">
        <v>0</v>
      </c>
      <c r="X646" s="94">
        <v>0</v>
      </c>
      <c r="Y646" s="93">
        <v>0</v>
      </c>
      <c r="Z646" s="94">
        <v>0</v>
      </c>
      <c r="AA646" s="93">
        <v>0</v>
      </c>
      <c r="AB646" s="94">
        <v>0</v>
      </c>
      <c r="AC646" s="238">
        <f>SUM(E646:AB646)</f>
        <v>2.4548333333333363</v>
      </c>
      <c r="AD646" s="238"/>
      <c r="AE646" s="238"/>
    </row>
    <row r="647" spans="2:31" x14ac:dyDescent="0.3">
      <c r="B647" s="245" t="s">
        <v>67</v>
      </c>
      <c r="C647" s="245"/>
      <c r="D647" s="245"/>
      <c r="E647" s="93">
        <v>0</v>
      </c>
      <c r="F647" s="94">
        <v>0</v>
      </c>
      <c r="G647" s="93">
        <v>0</v>
      </c>
      <c r="H647" s="94">
        <v>0</v>
      </c>
      <c r="I647" s="93">
        <v>0</v>
      </c>
      <c r="J647" s="94">
        <v>0</v>
      </c>
      <c r="K647" s="93">
        <v>0</v>
      </c>
      <c r="L647" s="94">
        <v>0</v>
      </c>
      <c r="M647" s="93">
        <v>0</v>
      </c>
      <c r="N647" s="94">
        <v>0</v>
      </c>
      <c r="O647" s="93">
        <v>0</v>
      </c>
      <c r="P647" s="94">
        <v>0</v>
      </c>
      <c r="Q647" s="93">
        <v>0</v>
      </c>
      <c r="R647" s="94">
        <v>0</v>
      </c>
      <c r="S647" s="93">
        <v>0</v>
      </c>
      <c r="T647" s="94">
        <v>0</v>
      </c>
      <c r="U647" s="93">
        <v>5.0333333333333383E-2</v>
      </c>
      <c r="V647" s="94">
        <v>0.78966666666666674</v>
      </c>
      <c r="W647" s="93">
        <v>0</v>
      </c>
      <c r="X647" s="94">
        <v>0</v>
      </c>
      <c r="Y647" s="93">
        <v>0</v>
      </c>
      <c r="Z647" s="94">
        <v>0</v>
      </c>
      <c r="AA647" s="93">
        <v>0</v>
      </c>
      <c r="AB647" s="94">
        <v>0</v>
      </c>
      <c r="AC647" s="238">
        <f t="shared" ref="AC647:AC660" si="34">SUM(E647:AB647)</f>
        <v>0.84000000000000008</v>
      </c>
      <c r="AD647" s="238"/>
      <c r="AE647" s="238"/>
    </row>
    <row r="648" spans="2:31" x14ac:dyDescent="0.3">
      <c r="B648" s="245" t="s">
        <v>68</v>
      </c>
      <c r="C648" s="245"/>
      <c r="D648" s="245"/>
      <c r="E648" s="93">
        <v>0</v>
      </c>
      <c r="F648" s="94">
        <v>0</v>
      </c>
      <c r="G648" s="93">
        <v>0</v>
      </c>
      <c r="H648" s="94">
        <v>0</v>
      </c>
      <c r="I648" s="93">
        <v>0</v>
      </c>
      <c r="J648" s="94">
        <v>0</v>
      </c>
      <c r="K648" s="93">
        <v>0</v>
      </c>
      <c r="L648" s="94">
        <v>0</v>
      </c>
      <c r="M648" s="93">
        <v>0</v>
      </c>
      <c r="N648" s="94">
        <v>0</v>
      </c>
      <c r="O648" s="93">
        <v>0</v>
      </c>
      <c r="P648" s="94">
        <v>0</v>
      </c>
      <c r="Q648" s="93">
        <v>0</v>
      </c>
      <c r="R648" s="94">
        <v>0</v>
      </c>
      <c r="S648" s="93">
        <v>1.0000000000000024E-2</v>
      </c>
      <c r="T648" s="94">
        <v>3.1641666666666688</v>
      </c>
      <c r="U648" s="93">
        <v>10.234999999999996</v>
      </c>
      <c r="V648" s="94">
        <v>17.209000000000003</v>
      </c>
      <c r="W648" s="93">
        <v>4.652166666666667</v>
      </c>
      <c r="X648" s="94">
        <v>0</v>
      </c>
      <c r="Y648" s="93">
        <v>0</v>
      </c>
      <c r="Z648" s="94">
        <v>0</v>
      </c>
      <c r="AA648" s="93">
        <v>0</v>
      </c>
      <c r="AB648" s="94">
        <v>0</v>
      </c>
      <c r="AC648" s="238">
        <f t="shared" si="34"/>
        <v>35.270333333333333</v>
      </c>
      <c r="AD648" s="238"/>
      <c r="AE648" s="238"/>
    </row>
    <row r="649" spans="2:31" x14ac:dyDescent="0.3">
      <c r="B649" s="245" t="s">
        <v>69</v>
      </c>
      <c r="C649" s="245"/>
      <c r="D649" s="245"/>
      <c r="E649" s="93">
        <v>0</v>
      </c>
      <c r="F649" s="94">
        <v>0</v>
      </c>
      <c r="G649" s="93">
        <v>0</v>
      </c>
      <c r="H649" s="94">
        <v>0</v>
      </c>
      <c r="I649" s="93">
        <v>0</v>
      </c>
      <c r="J649" s="94">
        <v>0</v>
      </c>
      <c r="K649" s="93">
        <v>0</v>
      </c>
      <c r="L649" s="94">
        <v>0</v>
      </c>
      <c r="M649" s="93">
        <v>0</v>
      </c>
      <c r="N649" s="94">
        <v>0</v>
      </c>
      <c r="O649" s="93">
        <v>0</v>
      </c>
      <c r="P649" s="94">
        <v>0</v>
      </c>
      <c r="Q649" s="93">
        <v>0</v>
      </c>
      <c r="R649" s="94">
        <v>0</v>
      </c>
      <c r="S649" s="93">
        <v>0</v>
      </c>
      <c r="T649" s="94">
        <v>0</v>
      </c>
      <c r="U649" s="93">
        <v>0</v>
      </c>
      <c r="V649" s="94">
        <v>0</v>
      </c>
      <c r="W649" s="93">
        <v>0</v>
      </c>
      <c r="X649" s="94">
        <v>0</v>
      </c>
      <c r="Y649" s="93">
        <v>0</v>
      </c>
      <c r="Z649" s="94">
        <v>0</v>
      </c>
      <c r="AA649" s="93">
        <v>0</v>
      </c>
      <c r="AB649" s="94">
        <v>0</v>
      </c>
      <c r="AC649" s="238">
        <f t="shared" si="34"/>
        <v>0</v>
      </c>
      <c r="AD649" s="238"/>
      <c r="AE649" s="238"/>
    </row>
    <row r="650" spans="2:31" x14ac:dyDescent="0.3">
      <c r="B650" s="245" t="s">
        <v>70</v>
      </c>
      <c r="C650" s="245"/>
      <c r="D650" s="245"/>
      <c r="E650" s="93">
        <v>0</v>
      </c>
      <c r="F650" s="94">
        <v>0</v>
      </c>
      <c r="G650" s="93">
        <v>0</v>
      </c>
      <c r="H650" s="94">
        <v>0</v>
      </c>
      <c r="I650" s="93">
        <v>0</v>
      </c>
      <c r="J650" s="94">
        <v>0</v>
      </c>
      <c r="K650" s="93">
        <v>0</v>
      </c>
      <c r="L650" s="94">
        <v>0</v>
      </c>
      <c r="M650" s="93">
        <v>0</v>
      </c>
      <c r="N650" s="94">
        <v>0</v>
      </c>
      <c r="O650" s="93">
        <v>0</v>
      </c>
      <c r="P650" s="94">
        <v>0</v>
      </c>
      <c r="Q650" s="93">
        <v>3.2854999999999994</v>
      </c>
      <c r="R650" s="94">
        <v>13.381166666666662</v>
      </c>
      <c r="S650" s="93">
        <v>4.836666666666674</v>
      </c>
      <c r="T650" s="94">
        <v>6.2211666666666634</v>
      </c>
      <c r="U650" s="93">
        <v>1.8121666666666654</v>
      </c>
      <c r="V650" s="94">
        <v>0</v>
      </c>
      <c r="W650" s="93">
        <v>0</v>
      </c>
      <c r="X650" s="94">
        <v>0</v>
      </c>
      <c r="Y650" s="93">
        <v>0</v>
      </c>
      <c r="Z650" s="94">
        <v>0</v>
      </c>
      <c r="AA650" s="93">
        <v>0</v>
      </c>
      <c r="AB650" s="94">
        <v>0</v>
      </c>
      <c r="AC650" s="238">
        <f t="shared" si="34"/>
        <v>29.536666666666665</v>
      </c>
      <c r="AD650" s="238"/>
      <c r="AE650" s="238"/>
    </row>
    <row r="651" spans="2:31" x14ac:dyDescent="0.3">
      <c r="B651" s="245" t="s">
        <v>71</v>
      </c>
      <c r="C651" s="245"/>
      <c r="D651" s="245"/>
      <c r="E651" s="93">
        <v>0</v>
      </c>
      <c r="F651" s="94">
        <v>0</v>
      </c>
      <c r="G651" s="93">
        <v>0</v>
      </c>
      <c r="H651" s="94">
        <v>0</v>
      </c>
      <c r="I651" s="93">
        <v>0</v>
      </c>
      <c r="J651" s="94">
        <v>0</v>
      </c>
      <c r="K651" s="93">
        <v>0</v>
      </c>
      <c r="L651" s="94">
        <v>0</v>
      </c>
      <c r="M651" s="93">
        <v>0</v>
      </c>
      <c r="N651" s="94">
        <v>0</v>
      </c>
      <c r="O651" s="93">
        <v>0</v>
      </c>
      <c r="P651" s="94">
        <v>0</v>
      </c>
      <c r="Q651" s="93">
        <v>0</v>
      </c>
      <c r="R651" s="94">
        <v>0</v>
      </c>
      <c r="S651" s="93">
        <v>0</v>
      </c>
      <c r="T651" s="94">
        <v>0</v>
      </c>
      <c r="U651" s="93">
        <v>0</v>
      </c>
      <c r="V651" s="94">
        <v>0</v>
      </c>
      <c r="W651" s="93">
        <v>0</v>
      </c>
      <c r="X651" s="94">
        <v>0</v>
      </c>
      <c r="Y651" s="93">
        <v>0</v>
      </c>
      <c r="Z651" s="94">
        <v>0</v>
      </c>
      <c r="AA651" s="93">
        <v>0</v>
      </c>
      <c r="AB651" s="94">
        <v>0</v>
      </c>
      <c r="AC651" s="238">
        <f t="shared" si="34"/>
        <v>0</v>
      </c>
      <c r="AD651" s="238"/>
      <c r="AE651" s="238"/>
    </row>
    <row r="652" spans="2:31" x14ac:dyDescent="0.3">
      <c r="B652" s="245" t="s">
        <v>72</v>
      </c>
      <c r="C652" s="245"/>
      <c r="D652" s="245"/>
      <c r="E652" s="93">
        <v>0</v>
      </c>
      <c r="F652" s="94">
        <v>0</v>
      </c>
      <c r="G652" s="93">
        <v>0</v>
      </c>
      <c r="H652" s="94">
        <v>0</v>
      </c>
      <c r="I652" s="93">
        <v>0</v>
      </c>
      <c r="J652" s="94">
        <v>0</v>
      </c>
      <c r="K652" s="93">
        <v>0</v>
      </c>
      <c r="L652" s="94">
        <v>0</v>
      </c>
      <c r="M652" s="93">
        <v>0</v>
      </c>
      <c r="N652" s="94">
        <v>0</v>
      </c>
      <c r="O652" s="93">
        <v>0</v>
      </c>
      <c r="P652" s="94">
        <v>0</v>
      </c>
      <c r="Q652" s="93">
        <v>0</v>
      </c>
      <c r="R652" s="94">
        <v>2.5166666666666632E-2</v>
      </c>
      <c r="S652" s="93">
        <v>0</v>
      </c>
      <c r="T652" s="94">
        <v>2.9999999999999953E-3</v>
      </c>
      <c r="U652" s="93">
        <v>0</v>
      </c>
      <c r="V652" s="94">
        <v>0</v>
      </c>
      <c r="W652" s="93">
        <v>0</v>
      </c>
      <c r="X652" s="94">
        <v>0</v>
      </c>
      <c r="Y652" s="93">
        <v>0</v>
      </c>
      <c r="Z652" s="94">
        <v>0</v>
      </c>
      <c r="AA652" s="93">
        <v>0</v>
      </c>
      <c r="AB652" s="94">
        <v>0</v>
      </c>
      <c r="AC652" s="238">
        <f t="shared" si="34"/>
        <v>2.8166666666666628E-2</v>
      </c>
      <c r="AD652" s="238"/>
      <c r="AE652" s="238"/>
    </row>
    <row r="653" spans="2:31" x14ac:dyDescent="0.3">
      <c r="B653" s="245" t="s">
        <v>73</v>
      </c>
      <c r="C653" s="245"/>
      <c r="D653" s="245"/>
      <c r="E653" s="93">
        <v>0</v>
      </c>
      <c r="F653" s="94">
        <v>0</v>
      </c>
      <c r="G653" s="93">
        <v>0</v>
      </c>
      <c r="H653" s="94">
        <v>0</v>
      </c>
      <c r="I653" s="93">
        <v>0</v>
      </c>
      <c r="J653" s="94">
        <v>0</v>
      </c>
      <c r="K653" s="93">
        <v>0</v>
      </c>
      <c r="L653" s="94">
        <v>0</v>
      </c>
      <c r="M653" s="93">
        <v>0</v>
      </c>
      <c r="N653" s="94">
        <v>0</v>
      </c>
      <c r="O653" s="93">
        <v>0</v>
      </c>
      <c r="P653" s="94">
        <v>0</v>
      </c>
      <c r="Q653" s="93">
        <v>2.6361666666666674</v>
      </c>
      <c r="R653" s="94">
        <v>7.1026666666666696</v>
      </c>
      <c r="S653" s="93">
        <v>7.0999999999999979</v>
      </c>
      <c r="T653" s="94">
        <v>7.523333333333329</v>
      </c>
      <c r="U653" s="93">
        <v>7.0043333333333271</v>
      </c>
      <c r="V653" s="94">
        <v>3.8670000000000004</v>
      </c>
      <c r="W653" s="93">
        <v>9.7666666666666416E-2</v>
      </c>
      <c r="X653" s="94">
        <v>0</v>
      </c>
      <c r="Y653" s="93">
        <v>0</v>
      </c>
      <c r="Z653" s="94">
        <v>0</v>
      </c>
      <c r="AA653" s="93">
        <v>0</v>
      </c>
      <c r="AB653" s="94">
        <v>0</v>
      </c>
      <c r="AC653" s="238">
        <f t="shared" si="34"/>
        <v>35.331166666666661</v>
      </c>
      <c r="AD653" s="238"/>
      <c r="AE653" s="238"/>
    </row>
    <row r="654" spans="2:31" x14ac:dyDescent="0.3">
      <c r="B654" s="245" t="s">
        <v>74</v>
      </c>
      <c r="C654" s="245"/>
      <c r="D654" s="245"/>
      <c r="E654" s="93">
        <v>0</v>
      </c>
      <c r="F654" s="94">
        <v>0</v>
      </c>
      <c r="G654" s="93">
        <v>0</v>
      </c>
      <c r="H654" s="94">
        <v>0</v>
      </c>
      <c r="I654" s="93">
        <v>0</v>
      </c>
      <c r="J654" s="94">
        <v>0</v>
      </c>
      <c r="K654" s="93">
        <v>0</v>
      </c>
      <c r="L654" s="94">
        <v>0</v>
      </c>
      <c r="M654" s="93">
        <v>0</v>
      </c>
      <c r="N654" s="94">
        <v>0</v>
      </c>
      <c r="O654" s="93">
        <v>0</v>
      </c>
      <c r="P654" s="94">
        <v>0</v>
      </c>
      <c r="Q654" s="93">
        <v>0.37350000000000017</v>
      </c>
      <c r="R654" s="94">
        <v>1.7420000000000002</v>
      </c>
      <c r="S654" s="93">
        <v>2.9131666666666649</v>
      </c>
      <c r="T654" s="94">
        <v>1.6440000000000003</v>
      </c>
      <c r="U654" s="93">
        <v>1.0503333333333333</v>
      </c>
      <c r="V654" s="94">
        <v>0.51199999999999968</v>
      </c>
      <c r="W654" s="93">
        <v>0.32333333333333331</v>
      </c>
      <c r="X654" s="94">
        <v>0</v>
      </c>
      <c r="Y654" s="93">
        <v>0</v>
      </c>
      <c r="Z654" s="94">
        <v>0</v>
      </c>
      <c r="AA654" s="93">
        <v>0</v>
      </c>
      <c r="AB654" s="94">
        <v>0</v>
      </c>
      <c r="AC654" s="238">
        <f t="shared" si="34"/>
        <v>8.5583333333333336</v>
      </c>
      <c r="AD654" s="238"/>
      <c r="AE654" s="238"/>
    </row>
    <row r="655" spans="2:31" x14ac:dyDescent="0.3">
      <c r="B655" s="245" t="s">
        <v>75</v>
      </c>
      <c r="C655" s="245"/>
      <c r="D655" s="245"/>
      <c r="E655" s="93">
        <v>0</v>
      </c>
      <c r="F655" s="94">
        <v>0</v>
      </c>
      <c r="G655" s="93">
        <v>0</v>
      </c>
      <c r="H655" s="94">
        <v>0</v>
      </c>
      <c r="I655" s="93">
        <v>0</v>
      </c>
      <c r="J655" s="94">
        <v>0</v>
      </c>
      <c r="K655" s="93">
        <v>0</v>
      </c>
      <c r="L655" s="94">
        <v>0</v>
      </c>
      <c r="M655" s="93">
        <v>0</v>
      </c>
      <c r="N655" s="94">
        <v>0</v>
      </c>
      <c r="O655" s="93">
        <v>0</v>
      </c>
      <c r="P655" s="94">
        <v>0</v>
      </c>
      <c r="Q655" s="93">
        <v>0</v>
      </c>
      <c r="R655" s="94">
        <v>0</v>
      </c>
      <c r="S655" s="93">
        <v>0</v>
      </c>
      <c r="T655" s="94">
        <v>7.8666666666666649E-2</v>
      </c>
      <c r="U655" s="93">
        <v>1.942500000000003</v>
      </c>
      <c r="V655" s="94">
        <v>3.2801666666666685</v>
      </c>
      <c r="W655" s="93">
        <v>0</v>
      </c>
      <c r="X655" s="94">
        <v>0</v>
      </c>
      <c r="Y655" s="93">
        <v>0</v>
      </c>
      <c r="Z655" s="94">
        <v>0</v>
      </c>
      <c r="AA655" s="93">
        <v>0</v>
      </c>
      <c r="AB655" s="94">
        <v>0</v>
      </c>
      <c r="AC655" s="238">
        <f t="shared" si="34"/>
        <v>5.3013333333333374</v>
      </c>
      <c r="AD655" s="238"/>
      <c r="AE655" s="238"/>
    </row>
    <row r="656" spans="2:31" x14ac:dyDescent="0.3">
      <c r="B656" s="245" t="s">
        <v>76</v>
      </c>
      <c r="C656" s="245"/>
      <c r="D656" s="245"/>
      <c r="E656" s="93">
        <v>0</v>
      </c>
      <c r="F656" s="94">
        <v>0</v>
      </c>
      <c r="G656" s="93">
        <v>0</v>
      </c>
      <c r="H656" s="94">
        <v>0</v>
      </c>
      <c r="I656" s="93">
        <v>0</v>
      </c>
      <c r="J656" s="94">
        <v>0</v>
      </c>
      <c r="K656" s="93">
        <v>0</v>
      </c>
      <c r="L656" s="94">
        <v>0</v>
      </c>
      <c r="M656" s="93">
        <v>0</v>
      </c>
      <c r="N656" s="94">
        <v>0</v>
      </c>
      <c r="O656" s="93">
        <v>0</v>
      </c>
      <c r="P656" s="94">
        <v>0</v>
      </c>
      <c r="Q656" s="93">
        <v>0</v>
      </c>
      <c r="R656" s="94">
        <v>0</v>
      </c>
      <c r="S656" s="93">
        <v>0</v>
      </c>
      <c r="T656" s="94">
        <v>0</v>
      </c>
      <c r="U656" s="93">
        <v>0</v>
      </c>
      <c r="V656" s="94">
        <v>0</v>
      </c>
      <c r="W656" s="93">
        <v>0</v>
      </c>
      <c r="X656" s="94">
        <v>0</v>
      </c>
      <c r="Y656" s="93">
        <v>0</v>
      </c>
      <c r="Z656" s="94">
        <v>0</v>
      </c>
      <c r="AA656" s="93">
        <v>0</v>
      </c>
      <c r="AB656" s="94">
        <v>0</v>
      </c>
      <c r="AC656" s="238">
        <f t="shared" si="34"/>
        <v>0</v>
      </c>
      <c r="AD656" s="238"/>
      <c r="AE656" s="238"/>
    </row>
    <row r="657" spans="2:31" x14ac:dyDescent="0.3">
      <c r="B657" s="245" t="s">
        <v>77</v>
      </c>
      <c r="C657" s="245"/>
      <c r="D657" s="245"/>
      <c r="E657" s="93">
        <v>0</v>
      </c>
      <c r="F657" s="94">
        <v>0</v>
      </c>
      <c r="G657" s="93">
        <v>0</v>
      </c>
      <c r="H657" s="94">
        <v>0</v>
      </c>
      <c r="I657" s="93">
        <v>0</v>
      </c>
      <c r="J657" s="94">
        <v>0</v>
      </c>
      <c r="K657" s="93">
        <v>0</v>
      </c>
      <c r="L657" s="94">
        <v>0</v>
      </c>
      <c r="M657" s="93">
        <v>0</v>
      </c>
      <c r="N657" s="94">
        <v>0</v>
      </c>
      <c r="O657" s="93">
        <v>0</v>
      </c>
      <c r="P657" s="94">
        <v>0</v>
      </c>
      <c r="Q657" s="93">
        <v>0.41116666666666613</v>
      </c>
      <c r="R657" s="94">
        <v>3.6229999999999998</v>
      </c>
      <c r="S657" s="93">
        <v>4.9705000000000004</v>
      </c>
      <c r="T657" s="94">
        <v>4.3351666666666677</v>
      </c>
      <c r="U657" s="93">
        <v>2.2496666666666676</v>
      </c>
      <c r="V657" s="94">
        <v>0.53383333333333283</v>
      </c>
      <c r="W657" s="93">
        <v>0</v>
      </c>
      <c r="X657" s="94">
        <v>0</v>
      </c>
      <c r="Y657" s="93">
        <v>0</v>
      </c>
      <c r="Z657" s="94">
        <v>0</v>
      </c>
      <c r="AA657" s="93">
        <v>0</v>
      </c>
      <c r="AB657" s="94">
        <v>0</v>
      </c>
      <c r="AC657" s="238">
        <f t="shared" si="34"/>
        <v>16.123333333333335</v>
      </c>
      <c r="AD657" s="238"/>
      <c r="AE657" s="238"/>
    </row>
    <row r="658" spans="2:31" x14ac:dyDescent="0.3">
      <c r="B658" s="245" t="s">
        <v>78</v>
      </c>
      <c r="C658" s="245"/>
      <c r="D658" s="245"/>
      <c r="E658" s="93">
        <v>0</v>
      </c>
      <c r="F658" s="94">
        <v>0</v>
      </c>
      <c r="G658" s="93">
        <v>0</v>
      </c>
      <c r="H658" s="94">
        <v>0</v>
      </c>
      <c r="I658" s="93">
        <v>0</v>
      </c>
      <c r="J658" s="94">
        <v>0</v>
      </c>
      <c r="K658" s="93">
        <v>0</v>
      </c>
      <c r="L658" s="94">
        <v>0</v>
      </c>
      <c r="M658" s="93">
        <v>0</v>
      </c>
      <c r="N658" s="94">
        <v>0</v>
      </c>
      <c r="O658" s="93">
        <v>0</v>
      </c>
      <c r="P658" s="94">
        <v>0</v>
      </c>
      <c r="Q658" s="93">
        <v>0</v>
      </c>
      <c r="R658" s="94">
        <v>0</v>
      </c>
      <c r="S658" s="93">
        <v>0</v>
      </c>
      <c r="T658" s="94">
        <v>0</v>
      </c>
      <c r="U658" s="93">
        <v>0</v>
      </c>
      <c r="V658" s="94">
        <v>0</v>
      </c>
      <c r="W658" s="93">
        <v>0</v>
      </c>
      <c r="X658" s="94">
        <v>0</v>
      </c>
      <c r="Y658" s="93">
        <v>0</v>
      </c>
      <c r="Z658" s="94">
        <v>0</v>
      </c>
      <c r="AA658" s="93">
        <v>0</v>
      </c>
      <c r="AB658" s="94">
        <v>0</v>
      </c>
      <c r="AC658" s="238">
        <f t="shared" si="34"/>
        <v>0</v>
      </c>
      <c r="AD658" s="238"/>
      <c r="AE658" s="238"/>
    </row>
    <row r="659" spans="2:31" x14ac:dyDescent="0.3">
      <c r="B659" s="245" t="s">
        <v>79</v>
      </c>
      <c r="C659" s="245"/>
      <c r="D659" s="245"/>
      <c r="E659" s="93">
        <v>0</v>
      </c>
      <c r="F659" s="94">
        <v>0</v>
      </c>
      <c r="G659" s="93">
        <v>0</v>
      </c>
      <c r="H659" s="94">
        <v>0</v>
      </c>
      <c r="I659" s="93">
        <v>0</v>
      </c>
      <c r="J659" s="94">
        <v>0</v>
      </c>
      <c r="K659" s="93">
        <v>0</v>
      </c>
      <c r="L659" s="94">
        <v>0</v>
      </c>
      <c r="M659" s="93">
        <v>0</v>
      </c>
      <c r="N659" s="94">
        <v>0</v>
      </c>
      <c r="O659" s="93">
        <v>0</v>
      </c>
      <c r="P659" s="94">
        <v>0</v>
      </c>
      <c r="Q659" s="93">
        <v>0</v>
      </c>
      <c r="R659" s="94">
        <v>0</v>
      </c>
      <c r="S659" s="93">
        <v>0</v>
      </c>
      <c r="T659" s="94">
        <v>0</v>
      </c>
      <c r="U659" s="93">
        <v>0</v>
      </c>
      <c r="V659" s="94">
        <v>0</v>
      </c>
      <c r="W659" s="93">
        <v>0</v>
      </c>
      <c r="X659" s="94">
        <v>0</v>
      </c>
      <c r="Y659" s="93">
        <v>0</v>
      </c>
      <c r="Z659" s="94">
        <v>0</v>
      </c>
      <c r="AA659" s="93">
        <v>0</v>
      </c>
      <c r="AB659" s="94">
        <v>0</v>
      </c>
      <c r="AC659" s="238">
        <f t="shared" si="34"/>
        <v>0</v>
      </c>
      <c r="AD659" s="238"/>
      <c r="AE659" s="238"/>
    </row>
    <row r="660" spans="2:31" x14ac:dyDescent="0.3">
      <c r="B660" s="245" t="s">
        <v>80</v>
      </c>
      <c r="C660" s="245"/>
      <c r="D660" s="245"/>
      <c r="E660" s="93">
        <v>0</v>
      </c>
      <c r="F660" s="94">
        <v>0</v>
      </c>
      <c r="G660" s="93">
        <v>0</v>
      </c>
      <c r="H660" s="94">
        <v>0</v>
      </c>
      <c r="I660" s="93">
        <v>0</v>
      </c>
      <c r="J660" s="94">
        <v>0</v>
      </c>
      <c r="K660" s="93">
        <v>0</v>
      </c>
      <c r="L660" s="94">
        <v>0</v>
      </c>
      <c r="M660" s="93">
        <v>0</v>
      </c>
      <c r="N660" s="94">
        <v>0</v>
      </c>
      <c r="O660" s="93">
        <v>0</v>
      </c>
      <c r="P660" s="94">
        <v>0</v>
      </c>
      <c r="Q660" s="93">
        <v>0</v>
      </c>
      <c r="R660" s="94">
        <v>0</v>
      </c>
      <c r="S660" s="93">
        <v>0</v>
      </c>
      <c r="T660" s="94">
        <v>0</v>
      </c>
      <c r="U660" s="93">
        <v>0</v>
      </c>
      <c r="V660" s="94">
        <v>0</v>
      </c>
      <c r="W660" s="93">
        <v>0</v>
      </c>
      <c r="X660" s="94">
        <v>0</v>
      </c>
      <c r="Y660" s="93">
        <v>0</v>
      </c>
      <c r="Z660" s="94">
        <v>0</v>
      </c>
      <c r="AA660" s="93">
        <v>0</v>
      </c>
      <c r="AB660" s="94">
        <v>0</v>
      </c>
      <c r="AC660" s="238">
        <f t="shared" si="34"/>
        <v>0</v>
      </c>
      <c r="AD660" s="238"/>
      <c r="AE660" s="238"/>
    </row>
    <row r="661" spans="2:31" x14ac:dyDescent="0.3">
      <c r="B661" s="245" t="s">
        <v>93</v>
      </c>
      <c r="C661" s="245"/>
      <c r="D661" s="245"/>
      <c r="E661" s="93">
        <v>0</v>
      </c>
      <c r="F661" s="94">
        <v>0</v>
      </c>
      <c r="G661" s="93">
        <v>0</v>
      </c>
      <c r="H661" s="94">
        <v>0</v>
      </c>
      <c r="I661" s="93">
        <v>0</v>
      </c>
      <c r="J661" s="94">
        <v>0</v>
      </c>
      <c r="K661" s="93">
        <v>0</v>
      </c>
      <c r="L661" s="94">
        <v>0</v>
      </c>
      <c r="M661" s="93">
        <v>0</v>
      </c>
      <c r="N661" s="94">
        <v>0</v>
      </c>
      <c r="O661" s="93">
        <v>0</v>
      </c>
      <c r="P661" s="94">
        <v>0.41800000000000032</v>
      </c>
      <c r="Q661" s="93">
        <v>1.1099999999999997</v>
      </c>
      <c r="R661" s="94">
        <v>0.38550000000000018</v>
      </c>
      <c r="S661" s="93">
        <v>2.1599999999999975</v>
      </c>
      <c r="T661" s="94">
        <v>1.9599999999999975</v>
      </c>
      <c r="U661" s="93">
        <v>1.4599999999999986</v>
      </c>
      <c r="V661" s="94">
        <v>0.65999999999999936</v>
      </c>
      <c r="W661" s="93">
        <v>0</v>
      </c>
      <c r="X661" s="94">
        <v>0</v>
      </c>
      <c r="Y661" s="93">
        <v>0</v>
      </c>
      <c r="Z661" s="94">
        <v>0</v>
      </c>
      <c r="AA661" s="93">
        <v>0</v>
      </c>
      <c r="AB661" s="94">
        <v>0</v>
      </c>
      <c r="AC661" s="238">
        <f>SUM(E661:AB661)</f>
        <v>8.153499999999994</v>
      </c>
      <c r="AD661" s="238"/>
      <c r="AE661" s="238"/>
    </row>
    <row r="662" spans="2:31" x14ac:dyDescent="0.3">
      <c r="B662" s="14" t="s">
        <v>2</v>
      </c>
      <c r="C662" s="14"/>
      <c r="D662" s="14"/>
      <c r="E662" s="15">
        <f t="shared" ref="E662:AB662" si="35">SUM(E613:E661)</f>
        <v>0</v>
      </c>
      <c r="F662" s="15">
        <f t="shared" si="35"/>
        <v>0</v>
      </c>
      <c r="G662" s="15">
        <f t="shared" si="35"/>
        <v>0</v>
      </c>
      <c r="H662" s="15">
        <f t="shared" si="35"/>
        <v>0</v>
      </c>
      <c r="I662" s="15">
        <f t="shared" si="35"/>
        <v>0</v>
      </c>
      <c r="J662" s="15">
        <f t="shared" si="35"/>
        <v>0</v>
      </c>
      <c r="K662" s="15">
        <f t="shared" si="35"/>
        <v>0</v>
      </c>
      <c r="L662" s="15">
        <f t="shared" si="35"/>
        <v>0</v>
      </c>
      <c r="M662" s="15">
        <f t="shared" si="35"/>
        <v>0</v>
      </c>
      <c r="N662" s="15">
        <f t="shared" si="35"/>
        <v>1.6833333333333329E-2</v>
      </c>
      <c r="O662" s="15">
        <f t="shared" si="35"/>
        <v>6.8558333333333419</v>
      </c>
      <c r="P662" s="15">
        <f t="shared" si="35"/>
        <v>17.149499999999989</v>
      </c>
      <c r="Q662" s="15">
        <f t="shared" si="35"/>
        <v>53.711833333333324</v>
      </c>
      <c r="R662" s="15">
        <f t="shared" si="35"/>
        <v>251.14649999999989</v>
      </c>
      <c r="S662" s="15">
        <f t="shared" si="35"/>
        <v>273.38733333333329</v>
      </c>
      <c r="T662" s="15">
        <f t="shared" si="35"/>
        <v>251.40316666666658</v>
      </c>
      <c r="U662" s="15">
        <f t="shared" si="35"/>
        <v>240.18633333333332</v>
      </c>
      <c r="V662" s="15">
        <f t="shared" si="35"/>
        <v>223.21216666666663</v>
      </c>
      <c r="W662" s="15">
        <f t="shared" si="35"/>
        <v>69.454999999999998</v>
      </c>
      <c r="X662" s="15">
        <f t="shared" si="35"/>
        <v>2.419</v>
      </c>
      <c r="Y662" s="15">
        <f t="shared" si="35"/>
        <v>0</v>
      </c>
      <c r="Z662" s="15">
        <f t="shared" si="35"/>
        <v>0</v>
      </c>
      <c r="AA662" s="15">
        <f t="shared" si="35"/>
        <v>0</v>
      </c>
      <c r="AB662" s="15">
        <f t="shared" si="35"/>
        <v>0</v>
      </c>
      <c r="AC662" s="249">
        <f>SUM(AC613:AE661)</f>
        <v>1388.9434999999994</v>
      </c>
      <c r="AD662" s="249"/>
      <c r="AE662" s="249"/>
    </row>
    <row r="663" spans="2:31" x14ac:dyDescent="0.3">
      <c r="B663" s="16"/>
      <c r="C663" s="17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2:31" x14ac:dyDescent="0.3">
      <c r="B664" s="16"/>
      <c r="C664" s="17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2:31" x14ac:dyDescent="0.3">
      <c r="B665" s="8">
        <f>'Resumen-Mensual'!$Q$22</f>
        <v>44574</v>
      </c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95"/>
      <c r="AD665" s="95"/>
      <c r="AE665" s="95"/>
    </row>
    <row r="666" spans="2:31" x14ac:dyDescent="0.3">
      <c r="B666" s="8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95"/>
      <c r="AD666" s="95"/>
      <c r="AE666" s="95"/>
    </row>
    <row r="667" spans="2:31" x14ac:dyDescent="0.3">
      <c r="B667" s="9" t="s">
        <v>81</v>
      </c>
      <c r="C667" s="10"/>
      <c r="D667" s="10"/>
      <c r="E667" s="11">
        <v>1</v>
      </c>
      <c r="F667" s="11">
        <v>2</v>
      </c>
      <c r="G667" s="11">
        <v>3</v>
      </c>
      <c r="H667" s="11">
        <v>4</v>
      </c>
      <c r="I667" s="11">
        <v>5</v>
      </c>
      <c r="J667" s="11">
        <v>6</v>
      </c>
      <c r="K667" s="11">
        <v>7</v>
      </c>
      <c r="L667" s="11">
        <v>8</v>
      </c>
      <c r="M667" s="11">
        <v>9</v>
      </c>
      <c r="N667" s="11">
        <v>10</v>
      </c>
      <c r="O667" s="11">
        <v>11</v>
      </c>
      <c r="P667" s="11">
        <v>12</v>
      </c>
      <c r="Q667" s="11">
        <v>13</v>
      </c>
      <c r="R667" s="11">
        <v>14</v>
      </c>
      <c r="S667" s="11">
        <v>15</v>
      </c>
      <c r="T667" s="11">
        <v>16</v>
      </c>
      <c r="U667" s="11">
        <v>17</v>
      </c>
      <c r="V667" s="11">
        <v>18</v>
      </c>
      <c r="W667" s="11">
        <v>19</v>
      </c>
      <c r="X667" s="11">
        <v>20</v>
      </c>
      <c r="Y667" s="11">
        <v>21</v>
      </c>
      <c r="Z667" s="11">
        <v>22</v>
      </c>
      <c r="AA667" s="11">
        <v>23</v>
      </c>
      <c r="AB667" s="11">
        <v>24</v>
      </c>
      <c r="AC667" s="248" t="s">
        <v>2</v>
      </c>
      <c r="AD667" s="248"/>
      <c r="AE667" s="248"/>
    </row>
    <row r="668" spans="2:31" x14ac:dyDescent="0.3">
      <c r="B668" s="245" t="s">
        <v>37</v>
      </c>
      <c r="C668" s="245"/>
      <c r="D668" s="245"/>
      <c r="E668" s="102">
        <v>0</v>
      </c>
      <c r="F668" s="103">
        <v>0</v>
      </c>
      <c r="G668" s="102">
        <v>0</v>
      </c>
      <c r="H668" s="103">
        <v>0</v>
      </c>
      <c r="I668" s="102">
        <v>0</v>
      </c>
      <c r="J668" s="103">
        <v>0</v>
      </c>
      <c r="K668" s="102">
        <v>0</v>
      </c>
      <c r="L668" s="103">
        <v>0</v>
      </c>
      <c r="M668" s="102">
        <v>0</v>
      </c>
      <c r="N668" s="103">
        <v>0</v>
      </c>
      <c r="O668" s="102">
        <v>0</v>
      </c>
      <c r="P668" s="103">
        <v>0</v>
      </c>
      <c r="Q668" s="102">
        <v>0</v>
      </c>
      <c r="R668" s="103">
        <v>0.44149999999999967</v>
      </c>
      <c r="S668" s="102">
        <v>0</v>
      </c>
      <c r="T668" s="103">
        <v>0</v>
      </c>
      <c r="U668" s="102">
        <v>0.36199999999999993</v>
      </c>
      <c r="V668" s="103">
        <v>0.8263333333333337</v>
      </c>
      <c r="W668" s="102">
        <v>0.67399999999999982</v>
      </c>
      <c r="X668" s="103">
        <v>0</v>
      </c>
      <c r="Y668" s="102">
        <v>0</v>
      </c>
      <c r="Z668" s="103">
        <v>0</v>
      </c>
      <c r="AA668" s="102">
        <v>0</v>
      </c>
      <c r="AB668" s="103">
        <v>0</v>
      </c>
      <c r="AC668" s="238">
        <f t="shared" ref="AC668:AC700" si="36">SUM(E668:AB668)</f>
        <v>2.3038333333333334</v>
      </c>
      <c r="AD668" s="238"/>
      <c r="AE668" s="238"/>
    </row>
    <row r="669" spans="2:31" x14ac:dyDescent="0.3">
      <c r="B669" s="245" t="s">
        <v>38</v>
      </c>
      <c r="C669" s="245"/>
      <c r="D669" s="245"/>
      <c r="E669" s="102">
        <v>0</v>
      </c>
      <c r="F669" s="103">
        <v>0</v>
      </c>
      <c r="G669" s="102">
        <v>0</v>
      </c>
      <c r="H669" s="103">
        <v>0</v>
      </c>
      <c r="I669" s="102">
        <v>0</v>
      </c>
      <c r="J669" s="103">
        <v>0</v>
      </c>
      <c r="K669" s="102">
        <v>0</v>
      </c>
      <c r="L669" s="103">
        <v>0</v>
      </c>
      <c r="M669" s="102">
        <v>0</v>
      </c>
      <c r="N669" s="103">
        <v>0</v>
      </c>
      <c r="O669" s="102">
        <v>0</v>
      </c>
      <c r="P669" s="103">
        <v>0</v>
      </c>
      <c r="Q669" s="102">
        <v>0</v>
      </c>
      <c r="R669" s="103">
        <v>1.1919999999999986</v>
      </c>
      <c r="S669" s="102">
        <v>0</v>
      </c>
      <c r="T669" s="103">
        <v>0</v>
      </c>
      <c r="U669" s="102">
        <v>0.93299999999999983</v>
      </c>
      <c r="V669" s="103">
        <v>0.79800000000000015</v>
      </c>
      <c r="W669" s="102">
        <v>2.0668333333333333</v>
      </c>
      <c r="X669" s="103">
        <v>0</v>
      </c>
      <c r="Y669" s="102">
        <v>0</v>
      </c>
      <c r="Z669" s="103">
        <v>0</v>
      </c>
      <c r="AA669" s="102">
        <v>0</v>
      </c>
      <c r="AB669" s="103">
        <v>0</v>
      </c>
      <c r="AC669" s="238">
        <f t="shared" si="36"/>
        <v>4.9898333333333316</v>
      </c>
      <c r="AD669" s="238"/>
      <c r="AE669" s="238"/>
    </row>
    <row r="670" spans="2:31" x14ac:dyDescent="0.3">
      <c r="B670" s="245" t="s">
        <v>39</v>
      </c>
      <c r="C670" s="245"/>
      <c r="D670" s="245"/>
      <c r="E670" s="102">
        <v>0</v>
      </c>
      <c r="F670" s="103">
        <v>0</v>
      </c>
      <c r="G670" s="102">
        <v>0</v>
      </c>
      <c r="H670" s="103">
        <v>0</v>
      </c>
      <c r="I670" s="102">
        <v>0</v>
      </c>
      <c r="J670" s="103">
        <v>0</v>
      </c>
      <c r="K670" s="102">
        <v>0</v>
      </c>
      <c r="L670" s="103">
        <v>0</v>
      </c>
      <c r="M670" s="102">
        <v>0</v>
      </c>
      <c r="N670" s="103">
        <v>0</v>
      </c>
      <c r="O670" s="102">
        <v>0</v>
      </c>
      <c r="P670" s="103">
        <v>0</v>
      </c>
      <c r="Q670" s="102">
        <v>0</v>
      </c>
      <c r="R670" s="103">
        <v>0.80749999999999977</v>
      </c>
      <c r="S670" s="102">
        <v>0</v>
      </c>
      <c r="T670" s="103">
        <v>0</v>
      </c>
      <c r="U670" s="102">
        <v>2.8463333333333347</v>
      </c>
      <c r="V670" s="103">
        <v>5.9701666666666622</v>
      </c>
      <c r="W670" s="102">
        <v>3.1064999999999987</v>
      </c>
      <c r="X670" s="103">
        <v>0</v>
      </c>
      <c r="Y670" s="102">
        <v>0</v>
      </c>
      <c r="Z670" s="103">
        <v>0</v>
      </c>
      <c r="AA670" s="102">
        <v>0</v>
      </c>
      <c r="AB670" s="103">
        <v>0</v>
      </c>
      <c r="AC670" s="238">
        <f t="shared" si="36"/>
        <v>12.730499999999996</v>
      </c>
      <c r="AD670" s="238"/>
      <c r="AE670" s="238"/>
    </row>
    <row r="671" spans="2:31" x14ac:dyDescent="0.3">
      <c r="B671" s="245" t="s">
        <v>40</v>
      </c>
      <c r="C671" s="245"/>
      <c r="D671" s="245"/>
      <c r="E671" s="102">
        <v>0</v>
      </c>
      <c r="F671" s="103">
        <v>0</v>
      </c>
      <c r="G671" s="102">
        <v>0</v>
      </c>
      <c r="H671" s="103">
        <v>0</v>
      </c>
      <c r="I671" s="102">
        <v>0</v>
      </c>
      <c r="J671" s="103">
        <v>0</v>
      </c>
      <c r="K671" s="102">
        <v>0</v>
      </c>
      <c r="L671" s="103">
        <v>0</v>
      </c>
      <c r="M671" s="102">
        <v>0</v>
      </c>
      <c r="N671" s="103">
        <v>0</v>
      </c>
      <c r="O671" s="102">
        <v>0</v>
      </c>
      <c r="P671" s="103">
        <v>0</v>
      </c>
      <c r="Q671" s="102">
        <v>0</v>
      </c>
      <c r="R671" s="103">
        <v>5.1981666666666673</v>
      </c>
      <c r="S671" s="102">
        <v>7.466499999999999</v>
      </c>
      <c r="T671" s="103">
        <v>0</v>
      </c>
      <c r="U671" s="102">
        <v>2.5196666666666738</v>
      </c>
      <c r="V671" s="103">
        <v>0</v>
      </c>
      <c r="W671" s="102">
        <v>0</v>
      </c>
      <c r="X671" s="103">
        <v>0</v>
      </c>
      <c r="Y671" s="102">
        <v>0</v>
      </c>
      <c r="Z671" s="103">
        <v>0</v>
      </c>
      <c r="AA671" s="102">
        <v>0</v>
      </c>
      <c r="AB671" s="103">
        <v>0</v>
      </c>
      <c r="AC671" s="238">
        <f t="shared" si="36"/>
        <v>15.184333333333338</v>
      </c>
      <c r="AD671" s="238"/>
      <c r="AE671" s="238"/>
    </row>
    <row r="672" spans="2:31" x14ac:dyDescent="0.3">
      <c r="B672" s="245" t="s">
        <v>41</v>
      </c>
      <c r="C672" s="245"/>
      <c r="D672" s="245"/>
      <c r="E672" s="102">
        <v>0</v>
      </c>
      <c r="F672" s="103">
        <v>0</v>
      </c>
      <c r="G672" s="102">
        <v>0</v>
      </c>
      <c r="H672" s="103">
        <v>0</v>
      </c>
      <c r="I672" s="102">
        <v>0</v>
      </c>
      <c r="J672" s="103">
        <v>0</v>
      </c>
      <c r="K672" s="102">
        <v>0</v>
      </c>
      <c r="L672" s="103">
        <v>0</v>
      </c>
      <c r="M672" s="102">
        <v>0</v>
      </c>
      <c r="N672" s="103">
        <v>0</v>
      </c>
      <c r="O672" s="102">
        <v>1.3261666666666698</v>
      </c>
      <c r="P672" s="103">
        <v>7.4066666666666663</v>
      </c>
      <c r="Q672" s="102">
        <v>10.906333333333329</v>
      </c>
      <c r="R672" s="103">
        <v>0</v>
      </c>
      <c r="S672" s="102">
        <v>9.1186666666666678</v>
      </c>
      <c r="T672" s="103">
        <v>6.3240000000000007</v>
      </c>
      <c r="U672" s="102">
        <v>0</v>
      </c>
      <c r="V672" s="103">
        <v>32.491999999999997</v>
      </c>
      <c r="W672" s="102">
        <v>14.258333333333335</v>
      </c>
      <c r="X672" s="103">
        <v>0</v>
      </c>
      <c r="Y672" s="102">
        <v>0</v>
      </c>
      <c r="Z672" s="103">
        <v>0</v>
      </c>
      <c r="AA672" s="102">
        <v>0</v>
      </c>
      <c r="AB672" s="103">
        <v>0</v>
      </c>
      <c r="AC672" s="238">
        <f t="shared" si="36"/>
        <v>81.832166666666666</v>
      </c>
      <c r="AD672" s="238"/>
      <c r="AE672" s="238"/>
    </row>
    <row r="673" spans="2:31" x14ac:dyDescent="0.3">
      <c r="B673" s="245" t="s">
        <v>42</v>
      </c>
      <c r="C673" s="245"/>
      <c r="D673" s="245"/>
      <c r="E673" s="102">
        <v>0</v>
      </c>
      <c r="F673" s="103">
        <v>0</v>
      </c>
      <c r="G673" s="102">
        <v>0</v>
      </c>
      <c r="H673" s="103">
        <v>0</v>
      </c>
      <c r="I673" s="102">
        <v>0</v>
      </c>
      <c r="J673" s="103">
        <v>0</v>
      </c>
      <c r="K673" s="102">
        <v>0</v>
      </c>
      <c r="L673" s="103">
        <v>0</v>
      </c>
      <c r="M673" s="102">
        <v>0</v>
      </c>
      <c r="N673" s="103">
        <v>0</v>
      </c>
      <c r="O673" s="102">
        <v>0</v>
      </c>
      <c r="P673" s="103">
        <v>0</v>
      </c>
      <c r="Q673" s="102">
        <v>0</v>
      </c>
      <c r="R673" s="103">
        <v>0</v>
      </c>
      <c r="S673" s="102">
        <v>0</v>
      </c>
      <c r="T673" s="103">
        <v>0</v>
      </c>
      <c r="U673" s="102">
        <v>28.760499999999997</v>
      </c>
      <c r="V673" s="103">
        <v>43.413166666666669</v>
      </c>
      <c r="W673" s="102">
        <v>30.68566666666667</v>
      </c>
      <c r="X673" s="103">
        <v>0</v>
      </c>
      <c r="Y673" s="102">
        <v>0</v>
      </c>
      <c r="Z673" s="103">
        <v>0</v>
      </c>
      <c r="AA673" s="102">
        <v>0</v>
      </c>
      <c r="AB673" s="103">
        <v>0</v>
      </c>
      <c r="AC673" s="238">
        <f t="shared" si="36"/>
        <v>102.85933333333332</v>
      </c>
      <c r="AD673" s="238"/>
      <c r="AE673" s="238"/>
    </row>
    <row r="674" spans="2:31" x14ac:dyDescent="0.3">
      <c r="B674" s="245" t="s">
        <v>43</v>
      </c>
      <c r="C674" s="245"/>
      <c r="D674" s="245"/>
      <c r="E674" s="102">
        <v>0</v>
      </c>
      <c r="F674" s="103">
        <v>0</v>
      </c>
      <c r="G674" s="102">
        <v>0</v>
      </c>
      <c r="H674" s="103">
        <v>0</v>
      </c>
      <c r="I674" s="102">
        <v>0</v>
      </c>
      <c r="J674" s="103">
        <v>0</v>
      </c>
      <c r="K674" s="102">
        <v>0</v>
      </c>
      <c r="L674" s="103">
        <v>0</v>
      </c>
      <c r="M674" s="102">
        <v>0</v>
      </c>
      <c r="N674" s="103">
        <v>0</v>
      </c>
      <c r="O674" s="102">
        <v>0</v>
      </c>
      <c r="P674" s="103">
        <v>0.30600000000000593</v>
      </c>
      <c r="Q674" s="102">
        <v>1.0228333333333308</v>
      </c>
      <c r="R674" s="103">
        <v>0</v>
      </c>
      <c r="S674" s="102">
        <v>1.3538333333333383</v>
      </c>
      <c r="T674" s="103">
        <v>0</v>
      </c>
      <c r="U674" s="102">
        <v>0</v>
      </c>
      <c r="V674" s="103">
        <v>0</v>
      </c>
      <c r="W674" s="102">
        <v>9.7000000000000003E-2</v>
      </c>
      <c r="X674" s="103">
        <v>0</v>
      </c>
      <c r="Y674" s="102">
        <v>0</v>
      </c>
      <c r="Z674" s="103">
        <v>0</v>
      </c>
      <c r="AA674" s="102">
        <v>0</v>
      </c>
      <c r="AB674" s="103">
        <v>0</v>
      </c>
      <c r="AC674" s="238">
        <f t="shared" si="36"/>
        <v>2.7796666666666749</v>
      </c>
      <c r="AD674" s="238"/>
      <c r="AE674" s="238"/>
    </row>
    <row r="675" spans="2:31" x14ac:dyDescent="0.3">
      <c r="B675" s="245" t="s">
        <v>44</v>
      </c>
      <c r="C675" s="245"/>
      <c r="D675" s="245"/>
      <c r="E675" s="102">
        <v>0</v>
      </c>
      <c r="F675" s="103">
        <v>0</v>
      </c>
      <c r="G675" s="102">
        <v>0</v>
      </c>
      <c r="H675" s="103">
        <v>0</v>
      </c>
      <c r="I675" s="102">
        <v>0</v>
      </c>
      <c r="J675" s="103">
        <v>0</v>
      </c>
      <c r="K675" s="102">
        <v>0</v>
      </c>
      <c r="L675" s="103">
        <v>0</v>
      </c>
      <c r="M675" s="102">
        <v>0</v>
      </c>
      <c r="N675" s="103">
        <v>0</v>
      </c>
      <c r="O675" s="102">
        <v>0</v>
      </c>
      <c r="P675" s="103">
        <v>0</v>
      </c>
      <c r="Q675" s="102">
        <v>0</v>
      </c>
      <c r="R675" s="103">
        <v>0</v>
      </c>
      <c r="S675" s="102">
        <v>0</v>
      </c>
      <c r="T675" s="103">
        <v>20.720166666666664</v>
      </c>
      <c r="U675" s="102">
        <v>26.264166666666664</v>
      </c>
      <c r="V675" s="103">
        <v>48.234999999999999</v>
      </c>
      <c r="W675" s="102">
        <v>40.336000000000006</v>
      </c>
      <c r="X675" s="103">
        <v>0</v>
      </c>
      <c r="Y675" s="102">
        <v>0</v>
      </c>
      <c r="Z675" s="103">
        <v>0</v>
      </c>
      <c r="AA675" s="102">
        <v>0</v>
      </c>
      <c r="AB675" s="103">
        <v>0</v>
      </c>
      <c r="AC675" s="238">
        <f t="shared" si="36"/>
        <v>135.55533333333332</v>
      </c>
      <c r="AD675" s="238"/>
      <c r="AE675" s="238"/>
    </row>
    <row r="676" spans="2:31" x14ac:dyDescent="0.3">
      <c r="B676" s="245" t="s">
        <v>45</v>
      </c>
      <c r="C676" s="245"/>
      <c r="D676" s="245"/>
      <c r="E676" s="102">
        <v>0</v>
      </c>
      <c r="F676" s="103">
        <v>0</v>
      </c>
      <c r="G676" s="102">
        <v>0</v>
      </c>
      <c r="H676" s="103">
        <v>0</v>
      </c>
      <c r="I676" s="102">
        <v>0</v>
      </c>
      <c r="J676" s="103">
        <v>0</v>
      </c>
      <c r="K676" s="102">
        <v>0</v>
      </c>
      <c r="L676" s="103">
        <v>0</v>
      </c>
      <c r="M676" s="102">
        <v>0</v>
      </c>
      <c r="N676" s="103">
        <v>0</v>
      </c>
      <c r="O676" s="102">
        <v>0</v>
      </c>
      <c r="P676" s="103">
        <v>0</v>
      </c>
      <c r="Q676" s="102">
        <v>7.5016666666666731</v>
      </c>
      <c r="R676" s="103">
        <v>6.6398333333333337</v>
      </c>
      <c r="S676" s="102">
        <v>12.009999999999994</v>
      </c>
      <c r="T676" s="103">
        <v>0</v>
      </c>
      <c r="U676" s="102">
        <v>4.4099999999999975</v>
      </c>
      <c r="V676" s="103">
        <v>6.0774999999999997</v>
      </c>
      <c r="W676" s="102">
        <v>0</v>
      </c>
      <c r="X676" s="103">
        <v>0.71549999999999991</v>
      </c>
      <c r="Y676" s="102">
        <v>0</v>
      </c>
      <c r="Z676" s="103">
        <v>0</v>
      </c>
      <c r="AA676" s="102">
        <v>0</v>
      </c>
      <c r="AB676" s="103">
        <v>0</v>
      </c>
      <c r="AC676" s="238">
        <f t="shared" si="36"/>
        <v>37.354499999999994</v>
      </c>
      <c r="AD676" s="238"/>
      <c r="AE676" s="238"/>
    </row>
    <row r="677" spans="2:31" x14ac:dyDescent="0.3">
      <c r="B677" s="245" t="s">
        <v>46</v>
      </c>
      <c r="C677" s="245"/>
      <c r="D677" s="245"/>
      <c r="E677" s="102">
        <v>0</v>
      </c>
      <c r="F677" s="103">
        <v>0</v>
      </c>
      <c r="G677" s="102">
        <v>0</v>
      </c>
      <c r="H677" s="103">
        <v>0</v>
      </c>
      <c r="I677" s="102">
        <v>0</v>
      </c>
      <c r="J677" s="103">
        <v>0</v>
      </c>
      <c r="K677" s="102">
        <v>0</v>
      </c>
      <c r="L677" s="103">
        <v>0</v>
      </c>
      <c r="M677" s="102">
        <v>0</v>
      </c>
      <c r="N677" s="103">
        <v>0</v>
      </c>
      <c r="O677" s="102">
        <v>0</v>
      </c>
      <c r="P677" s="103">
        <v>0</v>
      </c>
      <c r="Q677" s="102">
        <v>4.5768333333333304</v>
      </c>
      <c r="R677" s="103">
        <v>25.590999999999998</v>
      </c>
      <c r="S677" s="102">
        <v>39.54049999999998</v>
      </c>
      <c r="T677" s="103">
        <v>34.444000000000003</v>
      </c>
      <c r="U677" s="102">
        <v>24.547166666666648</v>
      </c>
      <c r="V677" s="103">
        <v>0</v>
      </c>
      <c r="W677" s="102">
        <v>8.4036666666666662</v>
      </c>
      <c r="X677" s="103">
        <v>0</v>
      </c>
      <c r="Y677" s="102">
        <v>0</v>
      </c>
      <c r="Z677" s="103">
        <v>0</v>
      </c>
      <c r="AA677" s="102">
        <v>0</v>
      </c>
      <c r="AB677" s="103">
        <v>0</v>
      </c>
      <c r="AC677" s="238">
        <f t="shared" si="36"/>
        <v>137.10316666666665</v>
      </c>
      <c r="AD677" s="238"/>
      <c r="AE677" s="238"/>
    </row>
    <row r="678" spans="2:31" x14ac:dyDescent="0.3">
      <c r="B678" s="245" t="s">
        <v>47</v>
      </c>
      <c r="C678" s="245"/>
      <c r="D678" s="245"/>
      <c r="E678" s="102">
        <v>0</v>
      </c>
      <c r="F678" s="103">
        <v>0</v>
      </c>
      <c r="G678" s="102">
        <v>0</v>
      </c>
      <c r="H678" s="103">
        <v>0</v>
      </c>
      <c r="I678" s="102">
        <v>0</v>
      </c>
      <c r="J678" s="103">
        <v>0</v>
      </c>
      <c r="K678" s="102">
        <v>0</v>
      </c>
      <c r="L678" s="103">
        <v>0</v>
      </c>
      <c r="M678" s="102">
        <v>0</v>
      </c>
      <c r="N678" s="103">
        <v>0</v>
      </c>
      <c r="O678" s="102">
        <v>0</v>
      </c>
      <c r="P678" s="103">
        <v>0</v>
      </c>
      <c r="Q678" s="102">
        <v>0</v>
      </c>
      <c r="R678" s="103">
        <v>4.8909999999999991</v>
      </c>
      <c r="S678" s="102">
        <v>9.2304999999999975</v>
      </c>
      <c r="T678" s="103">
        <v>8.2200000000000131</v>
      </c>
      <c r="U678" s="102">
        <v>7.4200000000000035</v>
      </c>
      <c r="V678" s="103">
        <v>0.45933333333333326</v>
      </c>
      <c r="W678" s="102">
        <v>4.3553333333333324</v>
      </c>
      <c r="X678" s="103">
        <v>0.84283333333333343</v>
      </c>
      <c r="Y678" s="102">
        <v>0</v>
      </c>
      <c r="Z678" s="103">
        <v>0</v>
      </c>
      <c r="AA678" s="102">
        <v>0</v>
      </c>
      <c r="AB678" s="103">
        <v>0</v>
      </c>
      <c r="AC678" s="238">
        <f t="shared" si="36"/>
        <v>35.419000000000011</v>
      </c>
      <c r="AD678" s="238"/>
      <c r="AE678" s="238"/>
    </row>
    <row r="679" spans="2:31" x14ac:dyDescent="0.3">
      <c r="B679" s="245" t="s">
        <v>48</v>
      </c>
      <c r="C679" s="245"/>
      <c r="D679" s="245"/>
      <c r="E679" s="102">
        <v>0</v>
      </c>
      <c r="F679" s="103">
        <v>0</v>
      </c>
      <c r="G679" s="102">
        <v>0</v>
      </c>
      <c r="H679" s="103">
        <v>0</v>
      </c>
      <c r="I679" s="102">
        <v>0</v>
      </c>
      <c r="J679" s="103">
        <v>0</v>
      </c>
      <c r="K679" s="102">
        <v>0</v>
      </c>
      <c r="L679" s="103">
        <v>0</v>
      </c>
      <c r="M679" s="102">
        <v>0</v>
      </c>
      <c r="N679" s="103">
        <v>0</v>
      </c>
      <c r="O679" s="102">
        <v>0</v>
      </c>
      <c r="P679" s="103">
        <v>0</v>
      </c>
      <c r="Q679" s="102">
        <v>0</v>
      </c>
      <c r="R679" s="103">
        <v>4.2878333333333369</v>
      </c>
      <c r="S679" s="102">
        <v>7.5334999999999983</v>
      </c>
      <c r="T679" s="103">
        <v>7.2099999999999955</v>
      </c>
      <c r="U679" s="102">
        <v>3.8100000000000018</v>
      </c>
      <c r="V679" s="103">
        <v>0.37333333333333329</v>
      </c>
      <c r="W679" s="102">
        <v>3.0626666666666673</v>
      </c>
      <c r="X679" s="103">
        <v>0.62050000000000005</v>
      </c>
      <c r="Y679" s="102">
        <v>0</v>
      </c>
      <c r="Z679" s="103">
        <v>0</v>
      </c>
      <c r="AA679" s="102">
        <v>0</v>
      </c>
      <c r="AB679" s="103">
        <v>0</v>
      </c>
      <c r="AC679" s="238">
        <f t="shared" si="36"/>
        <v>26.897833333333335</v>
      </c>
      <c r="AD679" s="238"/>
      <c r="AE679" s="238"/>
    </row>
    <row r="680" spans="2:31" x14ac:dyDescent="0.3">
      <c r="B680" s="245" t="s">
        <v>49</v>
      </c>
      <c r="C680" s="245"/>
      <c r="D680" s="245"/>
      <c r="E680" s="102">
        <v>0</v>
      </c>
      <c r="F680" s="103">
        <v>0</v>
      </c>
      <c r="G680" s="102">
        <v>0</v>
      </c>
      <c r="H680" s="103">
        <v>0</v>
      </c>
      <c r="I680" s="102">
        <v>0</v>
      </c>
      <c r="J680" s="103">
        <v>0</v>
      </c>
      <c r="K680" s="102">
        <v>0</v>
      </c>
      <c r="L680" s="103">
        <v>0</v>
      </c>
      <c r="M680" s="102">
        <v>0</v>
      </c>
      <c r="N680" s="103">
        <v>0</v>
      </c>
      <c r="O680" s="102">
        <v>0</v>
      </c>
      <c r="P680" s="103">
        <v>0</v>
      </c>
      <c r="Q680" s="102">
        <v>0</v>
      </c>
      <c r="R680" s="103">
        <v>0</v>
      </c>
      <c r="S680" s="102">
        <v>0</v>
      </c>
      <c r="T680" s="103">
        <v>0</v>
      </c>
      <c r="U680" s="102">
        <v>0</v>
      </c>
      <c r="V680" s="103">
        <v>6.3791666666666664</v>
      </c>
      <c r="W680" s="102">
        <v>4.5241666666666669</v>
      </c>
      <c r="X680" s="103">
        <v>0</v>
      </c>
      <c r="Y680" s="102">
        <v>0</v>
      </c>
      <c r="Z680" s="103">
        <v>0</v>
      </c>
      <c r="AA680" s="102">
        <v>0</v>
      </c>
      <c r="AB680" s="103">
        <v>0</v>
      </c>
      <c r="AC680" s="238">
        <f t="shared" si="36"/>
        <v>10.903333333333332</v>
      </c>
      <c r="AD680" s="238"/>
      <c r="AE680" s="238"/>
    </row>
    <row r="681" spans="2:31" x14ac:dyDescent="0.3">
      <c r="B681" s="245" t="s">
        <v>50</v>
      </c>
      <c r="C681" s="245"/>
      <c r="D681" s="245"/>
      <c r="E681" s="102">
        <v>0</v>
      </c>
      <c r="F681" s="103">
        <v>0</v>
      </c>
      <c r="G681" s="102">
        <v>0</v>
      </c>
      <c r="H681" s="103">
        <v>0</v>
      </c>
      <c r="I681" s="102">
        <v>0</v>
      </c>
      <c r="J681" s="103">
        <v>0</v>
      </c>
      <c r="K681" s="102">
        <v>0</v>
      </c>
      <c r="L681" s="103">
        <v>0</v>
      </c>
      <c r="M681" s="102">
        <v>0</v>
      </c>
      <c r="N681" s="103">
        <v>0.17866666666666664</v>
      </c>
      <c r="O681" s="102">
        <v>0</v>
      </c>
      <c r="P681" s="103">
        <v>0</v>
      </c>
      <c r="Q681" s="102">
        <v>0</v>
      </c>
      <c r="R681" s="103">
        <v>4.9113333333333324</v>
      </c>
      <c r="S681" s="102">
        <v>0</v>
      </c>
      <c r="T681" s="103">
        <v>3.1186666666666674</v>
      </c>
      <c r="U681" s="102">
        <v>0.66233333333333488</v>
      </c>
      <c r="V681" s="103">
        <v>0</v>
      </c>
      <c r="W681" s="102">
        <v>0</v>
      </c>
      <c r="X681" s="103">
        <v>0</v>
      </c>
      <c r="Y681" s="102">
        <v>0</v>
      </c>
      <c r="Z681" s="103">
        <v>0</v>
      </c>
      <c r="AA681" s="102">
        <v>0</v>
      </c>
      <c r="AB681" s="103">
        <v>0</v>
      </c>
      <c r="AC681" s="238">
        <f t="shared" si="36"/>
        <v>8.8710000000000004</v>
      </c>
      <c r="AD681" s="238"/>
      <c r="AE681" s="238"/>
    </row>
    <row r="682" spans="2:31" x14ac:dyDescent="0.3">
      <c r="B682" s="245" t="s">
        <v>97</v>
      </c>
      <c r="C682" s="245"/>
      <c r="D682" s="245"/>
      <c r="E682" s="102">
        <v>0</v>
      </c>
      <c r="F682" s="103">
        <v>0</v>
      </c>
      <c r="G682" s="102">
        <v>0</v>
      </c>
      <c r="H682" s="103">
        <v>0</v>
      </c>
      <c r="I682" s="102">
        <v>0</v>
      </c>
      <c r="J682" s="103">
        <v>0</v>
      </c>
      <c r="K682" s="102">
        <v>0</v>
      </c>
      <c r="L682" s="103">
        <v>0</v>
      </c>
      <c r="M682" s="102">
        <v>0</v>
      </c>
      <c r="N682" s="103">
        <v>0</v>
      </c>
      <c r="O682" s="102">
        <v>0</v>
      </c>
      <c r="P682" s="103">
        <v>0</v>
      </c>
      <c r="Q682" s="102">
        <v>0</v>
      </c>
      <c r="R682" s="103">
        <v>0</v>
      </c>
      <c r="S682" s="102">
        <v>0</v>
      </c>
      <c r="T682" s="103">
        <v>0</v>
      </c>
      <c r="U682" s="102">
        <v>0</v>
      </c>
      <c r="V682" s="103">
        <v>0</v>
      </c>
      <c r="W682" s="102">
        <v>0</v>
      </c>
      <c r="X682" s="103">
        <v>0</v>
      </c>
      <c r="Y682" s="102">
        <v>0</v>
      </c>
      <c r="Z682" s="103">
        <v>0</v>
      </c>
      <c r="AA682" s="102">
        <v>0</v>
      </c>
      <c r="AB682" s="103">
        <v>0</v>
      </c>
      <c r="AC682" s="238">
        <f t="shared" si="36"/>
        <v>0</v>
      </c>
      <c r="AD682" s="238"/>
      <c r="AE682" s="238"/>
    </row>
    <row r="683" spans="2:31" x14ac:dyDescent="0.3">
      <c r="B683" s="245" t="s">
        <v>51</v>
      </c>
      <c r="C683" s="245"/>
      <c r="D683" s="245"/>
      <c r="E683" s="102">
        <v>0</v>
      </c>
      <c r="F683" s="103">
        <v>0</v>
      </c>
      <c r="G683" s="102">
        <v>0</v>
      </c>
      <c r="H683" s="103">
        <v>0</v>
      </c>
      <c r="I683" s="102">
        <v>0</v>
      </c>
      <c r="J683" s="103">
        <v>0</v>
      </c>
      <c r="K683" s="102">
        <v>0</v>
      </c>
      <c r="L683" s="103">
        <v>0</v>
      </c>
      <c r="M683" s="102">
        <v>0</v>
      </c>
      <c r="N683" s="103">
        <v>0</v>
      </c>
      <c r="O683" s="102">
        <v>0</v>
      </c>
      <c r="P683" s="103">
        <v>0</v>
      </c>
      <c r="Q683" s="102">
        <v>0</v>
      </c>
      <c r="R683" s="103">
        <v>1.7948333333333382</v>
      </c>
      <c r="S683" s="102">
        <v>1.9231666666666669</v>
      </c>
      <c r="T683" s="103">
        <v>3.3933333333333291</v>
      </c>
      <c r="U683" s="102">
        <v>7.6464999999999987</v>
      </c>
      <c r="V683" s="103">
        <v>6.2494999999999985</v>
      </c>
      <c r="W683" s="102">
        <v>0</v>
      </c>
      <c r="X683" s="103">
        <v>0</v>
      </c>
      <c r="Y683" s="102">
        <v>0</v>
      </c>
      <c r="Z683" s="103">
        <v>0</v>
      </c>
      <c r="AA683" s="102">
        <v>0</v>
      </c>
      <c r="AB683" s="103">
        <v>0</v>
      </c>
      <c r="AC683" s="238">
        <f t="shared" si="36"/>
        <v>21.007333333333332</v>
      </c>
      <c r="AD683" s="238"/>
      <c r="AE683" s="238"/>
    </row>
    <row r="684" spans="2:31" x14ac:dyDescent="0.3">
      <c r="B684" s="245" t="s">
        <v>52</v>
      </c>
      <c r="C684" s="245"/>
      <c r="D684" s="245"/>
      <c r="E684" s="102">
        <v>0</v>
      </c>
      <c r="F684" s="103">
        <v>0</v>
      </c>
      <c r="G684" s="102">
        <v>0</v>
      </c>
      <c r="H684" s="103">
        <v>0</v>
      </c>
      <c r="I684" s="102">
        <v>0</v>
      </c>
      <c r="J684" s="103">
        <v>0</v>
      </c>
      <c r="K684" s="102">
        <v>0</v>
      </c>
      <c r="L684" s="103">
        <v>0</v>
      </c>
      <c r="M684" s="102">
        <v>0</v>
      </c>
      <c r="N684" s="103">
        <v>0</v>
      </c>
      <c r="O684" s="102">
        <v>0</v>
      </c>
      <c r="P684" s="103">
        <v>0</v>
      </c>
      <c r="Q684" s="102">
        <v>0</v>
      </c>
      <c r="R684" s="103">
        <v>0</v>
      </c>
      <c r="S684" s="102">
        <v>0</v>
      </c>
      <c r="T684" s="103">
        <v>0</v>
      </c>
      <c r="U684" s="102">
        <v>0</v>
      </c>
      <c r="V684" s="103">
        <v>0</v>
      </c>
      <c r="W684" s="102">
        <v>0</v>
      </c>
      <c r="X684" s="103">
        <v>0</v>
      </c>
      <c r="Y684" s="102">
        <v>0</v>
      </c>
      <c r="Z684" s="103">
        <v>0</v>
      </c>
      <c r="AA684" s="102">
        <v>0</v>
      </c>
      <c r="AB684" s="103">
        <v>0</v>
      </c>
      <c r="AC684" s="238">
        <f t="shared" si="36"/>
        <v>0</v>
      </c>
      <c r="AD684" s="238"/>
      <c r="AE684" s="238"/>
    </row>
    <row r="685" spans="2:31" x14ac:dyDescent="0.3">
      <c r="B685" s="245" t="s">
        <v>53</v>
      </c>
      <c r="C685" s="245"/>
      <c r="D685" s="245"/>
      <c r="E685" s="102">
        <v>0</v>
      </c>
      <c r="F685" s="103">
        <v>0</v>
      </c>
      <c r="G685" s="102">
        <v>0</v>
      </c>
      <c r="H685" s="103">
        <v>0</v>
      </c>
      <c r="I685" s="102">
        <v>0</v>
      </c>
      <c r="J685" s="103">
        <v>0</v>
      </c>
      <c r="K685" s="102">
        <v>0</v>
      </c>
      <c r="L685" s="103">
        <v>0</v>
      </c>
      <c r="M685" s="102">
        <v>0</v>
      </c>
      <c r="N685" s="103">
        <v>0</v>
      </c>
      <c r="O685" s="102">
        <v>0</v>
      </c>
      <c r="P685" s="103">
        <v>0</v>
      </c>
      <c r="Q685" s="102">
        <v>0</v>
      </c>
      <c r="R685" s="103">
        <v>0</v>
      </c>
      <c r="S685" s="102">
        <v>0</v>
      </c>
      <c r="T685" s="103">
        <v>0</v>
      </c>
      <c r="U685" s="102">
        <v>0</v>
      </c>
      <c r="V685" s="103">
        <v>0</v>
      </c>
      <c r="W685" s="102">
        <v>0</v>
      </c>
      <c r="X685" s="103">
        <v>0</v>
      </c>
      <c r="Y685" s="102">
        <v>0</v>
      </c>
      <c r="Z685" s="103">
        <v>0</v>
      </c>
      <c r="AA685" s="102">
        <v>0</v>
      </c>
      <c r="AB685" s="103">
        <v>0</v>
      </c>
      <c r="AC685" s="238">
        <f t="shared" si="36"/>
        <v>0</v>
      </c>
      <c r="AD685" s="238"/>
      <c r="AE685" s="238"/>
    </row>
    <row r="686" spans="2:31" x14ac:dyDescent="0.3">
      <c r="B686" s="245" t="s">
        <v>54</v>
      </c>
      <c r="C686" s="245"/>
      <c r="D686" s="245"/>
      <c r="E686" s="102">
        <v>0</v>
      </c>
      <c r="F686" s="103">
        <v>0</v>
      </c>
      <c r="G686" s="102">
        <v>0</v>
      </c>
      <c r="H686" s="103">
        <v>0</v>
      </c>
      <c r="I686" s="102">
        <v>0</v>
      </c>
      <c r="J686" s="103">
        <v>0</v>
      </c>
      <c r="K686" s="102">
        <v>0</v>
      </c>
      <c r="L686" s="103">
        <v>0</v>
      </c>
      <c r="M686" s="102">
        <v>0</v>
      </c>
      <c r="N686" s="103">
        <v>0</v>
      </c>
      <c r="O686" s="102">
        <v>0</v>
      </c>
      <c r="P686" s="103">
        <v>0</v>
      </c>
      <c r="Q686" s="102">
        <v>0</v>
      </c>
      <c r="R686" s="103">
        <v>0</v>
      </c>
      <c r="S686" s="102">
        <v>0</v>
      </c>
      <c r="T686" s="103">
        <v>1.3</v>
      </c>
      <c r="U686" s="102">
        <v>0</v>
      </c>
      <c r="V686" s="103">
        <v>0</v>
      </c>
      <c r="W686" s="102">
        <v>0</v>
      </c>
      <c r="X686" s="103">
        <v>0</v>
      </c>
      <c r="Y686" s="102">
        <v>0</v>
      </c>
      <c r="Z686" s="103">
        <v>0</v>
      </c>
      <c r="AA686" s="102">
        <v>0</v>
      </c>
      <c r="AB686" s="103">
        <v>0</v>
      </c>
      <c r="AC686" s="238">
        <f t="shared" si="36"/>
        <v>1.3</v>
      </c>
      <c r="AD686" s="238"/>
      <c r="AE686" s="238"/>
    </row>
    <row r="687" spans="2:31" x14ac:dyDescent="0.3">
      <c r="B687" s="245" t="s">
        <v>55</v>
      </c>
      <c r="C687" s="245"/>
      <c r="D687" s="245"/>
      <c r="E687" s="102">
        <v>0</v>
      </c>
      <c r="F687" s="103">
        <v>0</v>
      </c>
      <c r="G687" s="102">
        <v>0</v>
      </c>
      <c r="H687" s="103">
        <v>0</v>
      </c>
      <c r="I687" s="102">
        <v>0</v>
      </c>
      <c r="J687" s="103">
        <v>0</v>
      </c>
      <c r="K687" s="102">
        <v>0</v>
      </c>
      <c r="L687" s="103">
        <v>0</v>
      </c>
      <c r="M687" s="102">
        <v>0</v>
      </c>
      <c r="N687" s="103">
        <v>0</v>
      </c>
      <c r="O687" s="102">
        <v>0</v>
      </c>
      <c r="P687" s="103">
        <v>0</v>
      </c>
      <c r="Q687" s="102">
        <v>0</v>
      </c>
      <c r="R687" s="103">
        <v>0</v>
      </c>
      <c r="S687" s="102">
        <v>0</v>
      </c>
      <c r="T687" s="103">
        <v>0</v>
      </c>
      <c r="U687" s="102">
        <v>0</v>
      </c>
      <c r="V687" s="103">
        <v>4.5206666666666671</v>
      </c>
      <c r="W687" s="102">
        <v>4.863999999999999</v>
      </c>
      <c r="X687" s="103">
        <v>0</v>
      </c>
      <c r="Y687" s="102">
        <v>0</v>
      </c>
      <c r="Z687" s="103">
        <v>0</v>
      </c>
      <c r="AA687" s="102">
        <v>0</v>
      </c>
      <c r="AB687" s="103">
        <v>0</v>
      </c>
      <c r="AC687" s="238">
        <f t="shared" si="36"/>
        <v>9.384666666666666</v>
      </c>
      <c r="AD687" s="238"/>
      <c r="AE687" s="238"/>
    </row>
    <row r="688" spans="2:31" x14ac:dyDescent="0.3">
      <c r="B688" s="245" t="s">
        <v>56</v>
      </c>
      <c r="C688" s="245"/>
      <c r="D688" s="245"/>
      <c r="E688" s="102">
        <v>0</v>
      </c>
      <c r="F688" s="103">
        <v>0</v>
      </c>
      <c r="G688" s="102">
        <v>0</v>
      </c>
      <c r="H688" s="103">
        <v>0</v>
      </c>
      <c r="I688" s="102">
        <v>0</v>
      </c>
      <c r="J688" s="103">
        <v>0</v>
      </c>
      <c r="K688" s="102">
        <v>0</v>
      </c>
      <c r="L688" s="103">
        <v>0</v>
      </c>
      <c r="M688" s="102">
        <v>0</v>
      </c>
      <c r="N688" s="103">
        <v>0</v>
      </c>
      <c r="O688" s="102">
        <v>0</v>
      </c>
      <c r="P688" s="103">
        <v>0</v>
      </c>
      <c r="Q688" s="102">
        <v>0</v>
      </c>
      <c r="R688" s="103">
        <v>0</v>
      </c>
      <c r="S688" s="102">
        <v>0</v>
      </c>
      <c r="T688" s="103">
        <v>0</v>
      </c>
      <c r="U688" s="102">
        <v>0</v>
      </c>
      <c r="V688" s="103">
        <v>0</v>
      </c>
      <c r="W688" s="102">
        <v>0</v>
      </c>
      <c r="X688" s="103">
        <v>0</v>
      </c>
      <c r="Y688" s="102">
        <v>0</v>
      </c>
      <c r="Z688" s="103">
        <v>0</v>
      </c>
      <c r="AA688" s="102">
        <v>0</v>
      </c>
      <c r="AB688" s="103">
        <v>0</v>
      </c>
      <c r="AC688" s="238">
        <f t="shared" si="36"/>
        <v>0</v>
      </c>
      <c r="AD688" s="238"/>
      <c r="AE688" s="238"/>
    </row>
    <row r="689" spans="2:31" x14ac:dyDescent="0.3">
      <c r="B689" s="245" t="s">
        <v>94</v>
      </c>
      <c r="C689" s="245"/>
      <c r="D689" s="245"/>
      <c r="E689" s="102">
        <v>0</v>
      </c>
      <c r="F689" s="103">
        <v>0</v>
      </c>
      <c r="G689" s="102">
        <v>0</v>
      </c>
      <c r="H689" s="103">
        <v>0</v>
      </c>
      <c r="I689" s="102">
        <v>0</v>
      </c>
      <c r="J689" s="103">
        <v>0</v>
      </c>
      <c r="K689" s="102">
        <v>0</v>
      </c>
      <c r="L689" s="103">
        <v>0</v>
      </c>
      <c r="M689" s="102">
        <v>0</v>
      </c>
      <c r="N689" s="103">
        <v>0</v>
      </c>
      <c r="O689" s="102">
        <v>0</v>
      </c>
      <c r="P689" s="103">
        <v>0</v>
      </c>
      <c r="Q689" s="102">
        <v>0</v>
      </c>
      <c r="R689" s="103">
        <v>0</v>
      </c>
      <c r="S689" s="102">
        <v>0</v>
      </c>
      <c r="T689" s="103">
        <v>0</v>
      </c>
      <c r="U689" s="102">
        <v>0</v>
      </c>
      <c r="V689" s="103">
        <v>0</v>
      </c>
      <c r="W689" s="102">
        <v>0</v>
      </c>
      <c r="X689" s="103">
        <v>0</v>
      </c>
      <c r="Y689" s="102">
        <v>0</v>
      </c>
      <c r="Z689" s="103">
        <v>0</v>
      </c>
      <c r="AA689" s="102">
        <v>0</v>
      </c>
      <c r="AB689" s="103">
        <v>0</v>
      </c>
      <c r="AC689" s="238">
        <f t="shared" si="36"/>
        <v>0</v>
      </c>
      <c r="AD689" s="238"/>
      <c r="AE689" s="238"/>
    </row>
    <row r="690" spans="2:31" x14ac:dyDescent="0.3">
      <c r="B690" s="245" t="s">
        <v>57</v>
      </c>
      <c r="C690" s="245"/>
      <c r="D690" s="245"/>
      <c r="E690" s="102">
        <v>0</v>
      </c>
      <c r="F690" s="103">
        <v>0</v>
      </c>
      <c r="G690" s="102">
        <v>0</v>
      </c>
      <c r="H690" s="103">
        <v>0</v>
      </c>
      <c r="I690" s="102">
        <v>0</v>
      </c>
      <c r="J690" s="103">
        <v>0</v>
      </c>
      <c r="K690" s="102">
        <v>0</v>
      </c>
      <c r="L690" s="103">
        <v>0</v>
      </c>
      <c r="M690" s="102">
        <v>0</v>
      </c>
      <c r="N690" s="103">
        <v>0</v>
      </c>
      <c r="O690" s="102">
        <v>0</v>
      </c>
      <c r="P690" s="103">
        <v>0</v>
      </c>
      <c r="Q690" s="102">
        <v>0</v>
      </c>
      <c r="R690" s="103">
        <v>1.7620000000000002</v>
      </c>
      <c r="S690" s="102">
        <v>2.0246666666666662</v>
      </c>
      <c r="T690" s="103">
        <v>0.20716666666666664</v>
      </c>
      <c r="U690" s="102">
        <v>0.92416666666666647</v>
      </c>
      <c r="V690" s="103">
        <v>4.7890000000000015</v>
      </c>
      <c r="W690" s="102">
        <v>6.3334999999999999</v>
      </c>
      <c r="X690" s="103">
        <v>0</v>
      </c>
      <c r="Y690" s="102">
        <v>0</v>
      </c>
      <c r="Z690" s="103">
        <v>0</v>
      </c>
      <c r="AA690" s="102">
        <v>0</v>
      </c>
      <c r="AB690" s="103">
        <v>0</v>
      </c>
      <c r="AC690" s="238">
        <f t="shared" si="36"/>
        <v>16.040500000000002</v>
      </c>
      <c r="AD690" s="238"/>
      <c r="AE690" s="238"/>
    </row>
    <row r="691" spans="2:31" x14ac:dyDescent="0.3">
      <c r="B691" s="245" t="s">
        <v>58</v>
      </c>
      <c r="C691" s="245"/>
      <c r="D691" s="245"/>
      <c r="E691" s="102">
        <v>0</v>
      </c>
      <c r="F691" s="103">
        <v>0</v>
      </c>
      <c r="G691" s="102">
        <v>0</v>
      </c>
      <c r="H691" s="103">
        <v>0</v>
      </c>
      <c r="I691" s="102">
        <v>0</v>
      </c>
      <c r="J691" s="103">
        <v>0</v>
      </c>
      <c r="K691" s="102">
        <v>0</v>
      </c>
      <c r="L691" s="103">
        <v>0</v>
      </c>
      <c r="M691" s="102">
        <v>0</v>
      </c>
      <c r="N691" s="103">
        <v>0</v>
      </c>
      <c r="O691" s="102">
        <v>0</v>
      </c>
      <c r="P691" s="103">
        <v>0</v>
      </c>
      <c r="Q691" s="102">
        <v>0</v>
      </c>
      <c r="R691" s="103">
        <v>0.11666666666666678</v>
      </c>
      <c r="S691" s="102">
        <v>10.829666666666668</v>
      </c>
      <c r="T691" s="103">
        <v>0</v>
      </c>
      <c r="U691" s="102">
        <v>4.169999999999999</v>
      </c>
      <c r="V691" s="103">
        <v>16.844333333333335</v>
      </c>
      <c r="W691" s="102">
        <v>23.902333333333342</v>
      </c>
      <c r="X691" s="103">
        <v>0</v>
      </c>
      <c r="Y691" s="102">
        <v>0</v>
      </c>
      <c r="Z691" s="103">
        <v>0</v>
      </c>
      <c r="AA691" s="102">
        <v>0</v>
      </c>
      <c r="AB691" s="103">
        <v>0</v>
      </c>
      <c r="AC691" s="238">
        <f t="shared" si="36"/>
        <v>55.863000000000014</v>
      </c>
      <c r="AD691" s="238"/>
      <c r="AE691" s="238"/>
    </row>
    <row r="692" spans="2:31" x14ac:dyDescent="0.3">
      <c r="B692" s="245" t="s">
        <v>95</v>
      </c>
      <c r="C692" s="245"/>
      <c r="D692" s="245"/>
      <c r="E692" s="102">
        <v>0</v>
      </c>
      <c r="F692" s="103">
        <v>0</v>
      </c>
      <c r="G692" s="102">
        <v>0</v>
      </c>
      <c r="H692" s="103">
        <v>0</v>
      </c>
      <c r="I692" s="102">
        <v>0</v>
      </c>
      <c r="J692" s="103">
        <v>0</v>
      </c>
      <c r="K692" s="102">
        <v>0</v>
      </c>
      <c r="L692" s="103">
        <v>0</v>
      </c>
      <c r="M692" s="102">
        <v>0</v>
      </c>
      <c r="N692" s="103">
        <v>0</v>
      </c>
      <c r="O692" s="102">
        <v>0</v>
      </c>
      <c r="P692" s="103">
        <v>0</v>
      </c>
      <c r="Q692" s="102">
        <v>0</v>
      </c>
      <c r="R692" s="103">
        <v>0</v>
      </c>
      <c r="S692" s="102">
        <v>0</v>
      </c>
      <c r="T692" s="103">
        <v>0</v>
      </c>
      <c r="U692" s="102">
        <v>0</v>
      </c>
      <c r="V692" s="103">
        <v>0</v>
      </c>
      <c r="W692" s="102">
        <v>0</v>
      </c>
      <c r="X692" s="103">
        <v>0</v>
      </c>
      <c r="Y692" s="102">
        <v>0</v>
      </c>
      <c r="Z692" s="103">
        <v>0</v>
      </c>
      <c r="AA692" s="102">
        <v>0</v>
      </c>
      <c r="AB692" s="103">
        <v>0</v>
      </c>
      <c r="AC692" s="238">
        <f t="shared" si="36"/>
        <v>0</v>
      </c>
      <c r="AD692" s="238"/>
      <c r="AE692" s="238"/>
    </row>
    <row r="693" spans="2:31" x14ac:dyDescent="0.3">
      <c r="B693" s="245" t="s">
        <v>59</v>
      </c>
      <c r="C693" s="245"/>
      <c r="D693" s="245"/>
      <c r="E693" s="102">
        <v>0</v>
      </c>
      <c r="F693" s="103">
        <v>0</v>
      </c>
      <c r="G693" s="102">
        <v>0</v>
      </c>
      <c r="H693" s="103">
        <v>0</v>
      </c>
      <c r="I693" s="102">
        <v>0</v>
      </c>
      <c r="J693" s="103">
        <v>0</v>
      </c>
      <c r="K693" s="102">
        <v>0</v>
      </c>
      <c r="L693" s="103">
        <v>0</v>
      </c>
      <c r="M693" s="102">
        <v>0</v>
      </c>
      <c r="N693" s="103">
        <v>0</v>
      </c>
      <c r="O693" s="102">
        <v>0</v>
      </c>
      <c r="P693" s="103">
        <v>0</v>
      </c>
      <c r="Q693" s="102">
        <v>0</v>
      </c>
      <c r="R693" s="103">
        <v>12.861166666666668</v>
      </c>
      <c r="S693" s="102">
        <v>15.482333333333331</v>
      </c>
      <c r="T693" s="103">
        <v>18.509999999999994</v>
      </c>
      <c r="U693" s="102">
        <v>13.41283333333333</v>
      </c>
      <c r="V693" s="103">
        <v>3.5223333333333304</v>
      </c>
      <c r="W693" s="102">
        <v>10.143833333333333</v>
      </c>
      <c r="X693" s="103">
        <v>0</v>
      </c>
      <c r="Y693" s="102">
        <v>0</v>
      </c>
      <c r="Z693" s="103">
        <v>0</v>
      </c>
      <c r="AA693" s="102">
        <v>0</v>
      </c>
      <c r="AB693" s="103">
        <v>0</v>
      </c>
      <c r="AC693" s="238">
        <f t="shared" si="36"/>
        <v>73.93249999999999</v>
      </c>
      <c r="AD693" s="238"/>
      <c r="AE693" s="238"/>
    </row>
    <row r="694" spans="2:31" x14ac:dyDescent="0.3">
      <c r="B694" s="245" t="s">
        <v>60</v>
      </c>
      <c r="C694" s="245"/>
      <c r="D694" s="245"/>
      <c r="E694" s="102">
        <v>0</v>
      </c>
      <c r="F694" s="103">
        <v>0</v>
      </c>
      <c r="G694" s="102">
        <v>0</v>
      </c>
      <c r="H694" s="103">
        <v>0</v>
      </c>
      <c r="I694" s="102">
        <v>0</v>
      </c>
      <c r="J694" s="103">
        <v>0</v>
      </c>
      <c r="K694" s="102">
        <v>0</v>
      </c>
      <c r="L694" s="103">
        <v>0</v>
      </c>
      <c r="M694" s="102">
        <v>0</v>
      </c>
      <c r="N694" s="103">
        <v>0</v>
      </c>
      <c r="O694" s="102">
        <v>0</v>
      </c>
      <c r="P694" s="103">
        <v>0</v>
      </c>
      <c r="Q694" s="102">
        <v>0</v>
      </c>
      <c r="R694" s="103">
        <v>1.3833333333333324</v>
      </c>
      <c r="S694" s="102">
        <v>2.7853333333333299</v>
      </c>
      <c r="T694" s="103">
        <v>5.6291666666666664</v>
      </c>
      <c r="U694" s="102">
        <v>18.363333333333337</v>
      </c>
      <c r="V694" s="103">
        <v>13.691500000000001</v>
      </c>
      <c r="W694" s="102">
        <v>0</v>
      </c>
      <c r="X694" s="103">
        <v>0</v>
      </c>
      <c r="Y694" s="102">
        <v>0</v>
      </c>
      <c r="Z694" s="103">
        <v>0</v>
      </c>
      <c r="AA694" s="102">
        <v>0</v>
      </c>
      <c r="AB694" s="103">
        <v>0</v>
      </c>
      <c r="AC694" s="238">
        <f t="shared" si="36"/>
        <v>41.852666666666664</v>
      </c>
      <c r="AD694" s="238"/>
      <c r="AE694" s="238"/>
    </row>
    <row r="695" spans="2:31" x14ac:dyDescent="0.3">
      <c r="B695" s="245" t="s">
        <v>61</v>
      </c>
      <c r="C695" s="245"/>
      <c r="D695" s="245"/>
      <c r="E695" s="102">
        <v>0</v>
      </c>
      <c r="F695" s="103">
        <v>0</v>
      </c>
      <c r="G695" s="102">
        <v>0</v>
      </c>
      <c r="H695" s="103">
        <v>0</v>
      </c>
      <c r="I695" s="102">
        <v>0</v>
      </c>
      <c r="J695" s="103">
        <v>0</v>
      </c>
      <c r="K695" s="102">
        <v>0</v>
      </c>
      <c r="L695" s="103">
        <v>0</v>
      </c>
      <c r="M695" s="102">
        <v>0</v>
      </c>
      <c r="N695" s="103">
        <v>0</v>
      </c>
      <c r="O695" s="102">
        <v>0</v>
      </c>
      <c r="P695" s="103">
        <v>0</v>
      </c>
      <c r="Q695" s="102">
        <v>0</v>
      </c>
      <c r="R695" s="103">
        <v>0</v>
      </c>
      <c r="S695" s="102">
        <v>0</v>
      </c>
      <c r="T695" s="103">
        <v>1.0465000000000011</v>
      </c>
      <c r="U695" s="102">
        <v>10.666666666666673</v>
      </c>
      <c r="V695" s="103">
        <v>1.2493333333333336</v>
      </c>
      <c r="W695" s="102">
        <v>0</v>
      </c>
      <c r="X695" s="103">
        <v>0</v>
      </c>
      <c r="Y695" s="102">
        <v>0</v>
      </c>
      <c r="Z695" s="103">
        <v>0</v>
      </c>
      <c r="AA695" s="102">
        <v>0</v>
      </c>
      <c r="AB695" s="103">
        <v>0</v>
      </c>
      <c r="AC695" s="238">
        <f t="shared" si="36"/>
        <v>12.962500000000009</v>
      </c>
      <c r="AD695" s="238"/>
      <c r="AE695" s="238"/>
    </row>
    <row r="696" spans="2:31" x14ac:dyDescent="0.3">
      <c r="B696" s="245" t="s">
        <v>62</v>
      </c>
      <c r="C696" s="245"/>
      <c r="D696" s="245"/>
      <c r="E696" s="102">
        <v>0</v>
      </c>
      <c r="F696" s="103">
        <v>0</v>
      </c>
      <c r="G696" s="102">
        <v>0</v>
      </c>
      <c r="H696" s="103">
        <v>0</v>
      </c>
      <c r="I696" s="102">
        <v>0</v>
      </c>
      <c r="J696" s="103">
        <v>0</v>
      </c>
      <c r="K696" s="102">
        <v>0</v>
      </c>
      <c r="L696" s="103">
        <v>0</v>
      </c>
      <c r="M696" s="102">
        <v>0</v>
      </c>
      <c r="N696" s="103">
        <v>0</v>
      </c>
      <c r="O696" s="102">
        <v>0</v>
      </c>
      <c r="P696" s="103">
        <v>0</v>
      </c>
      <c r="Q696" s="102">
        <v>0</v>
      </c>
      <c r="R696" s="103">
        <v>0</v>
      </c>
      <c r="S696" s="102">
        <v>0.10333333333333362</v>
      </c>
      <c r="T696" s="103">
        <v>0.91783333333333383</v>
      </c>
      <c r="U696" s="102">
        <v>7.3546666666666685</v>
      </c>
      <c r="V696" s="103">
        <v>0.99183333333333379</v>
      </c>
      <c r="W696" s="102">
        <v>0</v>
      </c>
      <c r="X696" s="103">
        <v>0</v>
      </c>
      <c r="Y696" s="102">
        <v>0</v>
      </c>
      <c r="Z696" s="103">
        <v>0</v>
      </c>
      <c r="AA696" s="102">
        <v>0</v>
      </c>
      <c r="AB696" s="103">
        <v>0</v>
      </c>
      <c r="AC696" s="238">
        <f t="shared" si="36"/>
        <v>9.3676666666666701</v>
      </c>
      <c r="AD696" s="238"/>
      <c r="AE696" s="238"/>
    </row>
    <row r="697" spans="2:31" x14ac:dyDescent="0.3">
      <c r="B697" s="245" t="s">
        <v>63</v>
      </c>
      <c r="C697" s="245"/>
      <c r="D697" s="245"/>
      <c r="E697" s="102">
        <v>0</v>
      </c>
      <c r="F697" s="103">
        <v>0</v>
      </c>
      <c r="G697" s="102">
        <v>0</v>
      </c>
      <c r="H697" s="103">
        <v>0</v>
      </c>
      <c r="I697" s="102">
        <v>0</v>
      </c>
      <c r="J697" s="103">
        <v>0</v>
      </c>
      <c r="K697" s="102">
        <v>0</v>
      </c>
      <c r="L697" s="103">
        <v>0</v>
      </c>
      <c r="M697" s="102">
        <v>0</v>
      </c>
      <c r="N697" s="103">
        <v>0</v>
      </c>
      <c r="O697" s="102">
        <v>0</v>
      </c>
      <c r="P697" s="103">
        <v>0</v>
      </c>
      <c r="Q697" s="102">
        <v>0</v>
      </c>
      <c r="R697" s="103">
        <v>8.8758333333333326</v>
      </c>
      <c r="S697" s="102">
        <v>6.1011666666666677</v>
      </c>
      <c r="T697" s="103">
        <v>20.780833333333337</v>
      </c>
      <c r="U697" s="102">
        <v>8.1858333333333313</v>
      </c>
      <c r="V697" s="103">
        <v>8.6931666666666683</v>
      </c>
      <c r="W697" s="102">
        <v>0</v>
      </c>
      <c r="X697" s="103">
        <v>0</v>
      </c>
      <c r="Y697" s="102">
        <v>0</v>
      </c>
      <c r="Z697" s="103">
        <v>0</v>
      </c>
      <c r="AA697" s="102">
        <v>0</v>
      </c>
      <c r="AB697" s="103">
        <v>0</v>
      </c>
      <c r="AC697" s="238">
        <f t="shared" si="36"/>
        <v>52.636833333333342</v>
      </c>
      <c r="AD697" s="238"/>
      <c r="AE697" s="238"/>
    </row>
    <row r="698" spans="2:31" x14ac:dyDescent="0.3">
      <c r="B698" s="245" t="s">
        <v>64</v>
      </c>
      <c r="C698" s="245"/>
      <c r="D698" s="245"/>
      <c r="E698" s="102">
        <v>0</v>
      </c>
      <c r="F698" s="103">
        <v>0</v>
      </c>
      <c r="G698" s="102">
        <v>0</v>
      </c>
      <c r="H698" s="103">
        <v>0</v>
      </c>
      <c r="I698" s="102">
        <v>0</v>
      </c>
      <c r="J698" s="103">
        <v>0</v>
      </c>
      <c r="K698" s="102">
        <v>0</v>
      </c>
      <c r="L698" s="103">
        <v>0</v>
      </c>
      <c r="M698" s="102">
        <v>0</v>
      </c>
      <c r="N698" s="103">
        <v>0</v>
      </c>
      <c r="O698" s="102">
        <v>0</v>
      </c>
      <c r="P698" s="103">
        <v>0</v>
      </c>
      <c r="Q698" s="102">
        <v>0</v>
      </c>
      <c r="R698" s="103">
        <v>0</v>
      </c>
      <c r="S698" s="102">
        <v>2.1248333333333327</v>
      </c>
      <c r="T698" s="103">
        <v>0</v>
      </c>
      <c r="U698" s="102">
        <v>2.5596666666666654</v>
      </c>
      <c r="V698" s="103">
        <v>8.8166666666666768E-2</v>
      </c>
      <c r="W698" s="102">
        <v>0</v>
      </c>
      <c r="X698" s="103">
        <v>0</v>
      </c>
      <c r="Y698" s="102">
        <v>0</v>
      </c>
      <c r="Z698" s="103">
        <v>0</v>
      </c>
      <c r="AA698" s="102">
        <v>0</v>
      </c>
      <c r="AB698" s="103">
        <v>0</v>
      </c>
      <c r="AC698" s="238">
        <f t="shared" si="36"/>
        <v>4.7726666666666651</v>
      </c>
      <c r="AD698" s="238"/>
      <c r="AE698" s="238"/>
    </row>
    <row r="699" spans="2:31" x14ac:dyDescent="0.3">
      <c r="B699" s="245" t="s">
        <v>96</v>
      </c>
      <c r="C699" s="245"/>
      <c r="D699" s="245"/>
      <c r="E699" s="102">
        <v>0</v>
      </c>
      <c r="F699" s="103">
        <v>0</v>
      </c>
      <c r="G699" s="102">
        <v>0</v>
      </c>
      <c r="H699" s="103">
        <v>0</v>
      </c>
      <c r="I699" s="102">
        <v>0</v>
      </c>
      <c r="J699" s="103">
        <v>0</v>
      </c>
      <c r="K699" s="102">
        <v>0</v>
      </c>
      <c r="L699" s="103">
        <v>0</v>
      </c>
      <c r="M699" s="102">
        <v>0</v>
      </c>
      <c r="N699" s="103">
        <v>0</v>
      </c>
      <c r="O699" s="102">
        <v>0</v>
      </c>
      <c r="P699" s="103">
        <v>0</v>
      </c>
      <c r="Q699" s="102">
        <v>0</v>
      </c>
      <c r="R699" s="103">
        <v>0</v>
      </c>
      <c r="S699" s="102">
        <v>0</v>
      </c>
      <c r="T699" s="103">
        <v>0</v>
      </c>
      <c r="U699" s="102">
        <v>0</v>
      </c>
      <c r="V699" s="103">
        <v>0</v>
      </c>
      <c r="W699" s="102">
        <v>0</v>
      </c>
      <c r="X699" s="103">
        <v>0</v>
      </c>
      <c r="Y699" s="102">
        <v>0</v>
      </c>
      <c r="Z699" s="103">
        <v>0</v>
      </c>
      <c r="AA699" s="102">
        <v>0</v>
      </c>
      <c r="AB699" s="103">
        <v>0</v>
      </c>
      <c r="AC699" s="238">
        <f t="shared" si="36"/>
        <v>0</v>
      </c>
      <c r="AD699" s="238"/>
      <c r="AE699" s="238"/>
    </row>
    <row r="700" spans="2:31" x14ac:dyDescent="0.3">
      <c r="B700" s="245" t="s">
        <v>65</v>
      </c>
      <c r="C700" s="245"/>
      <c r="D700" s="245"/>
      <c r="E700" s="102">
        <v>0</v>
      </c>
      <c r="F700" s="103">
        <v>0</v>
      </c>
      <c r="G700" s="102">
        <v>0</v>
      </c>
      <c r="H700" s="103">
        <v>0</v>
      </c>
      <c r="I700" s="102">
        <v>0</v>
      </c>
      <c r="J700" s="103">
        <v>0</v>
      </c>
      <c r="K700" s="102">
        <v>0</v>
      </c>
      <c r="L700" s="103">
        <v>0</v>
      </c>
      <c r="M700" s="102">
        <v>0</v>
      </c>
      <c r="N700" s="103">
        <v>0</v>
      </c>
      <c r="O700" s="102">
        <v>0</v>
      </c>
      <c r="P700" s="103">
        <v>0</v>
      </c>
      <c r="Q700" s="102">
        <v>0</v>
      </c>
      <c r="R700" s="103">
        <v>0</v>
      </c>
      <c r="S700" s="102">
        <v>7.6220000000000008</v>
      </c>
      <c r="T700" s="103">
        <v>6.2075000000000005</v>
      </c>
      <c r="U700" s="102">
        <v>4.7296666666666685</v>
      </c>
      <c r="V700" s="103">
        <v>2.6468333333333334</v>
      </c>
      <c r="W700" s="102">
        <v>0.26750000000000007</v>
      </c>
      <c r="X700" s="103">
        <v>0</v>
      </c>
      <c r="Y700" s="102">
        <v>0</v>
      </c>
      <c r="Z700" s="103">
        <v>0</v>
      </c>
      <c r="AA700" s="102">
        <v>0</v>
      </c>
      <c r="AB700" s="103">
        <v>0</v>
      </c>
      <c r="AC700" s="238">
        <f t="shared" si="36"/>
        <v>21.473500000000001</v>
      </c>
      <c r="AD700" s="238"/>
      <c r="AE700" s="238"/>
    </row>
    <row r="701" spans="2:31" x14ac:dyDescent="0.3">
      <c r="B701" s="245" t="s">
        <v>66</v>
      </c>
      <c r="C701" s="245"/>
      <c r="D701" s="245"/>
      <c r="E701" s="102">
        <v>0</v>
      </c>
      <c r="F701" s="103">
        <v>0</v>
      </c>
      <c r="G701" s="102">
        <v>0</v>
      </c>
      <c r="H701" s="103">
        <v>0</v>
      </c>
      <c r="I701" s="102">
        <v>0</v>
      </c>
      <c r="J701" s="103">
        <v>0</v>
      </c>
      <c r="K701" s="102">
        <v>0</v>
      </c>
      <c r="L701" s="103">
        <v>0</v>
      </c>
      <c r="M701" s="102">
        <v>0</v>
      </c>
      <c r="N701" s="103">
        <v>0</v>
      </c>
      <c r="O701" s="102">
        <v>0</v>
      </c>
      <c r="P701" s="103">
        <v>0</v>
      </c>
      <c r="Q701" s="102">
        <v>0</v>
      </c>
      <c r="R701" s="103">
        <v>14.461166666666669</v>
      </c>
      <c r="S701" s="102">
        <v>11.443833333333334</v>
      </c>
      <c r="T701" s="103">
        <v>8.9303333333333388</v>
      </c>
      <c r="U701" s="102">
        <v>1.041666666666667</v>
      </c>
      <c r="V701" s="103">
        <v>5.3306666666666667</v>
      </c>
      <c r="W701" s="102">
        <v>1.4603333333333324</v>
      </c>
      <c r="X701" s="103">
        <v>0</v>
      </c>
      <c r="Y701" s="102">
        <v>0</v>
      </c>
      <c r="Z701" s="103">
        <v>0</v>
      </c>
      <c r="AA701" s="102">
        <v>0</v>
      </c>
      <c r="AB701" s="103">
        <v>0</v>
      </c>
      <c r="AC701" s="238">
        <f>SUM(E701:AB701)</f>
        <v>42.667999999999999</v>
      </c>
      <c r="AD701" s="238"/>
      <c r="AE701" s="238"/>
    </row>
    <row r="702" spans="2:31" x14ac:dyDescent="0.3">
      <c r="B702" s="245" t="s">
        <v>67</v>
      </c>
      <c r="C702" s="245"/>
      <c r="D702" s="245"/>
      <c r="E702" s="102">
        <v>0</v>
      </c>
      <c r="F702" s="103">
        <v>0</v>
      </c>
      <c r="G702" s="102">
        <v>0</v>
      </c>
      <c r="H702" s="103">
        <v>0</v>
      </c>
      <c r="I702" s="102">
        <v>0</v>
      </c>
      <c r="J702" s="103">
        <v>0</v>
      </c>
      <c r="K702" s="102">
        <v>0</v>
      </c>
      <c r="L702" s="103">
        <v>0</v>
      </c>
      <c r="M702" s="102">
        <v>0</v>
      </c>
      <c r="N702" s="103">
        <v>0</v>
      </c>
      <c r="O702" s="102">
        <v>0</v>
      </c>
      <c r="P702" s="103">
        <v>0</v>
      </c>
      <c r="Q702" s="102">
        <v>0</v>
      </c>
      <c r="R702" s="103">
        <v>0</v>
      </c>
      <c r="S702" s="102">
        <v>5.4918333333333331</v>
      </c>
      <c r="T702" s="103">
        <v>3.7058333333333349</v>
      </c>
      <c r="U702" s="102">
        <v>0.54216666666666735</v>
      </c>
      <c r="V702" s="103">
        <v>1.3909999999999996</v>
      </c>
      <c r="W702" s="102">
        <v>0.7773333333333331</v>
      </c>
      <c r="X702" s="103">
        <v>0</v>
      </c>
      <c r="Y702" s="102">
        <v>0</v>
      </c>
      <c r="Z702" s="103">
        <v>0</v>
      </c>
      <c r="AA702" s="102">
        <v>0</v>
      </c>
      <c r="AB702" s="103">
        <v>0</v>
      </c>
      <c r="AC702" s="238">
        <f t="shared" ref="AC702:AC715" si="37">SUM(E702:AB702)</f>
        <v>11.908166666666668</v>
      </c>
      <c r="AD702" s="238"/>
      <c r="AE702" s="238"/>
    </row>
    <row r="703" spans="2:31" x14ac:dyDescent="0.3">
      <c r="B703" s="245" t="s">
        <v>68</v>
      </c>
      <c r="C703" s="245"/>
      <c r="D703" s="245"/>
      <c r="E703" s="102">
        <v>0</v>
      </c>
      <c r="F703" s="103">
        <v>0</v>
      </c>
      <c r="G703" s="102">
        <v>0</v>
      </c>
      <c r="H703" s="103">
        <v>0</v>
      </c>
      <c r="I703" s="102">
        <v>0</v>
      </c>
      <c r="J703" s="103">
        <v>0</v>
      </c>
      <c r="K703" s="102">
        <v>0</v>
      </c>
      <c r="L703" s="103">
        <v>0</v>
      </c>
      <c r="M703" s="102">
        <v>0</v>
      </c>
      <c r="N703" s="103">
        <v>0</v>
      </c>
      <c r="O703" s="102">
        <v>0</v>
      </c>
      <c r="P703" s="103">
        <v>0</v>
      </c>
      <c r="Q703" s="102">
        <v>0</v>
      </c>
      <c r="R703" s="103">
        <v>1.0341666666666649</v>
      </c>
      <c r="S703" s="102">
        <v>1.199166666666664</v>
      </c>
      <c r="T703" s="103">
        <v>10.88516666666667</v>
      </c>
      <c r="U703" s="102">
        <v>12.228999999999997</v>
      </c>
      <c r="V703" s="103">
        <v>11.566666666666668</v>
      </c>
      <c r="W703" s="102">
        <v>6.4569999999999954</v>
      </c>
      <c r="X703" s="103">
        <v>0</v>
      </c>
      <c r="Y703" s="102">
        <v>0</v>
      </c>
      <c r="Z703" s="103">
        <v>0</v>
      </c>
      <c r="AA703" s="102">
        <v>0</v>
      </c>
      <c r="AB703" s="103">
        <v>0</v>
      </c>
      <c r="AC703" s="238">
        <f t="shared" si="37"/>
        <v>43.37116666666666</v>
      </c>
      <c r="AD703" s="238"/>
      <c r="AE703" s="238"/>
    </row>
    <row r="704" spans="2:31" x14ac:dyDescent="0.3">
      <c r="B704" s="245" t="s">
        <v>69</v>
      </c>
      <c r="C704" s="245"/>
      <c r="D704" s="245"/>
      <c r="E704" s="102">
        <v>0</v>
      </c>
      <c r="F704" s="103">
        <v>0</v>
      </c>
      <c r="G704" s="102">
        <v>0</v>
      </c>
      <c r="H704" s="103">
        <v>0</v>
      </c>
      <c r="I704" s="102">
        <v>0</v>
      </c>
      <c r="J704" s="103">
        <v>0</v>
      </c>
      <c r="K704" s="102">
        <v>0</v>
      </c>
      <c r="L704" s="103">
        <v>0</v>
      </c>
      <c r="M704" s="102">
        <v>0</v>
      </c>
      <c r="N704" s="103">
        <v>0</v>
      </c>
      <c r="O704" s="102">
        <v>0</v>
      </c>
      <c r="P704" s="103">
        <v>0</v>
      </c>
      <c r="Q704" s="102">
        <v>0</v>
      </c>
      <c r="R704" s="103">
        <v>0.95566666666666478</v>
      </c>
      <c r="S704" s="102">
        <v>0</v>
      </c>
      <c r="T704" s="103">
        <v>0.29200000000000004</v>
      </c>
      <c r="U704" s="102">
        <v>0</v>
      </c>
      <c r="V704" s="103">
        <v>0</v>
      </c>
      <c r="W704" s="102">
        <v>0</v>
      </c>
      <c r="X704" s="103">
        <v>0</v>
      </c>
      <c r="Y704" s="102">
        <v>0</v>
      </c>
      <c r="Z704" s="103">
        <v>0</v>
      </c>
      <c r="AA704" s="102">
        <v>0</v>
      </c>
      <c r="AB704" s="103">
        <v>0</v>
      </c>
      <c r="AC704" s="238">
        <f t="shared" si="37"/>
        <v>1.2476666666666647</v>
      </c>
      <c r="AD704" s="238"/>
      <c r="AE704" s="238"/>
    </row>
    <row r="705" spans="2:31" x14ac:dyDescent="0.3">
      <c r="B705" s="245" t="s">
        <v>70</v>
      </c>
      <c r="C705" s="245"/>
      <c r="D705" s="245"/>
      <c r="E705" s="102">
        <v>0</v>
      </c>
      <c r="F705" s="103">
        <v>0</v>
      </c>
      <c r="G705" s="102">
        <v>0</v>
      </c>
      <c r="H705" s="103">
        <v>0</v>
      </c>
      <c r="I705" s="102">
        <v>0</v>
      </c>
      <c r="J705" s="103">
        <v>0</v>
      </c>
      <c r="K705" s="102">
        <v>0</v>
      </c>
      <c r="L705" s="103">
        <v>0</v>
      </c>
      <c r="M705" s="102">
        <v>0</v>
      </c>
      <c r="N705" s="103">
        <v>0</v>
      </c>
      <c r="O705" s="102">
        <v>0</v>
      </c>
      <c r="P705" s="103">
        <v>0</v>
      </c>
      <c r="Q705" s="102">
        <v>0</v>
      </c>
      <c r="R705" s="103">
        <v>12.609666666666666</v>
      </c>
      <c r="S705" s="102">
        <v>8.5826666666666647</v>
      </c>
      <c r="T705" s="103">
        <v>7.3459999999999992</v>
      </c>
      <c r="U705" s="102">
        <v>4.9000000000000196E-2</v>
      </c>
      <c r="V705" s="103">
        <v>0</v>
      </c>
      <c r="W705" s="102">
        <v>0</v>
      </c>
      <c r="X705" s="103">
        <v>0</v>
      </c>
      <c r="Y705" s="102">
        <v>0</v>
      </c>
      <c r="Z705" s="103">
        <v>0</v>
      </c>
      <c r="AA705" s="102">
        <v>0</v>
      </c>
      <c r="AB705" s="103">
        <v>0</v>
      </c>
      <c r="AC705" s="238">
        <f t="shared" si="37"/>
        <v>28.58733333333333</v>
      </c>
      <c r="AD705" s="238"/>
      <c r="AE705" s="238"/>
    </row>
    <row r="706" spans="2:31" x14ac:dyDescent="0.3">
      <c r="B706" s="245" t="s">
        <v>71</v>
      </c>
      <c r="C706" s="245"/>
      <c r="D706" s="245"/>
      <c r="E706" s="102">
        <v>0</v>
      </c>
      <c r="F706" s="103">
        <v>0</v>
      </c>
      <c r="G706" s="102">
        <v>0</v>
      </c>
      <c r="H706" s="103">
        <v>0</v>
      </c>
      <c r="I706" s="102">
        <v>0</v>
      </c>
      <c r="J706" s="103">
        <v>0</v>
      </c>
      <c r="K706" s="102">
        <v>0</v>
      </c>
      <c r="L706" s="103">
        <v>0</v>
      </c>
      <c r="M706" s="102">
        <v>0</v>
      </c>
      <c r="N706" s="103">
        <v>0</v>
      </c>
      <c r="O706" s="102">
        <v>0</v>
      </c>
      <c r="P706" s="103">
        <v>0</v>
      </c>
      <c r="Q706" s="102">
        <v>0</v>
      </c>
      <c r="R706" s="103">
        <v>11.028666666666661</v>
      </c>
      <c r="S706" s="102">
        <v>10.648333333333335</v>
      </c>
      <c r="T706" s="103">
        <v>12.567166666666669</v>
      </c>
      <c r="U706" s="102">
        <v>12.730333333333336</v>
      </c>
      <c r="V706" s="103">
        <v>1.7788333333333342</v>
      </c>
      <c r="W706" s="102">
        <v>0</v>
      </c>
      <c r="X706" s="103">
        <v>0</v>
      </c>
      <c r="Y706" s="102">
        <v>0</v>
      </c>
      <c r="Z706" s="103">
        <v>0</v>
      </c>
      <c r="AA706" s="102">
        <v>0</v>
      </c>
      <c r="AB706" s="103">
        <v>0</v>
      </c>
      <c r="AC706" s="238">
        <f t="shared" si="37"/>
        <v>48.75333333333333</v>
      </c>
      <c r="AD706" s="238"/>
      <c r="AE706" s="238"/>
    </row>
    <row r="707" spans="2:31" x14ac:dyDescent="0.3">
      <c r="B707" s="245" t="s">
        <v>72</v>
      </c>
      <c r="C707" s="245"/>
      <c r="D707" s="245"/>
      <c r="E707" s="102">
        <v>0</v>
      </c>
      <c r="F707" s="103">
        <v>0</v>
      </c>
      <c r="G707" s="102">
        <v>0</v>
      </c>
      <c r="H707" s="103">
        <v>0</v>
      </c>
      <c r="I707" s="102">
        <v>0</v>
      </c>
      <c r="J707" s="103">
        <v>0</v>
      </c>
      <c r="K707" s="102">
        <v>0</v>
      </c>
      <c r="L707" s="103">
        <v>0</v>
      </c>
      <c r="M707" s="102">
        <v>0</v>
      </c>
      <c r="N707" s="103">
        <v>0</v>
      </c>
      <c r="O707" s="102">
        <v>0</v>
      </c>
      <c r="P707" s="103">
        <v>0</v>
      </c>
      <c r="Q707" s="102">
        <v>0</v>
      </c>
      <c r="R707" s="103">
        <v>19.523666666666674</v>
      </c>
      <c r="S707" s="102">
        <v>21.316333333333326</v>
      </c>
      <c r="T707" s="103">
        <v>21.853333333333328</v>
      </c>
      <c r="U707" s="102">
        <v>5.2111666666666681</v>
      </c>
      <c r="V707" s="103">
        <v>0</v>
      </c>
      <c r="W707" s="102">
        <v>0</v>
      </c>
      <c r="X707" s="103">
        <v>0</v>
      </c>
      <c r="Y707" s="102">
        <v>0</v>
      </c>
      <c r="Z707" s="103">
        <v>0</v>
      </c>
      <c r="AA707" s="102">
        <v>0</v>
      </c>
      <c r="AB707" s="103">
        <v>0</v>
      </c>
      <c r="AC707" s="238">
        <f t="shared" si="37"/>
        <v>67.904499999999999</v>
      </c>
      <c r="AD707" s="238"/>
      <c r="AE707" s="238"/>
    </row>
    <row r="708" spans="2:31" x14ac:dyDescent="0.3">
      <c r="B708" s="245" t="s">
        <v>73</v>
      </c>
      <c r="C708" s="245"/>
      <c r="D708" s="245"/>
      <c r="E708" s="102">
        <v>0</v>
      </c>
      <c r="F708" s="103">
        <v>0</v>
      </c>
      <c r="G708" s="102">
        <v>0</v>
      </c>
      <c r="H708" s="103">
        <v>0</v>
      </c>
      <c r="I708" s="102">
        <v>0</v>
      </c>
      <c r="J708" s="103">
        <v>0</v>
      </c>
      <c r="K708" s="102">
        <v>0</v>
      </c>
      <c r="L708" s="103">
        <v>0</v>
      </c>
      <c r="M708" s="102">
        <v>0</v>
      </c>
      <c r="N708" s="103">
        <v>0</v>
      </c>
      <c r="O708" s="102">
        <v>0</v>
      </c>
      <c r="P708" s="103">
        <v>0</v>
      </c>
      <c r="Q708" s="102">
        <v>0</v>
      </c>
      <c r="R708" s="103">
        <v>29.086833333333331</v>
      </c>
      <c r="S708" s="102">
        <v>45.918666666666681</v>
      </c>
      <c r="T708" s="103">
        <v>11.603833333333332</v>
      </c>
      <c r="U708" s="102">
        <v>0</v>
      </c>
      <c r="V708" s="103">
        <v>6.1331666666666687</v>
      </c>
      <c r="W708" s="102">
        <v>6.3853333333333362</v>
      </c>
      <c r="X708" s="103">
        <v>0</v>
      </c>
      <c r="Y708" s="102">
        <v>0</v>
      </c>
      <c r="Z708" s="103">
        <v>0</v>
      </c>
      <c r="AA708" s="102">
        <v>0</v>
      </c>
      <c r="AB708" s="103">
        <v>0</v>
      </c>
      <c r="AC708" s="238">
        <f t="shared" si="37"/>
        <v>99.127833333333342</v>
      </c>
      <c r="AD708" s="238"/>
      <c r="AE708" s="238"/>
    </row>
    <row r="709" spans="2:31" x14ac:dyDescent="0.3">
      <c r="B709" s="245" t="s">
        <v>74</v>
      </c>
      <c r="C709" s="245"/>
      <c r="D709" s="245"/>
      <c r="E709" s="102">
        <v>0</v>
      </c>
      <c r="F709" s="103">
        <v>0</v>
      </c>
      <c r="G709" s="102">
        <v>0</v>
      </c>
      <c r="H709" s="103">
        <v>0</v>
      </c>
      <c r="I709" s="102">
        <v>0</v>
      </c>
      <c r="J709" s="103">
        <v>0</v>
      </c>
      <c r="K709" s="102">
        <v>0</v>
      </c>
      <c r="L709" s="103">
        <v>0</v>
      </c>
      <c r="M709" s="102">
        <v>0</v>
      </c>
      <c r="N709" s="103">
        <v>0</v>
      </c>
      <c r="O709" s="102">
        <v>0</v>
      </c>
      <c r="P709" s="103">
        <v>0</v>
      </c>
      <c r="Q709" s="102">
        <v>0</v>
      </c>
      <c r="R709" s="103">
        <v>10.57683333333333</v>
      </c>
      <c r="S709" s="102">
        <v>12.464333333333341</v>
      </c>
      <c r="T709" s="103">
        <v>5.5343333333333335</v>
      </c>
      <c r="U709" s="102">
        <v>0.49999999999999994</v>
      </c>
      <c r="V709" s="103">
        <v>1.1188333333333336</v>
      </c>
      <c r="W709" s="102">
        <v>0.41416666666666668</v>
      </c>
      <c r="X709" s="103">
        <v>0</v>
      </c>
      <c r="Y709" s="102">
        <v>0</v>
      </c>
      <c r="Z709" s="103">
        <v>0</v>
      </c>
      <c r="AA709" s="102">
        <v>0</v>
      </c>
      <c r="AB709" s="103">
        <v>0</v>
      </c>
      <c r="AC709" s="238">
        <f t="shared" si="37"/>
        <v>30.608500000000003</v>
      </c>
      <c r="AD709" s="238"/>
      <c r="AE709" s="238"/>
    </row>
    <row r="710" spans="2:31" x14ac:dyDescent="0.3">
      <c r="B710" s="245" t="s">
        <v>75</v>
      </c>
      <c r="C710" s="245"/>
      <c r="D710" s="245"/>
      <c r="E710" s="102">
        <v>0</v>
      </c>
      <c r="F710" s="103">
        <v>0</v>
      </c>
      <c r="G710" s="102">
        <v>0</v>
      </c>
      <c r="H710" s="103">
        <v>0</v>
      </c>
      <c r="I710" s="102">
        <v>0</v>
      </c>
      <c r="J710" s="103">
        <v>0</v>
      </c>
      <c r="K710" s="102">
        <v>0</v>
      </c>
      <c r="L710" s="103">
        <v>0</v>
      </c>
      <c r="M710" s="102">
        <v>0</v>
      </c>
      <c r="N710" s="103">
        <v>0</v>
      </c>
      <c r="O710" s="102">
        <v>0</v>
      </c>
      <c r="P710" s="103">
        <v>0</v>
      </c>
      <c r="Q710" s="102">
        <v>0</v>
      </c>
      <c r="R710" s="103">
        <v>5.1013333333333284</v>
      </c>
      <c r="S710" s="102">
        <v>6.2111666666666814</v>
      </c>
      <c r="T710" s="103">
        <v>0</v>
      </c>
      <c r="U710" s="102">
        <v>0.89466666666666539</v>
      </c>
      <c r="V710" s="103">
        <v>1.5808333333333342</v>
      </c>
      <c r="W710" s="102">
        <v>1.0736666666666665</v>
      </c>
      <c r="X710" s="103">
        <v>0</v>
      </c>
      <c r="Y710" s="102">
        <v>0</v>
      </c>
      <c r="Z710" s="103">
        <v>0</v>
      </c>
      <c r="AA710" s="102">
        <v>0</v>
      </c>
      <c r="AB710" s="103">
        <v>0</v>
      </c>
      <c r="AC710" s="238">
        <f t="shared" si="37"/>
        <v>14.861666666666677</v>
      </c>
      <c r="AD710" s="238"/>
      <c r="AE710" s="238"/>
    </row>
    <row r="711" spans="2:31" x14ac:dyDescent="0.3">
      <c r="B711" s="245" t="s">
        <v>76</v>
      </c>
      <c r="C711" s="245"/>
      <c r="D711" s="245"/>
      <c r="E711" s="102">
        <v>0</v>
      </c>
      <c r="F711" s="103">
        <v>0</v>
      </c>
      <c r="G711" s="102">
        <v>0</v>
      </c>
      <c r="H711" s="103">
        <v>0</v>
      </c>
      <c r="I711" s="102">
        <v>0</v>
      </c>
      <c r="J711" s="103">
        <v>0</v>
      </c>
      <c r="K711" s="102">
        <v>0</v>
      </c>
      <c r="L711" s="103">
        <v>0</v>
      </c>
      <c r="M711" s="102">
        <v>0</v>
      </c>
      <c r="N711" s="103">
        <v>0</v>
      </c>
      <c r="O711" s="102">
        <v>0</v>
      </c>
      <c r="P711" s="103">
        <v>0</v>
      </c>
      <c r="Q711" s="102">
        <v>0</v>
      </c>
      <c r="R711" s="103">
        <v>0</v>
      </c>
      <c r="S711" s="102">
        <v>0</v>
      </c>
      <c r="T711" s="103">
        <v>0</v>
      </c>
      <c r="U711" s="102">
        <v>0</v>
      </c>
      <c r="V711" s="103">
        <v>0</v>
      </c>
      <c r="W711" s="102">
        <v>0</v>
      </c>
      <c r="X711" s="103">
        <v>0</v>
      </c>
      <c r="Y711" s="102">
        <v>0</v>
      </c>
      <c r="Z711" s="103">
        <v>0</v>
      </c>
      <c r="AA711" s="102">
        <v>0</v>
      </c>
      <c r="AB711" s="103">
        <v>0</v>
      </c>
      <c r="AC711" s="238">
        <f t="shared" si="37"/>
        <v>0</v>
      </c>
      <c r="AD711" s="238"/>
      <c r="AE711" s="238"/>
    </row>
    <row r="712" spans="2:31" x14ac:dyDescent="0.3">
      <c r="B712" s="245" t="s">
        <v>77</v>
      </c>
      <c r="C712" s="245"/>
      <c r="D712" s="245"/>
      <c r="E712" s="102">
        <v>0</v>
      </c>
      <c r="F712" s="103">
        <v>0</v>
      </c>
      <c r="G712" s="102">
        <v>0</v>
      </c>
      <c r="H712" s="103">
        <v>0</v>
      </c>
      <c r="I712" s="102">
        <v>0</v>
      </c>
      <c r="J712" s="103">
        <v>0</v>
      </c>
      <c r="K712" s="102">
        <v>0</v>
      </c>
      <c r="L712" s="103">
        <v>0</v>
      </c>
      <c r="M712" s="102">
        <v>0</v>
      </c>
      <c r="N712" s="103">
        <v>0</v>
      </c>
      <c r="O712" s="102">
        <v>0</v>
      </c>
      <c r="P712" s="103">
        <v>0</v>
      </c>
      <c r="Q712" s="102">
        <v>0</v>
      </c>
      <c r="R712" s="103">
        <v>2.1696666666666617</v>
      </c>
      <c r="S712" s="102">
        <v>2.7086666666666606</v>
      </c>
      <c r="T712" s="103">
        <v>2.3713333333333293</v>
      </c>
      <c r="U712" s="102">
        <v>0.58466666666666589</v>
      </c>
      <c r="V712" s="103">
        <v>0.34500000000000242</v>
      </c>
      <c r="W712" s="102">
        <v>1.1041666666666667</v>
      </c>
      <c r="X712" s="103">
        <v>0</v>
      </c>
      <c r="Y712" s="102">
        <v>0</v>
      </c>
      <c r="Z712" s="103">
        <v>0</v>
      </c>
      <c r="AA712" s="102">
        <v>0</v>
      </c>
      <c r="AB712" s="103">
        <v>0</v>
      </c>
      <c r="AC712" s="238">
        <f t="shared" si="37"/>
        <v>9.2834999999999877</v>
      </c>
      <c r="AD712" s="238"/>
      <c r="AE712" s="238"/>
    </row>
    <row r="713" spans="2:31" x14ac:dyDescent="0.3">
      <c r="B713" s="245" t="s">
        <v>78</v>
      </c>
      <c r="C713" s="245"/>
      <c r="D713" s="245"/>
      <c r="E713" s="102">
        <v>0</v>
      </c>
      <c r="F713" s="103">
        <v>0</v>
      </c>
      <c r="G713" s="102">
        <v>0</v>
      </c>
      <c r="H713" s="103">
        <v>0</v>
      </c>
      <c r="I713" s="102">
        <v>0</v>
      </c>
      <c r="J713" s="103">
        <v>0</v>
      </c>
      <c r="K713" s="102">
        <v>0</v>
      </c>
      <c r="L713" s="103">
        <v>0</v>
      </c>
      <c r="M713" s="102">
        <v>0</v>
      </c>
      <c r="N713" s="103">
        <v>0</v>
      </c>
      <c r="O713" s="102">
        <v>0</v>
      </c>
      <c r="P713" s="103">
        <v>0</v>
      </c>
      <c r="Q713" s="102">
        <v>0</v>
      </c>
      <c r="R713" s="103">
        <v>0</v>
      </c>
      <c r="S713" s="102">
        <v>0.53000000000000114</v>
      </c>
      <c r="T713" s="103">
        <v>3.4300000000000046</v>
      </c>
      <c r="U713" s="102">
        <v>1.3299999999999983</v>
      </c>
      <c r="V713" s="103">
        <v>0</v>
      </c>
      <c r="W713" s="102">
        <v>0</v>
      </c>
      <c r="X713" s="103">
        <v>0</v>
      </c>
      <c r="Y713" s="102">
        <v>0</v>
      </c>
      <c r="Z713" s="103">
        <v>0</v>
      </c>
      <c r="AA713" s="102">
        <v>0</v>
      </c>
      <c r="AB713" s="103">
        <v>0</v>
      </c>
      <c r="AC713" s="238">
        <f t="shared" si="37"/>
        <v>5.2900000000000045</v>
      </c>
      <c r="AD713" s="238"/>
      <c r="AE713" s="238"/>
    </row>
    <row r="714" spans="2:31" x14ac:dyDescent="0.3">
      <c r="B714" s="245" t="s">
        <v>79</v>
      </c>
      <c r="C714" s="245"/>
      <c r="D714" s="245"/>
      <c r="E714" s="102">
        <v>0</v>
      </c>
      <c r="F714" s="103">
        <v>0</v>
      </c>
      <c r="G714" s="102">
        <v>0</v>
      </c>
      <c r="H714" s="103">
        <v>0</v>
      </c>
      <c r="I714" s="102">
        <v>0</v>
      </c>
      <c r="J714" s="103">
        <v>0</v>
      </c>
      <c r="K714" s="102">
        <v>0</v>
      </c>
      <c r="L714" s="103">
        <v>0</v>
      </c>
      <c r="M714" s="102">
        <v>0</v>
      </c>
      <c r="N714" s="103">
        <v>0</v>
      </c>
      <c r="O714" s="102">
        <v>0</v>
      </c>
      <c r="P714" s="103">
        <v>0</v>
      </c>
      <c r="Q714" s="102">
        <v>0</v>
      </c>
      <c r="R714" s="103">
        <v>0</v>
      </c>
      <c r="S714" s="102">
        <v>0</v>
      </c>
      <c r="T714" s="103">
        <v>0</v>
      </c>
      <c r="U714" s="102">
        <v>0</v>
      </c>
      <c r="V714" s="103">
        <v>0</v>
      </c>
      <c r="W714" s="102">
        <v>0</v>
      </c>
      <c r="X714" s="103">
        <v>0</v>
      </c>
      <c r="Y714" s="102">
        <v>0</v>
      </c>
      <c r="Z714" s="103">
        <v>0</v>
      </c>
      <c r="AA714" s="102">
        <v>0</v>
      </c>
      <c r="AB714" s="103">
        <v>0</v>
      </c>
      <c r="AC714" s="238">
        <f t="shared" si="37"/>
        <v>0</v>
      </c>
      <c r="AD714" s="238"/>
      <c r="AE714" s="238"/>
    </row>
    <row r="715" spans="2:31" x14ac:dyDescent="0.3">
      <c r="B715" s="245" t="s">
        <v>80</v>
      </c>
      <c r="C715" s="245"/>
      <c r="D715" s="245"/>
      <c r="E715" s="102">
        <v>0</v>
      </c>
      <c r="F715" s="103">
        <v>0</v>
      </c>
      <c r="G715" s="102">
        <v>0</v>
      </c>
      <c r="H715" s="103">
        <v>0</v>
      </c>
      <c r="I715" s="102">
        <v>0</v>
      </c>
      <c r="J715" s="103">
        <v>0</v>
      </c>
      <c r="K715" s="102">
        <v>0</v>
      </c>
      <c r="L715" s="103">
        <v>0</v>
      </c>
      <c r="M715" s="102">
        <v>0</v>
      </c>
      <c r="N715" s="103">
        <v>0</v>
      </c>
      <c r="O715" s="102">
        <v>0</v>
      </c>
      <c r="P715" s="103">
        <v>0</v>
      </c>
      <c r="Q715" s="102">
        <v>0</v>
      </c>
      <c r="R715" s="103">
        <v>0</v>
      </c>
      <c r="S715" s="102">
        <v>0</v>
      </c>
      <c r="T715" s="103">
        <v>0</v>
      </c>
      <c r="U715" s="102">
        <v>0</v>
      </c>
      <c r="V715" s="103">
        <v>0</v>
      </c>
      <c r="W715" s="102">
        <v>0</v>
      </c>
      <c r="X715" s="103">
        <v>0</v>
      </c>
      <c r="Y715" s="102">
        <v>0</v>
      </c>
      <c r="Z715" s="103">
        <v>0</v>
      </c>
      <c r="AA715" s="102">
        <v>0</v>
      </c>
      <c r="AB715" s="103">
        <v>0</v>
      </c>
      <c r="AC715" s="238">
        <f t="shared" si="37"/>
        <v>0</v>
      </c>
      <c r="AD715" s="238"/>
      <c r="AE715" s="238"/>
    </row>
    <row r="716" spans="2:31" x14ac:dyDescent="0.3">
      <c r="B716" s="245" t="s">
        <v>93</v>
      </c>
      <c r="C716" s="245"/>
      <c r="D716" s="245"/>
      <c r="E716" s="102">
        <v>0</v>
      </c>
      <c r="F716" s="103">
        <v>0</v>
      </c>
      <c r="G716" s="102">
        <v>0</v>
      </c>
      <c r="H716" s="103">
        <v>0</v>
      </c>
      <c r="I716" s="102">
        <v>0</v>
      </c>
      <c r="J716" s="103">
        <v>0</v>
      </c>
      <c r="K716" s="102">
        <v>0</v>
      </c>
      <c r="L716" s="103">
        <v>0</v>
      </c>
      <c r="M716" s="102">
        <v>0</v>
      </c>
      <c r="N716" s="103">
        <v>0</v>
      </c>
      <c r="O716" s="102">
        <v>0</v>
      </c>
      <c r="P716" s="103">
        <v>0</v>
      </c>
      <c r="Q716" s="102">
        <v>0.39200000000000068</v>
      </c>
      <c r="R716" s="103">
        <v>1.7580000000000002</v>
      </c>
      <c r="S716" s="102">
        <v>2.6599999999999975</v>
      </c>
      <c r="T716" s="103">
        <v>1.5600000000000012</v>
      </c>
      <c r="U716" s="102">
        <v>1.3599999999999994</v>
      </c>
      <c r="V716" s="103">
        <v>0.27949999999999992</v>
      </c>
      <c r="W716" s="102">
        <v>1.9913333333333334</v>
      </c>
      <c r="X716" s="103">
        <v>0.28166666666666668</v>
      </c>
      <c r="Y716" s="102">
        <v>0</v>
      </c>
      <c r="Z716" s="103">
        <v>0</v>
      </c>
      <c r="AA716" s="102">
        <v>0</v>
      </c>
      <c r="AB716" s="103">
        <v>0</v>
      </c>
      <c r="AC716" s="238">
        <f>SUM(E716:AB716)</f>
        <v>10.282499999999999</v>
      </c>
      <c r="AD716" s="238"/>
      <c r="AE716" s="238"/>
    </row>
    <row r="717" spans="2:31" x14ac:dyDescent="0.3">
      <c r="B717" s="14" t="s">
        <v>2</v>
      </c>
      <c r="C717" s="14"/>
      <c r="D717" s="14"/>
      <c r="E717" s="15">
        <f t="shared" ref="E717:AB717" si="38">SUM(E668:E716)</f>
        <v>0</v>
      </c>
      <c r="F717" s="15">
        <f t="shared" si="38"/>
        <v>0</v>
      </c>
      <c r="G717" s="15">
        <f t="shared" si="38"/>
        <v>0</v>
      </c>
      <c r="H717" s="15">
        <f t="shared" si="38"/>
        <v>0</v>
      </c>
      <c r="I717" s="15">
        <f t="shared" si="38"/>
        <v>0</v>
      </c>
      <c r="J717" s="15">
        <f t="shared" si="38"/>
        <v>0</v>
      </c>
      <c r="K717" s="15">
        <f t="shared" si="38"/>
        <v>0</v>
      </c>
      <c r="L717" s="15">
        <f t="shared" si="38"/>
        <v>0</v>
      </c>
      <c r="M717" s="15">
        <f t="shared" si="38"/>
        <v>0</v>
      </c>
      <c r="N717" s="15">
        <f t="shared" si="38"/>
        <v>0.17866666666666664</v>
      </c>
      <c r="O717" s="15">
        <f t="shared" si="38"/>
        <v>1.3261666666666698</v>
      </c>
      <c r="P717" s="15">
        <f t="shared" si="38"/>
        <v>7.7126666666666726</v>
      </c>
      <c r="Q717" s="15">
        <f t="shared" si="38"/>
        <v>24.399666666666661</v>
      </c>
      <c r="R717" s="15">
        <f t="shared" si="38"/>
        <v>189.05966666666663</v>
      </c>
      <c r="S717" s="15">
        <f t="shared" si="38"/>
        <v>264.42500000000001</v>
      </c>
      <c r="T717" s="15">
        <f t="shared" si="38"/>
        <v>228.10850000000005</v>
      </c>
      <c r="U717" s="15">
        <f t="shared" si="38"/>
        <v>217.02116666666672</v>
      </c>
      <c r="V717" s="15">
        <f t="shared" si="38"/>
        <v>237.83516666666671</v>
      </c>
      <c r="W717" s="15">
        <f t="shared" si="38"/>
        <v>176.74466666666666</v>
      </c>
      <c r="X717" s="15">
        <f t="shared" si="38"/>
        <v>2.4605000000000001</v>
      </c>
      <c r="Y717" s="15">
        <f t="shared" si="38"/>
        <v>0</v>
      </c>
      <c r="Z717" s="15">
        <f t="shared" si="38"/>
        <v>0</v>
      </c>
      <c r="AA717" s="15">
        <f t="shared" si="38"/>
        <v>0</v>
      </c>
      <c r="AB717" s="15">
        <f t="shared" si="38"/>
        <v>0</v>
      </c>
      <c r="AC717" s="249">
        <f>SUM(AC668:AE716)</f>
        <v>1349.2718333333332</v>
      </c>
      <c r="AD717" s="249"/>
      <c r="AE717" s="249"/>
    </row>
    <row r="718" spans="2:31" x14ac:dyDescent="0.3">
      <c r="B718" s="16"/>
      <c r="C718" s="17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2:31" x14ac:dyDescent="0.3">
      <c r="B719" s="16"/>
      <c r="C719" s="17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2:31" x14ac:dyDescent="0.3">
      <c r="B720" s="8">
        <f>'Resumen-Mensual'!$R$22</f>
        <v>44575</v>
      </c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104"/>
      <c r="AD720" s="104"/>
      <c r="AE720" s="104"/>
    </row>
    <row r="721" spans="2:31" x14ac:dyDescent="0.3">
      <c r="B721" s="8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104"/>
      <c r="AD721" s="104"/>
      <c r="AE721" s="104"/>
    </row>
    <row r="722" spans="2:31" x14ac:dyDescent="0.3">
      <c r="B722" s="9" t="s">
        <v>81</v>
      </c>
      <c r="C722" s="10"/>
      <c r="D722" s="10"/>
      <c r="E722" s="11">
        <v>1</v>
      </c>
      <c r="F722" s="11">
        <v>2</v>
      </c>
      <c r="G722" s="11">
        <v>3</v>
      </c>
      <c r="H722" s="11">
        <v>4</v>
      </c>
      <c r="I722" s="11">
        <v>5</v>
      </c>
      <c r="J722" s="11">
        <v>6</v>
      </c>
      <c r="K722" s="11">
        <v>7</v>
      </c>
      <c r="L722" s="11">
        <v>8</v>
      </c>
      <c r="M722" s="11">
        <v>9</v>
      </c>
      <c r="N722" s="11">
        <v>10</v>
      </c>
      <c r="O722" s="11">
        <v>11</v>
      </c>
      <c r="P722" s="11">
        <v>12</v>
      </c>
      <c r="Q722" s="11">
        <v>13</v>
      </c>
      <c r="R722" s="11">
        <v>14</v>
      </c>
      <c r="S722" s="11">
        <v>15</v>
      </c>
      <c r="T722" s="11">
        <v>16</v>
      </c>
      <c r="U722" s="11">
        <v>17</v>
      </c>
      <c r="V722" s="11">
        <v>18</v>
      </c>
      <c r="W722" s="11">
        <v>19</v>
      </c>
      <c r="X722" s="11">
        <v>20</v>
      </c>
      <c r="Y722" s="11">
        <v>21</v>
      </c>
      <c r="Z722" s="11">
        <v>22</v>
      </c>
      <c r="AA722" s="11">
        <v>23</v>
      </c>
      <c r="AB722" s="11">
        <v>24</v>
      </c>
      <c r="AC722" s="248" t="s">
        <v>2</v>
      </c>
      <c r="AD722" s="248"/>
      <c r="AE722" s="248"/>
    </row>
    <row r="723" spans="2:31" x14ac:dyDescent="0.3">
      <c r="B723" s="245" t="s">
        <v>37</v>
      </c>
      <c r="C723" s="245"/>
      <c r="D723" s="245"/>
      <c r="E723" s="109">
        <v>0</v>
      </c>
      <c r="F723" s="110">
        <v>0</v>
      </c>
      <c r="G723" s="109">
        <v>0</v>
      </c>
      <c r="H723" s="110">
        <v>0</v>
      </c>
      <c r="I723" s="109">
        <v>0</v>
      </c>
      <c r="J723" s="110">
        <v>0</v>
      </c>
      <c r="K723" s="109">
        <v>0</v>
      </c>
      <c r="L723" s="110">
        <v>0</v>
      </c>
      <c r="M723" s="109">
        <v>0</v>
      </c>
      <c r="N723" s="110">
        <v>0</v>
      </c>
      <c r="O723" s="109">
        <v>0</v>
      </c>
      <c r="P723" s="110">
        <v>0</v>
      </c>
      <c r="Q723" s="109">
        <v>0</v>
      </c>
      <c r="R723" s="110">
        <v>0</v>
      </c>
      <c r="S723" s="109">
        <v>0</v>
      </c>
      <c r="T723" s="110">
        <v>0</v>
      </c>
      <c r="U723" s="109">
        <v>0</v>
      </c>
      <c r="V723" s="110">
        <v>0</v>
      </c>
      <c r="W723" s="109">
        <v>0</v>
      </c>
      <c r="X723" s="110">
        <v>0</v>
      </c>
      <c r="Y723" s="109">
        <v>0</v>
      </c>
      <c r="Z723" s="110">
        <v>0</v>
      </c>
      <c r="AA723" s="109">
        <v>0</v>
      </c>
      <c r="AB723" s="110">
        <v>0</v>
      </c>
      <c r="AC723" s="238">
        <f t="shared" ref="AC723:AC755" si="39">SUM(E723:AB723)</f>
        <v>0</v>
      </c>
      <c r="AD723" s="238"/>
      <c r="AE723" s="238"/>
    </row>
    <row r="724" spans="2:31" x14ac:dyDescent="0.3">
      <c r="B724" s="245" t="s">
        <v>38</v>
      </c>
      <c r="C724" s="245"/>
      <c r="D724" s="245"/>
      <c r="E724" s="109">
        <v>0</v>
      </c>
      <c r="F724" s="110">
        <v>0</v>
      </c>
      <c r="G724" s="109">
        <v>0</v>
      </c>
      <c r="H724" s="110">
        <v>0</v>
      </c>
      <c r="I724" s="109">
        <v>0</v>
      </c>
      <c r="J724" s="110">
        <v>0</v>
      </c>
      <c r="K724" s="109">
        <v>0</v>
      </c>
      <c r="L724" s="110">
        <v>0</v>
      </c>
      <c r="M724" s="109">
        <v>0</v>
      </c>
      <c r="N724" s="110">
        <v>0</v>
      </c>
      <c r="O724" s="109">
        <v>0</v>
      </c>
      <c r="P724" s="110">
        <v>0</v>
      </c>
      <c r="Q724" s="109">
        <v>0</v>
      </c>
      <c r="R724" s="110">
        <v>1.0831666666666664</v>
      </c>
      <c r="S724" s="109">
        <v>0</v>
      </c>
      <c r="T724" s="110">
        <v>0</v>
      </c>
      <c r="U724" s="109">
        <v>0</v>
      </c>
      <c r="V724" s="110">
        <v>0</v>
      </c>
      <c r="W724" s="109">
        <v>0</v>
      </c>
      <c r="X724" s="110">
        <v>0</v>
      </c>
      <c r="Y724" s="109">
        <v>0</v>
      </c>
      <c r="Z724" s="110">
        <v>0</v>
      </c>
      <c r="AA724" s="109">
        <v>0</v>
      </c>
      <c r="AB724" s="110">
        <v>0</v>
      </c>
      <c r="AC724" s="238">
        <f t="shared" si="39"/>
        <v>1.0831666666666664</v>
      </c>
      <c r="AD724" s="238"/>
      <c r="AE724" s="238"/>
    </row>
    <row r="725" spans="2:31" x14ac:dyDescent="0.3">
      <c r="B725" s="245" t="s">
        <v>39</v>
      </c>
      <c r="C725" s="245"/>
      <c r="D725" s="245"/>
      <c r="E725" s="109">
        <v>0</v>
      </c>
      <c r="F725" s="110">
        <v>0</v>
      </c>
      <c r="G725" s="109">
        <v>0</v>
      </c>
      <c r="H725" s="110">
        <v>0</v>
      </c>
      <c r="I725" s="109">
        <v>0</v>
      </c>
      <c r="J725" s="110">
        <v>0</v>
      </c>
      <c r="K725" s="109">
        <v>0</v>
      </c>
      <c r="L725" s="110">
        <v>0</v>
      </c>
      <c r="M725" s="109">
        <v>0</v>
      </c>
      <c r="N725" s="110">
        <v>0</v>
      </c>
      <c r="O725" s="109">
        <v>0</v>
      </c>
      <c r="P725" s="110">
        <v>0</v>
      </c>
      <c r="Q725" s="109">
        <v>0.44783333333333331</v>
      </c>
      <c r="R725" s="110">
        <v>1.2691666666666663</v>
      </c>
      <c r="S725" s="109">
        <v>0</v>
      </c>
      <c r="T725" s="110">
        <v>0</v>
      </c>
      <c r="U725" s="109">
        <v>0</v>
      </c>
      <c r="V725" s="110">
        <v>0</v>
      </c>
      <c r="W725" s="109">
        <v>0</v>
      </c>
      <c r="X725" s="110">
        <v>0</v>
      </c>
      <c r="Y725" s="109">
        <v>0</v>
      </c>
      <c r="Z725" s="110">
        <v>0</v>
      </c>
      <c r="AA725" s="109">
        <v>0</v>
      </c>
      <c r="AB725" s="110">
        <v>0</v>
      </c>
      <c r="AC725" s="238">
        <f t="shared" si="39"/>
        <v>1.7169999999999996</v>
      </c>
      <c r="AD725" s="238"/>
      <c r="AE725" s="238"/>
    </row>
    <row r="726" spans="2:31" x14ac:dyDescent="0.3">
      <c r="B726" s="245" t="s">
        <v>40</v>
      </c>
      <c r="C726" s="245"/>
      <c r="D726" s="245"/>
      <c r="E726" s="109">
        <v>0</v>
      </c>
      <c r="F726" s="110">
        <v>0</v>
      </c>
      <c r="G726" s="109">
        <v>0</v>
      </c>
      <c r="H726" s="110">
        <v>0</v>
      </c>
      <c r="I726" s="109">
        <v>0</v>
      </c>
      <c r="J726" s="110">
        <v>0</v>
      </c>
      <c r="K726" s="109">
        <v>0</v>
      </c>
      <c r="L726" s="110">
        <v>0</v>
      </c>
      <c r="M726" s="109">
        <v>0</v>
      </c>
      <c r="N726" s="110">
        <v>0</v>
      </c>
      <c r="O726" s="109">
        <v>0</v>
      </c>
      <c r="P726" s="110">
        <v>0</v>
      </c>
      <c r="Q726" s="109">
        <v>0</v>
      </c>
      <c r="R726" s="110">
        <v>0</v>
      </c>
      <c r="S726" s="109">
        <v>0</v>
      </c>
      <c r="T726" s="110">
        <v>0</v>
      </c>
      <c r="U726" s="109">
        <v>0</v>
      </c>
      <c r="V726" s="110">
        <v>0</v>
      </c>
      <c r="W726" s="109">
        <v>0</v>
      </c>
      <c r="X726" s="110">
        <v>0</v>
      </c>
      <c r="Y726" s="109">
        <v>0</v>
      </c>
      <c r="Z726" s="110">
        <v>0</v>
      </c>
      <c r="AA726" s="109">
        <v>0</v>
      </c>
      <c r="AB726" s="110">
        <v>0</v>
      </c>
      <c r="AC726" s="238">
        <f t="shared" si="39"/>
        <v>0</v>
      </c>
      <c r="AD726" s="238"/>
      <c r="AE726" s="238"/>
    </row>
    <row r="727" spans="2:31" x14ac:dyDescent="0.3">
      <c r="B727" s="245" t="s">
        <v>41</v>
      </c>
      <c r="C727" s="245"/>
      <c r="D727" s="245"/>
      <c r="E727" s="109">
        <v>0</v>
      </c>
      <c r="F727" s="110">
        <v>0</v>
      </c>
      <c r="G727" s="109">
        <v>0</v>
      </c>
      <c r="H727" s="110">
        <v>0</v>
      </c>
      <c r="I727" s="109">
        <v>0</v>
      </c>
      <c r="J727" s="110">
        <v>0</v>
      </c>
      <c r="K727" s="109">
        <v>0</v>
      </c>
      <c r="L727" s="110">
        <v>0</v>
      </c>
      <c r="M727" s="109">
        <v>0</v>
      </c>
      <c r="N727" s="110">
        <v>0</v>
      </c>
      <c r="O727" s="109">
        <v>0</v>
      </c>
      <c r="P727" s="110">
        <v>0</v>
      </c>
      <c r="Q727" s="109">
        <v>0</v>
      </c>
      <c r="R727" s="110">
        <v>0</v>
      </c>
      <c r="S727" s="109">
        <v>0</v>
      </c>
      <c r="T727" s="110">
        <v>0</v>
      </c>
      <c r="U727" s="109">
        <v>0</v>
      </c>
      <c r="V727" s="110">
        <v>0</v>
      </c>
      <c r="W727" s="109">
        <v>0</v>
      </c>
      <c r="X727" s="110">
        <v>0</v>
      </c>
      <c r="Y727" s="109">
        <v>0</v>
      </c>
      <c r="Z727" s="110">
        <v>0</v>
      </c>
      <c r="AA727" s="109">
        <v>0</v>
      </c>
      <c r="AB727" s="110">
        <v>0</v>
      </c>
      <c r="AC727" s="238">
        <f t="shared" si="39"/>
        <v>0</v>
      </c>
      <c r="AD727" s="238"/>
      <c r="AE727" s="238"/>
    </row>
    <row r="728" spans="2:31" x14ac:dyDescent="0.3">
      <c r="B728" s="245" t="s">
        <v>42</v>
      </c>
      <c r="C728" s="245"/>
      <c r="D728" s="245"/>
      <c r="E728" s="109">
        <v>0</v>
      </c>
      <c r="F728" s="110">
        <v>0</v>
      </c>
      <c r="G728" s="109">
        <v>0</v>
      </c>
      <c r="H728" s="110">
        <v>0</v>
      </c>
      <c r="I728" s="109">
        <v>0</v>
      </c>
      <c r="J728" s="110">
        <v>0</v>
      </c>
      <c r="K728" s="109">
        <v>0</v>
      </c>
      <c r="L728" s="110">
        <v>0</v>
      </c>
      <c r="M728" s="109">
        <v>0</v>
      </c>
      <c r="N728" s="110">
        <v>0</v>
      </c>
      <c r="O728" s="109">
        <v>0</v>
      </c>
      <c r="P728" s="110">
        <v>0</v>
      </c>
      <c r="Q728" s="109">
        <v>1.3065000000000004</v>
      </c>
      <c r="R728" s="110">
        <v>0.86300000000000099</v>
      </c>
      <c r="S728" s="109">
        <v>0</v>
      </c>
      <c r="T728" s="110">
        <v>0</v>
      </c>
      <c r="U728" s="109">
        <v>0</v>
      </c>
      <c r="V728" s="110">
        <v>0</v>
      </c>
      <c r="W728" s="109">
        <v>0</v>
      </c>
      <c r="X728" s="110">
        <v>0</v>
      </c>
      <c r="Y728" s="109">
        <v>0</v>
      </c>
      <c r="Z728" s="110">
        <v>0</v>
      </c>
      <c r="AA728" s="109">
        <v>0</v>
      </c>
      <c r="AB728" s="110">
        <v>0</v>
      </c>
      <c r="AC728" s="238">
        <f t="shared" si="39"/>
        <v>2.1695000000000015</v>
      </c>
      <c r="AD728" s="238"/>
      <c r="AE728" s="238"/>
    </row>
    <row r="729" spans="2:31" x14ac:dyDescent="0.3">
      <c r="B729" s="245" t="s">
        <v>43</v>
      </c>
      <c r="C729" s="245"/>
      <c r="D729" s="245"/>
      <c r="E729" s="109">
        <v>0</v>
      </c>
      <c r="F729" s="110">
        <v>0</v>
      </c>
      <c r="G729" s="109">
        <v>0</v>
      </c>
      <c r="H729" s="110">
        <v>0</v>
      </c>
      <c r="I729" s="109">
        <v>0</v>
      </c>
      <c r="J729" s="110">
        <v>0</v>
      </c>
      <c r="K729" s="109">
        <v>0</v>
      </c>
      <c r="L729" s="110">
        <v>0</v>
      </c>
      <c r="M729" s="109">
        <v>0</v>
      </c>
      <c r="N729" s="110">
        <v>0</v>
      </c>
      <c r="O729" s="109">
        <v>0</v>
      </c>
      <c r="P729" s="110">
        <v>0</v>
      </c>
      <c r="Q729" s="109">
        <v>0</v>
      </c>
      <c r="R729" s="110">
        <v>3.8371666666666631</v>
      </c>
      <c r="S729" s="109">
        <v>6.3689999999999953</v>
      </c>
      <c r="T729" s="110">
        <v>2.7996666666666674</v>
      </c>
      <c r="U729" s="109">
        <v>0</v>
      </c>
      <c r="V729" s="110">
        <v>0</v>
      </c>
      <c r="W729" s="109">
        <v>0</v>
      </c>
      <c r="X729" s="110">
        <v>0</v>
      </c>
      <c r="Y729" s="109">
        <v>0</v>
      </c>
      <c r="Z729" s="110">
        <v>0</v>
      </c>
      <c r="AA729" s="109">
        <v>0</v>
      </c>
      <c r="AB729" s="110">
        <v>0</v>
      </c>
      <c r="AC729" s="238">
        <f t="shared" si="39"/>
        <v>13.005833333333324</v>
      </c>
      <c r="AD729" s="238"/>
      <c r="AE729" s="238"/>
    </row>
    <row r="730" spans="2:31" x14ac:dyDescent="0.3">
      <c r="B730" s="245" t="s">
        <v>44</v>
      </c>
      <c r="C730" s="245"/>
      <c r="D730" s="245"/>
      <c r="E730" s="109">
        <v>0</v>
      </c>
      <c r="F730" s="110">
        <v>0</v>
      </c>
      <c r="G730" s="109">
        <v>0</v>
      </c>
      <c r="H730" s="110">
        <v>0</v>
      </c>
      <c r="I730" s="109">
        <v>0</v>
      </c>
      <c r="J730" s="110">
        <v>0</v>
      </c>
      <c r="K730" s="109">
        <v>0</v>
      </c>
      <c r="L730" s="110">
        <v>0</v>
      </c>
      <c r="M730" s="109">
        <v>0</v>
      </c>
      <c r="N730" s="110">
        <v>0</v>
      </c>
      <c r="O730" s="109">
        <v>0</v>
      </c>
      <c r="P730" s="110">
        <v>0</v>
      </c>
      <c r="Q730" s="109">
        <v>0.728833333333333</v>
      </c>
      <c r="R730" s="110">
        <v>0</v>
      </c>
      <c r="S730" s="109">
        <v>0</v>
      </c>
      <c r="T730" s="110">
        <v>0</v>
      </c>
      <c r="U730" s="109">
        <v>0</v>
      </c>
      <c r="V730" s="110">
        <v>0</v>
      </c>
      <c r="W730" s="109">
        <v>0</v>
      </c>
      <c r="X730" s="110">
        <v>0</v>
      </c>
      <c r="Y730" s="109">
        <v>0</v>
      </c>
      <c r="Z730" s="110">
        <v>0</v>
      </c>
      <c r="AA730" s="109">
        <v>0</v>
      </c>
      <c r="AB730" s="110">
        <v>0</v>
      </c>
      <c r="AC730" s="238">
        <f t="shared" si="39"/>
        <v>0.728833333333333</v>
      </c>
      <c r="AD730" s="238"/>
      <c r="AE730" s="238"/>
    </row>
    <row r="731" spans="2:31" x14ac:dyDescent="0.3">
      <c r="B731" s="245" t="s">
        <v>45</v>
      </c>
      <c r="C731" s="245"/>
      <c r="D731" s="245"/>
      <c r="E731" s="109">
        <v>0</v>
      </c>
      <c r="F731" s="110">
        <v>0</v>
      </c>
      <c r="G731" s="109">
        <v>0</v>
      </c>
      <c r="H731" s="110">
        <v>0</v>
      </c>
      <c r="I731" s="109">
        <v>0</v>
      </c>
      <c r="J731" s="110">
        <v>0</v>
      </c>
      <c r="K731" s="109">
        <v>0</v>
      </c>
      <c r="L731" s="110">
        <v>0</v>
      </c>
      <c r="M731" s="109">
        <v>0</v>
      </c>
      <c r="N731" s="110">
        <v>0</v>
      </c>
      <c r="O731" s="109">
        <v>0</v>
      </c>
      <c r="P731" s="110">
        <v>4.972333333333335</v>
      </c>
      <c r="Q731" s="109">
        <v>16.825666666666667</v>
      </c>
      <c r="R731" s="110">
        <v>8.3231666666666584</v>
      </c>
      <c r="S731" s="109">
        <v>0</v>
      </c>
      <c r="T731" s="110">
        <v>10.053666666666668</v>
      </c>
      <c r="U731" s="109">
        <v>3.4635000000000029</v>
      </c>
      <c r="V731" s="110">
        <v>17.396333333333342</v>
      </c>
      <c r="W731" s="109">
        <v>1.2511666666666663</v>
      </c>
      <c r="X731" s="110">
        <v>0</v>
      </c>
      <c r="Y731" s="109">
        <v>0</v>
      </c>
      <c r="Z731" s="110">
        <v>0</v>
      </c>
      <c r="AA731" s="109">
        <v>0</v>
      </c>
      <c r="AB731" s="110">
        <v>0</v>
      </c>
      <c r="AC731" s="238">
        <f t="shared" si="39"/>
        <v>62.285833333333329</v>
      </c>
      <c r="AD731" s="238"/>
      <c r="AE731" s="238"/>
    </row>
    <row r="732" spans="2:31" x14ac:dyDescent="0.3">
      <c r="B732" s="245" t="s">
        <v>46</v>
      </c>
      <c r="C732" s="245"/>
      <c r="D732" s="245"/>
      <c r="E732" s="109">
        <v>0</v>
      </c>
      <c r="F732" s="110">
        <v>0</v>
      </c>
      <c r="G732" s="109">
        <v>0</v>
      </c>
      <c r="H732" s="110">
        <v>0</v>
      </c>
      <c r="I732" s="109">
        <v>0</v>
      </c>
      <c r="J732" s="110">
        <v>0</v>
      </c>
      <c r="K732" s="109">
        <v>0</v>
      </c>
      <c r="L732" s="110">
        <v>0</v>
      </c>
      <c r="M732" s="109">
        <v>0</v>
      </c>
      <c r="N732" s="110">
        <v>0</v>
      </c>
      <c r="O732" s="109">
        <v>0</v>
      </c>
      <c r="P732" s="110">
        <v>0</v>
      </c>
      <c r="Q732" s="109">
        <v>8.9108333333333345</v>
      </c>
      <c r="R732" s="110">
        <v>0</v>
      </c>
      <c r="S732" s="109">
        <v>0.95366666666666877</v>
      </c>
      <c r="T732" s="110">
        <v>22.935833333333342</v>
      </c>
      <c r="U732" s="109">
        <v>17.23566666666666</v>
      </c>
      <c r="V732" s="110">
        <v>22.960666666666668</v>
      </c>
      <c r="W732" s="109">
        <v>2.6281666666666665</v>
      </c>
      <c r="X732" s="110">
        <v>0</v>
      </c>
      <c r="Y732" s="109">
        <v>0</v>
      </c>
      <c r="Z732" s="110">
        <v>0</v>
      </c>
      <c r="AA732" s="109">
        <v>0</v>
      </c>
      <c r="AB732" s="110">
        <v>0</v>
      </c>
      <c r="AC732" s="238">
        <f t="shared" si="39"/>
        <v>75.624833333333342</v>
      </c>
      <c r="AD732" s="238"/>
      <c r="AE732" s="238"/>
    </row>
    <row r="733" spans="2:31" x14ac:dyDescent="0.3">
      <c r="B733" s="245" t="s">
        <v>47</v>
      </c>
      <c r="C733" s="245"/>
      <c r="D733" s="245"/>
      <c r="E733" s="109">
        <v>0</v>
      </c>
      <c r="F733" s="110">
        <v>0</v>
      </c>
      <c r="G733" s="109">
        <v>0</v>
      </c>
      <c r="H733" s="110">
        <v>0</v>
      </c>
      <c r="I733" s="109">
        <v>0</v>
      </c>
      <c r="J733" s="110">
        <v>0</v>
      </c>
      <c r="K733" s="109">
        <v>0</v>
      </c>
      <c r="L733" s="110">
        <v>0</v>
      </c>
      <c r="M733" s="109">
        <v>0</v>
      </c>
      <c r="N733" s="110">
        <v>0</v>
      </c>
      <c r="O733" s="109">
        <v>0</v>
      </c>
      <c r="P733" s="110">
        <v>0</v>
      </c>
      <c r="Q733" s="109">
        <v>1.7986666666666655</v>
      </c>
      <c r="R733" s="110">
        <v>5.4899999999999984</v>
      </c>
      <c r="S733" s="109">
        <v>4.1045000000000034</v>
      </c>
      <c r="T733" s="110">
        <v>0</v>
      </c>
      <c r="U733" s="109">
        <v>5.094166666666669</v>
      </c>
      <c r="V733" s="110">
        <v>8.0526666666666635</v>
      </c>
      <c r="W733" s="109">
        <v>1.6966666666666663</v>
      </c>
      <c r="X733" s="110">
        <v>0</v>
      </c>
      <c r="Y733" s="109">
        <v>0</v>
      </c>
      <c r="Z733" s="110">
        <v>0</v>
      </c>
      <c r="AA733" s="109">
        <v>0</v>
      </c>
      <c r="AB733" s="110">
        <v>0</v>
      </c>
      <c r="AC733" s="238">
        <f t="shared" si="39"/>
        <v>26.236666666666665</v>
      </c>
      <c r="AD733" s="238"/>
      <c r="AE733" s="238"/>
    </row>
    <row r="734" spans="2:31" x14ac:dyDescent="0.3">
      <c r="B734" s="245" t="s">
        <v>48</v>
      </c>
      <c r="C734" s="245"/>
      <c r="D734" s="245"/>
      <c r="E734" s="109">
        <v>0</v>
      </c>
      <c r="F734" s="110">
        <v>0</v>
      </c>
      <c r="G734" s="109">
        <v>0</v>
      </c>
      <c r="H734" s="110">
        <v>0</v>
      </c>
      <c r="I734" s="109">
        <v>0</v>
      </c>
      <c r="J734" s="110">
        <v>0</v>
      </c>
      <c r="K734" s="109">
        <v>0</v>
      </c>
      <c r="L734" s="110">
        <v>0</v>
      </c>
      <c r="M734" s="109">
        <v>0</v>
      </c>
      <c r="N734" s="110">
        <v>0</v>
      </c>
      <c r="O734" s="109">
        <v>0</v>
      </c>
      <c r="P734" s="110">
        <v>0</v>
      </c>
      <c r="Q734" s="109">
        <v>1.6904999999999997</v>
      </c>
      <c r="R734" s="110">
        <v>5.0216666666666629</v>
      </c>
      <c r="S734" s="109">
        <v>3.7028333333333312</v>
      </c>
      <c r="T734" s="110">
        <v>0</v>
      </c>
      <c r="U734" s="109">
        <v>4.219833333333332</v>
      </c>
      <c r="V734" s="110">
        <v>6.4593333333333325</v>
      </c>
      <c r="W734" s="109">
        <v>1.5013333333333334</v>
      </c>
      <c r="X734" s="110">
        <v>0</v>
      </c>
      <c r="Y734" s="109">
        <v>0</v>
      </c>
      <c r="Z734" s="110">
        <v>0</v>
      </c>
      <c r="AA734" s="109">
        <v>0</v>
      </c>
      <c r="AB734" s="110">
        <v>0</v>
      </c>
      <c r="AC734" s="238">
        <f t="shared" si="39"/>
        <v>22.595499999999994</v>
      </c>
      <c r="AD734" s="238"/>
      <c r="AE734" s="238"/>
    </row>
    <row r="735" spans="2:31" x14ac:dyDescent="0.3">
      <c r="B735" s="245" t="s">
        <v>49</v>
      </c>
      <c r="C735" s="245"/>
      <c r="D735" s="245"/>
      <c r="E735" s="109">
        <v>0</v>
      </c>
      <c r="F735" s="110">
        <v>0</v>
      </c>
      <c r="G735" s="109">
        <v>0</v>
      </c>
      <c r="H735" s="110">
        <v>0</v>
      </c>
      <c r="I735" s="109">
        <v>0</v>
      </c>
      <c r="J735" s="110">
        <v>0</v>
      </c>
      <c r="K735" s="109">
        <v>0</v>
      </c>
      <c r="L735" s="110">
        <v>0</v>
      </c>
      <c r="M735" s="109">
        <v>0</v>
      </c>
      <c r="N735" s="110">
        <v>0</v>
      </c>
      <c r="O735" s="109">
        <v>0</v>
      </c>
      <c r="P735" s="110">
        <v>0.50033333333333341</v>
      </c>
      <c r="Q735" s="109">
        <v>0.21716666666666679</v>
      </c>
      <c r="R735" s="110">
        <v>0</v>
      </c>
      <c r="S735" s="109">
        <v>0</v>
      </c>
      <c r="T735" s="110">
        <v>0</v>
      </c>
      <c r="U735" s="109">
        <v>0</v>
      </c>
      <c r="V735" s="110">
        <v>0</v>
      </c>
      <c r="W735" s="109">
        <v>0</v>
      </c>
      <c r="X735" s="110">
        <v>0</v>
      </c>
      <c r="Y735" s="109">
        <v>0</v>
      </c>
      <c r="Z735" s="110">
        <v>0</v>
      </c>
      <c r="AA735" s="109">
        <v>0</v>
      </c>
      <c r="AB735" s="110">
        <v>0</v>
      </c>
      <c r="AC735" s="238">
        <f t="shared" si="39"/>
        <v>0.71750000000000025</v>
      </c>
      <c r="AD735" s="238"/>
      <c r="AE735" s="238"/>
    </row>
    <row r="736" spans="2:31" x14ac:dyDescent="0.3">
      <c r="B736" s="245" t="s">
        <v>50</v>
      </c>
      <c r="C736" s="245"/>
      <c r="D736" s="245"/>
      <c r="E736" s="109">
        <v>0</v>
      </c>
      <c r="F736" s="110">
        <v>0</v>
      </c>
      <c r="G736" s="109">
        <v>0</v>
      </c>
      <c r="H736" s="110">
        <v>0</v>
      </c>
      <c r="I736" s="109">
        <v>0</v>
      </c>
      <c r="J736" s="110">
        <v>0</v>
      </c>
      <c r="K736" s="109">
        <v>0</v>
      </c>
      <c r="L736" s="110">
        <v>0</v>
      </c>
      <c r="M736" s="109">
        <v>0</v>
      </c>
      <c r="N736" s="110">
        <v>0</v>
      </c>
      <c r="O736" s="109">
        <v>0</v>
      </c>
      <c r="P736" s="110">
        <v>0</v>
      </c>
      <c r="Q736" s="109">
        <v>0</v>
      </c>
      <c r="R736" s="110">
        <v>0</v>
      </c>
      <c r="S736" s="109">
        <v>0</v>
      </c>
      <c r="T736" s="110">
        <v>0</v>
      </c>
      <c r="U736" s="109">
        <v>0</v>
      </c>
      <c r="V736" s="110">
        <v>0</v>
      </c>
      <c r="W736" s="109">
        <v>0</v>
      </c>
      <c r="X736" s="110">
        <v>0</v>
      </c>
      <c r="Y736" s="109">
        <v>0</v>
      </c>
      <c r="Z736" s="110">
        <v>0</v>
      </c>
      <c r="AA736" s="109">
        <v>0</v>
      </c>
      <c r="AB736" s="110">
        <v>0</v>
      </c>
      <c r="AC736" s="238">
        <f t="shared" si="39"/>
        <v>0</v>
      </c>
      <c r="AD736" s="238"/>
      <c r="AE736" s="238"/>
    </row>
    <row r="737" spans="2:31" x14ac:dyDescent="0.3">
      <c r="B737" s="245" t="s">
        <v>97</v>
      </c>
      <c r="C737" s="245"/>
      <c r="D737" s="245"/>
      <c r="E737" s="109">
        <v>0</v>
      </c>
      <c r="F737" s="110">
        <v>0</v>
      </c>
      <c r="G737" s="109">
        <v>0</v>
      </c>
      <c r="H737" s="110">
        <v>0</v>
      </c>
      <c r="I737" s="109">
        <v>0</v>
      </c>
      <c r="J737" s="110">
        <v>0</v>
      </c>
      <c r="K737" s="109">
        <v>0</v>
      </c>
      <c r="L737" s="110">
        <v>0</v>
      </c>
      <c r="M737" s="109">
        <v>0</v>
      </c>
      <c r="N737" s="110">
        <v>0</v>
      </c>
      <c r="O737" s="109">
        <v>0</v>
      </c>
      <c r="P737" s="110">
        <v>0</v>
      </c>
      <c r="Q737" s="109">
        <v>0</v>
      </c>
      <c r="R737" s="110">
        <v>0</v>
      </c>
      <c r="S737" s="109">
        <v>0</v>
      </c>
      <c r="T737" s="110">
        <v>0</v>
      </c>
      <c r="U737" s="109">
        <v>0</v>
      </c>
      <c r="V737" s="110">
        <v>0</v>
      </c>
      <c r="W737" s="109">
        <v>0</v>
      </c>
      <c r="X737" s="110">
        <v>0</v>
      </c>
      <c r="Y737" s="109">
        <v>0</v>
      </c>
      <c r="Z737" s="110">
        <v>0</v>
      </c>
      <c r="AA737" s="109">
        <v>0</v>
      </c>
      <c r="AB737" s="110">
        <v>0</v>
      </c>
      <c r="AC737" s="238">
        <f t="shared" si="39"/>
        <v>0</v>
      </c>
      <c r="AD737" s="238"/>
      <c r="AE737" s="238"/>
    </row>
    <row r="738" spans="2:31" x14ac:dyDescent="0.3">
      <c r="B738" s="245" t="s">
        <v>51</v>
      </c>
      <c r="C738" s="245"/>
      <c r="D738" s="245"/>
      <c r="E738" s="109">
        <v>0</v>
      </c>
      <c r="F738" s="110">
        <v>0</v>
      </c>
      <c r="G738" s="109">
        <v>0</v>
      </c>
      <c r="H738" s="110">
        <v>0</v>
      </c>
      <c r="I738" s="109">
        <v>0</v>
      </c>
      <c r="J738" s="110">
        <v>0</v>
      </c>
      <c r="K738" s="109">
        <v>0</v>
      </c>
      <c r="L738" s="110">
        <v>0</v>
      </c>
      <c r="M738" s="109">
        <v>0</v>
      </c>
      <c r="N738" s="110">
        <v>0</v>
      </c>
      <c r="O738" s="109">
        <v>0</v>
      </c>
      <c r="P738" s="110">
        <v>0</v>
      </c>
      <c r="Q738" s="109">
        <v>0</v>
      </c>
      <c r="R738" s="110">
        <v>0</v>
      </c>
      <c r="S738" s="109">
        <v>0</v>
      </c>
      <c r="T738" s="110">
        <v>0</v>
      </c>
      <c r="U738" s="109">
        <v>0</v>
      </c>
      <c r="V738" s="110">
        <v>0</v>
      </c>
      <c r="W738" s="109">
        <v>0</v>
      </c>
      <c r="X738" s="110">
        <v>0</v>
      </c>
      <c r="Y738" s="109">
        <v>0</v>
      </c>
      <c r="Z738" s="110">
        <v>0</v>
      </c>
      <c r="AA738" s="109">
        <v>0</v>
      </c>
      <c r="AB738" s="110">
        <v>0</v>
      </c>
      <c r="AC738" s="238">
        <f t="shared" si="39"/>
        <v>0</v>
      </c>
      <c r="AD738" s="238"/>
      <c r="AE738" s="238"/>
    </row>
    <row r="739" spans="2:31" x14ac:dyDescent="0.3">
      <c r="B739" s="245" t="s">
        <v>52</v>
      </c>
      <c r="C739" s="245"/>
      <c r="D739" s="245"/>
      <c r="E739" s="109">
        <v>0</v>
      </c>
      <c r="F739" s="110">
        <v>0</v>
      </c>
      <c r="G739" s="109">
        <v>0</v>
      </c>
      <c r="H739" s="110">
        <v>0</v>
      </c>
      <c r="I739" s="109">
        <v>0</v>
      </c>
      <c r="J739" s="110">
        <v>0</v>
      </c>
      <c r="K739" s="109">
        <v>0</v>
      </c>
      <c r="L739" s="110">
        <v>0</v>
      </c>
      <c r="M739" s="109">
        <v>0</v>
      </c>
      <c r="N739" s="110">
        <v>0</v>
      </c>
      <c r="O739" s="109">
        <v>0</v>
      </c>
      <c r="P739" s="110">
        <v>0</v>
      </c>
      <c r="Q739" s="109">
        <v>0</v>
      </c>
      <c r="R739" s="110">
        <v>0</v>
      </c>
      <c r="S739" s="109">
        <v>0</v>
      </c>
      <c r="T739" s="110">
        <v>0</v>
      </c>
      <c r="U739" s="109">
        <v>0</v>
      </c>
      <c r="V739" s="110">
        <v>0</v>
      </c>
      <c r="W739" s="109">
        <v>0</v>
      </c>
      <c r="X739" s="110">
        <v>0</v>
      </c>
      <c r="Y739" s="109">
        <v>0</v>
      </c>
      <c r="Z739" s="110">
        <v>0</v>
      </c>
      <c r="AA739" s="109">
        <v>0</v>
      </c>
      <c r="AB739" s="110">
        <v>0</v>
      </c>
      <c r="AC739" s="238">
        <f t="shared" si="39"/>
        <v>0</v>
      </c>
      <c r="AD739" s="238"/>
      <c r="AE739" s="238"/>
    </row>
    <row r="740" spans="2:31" x14ac:dyDescent="0.3">
      <c r="B740" s="245" t="s">
        <v>53</v>
      </c>
      <c r="C740" s="245"/>
      <c r="D740" s="245"/>
      <c r="E740" s="109">
        <v>0</v>
      </c>
      <c r="F740" s="110">
        <v>0</v>
      </c>
      <c r="G740" s="109">
        <v>0</v>
      </c>
      <c r="H740" s="110">
        <v>0</v>
      </c>
      <c r="I740" s="109">
        <v>0</v>
      </c>
      <c r="J740" s="110">
        <v>0</v>
      </c>
      <c r="K740" s="109">
        <v>0</v>
      </c>
      <c r="L740" s="110">
        <v>0</v>
      </c>
      <c r="M740" s="109">
        <v>0</v>
      </c>
      <c r="N740" s="110">
        <v>0</v>
      </c>
      <c r="O740" s="109">
        <v>0</v>
      </c>
      <c r="P740" s="110">
        <v>0</v>
      </c>
      <c r="Q740" s="109">
        <v>0</v>
      </c>
      <c r="R740" s="110">
        <v>0</v>
      </c>
      <c r="S740" s="109">
        <v>0</v>
      </c>
      <c r="T740" s="110">
        <v>0</v>
      </c>
      <c r="U740" s="109">
        <v>0</v>
      </c>
      <c r="V740" s="110">
        <v>0</v>
      </c>
      <c r="W740" s="109">
        <v>0</v>
      </c>
      <c r="X740" s="110">
        <v>0</v>
      </c>
      <c r="Y740" s="109">
        <v>0</v>
      </c>
      <c r="Z740" s="110">
        <v>0</v>
      </c>
      <c r="AA740" s="109">
        <v>0</v>
      </c>
      <c r="AB740" s="110">
        <v>0</v>
      </c>
      <c r="AC740" s="238">
        <f t="shared" si="39"/>
        <v>0</v>
      </c>
      <c r="AD740" s="238"/>
      <c r="AE740" s="238"/>
    </row>
    <row r="741" spans="2:31" x14ac:dyDescent="0.3">
      <c r="B741" s="245" t="s">
        <v>54</v>
      </c>
      <c r="C741" s="245"/>
      <c r="D741" s="245"/>
      <c r="E741" s="109">
        <v>0</v>
      </c>
      <c r="F741" s="110">
        <v>0</v>
      </c>
      <c r="G741" s="109">
        <v>0</v>
      </c>
      <c r="H741" s="110">
        <v>0</v>
      </c>
      <c r="I741" s="109">
        <v>0</v>
      </c>
      <c r="J741" s="110">
        <v>0</v>
      </c>
      <c r="K741" s="109">
        <v>0</v>
      </c>
      <c r="L741" s="110">
        <v>0</v>
      </c>
      <c r="M741" s="109">
        <v>0</v>
      </c>
      <c r="N741" s="110">
        <v>0</v>
      </c>
      <c r="O741" s="109">
        <v>0</v>
      </c>
      <c r="P741" s="110">
        <v>0</v>
      </c>
      <c r="Q741" s="109">
        <v>0</v>
      </c>
      <c r="R741" s="110">
        <v>0</v>
      </c>
      <c r="S741" s="109">
        <v>0</v>
      </c>
      <c r="T741" s="110">
        <v>0</v>
      </c>
      <c r="U741" s="109">
        <v>0</v>
      </c>
      <c r="V741" s="110">
        <v>0</v>
      </c>
      <c r="W741" s="109">
        <v>0</v>
      </c>
      <c r="X741" s="110">
        <v>0</v>
      </c>
      <c r="Y741" s="109">
        <v>0</v>
      </c>
      <c r="Z741" s="110">
        <v>0</v>
      </c>
      <c r="AA741" s="109">
        <v>0</v>
      </c>
      <c r="AB741" s="110">
        <v>0</v>
      </c>
      <c r="AC741" s="238">
        <f t="shared" si="39"/>
        <v>0</v>
      </c>
      <c r="AD741" s="238"/>
      <c r="AE741" s="238"/>
    </row>
    <row r="742" spans="2:31" x14ac:dyDescent="0.3">
      <c r="B742" s="245" t="s">
        <v>55</v>
      </c>
      <c r="C742" s="245"/>
      <c r="D742" s="245"/>
      <c r="E742" s="109">
        <v>0</v>
      </c>
      <c r="F742" s="110">
        <v>0</v>
      </c>
      <c r="G742" s="109">
        <v>0</v>
      </c>
      <c r="H742" s="110">
        <v>0</v>
      </c>
      <c r="I742" s="109">
        <v>0</v>
      </c>
      <c r="J742" s="110">
        <v>0</v>
      </c>
      <c r="K742" s="109">
        <v>0</v>
      </c>
      <c r="L742" s="110">
        <v>0</v>
      </c>
      <c r="M742" s="109">
        <v>0</v>
      </c>
      <c r="N742" s="110">
        <v>0</v>
      </c>
      <c r="O742" s="109">
        <v>0</v>
      </c>
      <c r="P742" s="110">
        <v>0</v>
      </c>
      <c r="Q742" s="109">
        <v>0</v>
      </c>
      <c r="R742" s="110">
        <v>46.799999999999976</v>
      </c>
      <c r="S742" s="109">
        <v>0</v>
      </c>
      <c r="T742" s="110">
        <v>0</v>
      </c>
      <c r="U742" s="109">
        <v>0</v>
      </c>
      <c r="V742" s="110">
        <v>0</v>
      </c>
      <c r="W742" s="109">
        <v>0</v>
      </c>
      <c r="X742" s="110">
        <v>0</v>
      </c>
      <c r="Y742" s="109">
        <v>0</v>
      </c>
      <c r="Z742" s="110">
        <v>0</v>
      </c>
      <c r="AA742" s="109">
        <v>0</v>
      </c>
      <c r="AB742" s="110">
        <v>0</v>
      </c>
      <c r="AC742" s="238">
        <f t="shared" si="39"/>
        <v>46.799999999999976</v>
      </c>
      <c r="AD742" s="238"/>
      <c r="AE742" s="238"/>
    </row>
    <row r="743" spans="2:31" x14ac:dyDescent="0.3">
      <c r="B743" s="245" t="s">
        <v>56</v>
      </c>
      <c r="C743" s="245"/>
      <c r="D743" s="245"/>
      <c r="E743" s="109">
        <v>0</v>
      </c>
      <c r="F743" s="110">
        <v>0</v>
      </c>
      <c r="G743" s="109">
        <v>0</v>
      </c>
      <c r="H743" s="110">
        <v>0</v>
      </c>
      <c r="I743" s="109">
        <v>0</v>
      </c>
      <c r="J743" s="110">
        <v>0</v>
      </c>
      <c r="K743" s="109">
        <v>0</v>
      </c>
      <c r="L743" s="110">
        <v>0</v>
      </c>
      <c r="M743" s="109">
        <v>0</v>
      </c>
      <c r="N743" s="110">
        <v>0</v>
      </c>
      <c r="O743" s="109">
        <v>0</v>
      </c>
      <c r="P743" s="110">
        <v>0</v>
      </c>
      <c r="Q743" s="109">
        <v>0</v>
      </c>
      <c r="R743" s="110">
        <v>0</v>
      </c>
      <c r="S743" s="109">
        <v>0</v>
      </c>
      <c r="T743" s="110">
        <v>0</v>
      </c>
      <c r="U743" s="109">
        <v>0</v>
      </c>
      <c r="V743" s="110">
        <v>0</v>
      </c>
      <c r="W743" s="109">
        <v>0</v>
      </c>
      <c r="X743" s="110">
        <v>0</v>
      </c>
      <c r="Y743" s="109">
        <v>0</v>
      </c>
      <c r="Z743" s="110">
        <v>0</v>
      </c>
      <c r="AA743" s="109">
        <v>0</v>
      </c>
      <c r="AB743" s="110">
        <v>0</v>
      </c>
      <c r="AC743" s="238">
        <f t="shared" si="39"/>
        <v>0</v>
      </c>
      <c r="AD743" s="238"/>
      <c r="AE743" s="238"/>
    </row>
    <row r="744" spans="2:31" x14ac:dyDescent="0.3">
      <c r="B744" s="245" t="s">
        <v>94</v>
      </c>
      <c r="C744" s="245"/>
      <c r="D744" s="245"/>
      <c r="E744" s="109">
        <v>0</v>
      </c>
      <c r="F744" s="110">
        <v>0</v>
      </c>
      <c r="G744" s="109">
        <v>0</v>
      </c>
      <c r="H744" s="110">
        <v>0</v>
      </c>
      <c r="I744" s="109">
        <v>0</v>
      </c>
      <c r="J744" s="110">
        <v>0</v>
      </c>
      <c r="K744" s="109">
        <v>0</v>
      </c>
      <c r="L744" s="110">
        <v>0</v>
      </c>
      <c r="M744" s="109">
        <v>0</v>
      </c>
      <c r="N744" s="110">
        <v>0</v>
      </c>
      <c r="O744" s="109">
        <v>0</v>
      </c>
      <c r="P744" s="110">
        <v>0</v>
      </c>
      <c r="Q744" s="109">
        <v>0</v>
      </c>
      <c r="R744" s="110">
        <v>0</v>
      </c>
      <c r="S744" s="109">
        <v>0</v>
      </c>
      <c r="T744" s="110">
        <v>0</v>
      </c>
      <c r="U744" s="109">
        <v>0</v>
      </c>
      <c r="V744" s="110">
        <v>0</v>
      </c>
      <c r="W744" s="109">
        <v>0</v>
      </c>
      <c r="X744" s="110">
        <v>0</v>
      </c>
      <c r="Y744" s="109">
        <v>0</v>
      </c>
      <c r="Z744" s="110">
        <v>0</v>
      </c>
      <c r="AA744" s="109">
        <v>0</v>
      </c>
      <c r="AB744" s="110">
        <v>0</v>
      </c>
      <c r="AC744" s="238">
        <f t="shared" si="39"/>
        <v>0</v>
      </c>
      <c r="AD744" s="238"/>
      <c r="AE744" s="238"/>
    </row>
    <row r="745" spans="2:31" x14ac:dyDescent="0.3">
      <c r="B745" s="245" t="s">
        <v>57</v>
      </c>
      <c r="C745" s="245"/>
      <c r="D745" s="245"/>
      <c r="E745" s="109">
        <v>0</v>
      </c>
      <c r="F745" s="110">
        <v>0</v>
      </c>
      <c r="G745" s="109">
        <v>0</v>
      </c>
      <c r="H745" s="110">
        <v>0</v>
      </c>
      <c r="I745" s="109">
        <v>0</v>
      </c>
      <c r="J745" s="110">
        <v>0</v>
      </c>
      <c r="K745" s="109">
        <v>0</v>
      </c>
      <c r="L745" s="110">
        <v>0</v>
      </c>
      <c r="M745" s="109">
        <v>0</v>
      </c>
      <c r="N745" s="110">
        <v>0</v>
      </c>
      <c r="O745" s="109">
        <v>0</v>
      </c>
      <c r="P745" s="110">
        <v>0</v>
      </c>
      <c r="Q745" s="109">
        <v>2.7299999999999995</v>
      </c>
      <c r="R745" s="110">
        <v>7.673499999999998</v>
      </c>
      <c r="S745" s="109">
        <v>0</v>
      </c>
      <c r="T745" s="110">
        <v>0</v>
      </c>
      <c r="U745" s="109">
        <v>0</v>
      </c>
      <c r="V745" s="110">
        <v>0</v>
      </c>
      <c r="W745" s="109">
        <v>0</v>
      </c>
      <c r="X745" s="110">
        <v>0</v>
      </c>
      <c r="Y745" s="109">
        <v>0</v>
      </c>
      <c r="Z745" s="110">
        <v>0</v>
      </c>
      <c r="AA745" s="109">
        <v>0</v>
      </c>
      <c r="AB745" s="110">
        <v>0</v>
      </c>
      <c r="AC745" s="238">
        <f t="shared" si="39"/>
        <v>10.403499999999998</v>
      </c>
      <c r="AD745" s="238"/>
      <c r="AE745" s="238"/>
    </row>
    <row r="746" spans="2:31" x14ac:dyDescent="0.3">
      <c r="B746" s="245" t="s">
        <v>58</v>
      </c>
      <c r="C746" s="245"/>
      <c r="D746" s="245"/>
      <c r="E746" s="109">
        <v>0</v>
      </c>
      <c r="F746" s="110">
        <v>0</v>
      </c>
      <c r="G746" s="109">
        <v>0</v>
      </c>
      <c r="H746" s="110">
        <v>0</v>
      </c>
      <c r="I746" s="109">
        <v>0</v>
      </c>
      <c r="J746" s="110">
        <v>0</v>
      </c>
      <c r="K746" s="109">
        <v>0</v>
      </c>
      <c r="L746" s="110">
        <v>0</v>
      </c>
      <c r="M746" s="109">
        <v>0</v>
      </c>
      <c r="N746" s="110">
        <v>0</v>
      </c>
      <c r="O746" s="109">
        <v>0</v>
      </c>
      <c r="P746" s="110">
        <v>0</v>
      </c>
      <c r="Q746" s="109">
        <v>9.6211666666666638</v>
      </c>
      <c r="R746" s="110">
        <v>31.09516666666665</v>
      </c>
      <c r="S746" s="109">
        <v>0</v>
      </c>
      <c r="T746" s="110">
        <v>0</v>
      </c>
      <c r="U746" s="109">
        <v>0</v>
      </c>
      <c r="V746" s="110">
        <v>0</v>
      </c>
      <c r="W746" s="109">
        <v>0</v>
      </c>
      <c r="X746" s="110">
        <v>0</v>
      </c>
      <c r="Y746" s="109">
        <v>0</v>
      </c>
      <c r="Z746" s="110">
        <v>0</v>
      </c>
      <c r="AA746" s="109">
        <v>0</v>
      </c>
      <c r="AB746" s="110">
        <v>0</v>
      </c>
      <c r="AC746" s="238">
        <f t="shared" si="39"/>
        <v>40.71633333333331</v>
      </c>
      <c r="AD746" s="238"/>
      <c r="AE746" s="238"/>
    </row>
    <row r="747" spans="2:31" x14ac:dyDescent="0.3">
      <c r="B747" s="245" t="s">
        <v>95</v>
      </c>
      <c r="C747" s="245"/>
      <c r="D747" s="245"/>
      <c r="E747" s="109">
        <v>0</v>
      </c>
      <c r="F747" s="110">
        <v>0</v>
      </c>
      <c r="G747" s="109">
        <v>0</v>
      </c>
      <c r="H747" s="110">
        <v>0</v>
      </c>
      <c r="I747" s="109">
        <v>0</v>
      </c>
      <c r="J747" s="110">
        <v>0</v>
      </c>
      <c r="K747" s="109">
        <v>0</v>
      </c>
      <c r="L747" s="110">
        <v>0</v>
      </c>
      <c r="M747" s="109">
        <v>0</v>
      </c>
      <c r="N747" s="110">
        <v>0</v>
      </c>
      <c r="O747" s="109">
        <v>0</v>
      </c>
      <c r="P747" s="110">
        <v>0</v>
      </c>
      <c r="Q747" s="109">
        <v>0</v>
      </c>
      <c r="R747" s="110">
        <v>0</v>
      </c>
      <c r="S747" s="109">
        <v>0</v>
      </c>
      <c r="T747" s="110">
        <v>0</v>
      </c>
      <c r="U747" s="109">
        <v>0</v>
      </c>
      <c r="V747" s="110">
        <v>0</v>
      </c>
      <c r="W747" s="109">
        <v>0</v>
      </c>
      <c r="X747" s="110">
        <v>0</v>
      </c>
      <c r="Y747" s="109">
        <v>0</v>
      </c>
      <c r="Z747" s="110">
        <v>0</v>
      </c>
      <c r="AA747" s="109">
        <v>0</v>
      </c>
      <c r="AB747" s="110">
        <v>0</v>
      </c>
      <c r="AC747" s="238">
        <f t="shared" si="39"/>
        <v>0</v>
      </c>
      <c r="AD747" s="238"/>
      <c r="AE747" s="238"/>
    </row>
    <row r="748" spans="2:31" x14ac:dyDescent="0.3">
      <c r="B748" s="245" t="s">
        <v>59</v>
      </c>
      <c r="C748" s="245"/>
      <c r="D748" s="245"/>
      <c r="E748" s="109">
        <v>0</v>
      </c>
      <c r="F748" s="110">
        <v>0</v>
      </c>
      <c r="G748" s="109">
        <v>0</v>
      </c>
      <c r="H748" s="110">
        <v>0</v>
      </c>
      <c r="I748" s="109">
        <v>0</v>
      </c>
      <c r="J748" s="110">
        <v>0</v>
      </c>
      <c r="K748" s="109">
        <v>0</v>
      </c>
      <c r="L748" s="110">
        <v>0</v>
      </c>
      <c r="M748" s="109">
        <v>0</v>
      </c>
      <c r="N748" s="110">
        <v>0</v>
      </c>
      <c r="O748" s="109">
        <v>0</v>
      </c>
      <c r="P748" s="110">
        <v>0</v>
      </c>
      <c r="Q748" s="109">
        <v>5.6831666666666658</v>
      </c>
      <c r="R748" s="110">
        <v>8.0168333333333326</v>
      </c>
      <c r="S748" s="109">
        <v>0</v>
      </c>
      <c r="T748" s="110">
        <v>0</v>
      </c>
      <c r="U748" s="109">
        <v>0</v>
      </c>
      <c r="V748" s="110">
        <v>0</v>
      </c>
      <c r="W748" s="109">
        <v>0</v>
      </c>
      <c r="X748" s="110">
        <v>0</v>
      </c>
      <c r="Y748" s="109">
        <v>0</v>
      </c>
      <c r="Z748" s="110">
        <v>0</v>
      </c>
      <c r="AA748" s="109">
        <v>0</v>
      </c>
      <c r="AB748" s="110">
        <v>0</v>
      </c>
      <c r="AC748" s="238">
        <f t="shared" si="39"/>
        <v>13.7</v>
      </c>
      <c r="AD748" s="238"/>
      <c r="AE748" s="238"/>
    </row>
    <row r="749" spans="2:31" x14ac:dyDescent="0.3">
      <c r="B749" s="245" t="s">
        <v>60</v>
      </c>
      <c r="C749" s="245"/>
      <c r="D749" s="245"/>
      <c r="E749" s="109">
        <v>0</v>
      </c>
      <c r="F749" s="110">
        <v>0</v>
      </c>
      <c r="G749" s="109">
        <v>0</v>
      </c>
      <c r="H749" s="110">
        <v>0</v>
      </c>
      <c r="I749" s="109">
        <v>0</v>
      </c>
      <c r="J749" s="110">
        <v>0</v>
      </c>
      <c r="K749" s="109">
        <v>0</v>
      </c>
      <c r="L749" s="110">
        <v>0</v>
      </c>
      <c r="M749" s="109">
        <v>0</v>
      </c>
      <c r="N749" s="110">
        <v>0</v>
      </c>
      <c r="O749" s="109">
        <v>0</v>
      </c>
      <c r="P749" s="110">
        <v>0</v>
      </c>
      <c r="Q749" s="109">
        <v>4.7000000000000007E-2</v>
      </c>
      <c r="R749" s="110">
        <v>6.9500000000000034E-2</v>
      </c>
      <c r="S749" s="109">
        <v>0</v>
      </c>
      <c r="T749" s="110">
        <v>0</v>
      </c>
      <c r="U749" s="109">
        <v>0</v>
      </c>
      <c r="V749" s="110">
        <v>0</v>
      </c>
      <c r="W749" s="109">
        <v>0</v>
      </c>
      <c r="X749" s="110">
        <v>0</v>
      </c>
      <c r="Y749" s="109">
        <v>0</v>
      </c>
      <c r="Z749" s="110">
        <v>0</v>
      </c>
      <c r="AA749" s="109">
        <v>0</v>
      </c>
      <c r="AB749" s="110">
        <v>0</v>
      </c>
      <c r="AC749" s="238">
        <f t="shared" si="39"/>
        <v>0.11650000000000005</v>
      </c>
      <c r="AD749" s="238"/>
      <c r="AE749" s="238"/>
    </row>
    <row r="750" spans="2:31" x14ac:dyDescent="0.3">
      <c r="B750" s="245" t="s">
        <v>61</v>
      </c>
      <c r="C750" s="245"/>
      <c r="D750" s="245"/>
      <c r="E750" s="109">
        <v>0</v>
      </c>
      <c r="F750" s="110">
        <v>0</v>
      </c>
      <c r="G750" s="109">
        <v>0</v>
      </c>
      <c r="H750" s="110">
        <v>0</v>
      </c>
      <c r="I750" s="109">
        <v>0</v>
      </c>
      <c r="J750" s="110">
        <v>0</v>
      </c>
      <c r="K750" s="109">
        <v>0</v>
      </c>
      <c r="L750" s="110">
        <v>0</v>
      </c>
      <c r="M750" s="109">
        <v>0</v>
      </c>
      <c r="N750" s="110">
        <v>0</v>
      </c>
      <c r="O750" s="109">
        <v>0</v>
      </c>
      <c r="P750" s="110">
        <v>0</v>
      </c>
      <c r="Q750" s="109">
        <v>1.1308333333333311</v>
      </c>
      <c r="R750" s="110">
        <v>3.1705000000000023</v>
      </c>
      <c r="S750" s="109">
        <v>0</v>
      </c>
      <c r="T750" s="110">
        <v>0</v>
      </c>
      <c r="U750" s="109">
        <v>0</v>
      </c>
      <c r="V750" s="110">
        <v>0</v>
      </c>
      <c r="W750" s="109">
        <v>0</v>
      </c>
      <c r="X750" s="110">
        <v>0</v>
      </c>
      <c r="Y750" s="109">
        <v>0</v>
      </c>
      <c r="Z750" s="110">
        <v>0</v>
      </c>
      <c r="AA750" s="109">
        <v>0</v>
      </c>
      <c r="AB750" s="110">
        <v>0</v>
      </c>
      <c r="AC750" s="238">
        <f t="shared" si="39"/>
        <v>4.3013333333333339</v>
      </c>
      <c r="AD750" s="238"/>
      <c r="AE750" s="238"/>
    </row>
    <row r="751" spans="2:31" x14ac:dyDescent="0.3">
      <c r="B751" s="245" t="s">
        <v>62</v>
      </c>
      <c r="C751" s="245"/>
      <c r="D751" s="245"/>
      <c r="E751" s="109">
        <v>0</v>
      </c>
      <c r="F751" s="110">
        <v>0</v>
      </c>
      <c r="G751" s="109">
        <v>0</v>
      </c>
      <c r="H751" s="110">
        <v>0</v>
      </c>
      <c r="I751" s="109">
        <v>0</v>
      </c>
      <c r="J751" s="110">
        <v>0</v>
      </c>
      <c r="K751" s="109">
        <v>0</v>
      </c>
      <c r="L751" s="110">
        <v>0</v>
      </c>
      <c r="M751" s="109">
        <v>0</v>
      </c>
      <c r="N751" s="110">
        <v>0</v>
      </c>
      <c r="O751" s="109">
        <v>0</v>
      </c>
      <c r="P751" s="110">
        <v>0</v>
      </c>
      <c r="Q751" s="109">
        <v>0.7838333333333336</v>
      </c>
      <c r="R751" s="110">
        <v>0</v>
      </c>
      <c r="S751" s="109">
        <v>0</v>
      </c>
      <c r="T751" s="110">
        <v>0</v>
      </c>
      <c r="U751" s="109">
        <v>0</v>
      </c>
      <c r="V751" s="110">
        <v>0</v>
      </c>
      <c r="W751" s="109">
        <v>0</v>
      </c>
      <c r="X751" s="110">
        <v>0</v>
      </c>
      <c r="Y751" s="109">
        <v>0</v>
      </c>
      <c r="Z751" s="110">
        <v>0</v>
      </c>
      <c r="AA751" s="109">
        <v>0</v>
      </c>
      <c r="AB751" s="110">
        <v>0</v>
      </c>
      <c r="AC751" s="238">
        <f t="shared" si="39"/>
        <v>0.7838333333333336</v>
      </c>
      <c r="AD751" s="238"/>
      <c r="AE751" s="238"/>
    </row>
    <row r="752" spans="2:31" x14ac:dyDescent="0.3">
      <c r="B752" s="245" t="s">
        <v>63</v>
      </c>
      <c r="C752" s="245"/>
      <c r="D752" s="245"/>
      <c r="E752" s="109">
        <v>0</v>
      </c>
      <c r="F752" s="110">
        <v>0</v>
      </c>
      <c r="G752" s="109">
        <v>0</v>
      </c>
      <c r="H752" s="110">
        <v>0</v>
      </c>
      <c r="I752" s="109">
        <v>0</v>
      </c>
      <c r="J752" s="110">
        <v>0</v>
      </c>
      <c r="K752" s="109">
        <v>0</v>
      </c>
      <c r="L752" s="110">
        <v>0</v>
      </c>
      <c r="M752" s="109">
        <v>0</v>
      </c>
      <c r="N752" s="110">
        <v>0</v>
      </c>
      <c r="O752" s="109">
        <v>0</v>
      </c>
      <c r="P752" s="110">
        <v>0</v>
      </c>
      <c r="Q752" s="109">
        <v>0</v>
      </c>
      <c r="R752" s="110">
        <v>0</v>
      </c>
      <c r="S752" s="109">
        <v>0</v>
      </c>
      <c r="T752" s="110">
        <v>0</v>
      </c>
      <c r="U752" s="109">
        <v>0</v>
      </c>
      <c r="V752" s="110">
        <v>0</v>
      </c>
      <c r="W752" s="109">
        <v>0</v>
      </c>
      <c r="X752" s="110">
        <v>0</v>
      </c>
      <c r="Y752" s="109">
        <v>0</v>
      </c>
      <c r="Z752" s="110">
        <v>0</v>
      </c>
      <c r="AA752" s="109">
        <v>0</v>
      </c>
      <c r="AB752" s="110">
        <v>0</v>
      </c>
      <c r="AC752" s="238">
        <f t="shared" si="39"/>
        <v>0</v>
      </c>
      <c r="AD752" s="238"/>
      <c r="AE752" s="238"/>
    </row>
    <row r="753" spans="2:31" x14ac:dyDescent="0.3">
      <c r="B753" s="245" t="s">
        <v>64</v>
      </c>
      <c r="C753" s="245"/>
      <c r="D753" s="245"/>
      <c r="E753" s="109">
        <v>0</v>
      </c>
      <c r="F753" s="110">
        <v>0</v>
      </c>
      <c r="G753" s="109">
        <v>0</v>
      </c>
      <c r="H753" s="110">
        <v>0</v>
      </c>
      <c r="I753" s="109">
        <v>0</v>
      </c>
      <c r="J753" s="110">
        <v>0</v>
      </c>
      <c r="K753" s="109">
        <v>0</v>
      </c>
      <c r="L753" s="110">
        <v>0</v>
      </c>
      <c r="M753" s="109">
        <v>0</v>
      </c>
      <c r="N753" s="110">
        <v>0</v>
      </c>
      <c r="O753" s="109">
        <v>0</v>
      </c>
      <c r="P753" s="110">
        <v>0</v>
      </c>
      <c r="Q753" s="109">
        <v>0</v>
      </c>
      <c r="R753" s="110">
        <v>0</v>
      </c>
      <c r="S753" s="109">
        <v>0</v>
      </c>
      <c r="T753" s="110">
        <v>0</v>
      </c>
      <c r="U753" s="109">
        <v>0</v>
      </c>
      <c r="V753" s="110">
        <v>0</v>
      </c>
      <c r="W753" s="109">
        <v>0</v>
      </c>
      <c r="X753" s="110">
        <v>0</v>
      </c>
      <c r="Y753" s="109">
        <v>0</v>
      </c>
      <c r="Z753" s="110">
        <v>0</v>
      </c>
      <c r="AA753" s="109">
        <v>0</v>
      </c>
      <c r="AB753" s="110">
        <v>0</v>
      </c>
      <c r="AC753" s="238">
        <f t="shared" si="39"/>
        <v>0</v>
      </c>
      <c r="AD753" s="238"/>
      <c r="AE753" s="238"/>
    </row>
    <row r="754" spans="2:31" x14ac:dyDescent="0.3">
      <c r="B754" s="245" t="s">
        <v>96</v>
      </c>
      <c r="C754" s="245"/>
      <c r="D754" s="245"/>
      <c r="E754" s="109">
        <v>0</v>
      </c>
      <c r="F754" s="110">
        <v>0</v>
      </c>
      <c r="G754" s="109">
        <v>0</v>
      </c>
      <c r="H754" s="110">
        <v>0</v>
      </c>
      <c r="I754" s="109">
        <v>0</v>
      </c>
      <c r="J754" s="110">
        <v>0</v>
      </c>
      <c r="K754" s="109">
        <v>0</v>
      </c>
      <c r="L754" s="110">
        <v>0</v>
      </c>
      <c r="M754" s="109">
        <v>0</v>
      </c>
      <c r="N754" s="110">
        <v>0</v>
      </c>
      <c r="O754" s="109">
        <v>0</v>
      </c>
      <c r="P754" s="110">
        <v>0</v>
      </c>
      <c r="Q754" s="109">
        <v>0</v>
      </c>
      <c r="R754" s="110">
        <v>0</v>
      </c>
      <c r="S754" s="109">
        <v>0</v>
      </c>
      <c r="T754" s="110">
        <v>0</v>
      </c>
      <c r="U754" s="109">
        <v>0</v>
      </c>
      <c r="V754" s="110">
        <v>0</v>
      </c>
      <c r="W754" s="109">
        <v>0</v>
      </c>
      <c r="X754" s="110">
        <v>0</v>
      </c>
      <c r="Y754" s="109">
        <v>0</v>
      </c>
      <c r="Z754" s="110">
        <v>0</v>
      </c>
      <c r="AA754" s="109">
        <v>0</v>
      </c>
      <c r="AB754" s="110">
        <v>0</v>
      </c>
      <c r="AC754" s="238">
        <f t="shared" si="39"/>
        <v>0</v>
      </c>
      <c r="AD754" s="238"/>
      <c r="AE754" s="238"/>
    </row>
    <row r="755" spans="2:31" x14ac:dyDescent="0.3">
      <c r="B755" s="245" t="s">
        <v>65</v>
      </c>
      <c r="C755" s="245"/>
      <c r="D755" s="245"/>
      <c r="E755" s="109">
        <v>0</v>
      </c>
      <c r="F755" s="110">
        <v>0</v>
      </c>
      <c r="G755" s="109">
        <v>0</v>
      </c>
      <c r="H755" s="110">
        <v>0</v>
      </c>
      <c r="I755" s="109">
        <v>0</v>
      </c>
      <c r="J755" s="110">
        <v>0</v>
      </c>
      <c r="K755" s="109">
        <v>0</v>
      </c>
      <c r="L755" s="110">
        <v>0</v>
      </c>
      <c r="M755" s="109">
        <v>0</v>
      </c>
      <c r="N755" s="110">
        <v>0</v>
      </c>
      <c r="O755" s="109">
        <v>0</v>
      </c>
      <c r="P755" s="110">
        <v>0</v>
      </c>
      <c r="Q755" s="109">
        <v>0</v>
      </c>
      <c r="R755" s="110">
        <v>0.28416666666666662</v>
      </c>
      <c r="S755" s="109">
        <v>0</v>
      </c>
      <c r="T755" s="110">
        <v>0</v>
      </c>
      <c r="U755" s="109">
        <v>0</v>
      </c>
      <c r="V755" s="110">
        <v>0</v>
      </c>
      <c r="W755" s="109">
        <v>0</v>
      </c>
      <c r="X755" s="110">
        <v>0</v>
      </c>
      <c r="Y755" s="109">
        <v>0</v>
      </c>
      <c r="Z755" s="110">
        <v>0</v>
      </c>
      <c r="AA755" s="109">
        <v>0</v>
      </c>
      <c r="AB755" s="110">
        <v>0</v>
      </c>
      <c r="AC755" s="238">
        <f t="shared" si="39"/>
        <v>0.28416666666666662</v>
      </c>
      <c r="AD755" s="238"/>
      <c r="AE755" s="238"/>
    </row>
    <row r="756" spans="2:31" x14ac:dyDescent="0.3">
      <c r="B756" s="245" t="s">
        <v>66</v>
      </c>
      <c r="C756" s="245"/>
      <c r="D756" s="245"/>
      <c r="E756" s="109">
        <v>0</v>
      </c>
      <c r="F756" s="110">
        <v>0</v>
      </c>
      <c r="G756" s="109">
        <v>0</v>
      </c>
      <c r="H756" s="110">
        <v>0</v>
      </c>
      <c r="I756" s="109">
        <v>0</v>
      </c>
      <c r="J756" s="110">
        <v>0</v>
      </c>
      <c r="K756" s="109">
        <v>0</v>
      </c>
      <c r="L756" s="110">
        <v>0</v>
      </c>
      <c r="M756" s="109">
        <v>0</v>
      </c>
      <c r="N756" s="110">
        <v>0</v>
      </c>
      <c r="O756" s="109">
        <v>0</v>
      </c>
      <c r="P756" s="110">
        <v>0</v>
      </c>
      <c r="Q756" s="109">
        <v>0.38916666666666799</v>
      </c>
      <c r="R756" s="110">
        <v>4.4376666666666669</v>
      </c>
      <c r="S756" s="109">
        <v>0</v>
      </c>
      <c r="T756" s="110">
        <v>0</v>
      </c>
      <c r="U756" s="109">
        <v>0</v>
      </c>
      <c r="V756" s="110">
        <v>0</v>
      </c>
      <c r="W756" s="109">
        <v>0</v>
      </c>
      <c r="X756" s="110">
        <v>0</v>
      </c>
      <c r="Y756" s="109">
        <v>0</v>
      </c>
      <c r="Z756" s="110">
        <v>0</v>
      </c>
      <c r="AA756" s="109">
        <v>0</v>
      </c>
      <c r="AB756" s="110">
        <v>0</v>
      </c>
      <c r="AC756" s="238">
        <f>SUM(E756:AB756)</f>
        <v>4.8268333333333349</v>
      </c>
      <c r="AD756" s="238"/>
      <c r="AE756" s="238"/>
    </row>
    <row r="757" spans="2:31" x14ac:dyDescent="0.3">
      <c r="B757" s="245" t="s">
        <v>67</v>
      </c>
      <c r="C757" s="245"/>
      <c r="D757" s="245"/>
      <c r="E757" s="109">
        <v>0</v>
      </c>
      <c r="F757" s="110">
        <v>0</v>
      </c>
      <c r="G757" s="109">
        <v>0</v>
      </c>
      <c r="H757" s="110">
        <v>0</v>
      </c>
      <c r="I757" s="109">
        <v>0</v>
      </c>
      <c r="J757" s="110">
        <v>0</v>
      </c>
      <c r="K757" s="109">
        <v>0</v>
      </c>
      <c r="L757" s="110">
        <v>0</v>
      </c>
      <c r="M757" s="109">
        <v>0</v>
      </c>
      <c r="N757" s="110">
        <v>0</v>
      </c>
      <c r="O757" s="109">
        <v>0</v>
      </c>
      <c r="P757" s="110">
        <v>0</v>
      </c>
      <c r="Q757" s="109">
        <v>0.16666666666666666</v>
      </c>
      <c r="R757" s="110">
        <v>5.6666666666666643E-2</v>
      </c>
      <c r="S757" s="109">
        <v>0</v>
      </c>
      <c r="T757" s="110">
        <v>0</v>
      </c>
      <c r="U757" s="109">
        <v>0</v>
      </c>
      <c r="V757" s="110">
        <v>0</v>
      </c>
      <c r="W757" s="109">
        <v>0</v>
      </c>
      <c r="X757" s="110">
        <v>0</v>
      </c>
      <c r="Y757" s="109">
        <v>0</v>
      </c>
      <c r="Z757" s="110">
        <v>0</v>
      </c>
      <c r="AA757" s="109">
        <v>0</v>
      </c>
      <c r="AB757" s="110">
        <v>0</v>
      </c>
      <c r="AC757" s="238">
        <f t="shared" ref="AC757:AC770" si="40">SUM(E757:AB757)</f>
        <v>0.2233333333333333</v>
      </c>
      <c r="AD757" s="238"/>
      <c r="AE757" s="238"/>
    </row>
    <row r="758" spans="2:31" x14ac:dyDescent="0.3">
      <c r="B758" s="245" t="s">
        <v>68</v>
      </c>
      <c r="C758" s="245"/>
      <c r="D758" s="245"/>
      <c r="E758" s="109">
        <v>0</v>
      </c>
      <c r="F758" s="110">
        <v>0</v>
      </c>
      <c r="G758" s="109">
        <v>0</v>
      </c>
      <c r="H758" s="110">
        <v>0</v>
      </c>
      <c r="I758" s="109">
        <v>0</v>
      </c>
      <c r="J758" s="110">
        <v>0</v>
      </c>
      <c r="K758" s="109">
        <v>0</v>
      </c>
      <c r="L758" s="110">
        <v>0</v>
      </c>
      <c r="M758" s="109">
        <v>0</v>
      </c>
      <c r="N758" s="110">
        <v>0</v>
      </c>
      <c r="O758" s="109">
        <v>0</v>
      </c>
      <c r="P758" s="110">
        <v>0</v>
      </c>
      <c r="Q758" s="109">
        <v>0.83899999999999864</v>
      </c>
      <c r="R758" s="110">
        <v>0.86833333333333373</v>
      </c>
      <c r="S758" s="109">
        <v>0</v>
      </c>
      <c r="T758" s="110">
        <v>0</v>
      </c>
      <c r="U758" s="109">
        <v>0</v>
      </c>
      <c r="V758" s="110">
        <v>0</v>
      </c>
      <c r="W758" s="109">
        <v>0</v>
      </c>
      <c r="X758" s="110">
        <v>0</v>
      </c>
      <c r="Y758" s="109">
        <v>0</v>
      </c>
      <c r="Z758" s="110">
        <v>0</v>
      </c>
      <c r="AA758" s="109">
        <v>0</v>
      </c>
      <c r="AB758" s="110">
        <v>0</v>
      </c>
      <c r="AC758" s="238">
        <f t="shared" si="40"/>
        <v>1.7073333333333323</v>
      </c>
      <c r="AD758" s="238"/>
      <c r="AE758" s="238"/>
    </row>
    <row r="759" spans="2:31" x14ac:dyDescent="0.3">
      <c r="B759" s="245" t="s">
        <v>69</v>
      </c>
      <c r="C759" s="245"/>
      <c r="D759" s="245"/>
      <c r="E759" s="109">
        <v>0</v>
      </c>
      <c r="F759" s="110">
        <v>0</v>
      </c>
      <c r="G759" s="109">
        <v>0</v>
      </c>
      <c r="H759" s="110">
        <v>0</v>
      </c>
      <c r="I759" s="109">
        <v>0</v>
      </c>
      <c r="J759" s="110">
        <v>0</v>
      </c>
      <c r="K759" s="109">
        <v>0</v>
      </c>
      <c r="L759" s="110">
        <v>0</v>
      </c>
      <c r="M759" s="109">
        <v>0</v>
      </c>
      <c r="N759" s="110">
        <v>0</v>
      </c>
      <c r="O759" s="109">
        <v>0</v>
      </c>
      <c r="P759" s="110">
        <v>0</v>
      </c>
      <c r="Q759" s="109">
        <v>0.52716666666666712</v>
      </c>
      <c r="R759" s="110">
        <v>3.9663333333333335</v>
      </c>
      <c r="S759" s="109">
        <v>0</v>
      </c>
      <c r="T759" s="110">
        <v>0</v>
      </c>
      <c r="U759" s="109">
        <v>0</v>
      </c>
      <c r="V759" s="110">
        <v>0</v>
      </c>
      <c r="W759" s="109">
        <v>0</v>
      </c>
      <c r="X759" s="110">
        <v>0</v>
      </c>
      <c r="Y759" s="109">
        <v>0</v>
      </c>
      <c r="Z759" s="110">
        <v>0</v>
      </c>
      <c r="AA759" s="109">
        <v>0</v>
      </c>
      <c r="AB759" s="110">
        <v>0</v>
      </c>
      <c r="AC759" s="238">
        <f t="shared" si="40"/>
        <v>4.4935000000000009</v>
      </c>
      <c r="AD759" s="238"/>
      <c r="AE759" s="238"/>
    </row>
    <row r="760" spans="2:31" x14ac:dyDescent="0.3">
      <c r="B760" s="245" t="s">
        <v>70</v>
      </c>
      <c r="C760" s="245"/>
      <c r="D760" s="245"/>
      <c r="E760" s="109">
        <v>0</v>
      </c>
      <c r="F760" s="110">
        <v>0</v>
      </c>
      <c r="G760" s="109">
        <v>0</v>
      </c>
      <c r="H760" s="110">
        <v>0</v>
      </c>
      <c r="I760" s="109">
        <v>0</v>
      </c>
      <c r="J760" s="110">
        <v>0</v>
      </c>
      <c r="K760" s="109">
        <v>0</v>
      </c>
      <c r="L760" s="110">
        <v>0</v>
      </c>
      <c r="M760" s="109">
        <v>0</v>
      </c>
      <c r="N760" s="110">
        <v>0</v>
      </c>
      <c r="O760" s="109">
        <v>0</v>
      </c>
      <c r="P760" s="110">
        <v>0</v>
      </c>
      <c r="Q760" s="109">
        <v>0</v>
      </c>
      <c r="R760" s="110">
        <v>0</v>
      </c>
      <c r="S760" s="109">
        <v>0</v>
      </c>
      <c r="T760" s="110">
        <v>0</v>
      </c>
      <c r="U760" s="109">
        <v>0</v>
      </c>
      <c r="V760" s="110">
        <v>0</v>
      </c>
      <c r="W760" s="109">
        <v>0</v>
      </c>
      <c r="X760" s="110">
        <v>0</v>
      </c>
      <c r="Y760" s="109">
        <v>0</v>
      </c>
      <c r="Z760" s="110">
        <v>0</v>
      </c>
      <c r="AA760" s="109">
        <v>0</v>
      </c>
      <c r="AB760" s="110">
        <v>0</v>
      </c>
      <c r="AC760" s="238">
        <f t="shared" si="40"/>
        <v>0</v>
      </c>
      <c r="AD760" s="238"/>
      <c r="AE760" s="238"/>
    </row>
    <row r="761" spans="2:31" x14ac:dyDescent="0.3">
      <c r="B761" s="245" t="s">
        <v>71</v>
      </c>
      <c r="C761" s="245"/>
      <c r="D761" s="245"/>
      <c r="E761" s="109">
        <v>0</v>
      </c>
      <c r="F761" s="110">
        <v>0</v>
      </c>
      <c r="G761" s="109">
        <v>0</v>
      </c>
      <c r="H761" s="110">
        <v>0</v>
      </c>
      <c r="I761" s="109">
        <v>0</v>
      </c>
      <c r="J761" s="110">
        <v>0</v>
      </c>
      <c r="K761" s="109">
        <v>0</v>
      </c>
      <c r="L761" s="110">
        <v>0</v>
      </c>
      <c r="M761" s="109">
        <v>0</v>
      </c>
      <c r="N761" s="110">
        <v>0</v>
      </c>
      <c r="O761" s="109">
        <v>0</v>
      </c>
      <c r="P761" s="110">
        <v>0</v>
      </c>
      <c r="Q761" s="109">
        <v>0</v>
      </c>
      <c r="R761" s="110">
        <v>0</v>
      </c>
      <c r="S761" s="109">
        <v>0</v>
      </c>
      <c r="T761" s="110">
        <v>0</v>
      </c>
      <c r="U761" s="109">
        <v>0</v>
      </c>
      <c r="V761" s="110">
        <v>0</v>
      </c>
      <c r="W761" s="109">
        <v>0</v>
      </c>
      <c r="X761" s="110">
        <v>0</v>
      </c>
      <c r="Y761" s="109">
        <v>0</v>
      </c>
      <c r="Z761" s="110">
        <v>0</v>
      </c>
      <c r="AA761" s="109">
        <v>0</v>
      </c>
      <c r="AB761" s="110">
        <v>0</v>
      </c>
      <c r="AC761" s="238">
        <f t="shared" si="40"/>
        <v>0</v>
      </c>
      <c r="AD761" s="238"/>
      <c r="AE761" s="238"/>
    </row>
    <row r="762" spans="2:31" x14ac:dyDescent="0.3">
      <c r="B762" s="245" t="s">
        <v>72</v>
      </c>
      <c r="C762" s="245"/>
      <c r="D762" s="245"/>
      <c r="E762" s="109">
        <v>0</v>
      </c>
      <c r="F762" s="110">
        <v>0</v>
      </c>
      <c r="G762" s="109">
        <v>0</v>
      </c>
      <c r="H762" s="110">
        <v>0</v>
      </c>
      <c r="I762" s="109">
        <v>0</v>
      </c>
      <c r="J762" s="110">
        <v>0</v>
      </c>
      <c r="K762" s="109">
        <v>0</v>
      </c>
      <c r="L762" s="110">
        <v>0</v>
      </c>
      <c r="M762" s="109">
        <v>0</v>
      </c>
      <c r="N762" s="110">
        <v>0</v>
      </c>
      <c r="O762" s="109">
        <v>0</v>
      </c>
      <c r="P762" s="110">
        <v>0</v>
      </c>
      <c r="Q762" s="109">
        <v>0</v>
      </c>
      <c r="R762" s="110">
        <v>0.29700000000000004</v>
      </c>
      <c r="S762" s="109">
        <v>0</v>
      </c>
      <c r="T762" s="110">
        <v>0</v>
      </c>
      <c r="U762" s="109">
        <v>0</v>
      </c>
      <c r="V762" s="110">
        <v>0</v>
      </c>
      <c r="W762" s="109">
        <v>0</v>
      </c>
      <c r="X762" s="110">
        <v>0</v>
      </c>
      <c r="Y762" s="109">
        <v>0</v>
      </c>
      <c r="Z762" s="110">
        <v>0</v>
      </c>
      <c r="AA762" s="109">
        <v>0</v>
      </c>
      <c r="AB762" s="110">
        <v>0</v>
      </c>
      <c r="AC762" s="238">
        <f t="shared" si="40"/>
        <v>0.29700000000000004</v>
      </c>
      <c r="AD762" s="238"/>
      <c r="AE762" s="238"/>
    </row>
    <row r="763" spans="2:31" x14ac:dyDescent="0.3">
      <c r="B763" s="245" t="s">
        <v>73</v>
      </c>
      <c r="C763" s="245"/>
      <c r="D763" s="245"/>
      <c r="E763" s="109">
        <v>0</v>
      </c>
      <c r="F763" s="110">
        <v>0</v>
      </c>
      <c r="G763" s="109">
        <v>0</v>
      </c>
      <c r="H763" s="110">
        <v>0</v>
      </c>
      <c r="I763" s="109">
        <v>0</v>
      </c>
      <c r="J763" s="110">
        <v>0</v>
      </c>
      <c r="K763" s="109">
        <v>0</v>
      </c>
      <c r="L763" s="110">
        <v>0</v>
      </c>
      <c r="M763" s="109">
        <v>0</v>
      </c>
      <c r="N763" s="110">
        <v>0</v>
      </c>
      <c r="O763" s="109">
        <v>0</v>
      </c>
      <c r="P763" s="110">
        <v>0</v>
      </c>
      <c r="Q763" s="109">
        <v>4.4481666666666744</v>
      </c>
      <c r="R763" s="110">
        <v>7.006499999999992</v>
      </c>
      <c r="S763" s="109">
        <v>0</v>
      </c>
      <c r="T763" s="110">
        <v>0</v>
      </c>
      <c r="U763" s="109">
        <v>0</v>
      </c>
      <c r="V763" s="110">
        <v>0</v>
      </c>
      <c r="W763" s="109">
        <v>0</v>
      </c>
      <c r="X763" s="110">
        <v>0</v>
      </c>
      <c r="Y763" s="109">
        <v>0</v>
      </c>
      <c r="Z763" s="110">
        <v>0</v>
      </c>
      <c r="AA763" s="109">
        <v>0</v>
      </c>
      <c r="AB763" s="110">
        <v>0</v>
      </c>
      <c r="AC763" s="238">
        <f t="shared" si="40"/>
        <v>11.454666666666666</v>
      </c>
      <c r="AD763" s="238"/>
      <c r="AE763" s="238"/>
    </row>
    <row r="764" spans="2:31" x14ac:dyDescent="0.3">
      <c r="B764" s="245" t="s">
        <v>74</v>
      </c>
      <c r="C764" s="245"/>
      <c r="D764" s="245"/>
      <c r="E764" s="109">
        <v>0</v>
      </c>
      <c r="F764" s="110">
        <v>0</v>
      </c>
      <c r="G764" s="109">
        <v>0</v>
      </c>
      <c r="H764" s="110">
        <v>0</v>
      </c>
      <c r="I764" s="109">
        <v>0</v>
      </c>
      <c r="J764" s="110">
        <v>0</v>
      </c>
      <c r="K764" s="109">
        <v>0</v>
      </c>
      <c r="L764" s="110">
        <v>0</v>
      </c>
      <c r="M764" s="109">
        <v>0</v>
      </c>
      <c r="N764" s="110">
        <v>0</v>
      </c>
      <c r="O764" s="109">
        <v>0</v>
      </c>
      <c r="P764" s="110">
        <v>0</v>
      </c>
      <c r="Q764" s="109">
        <v>0.58500000000000008</v>
      </c>
      <c r="R764" s="110">
        <v>3.7879999999999994</v>
      </c>
      <c r="S764" s="109">
        <v>0</v>
      </c>
      <c r="T764" s="110">
        <v>0</v>
      </c>
      <c r="U764" s="109">
        <v>0</v>
      </c>
      <c r="V764" s="110">
        <v>0</v>
      </c>
      <c r="W764" s="109">
        <v>0</v>
      </c>
      <c r="X764" s="110">
        <v>0</v>
      </c>
      <c r="Y764" s="109">
        <v>0</v>
      </c>
      <c r="Z764" s="110">
        <v>0</v>
      </c>
      <c r="AA764" s="109">
        <v>0</v>
      </c>
      <c r="AB764" s="110">
        <v>0</v>
      </c>
      <c r="AC764" s="238">
        <f t="shared" si="40"/>
        <v>4.3729999999999993</v>
      </c>
      <c r="AD764" s="238"/>
      <c r="AE764" s="238"/>
    </row>
    <row r="765" spans="2:31" x14ac:dyDescent="0.3">
      <c r="B765" s="245" t="s">
        <v>75</v>
      </c>
      <c r="C765" s="245"/>
      <c r="D765" s="245"/>
      <c r="E765" s="109">
        <v>0</v>
      </c>
      <c r="F765" s="110">
        <v>0</v>
      </c>
      <c r="G765" s="109">
        <v>0</v>
      </c>
      <c r="H765" s="110">
        <v>0</v>
      </c>
      <c r="I765" s="109">
        <v>0</v>
      </c>
      <c r="J765" s="110">
        <v>0</v>
      </c>
      <c r="K765" s="109">
        <v>0</v>
      </c>
      <c r="L765" s="110">
        <v>0</v>
      </c>
      <c r="M765" s="109">
        <v>0</v>
      </c>
      <c r="N765" s="110">
        <v>0</v>
      </c>
      <c r="O765" s="109">
        <v>0</v>
      </c>
      <c r="P765" s="110">
        <v>0</v>
      </c>
      <c r="Q765" s="109">
        <v>0</v>
      </c>
      <c r="R765" s="110">
        <v>0</v>
      </c>
      <c r="S765" s="109">
        <v>0</v>
      </c>
      <c r="T765" s="110">
        <v>0</v>
      </c>
      <c r="U765" s="109">
        <v>0</v>
      </c>
      <c r="V765" s="110">
        <v>0</v>
      </c>
      <c r="W765" s="109">
        <v>0</v>
      </c>
      <c r="X765" s="110">
        <v>0</v>
      </c>
      <c r="Y765" s="109">
        <v>0</v>
      </c>
      <c r="Z765" s="110">
        <v>0</v>
      </c>
      <c r="AA765" s="109">
        <v>0</v>
      </c>
      <c r="AB765" s="110">
        <v>0</v>
      </c>
      <c r="AC765" s="238">
        <f t="shared" si="40"/>
        <v>0</v>
      </c>
      <c r="AD765" s="238"/>
      <c r="AE765" s="238"/>
    </row>
    <row r="766" spans="2:31" x14ac:dyDescent="0.3">
      <c r="B766" s="245" t="s">
        <v>76</v>
      </c>
      <c r="C766" s="245"/>
      <c r="D766" s="245"/>
      <c r="E766" s="109">
        <v>0</v>
      </c>
      <c r="F766" s="110">
        <v>0</v>
      </c>
      <c r="G766" s="109">
        <v>0</v>
      </c>
      <c r="H766" s="110">
        <v>0</v>
      </c>
      <c r="I766" s="109">
        <v>0</v>
      </c>
      <c r="J766" s="110">
        <v>0</v>
      </c>
      <c r="K766" s="109">
        <v>0</v>
      </c>
      <c r="L766" s="110">
        <v>0</v>
      </c>
      <c r="M766" s="109">
        <v>0</v>
      </c>
      <c r="N766" s="110">
        <v>0</v>
      </c>
      <c r="O766" s="109">
        <v>0</v>
      </c>
      <c r="P766" s="110">
        <v>0</v>
      </c>
      <c r="Q766" s="109">
        <v>0</v>
      </c>
      <c r="R766" s="110">
        <v>0</v>
      </c>
      <c r="S766" s="109">
        <v>0</v>
      </c>
      <c r="T766" s="110">
        <v>0</v>
      </c>
      <c r="U766" s="109">
        <v>0</v>
      </c>
      <c r="V766" s="110">
        <v>0</v>
      </c>
      <c r="W766" s="109">
        <v>0</v>
      </c>
      <c r="X766" s="110">
        <v>0</v>
      </c>
      <c r="Y766" s="109">
        <v>0</v>
      </c>
      <c r="Z766" s="110">
        <v>0</v>
      </c>
      <c r="AA766" s="109">
        <v>0</v>
      </c>
      <c r="AB766" s="110">
        <v>0</v>
      </c>
      <c r="AC766" s="238">
        <f t="shared" si="40"/>
        <v>0</v>
      </c>
      <c r="AD766" s="238"/>
      <c r="AE766" s="238"/>
    </row>
    <row r="767" spans="2:31" x14ac:dyDescent="0.3">
      <c r="B767" s="245" t="s">
        <v>77</v>
      </c>
      <c r="C767" s="245"/>
      <c r="D767" s="245"/>
      <c r="E767" s="109">
        <v>0</v>
      </c>
      <c r="F767" s="110">
        <v>0</v>
      </c>
      <c r="G767" s="109">
        <v>0</v>
      </c>
      <c r="H767" s="110">
        <v>0</v>
      </c>
      <c r="I767" s="109">
        <v>0</v>
      </c>
      <c r="J767" s="110">
        <v>0</v>
      </c>
      <c r="K767" s="109">
        <v>0</v>
      </c>
      <c r="L767" s="110">
        <v>0</v>
      </c>
      <c r="M767" s="109">
        <v>0</v>
      </c>
      <c r="N767" s="110">
        <v>0</v>
      </c>
      <c r="O767" s="109">
        <v>0</v>
      </c>
      <c r="P767" s="110">
        <v>0</v>
      </c>
      <c r="Q767" s="109">
        <v>0.26399999999999862</v>
      </c>
      <c r="R767" s="110">
        <v>0.86399999999999622</v>
      </c>
      <c r="S767" s="109">
        <v>0</v>
      </c>
      <c r="T767" s="110">
        <v>0</v>
      </c>
      <c r="U767" s="109">
        <v>0</v>
      </c>
      <c r="V767" s="110">
        <v>0</v>
      </c>
      <c r="W767" s="109">
        <v>0</v>
      </c>
      <c r="X767" s="110">
        <v>0</v>
      </c>
      <c r="Y767" s="109">
        <v>0</v>
      </c>
      <c r="Z767" s="110">
        <v>0</v>
      </c>
      <c r="AA767" s="109">
        <v>0</v>
      </c>
      <c r="AB767" s="110">
        <v>0</v>
      </c>
      <c r="AC767" s="238">
        <f t="shared" si="40"/>
        <v>1.1279999999999948</v>
      </c>
      <c r="AD767" s="238"/>
      <c r="AE767" s="238"/>
    </row>
    <row r="768" spans="2:31" x14ac:dyDescent="0.3">
      <c r="B768" s="245" t="s">
        <v>78</v>
      </c>
      <c r="C768" s="245"/>
      <c r="D768" s="245"/>
      <c r="E768" s="109">
        <v>0</v>
      </c>
      <c r="F768" s="110">
        <v>0</v>
      </c>
      <c r="G768" s="109">
        <v>0</v>
      </c>
      <c r="H768" s="110">
        <v>0</v>
      </c>
      <c r="I768" s="109">
        <v>0</v>
      </c>
      <c r="J768" s="110">
        <v>0</v>
      </c>
      <c r="K768" s="109">
        <v>0</v>
      </c>
      <c r="L768" s="110">
        <v>0</v>
      </c>
      <c r="M768" s="109">
        <v>0</v>
      </c>
      <c r="N768" s="110">
        <v>0</v>
      </c>
      <c r="O768" s="109">
        <v>0</v>
      </c>
      <c r="P768" s="110">
        <v>0</v>
      </c>
      <c r="Q768" s="109">
        <v>5.5290000000000008</v>
      </c>
      <c r="R768" s="110">
        <v>10.294666666666652</v>
      </c>
      <c r="S768" s="109">
        <v>0</v>
      </c>
      <c r="T768" s="110">
        <v>0</v>
      </c>
      <c r="U768" s="109">
        <v>0</v>
      </c>
      <c r="V768" s="110">
        <v>0</v>
      </c>
      <c r="W768" s="109">
        <v>0</v>
      </c>
      <c r="X768" s="110">
        <v>0</v>
      </c>
      <c r="Y768" s="109">
        <v>0</v>
      </c>
      <c r="Z768" s="110">
        <v>0</v>
      </c>
      <c r="AA768" s="109">
        <v>0</v>
      </c>
      <c r="AB768" s="110">
        <v>0</v>
      </c>
      <c r="AC768" s="238">
        <f t="shared" si="40"/>
        <v>15.823666666666654</v>
      </c>
      <c r="AD768" s="238"/>
      <c r="AE768" s="238"/>
    </row>
    <row r="769" spans="2:31" x14ac:dyDescent="0.3">
      <c r="B769" s="245" t="s">
        <v>79</v>
      </c>
      <c r="C769" s="245"/>
      <c r="D769" s="245"/>
      <c r="E769" s="109">
        <v>0</v>
      </c>
      <c r="F769" s="110">
        <v>0</v>
      </c>
      <c r="G769" s="109">
        <v>0</v>
      </c>
      <c r="H769" s="110">
        <v>0</v>
      </c>
      <c r="I769" s="109">
        <v>0</v>
      </c>
      <c r="J769" s="110">
        <v>0</v>
      </c>
      <c r="K769" s="109">
        <v>0</v>
      </c>
      <c r="L769" s="110">
        <v>0</v>
      </c>
      <c r="M769" s="109">
        <v>0</v>
      </c>
      <c r="N769" s="110">
        <v>0</v>
      </c>
      <c r="O769" s="109">
        <v>0</v>
      </c>
      <c r="P769" s="110">
        <v>0</v>
      </c>
      <c r="Q769" s="109">
        <v>0</v>
      </c>
      <c r="R769" s="110">
        <v>0</v>
      </c>
      <c r="S769" s="109">
        <v>0</v>
      </c>
      <c r="T769" s="110">
        <v>0</v>
      </c>
      <c r="U769" s="109">
        <v>0</v>
      </c>
      <c r="V769" s="110">
        <v>0</v>
      </c>
      <c r="W769" s="109">
        <v>0</v>
      </c>
      <c r="X769" s="110">
        <v>0</v>
      </c>
      <c r="Y769" s="109">
        <v>0</v>
      </c>
      <c r="Z769" s="110">
        <v>0</v>
      </c>
      <c r="AA769" s="109">
        <v>0</v>
      </c>
      <c r="AB769" s="110">
        <v>0</v>
      </c>
      <c r="AC769" s="238">
        <f t="shared" si="40"/>
        <v>0</v>
      </c>
      <c r="AD769" s="238"/>
      <c r="AE769" s="238"/>
    </row>
    <row r="770" spans="2:31" x14ac:dyDescent="0.3">
      <c r="B770" s="245" t="s">
        <v>80</v>
      </c>
      <c r="C770" s="245"/>
      <c r="D770" s="245"/>
      <c r="E770" s="109">
        <v>0</v>
      </c>
      <c r="F770" s="110">
        <v>0</v>
      </c>
      <c r="G770" s="109">
        <v>0</v>
      </c>
      <c r="H770" s="110">
        <v>0</v>
      </c>
      <c r="I770" s="109">
        <v>0</v>
      </c>
      <c r="J770" s="110">
        <v>0</v>
      </c>
      <c r="K770" s="109">
        <v>0</v>
      </c>
      <c r="L770" s="110">
        <v>0</v>
      </c>
      <c r="M770" s="109">
        <v>0</v>
      </c>
      <c r="N770" s="110">
        <v>0</v>
      </c>
      <c r="O770" s="109">
        <v>0</v>
      </c>
      <c r="P770" s="110">
        <v>0</v>
      </c>
      <c r="Q770" s="109">
        <v>0</v>
      </c>
      <c r="R770" s="110">
        <v>0</v>
      </c>
      <c r="S770" s="109">
        <v>0</v>
      </c>
      <c r="T770" s="110">
        <v>0</v>
      </c>
      <c r="U770" s="109">
        <v>0</v>
      </c>
      <c r="V770" s="110">
        <v>0</v>
      </c>
      <c r="W770" s="109">
        <v>0</v>
      </c>
      <c r="X770" s="110">
        <v>0</v>
      </c>
      <c r="Y770" s="109">
        <v>0</v>
      </c>
      <c r="Z770" s="110">
        <v>0</v>
      </c>
      <c r="AA770" s="109">
        <v>0</v>
      </c>
      <c r="AB770" s="110">
        <v>0</v>
      </c>
      <c r="AC770" s="238">
        <f t="shared" si="40"/>
        <v>0</v>
      </c>
      <c r="AD770" s="238"/>
      <c r="AE770" s="238"/>
    </row>
    <row r="771" spans="2:31" x14ac:dyDescent="0.3">
      <c r="B771" s="245" t="s">
        <v>93</v>
      </c>
      <c r="C771" s="245"/>
      <c r="D771" s="245"/>
      <c r="E771" s="109">
        <v>0</v>
      </c>
      <c r="F771" s="110">
        <v>0</v>
      </c>
      <c r="G771" s="109">
        <v>0</v>
      </c>
      <c r="H771" s="110">
        <v>0</v>
      </c>
      <c r="I771" s="109">
        <v>0</v>
      </c>
      <c r="J771" s="110">
        <v>0</v>
      </c>
      <c r="K771" s="109">
        <v>0</v>
      </c>
      <c r="L771" s="110">
        <v>0</v>
      </c>
      <c r="M771" s="109">
        <v>0</v>
      </c>
      <c r="N771" s="110">
        <v>0</v>
      </c>
      <c r="O771" s="109">
        <v>0</v>
      </c>
      <c r="P771" s="110">
        <v>0</v>
      </c>
      <c r="Q771" s="109">
        <v>0.17349999999999982</v>
      </c>
      <c r="R771" s="110">
        <v>1.7600000000000011</v>
      </c>
      <c r="S771" s="109">
        <v>1.1655000000000009</v>
      </c>
      <c r="T771" s="110">
        <v>1.7453333333333321</v>
      </c>
      <c r="U771" s="109">
        <v>1.5138333333333334</v>
      </c>
      <c r="V771" s="110">
        <v>0.34433333333333327</v>
      </c>
      <c r="W771" s="109">
        <v>0.17566666666666667</v>
      </c>
      <c r="X771" s="110">
        <v>0</v>
      </c>
      <c r="Y771" s="109">
        <v>0</v>
      </c>
      <c r="Z771" s="110">
        <v>0</v>
      </c>
      <c r="AA771" s="109">
        <v>0</v>
      </c>
      <c r="AB771" s="110">
        <v>0</v>
      </c>
      <c r="AC771" s="238">
        <f>SUM(E771:AB771)</f>
        <v>6.878166666666667</v>
      </c>
      <c r="AD771" s="238"/>
      <c r="AE771" s="238"/>
    </row>
    <row r="772" spans="2:31" x14ac:dyDescent="0.3">
      <c r="B772" s="14" t="s">
        <v>2</v>
      </c>
      <c r="C772" s="14"/>
      <c r="D772" s="14"/>
      <c r="E772" s="15">
        <f t="shared" ref="E772:AB772" si="41">SUM(E723:E771)</f>
        <v>0</v>
      </c>
      <c r="F772" s="15">
        <f t="shared" si="41"/>
        <v>0</v>
      </c>
      <c r="G772" s="15">
        <f t="shared" si="41"/>
        <v>0</v>
      </c>
      <c r="H772" s="15">
        <f t="shared" si="41"/>
        <v>0</v>
      </c>
      <c r="I772" s="15">
        <f t="shared" si="41"/>
        <v>0</v>
      </c>
      <c r="J772" s="15">
        <f t="shared" si="41"/>
        <v>0</v>
      </c>
      <c r="K772" s="15">
        <f t="shared" si="41"/>
        <v>0</v>
      </c>
      <c r="L772" s="15">
        <f t="shared" si="41"/>
        <v>0</v>
      </c>
      <c r="M772" s="15">
        <f t="shared" si="41"/>
        <v>0</v>
      </c>
      <c r="N772" s="15">
        <f t="shared" si="41"/>
        <v>0</v>
      </c>
      <c r="O772" s="15">
        <f t="shared" si="41"/>
        <v>0</v>
      </c>
      <c r="P772" s="15">
        <f t="shared" si="41"/>
        <v>5.4726666666666688</v>
      </c>
      <c r="Q772" s="15">
        <f t="shared" si="41"/>
        <v>64.84366666666665</v>
      </c>
      <c r="R772" s="15">
        <f t="shared" si="41"/>
        <v>156.3361666666666</v>
      </c>
      <c r="S772" s="15">
        <f t="shared" si="41"/>
        <v>16.295500000000001</v>
      </c>
      <c r="T772" s="15">
        <f t="shared" si="41"/>
        <v>37.534500000000008</v>
      </c>
      <c r="U772" s="15">
        <f t="shared" si="41"/>
        <v>31.526999999999997</v>
      </c>
      <c r="V772" s="15">
        <f t="shared" si="41"/>
        <v>55.213333333333345</v>
      </c>
      <c r="W772" s="15">
        <f t="shared" si="41"/>
        <v>7.2529999999999983</v>
      </c>
      <c r="X772" s="15">
        <f t="shared" si="41"/>
        <v>0</v>
      </c>
      <c r="Y772" s="15">
        <f t="shared" si="41"/>
        <v>0</v>
      </c>
      <c r="Z772" s="15">
        <f t="shared" si="41"/>
        <v>0</v>
      </c>
      <c r="AA772" s="15">
        <f t="shared" si="41"/>
        <v>0</v>
      </c>
      <c r="AB772" s="15">
        <f t="shared" si="41"/>
        <v>0</v>
      </c>
      <c r="AC772" s="249">
        <f>SUM(AC723:AE771)</f>
        <v>374.4758333333333</v>
      </c>
      <c r="AD772" s="249"/>
      <c r="AE772" s="249"/>
    </row>
    <row r="773" spans="2:31" x14ac:dyDescent="0.3">
      <c r="B773" s="16"/>
      <c r="C773" s="17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2:31" x14ac:dyDescent="0.3">
      <c r="B774" s="16"/>
      <c r="C774" s="17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2:31" x14ac:dyDescent="0.3">
      <c r="B775" s="8">
        <f>'Resumen-Mensual'!$S$22</f>
        <v>44576</v>
      </c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111"/>
      <c r="AD775" s="111"/>
      <c r="AE775" s="111"/>
    </row>
    <row r="776" spans="2:31" x14ac:dyDescent="0.3">
      <c r="B776" s="8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111"/>
      <c r="AD776" s="111"/>
      <c r="AE776" s="111"/>
    </row>
    <row r="777" spans="2:31" x14ac:dyDescent="0.3">
      <c r="B777" s="9" t="s">
        <v>81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248" t="s">
        <v>2</v>
      </c>
      <c r="AD777" s="248"/>
      <c r="AE777" s="248"/>
    </row>
    <row r="778" spans="2:31" x14ac:dyDescent="0.3">
      <c r="B778" s="245" t="s">
        <v>37</v>
      </c>
      <c r="C778" s="245"/>
      <c r="D778" s="245"/>
      <c r="E778" s="116">
        <v>0</v>
      </c>
      <c r="F778" s="117">
        <v>0</v>
      </c>
      <c r="G778" s="116">
        <v>0</v>
      </c>
      <c r="H778" s="117">
        <v>0</v>
      </c>
      <c r="I778" s="116">
        <v>0</v>
      </c>
      <c r="J778" s="117">
        <v>0</v>
      </c>
      <c r="K778" s="116">
        <v>0</v>
      </c>
      <c r="L778" s="117">
        <v>0</v>
      </c>
      <c r="M778" s="116">
        <v>0</v>
      </c>
      <c r="N778" s="117">
        <v>0</v>
      </c>
      <c r="O778" s="116">
        <v>0</v>
      </c>
      <c r="P778" s="117">
        <v>0</v>
      </c>
      <c r="Q778" s="116">
        <v>0</v>
      </c>
      <c r="R778" s="117">
        <v>0</v>
      </c>
      <c r="S778" s="116">
        <v>0</v>
      </c>
      <c r="T778" s="117">
        <v>0</v>
      </c>
      <c r="U778" s="116">
        <v>0</v>
      </c>
      <c r="V778" s="117">
        <v>0</v>
      </c>
      <c r="W778" s="116">
        <v>0</v>
      </c>
      <c r="X778" s="117">
        <v>0</v>
      </c>
      <c r="Y778" s="116">
        <v>0</v>
      </c>
      <c r="Z778" s="117">
        <v>0</v>
      </c>
      <c r="AA778" s="116">
        <v>0</v>
      </c>
      <c r="AB778" s="117">
        <v>0</v>
      </c>
      <c r="AC778" s="238">
        <f t="shared" ref="AC778:AC810" si="42">SUM(E778:AB778)</f>
        <v>0</v>
      </c>
      <c r="AD778" s="238"/>
      <c r="AE778" s="238"/>
    </row>
    <row r="779" spans="2:31" x14ac:dyDescent="0.3">
      <c r="B779" s="245" t="s">
        <v>38</v>
      </c>
      <c r="C779" s="245"/>
      <c r="D779" s="245"/>
      <c r="E779" s="116">
        <v>0</v>
      </c>
      <c r="F779" s="117">
        <v>0</v>
      </c>
      <c r="G779" s="116">
        <v>0</v>
      </c>
      <c r="H779" s="117">
        <v>0</v>
      </c>
      <c r="I779" s="116">
        <v>0</v>
      </c>
      <c r="J779" s="117">
        <v>0</v>
      </c>
      <c r="K779" s="116">
        <v>0</v>
      </c>
      <c r="L779" s="117">
        <v>0</v>
      </c>
      <c r="M779" s="116">
        <v>0</v>
      </c>
      <c r="N779" s="117">
        <v>0</v>
      </c>
      <c r="O779" s="116">
        <v>0</v>
      </c>
      <c r="P779" s="117">
        <v>0</v>
      </c>
      <c r="Q779" s="116">
        <v>0.11366666666666685</v>
      </c>
      <c r="R779" s="117">
        <v>0</v>
      </c>
      <c r="S779" s="116">
        <v>0.61949999999999938</v>
      </c>
      <c r="T779" s="117">
        <v>0.36083333333333273</v>
      </c>
      <c r="U779" s="116">
        <v>0.25150000000000006</v>
      </c>
      <c r="V779" s="117">
        <v>0</v>
      </c>
      <c r="W779" s="116">
        <v>0</v>
      </c>
      <c r="X779" s="117">
        <v>0</v>
      </c>
      <c r="Y779" s="116">
        <v>0</v>
      </c>
      <c r="Z779" s="117">
        <v>0</v>
      </c>
      <c r="AA779" s="116">
        <v>0</v>
      </c>
      <c r="AB779" s="117">
        <v>0</v>
      </c>
      <c r="AC779" s="238">
        <f t="shared" si="42"/>
        <v>1.345499999999999</v>
      </c>
      <c r="AD779" s="238"/>
      <c r="AE779" s="238"/>
    </row>
    <row r="780" spans="2:31" x14ac:dyDescent="0.3">
      <c r="B780" s="245" t="s">
        <v>39</v>
      </c>
      <c r="C780" s="245"/>
      <c r="D780" s="245"/>
      <c r="E780" s="116">
        <v>0</v>
      </c>
      <c r="F780" s="117">
        <v>0</v>
      </c>
      <c r="G780" s="116">
        <v>0</v>
      </c>
      <c r="H780" s="117">
        <v>0</v>
      </c>
      <c r="I780" s="116">
        <v>0</v>
      </c>
      <c r="J780" s="117">
        <v>0</v>
      </c>
      <c r="K780" s="116">
        <v>0</v>
      </c>
      <c r="L780" s="117">
        <v>0</v>
      </c>
      <c r="M780" s="116">
        <v>0</v>
      </c>
      <c r="N780" s="117">
        <v>0</v>
      </c>
      <c r="O780" s="116">
        <v>0</v>
      </c>
      <c r="P780" s="117">
        <v>0</v>
      </c>
      <c r="Q780" s="116">
        <v>0</v>
      </c>
      <c r="R780" s="117">
        <v>0</v>
      </c>
      <c r="S780" s="116">
        <v>0</v>
      </c>
      <c r="T780" s="117">
        <v>0</v>
      </c>
      <c r="U780" s="116">
        <v>4.6500000000000076E-2</v>
      </c>
      <c r="V780" s="117">
        <v>0.24166666666666675</v>
      </c>
      <c r="W780" s="116">
        <v>0.45733333333333309</v>
      </c>
      <c r="X780" s="117">
        <v>0</v>
      </c>
      <c r="Y780" s="116">
        <v>0</v>
      </c>
      <c r="Z780" s="117">
        <v>0</v>
      </c>
      <c r="AA780" s="116">
        <v>0</v>
      </c>
      <c r="AB780" s="117">
        <v>0</v>
      </c>
      <c r="AC780" s="238">
        <f t="shared" si="42"/>
        <v>0.74549999999999994</v>
      </c>
      <c r="AD780" s="238"/>
      <c r="AE780" s="238"/>
    </row>
    <row r="781" spans="2:31" x14ac:dyDescent="0.3">
      <c r="B781" s="245" t="s">
        <v>40</v>
      </c>
      <c r="C781" s="245"/>
      <c r="D781" s="245"/>
      <c r="E781" s="116">
        <v>0</v>
      </c>
      <c r="F781" s="117">
        <v>0</v>
      </c>
      <c r="G781" s="116">
        <v>0</v>
      </c>
      <c r="H781" s="117">
        <v>0</v>
      </c>
      <c r="I781" s="116">
        <v>0</v>
      </c>
      <c r="J781" s="117">
        <v>0</v>
      </c>
      <c r="K781" s="116">
        <v>0</v>
      </c>
      <c r="L781" s="117">
        <v>0</v>
      </c>
      <c r="M781" s="116">
        <v>0</v>
      </c>
      <c r="N781" s="117">
        <v>0</v>
      </c>
      <c r="O781" s="116">
        <v>0</v>
      </c>
      <c r="P781" s="117">
        <v>0</v>
      </c>
      <c r="Q781" s="116">
        <v>0</v>
      </c>
      <c r="R781" s="117">
        <v>1.4880000000000104</v>
      </c>
      <c r="S781" s="116">
        <v>0</v>
      </c>
      <c r="T781" s="117">
        <v>0</v>
      </c>
      <c r="U781" s="116">
        <v>0</v>
      </c>
      <c r="V781" s="117">
        <v>0</v>
      </c>
      <c r="W781" s="116">
        <v>0</v>
      </c>
      <c r="X781" s="117">
        <v>0</v>
      </c>
      <c r="Y781" s="116">
        <v>0</v>
      </c>
      <c r="Z781" s="117">
        <v>0</v>
      </c>
      <c r="AA781" s="116">
        <v>0</v>
      </c>
      <c r="AB781" s="117">
        <v>0</v>
      </c>
      <c r="AC781" s="238">
        <f t="shared" si="42"/>
        <v>1.4880000000000104</v>
      </c>
      <c r="AD781" s="238"/>
      <c r="AE781" s="238"/>
    </row>
    <row r="782" spans="2:31" x14ac:dyDescent="0.3">
      <c r="B782" s="245" t="s">
        <v>41</v>
      </c>
      <c r="C782" s="245"/>
      <c r="D782" s="245"/>
      <c r="E782" s="116">
        <v>0</v>
      </c>
      <c r="F782" s="117">
        <v>0</v>
      </c>
      <c r="G782" s="116">
        <v>0</v>
      </c>
      <c r="H782" s="117">
        <v>0</v>
      </c>
      <c r="I782" s="116">
        <v>0</v>
      </c>
      <c r="J782" s="117">
        <v>0</v>
      </c>
      <c r="K782" s="116">
        <v>0</v>
      </c>
      <c r="L782" s="117">
        <v>0</v>
      </c>
      <c r="M782" s="116">
        <v>0</v>
      </c>
      <c r="N782" s="117">
        <v>0</v>
      </c>
      <c r="O782" s="116">
        <v>0</v>
      </c>
      <c r="P782" s="117">
        <v>0</v>
      </c>
      <c r="Q782" s="116">
        <v>0</v>
      </c>
      <c r="R782" s="117">
        <v>0</v>
      </c>
      <c r="S782" s="116">
        <v>0</v>
      </c>
      <c r="T782" s="117">
        <v>0</v>
      </c>
      <c r="U782" s="116">
        <v>0</v>
      </c>
      <c r="V782" s="117">
        <v>0</v>
      </c>
      <c r="W782" s="116">
        <v>0.22099999999999997</v>
      </c>
      <c r="X782" s="117">
        <v>0</v>
      </c>
      <c r="Y782" s="116">
        <v>0</v>
      </c>
      <c r="Z782" s="117">
        <v>0</v>
      </c>
      <c r="AA782" s="116">
        <v>0</v>
      </c>
      <c r="AB782" s="117">
        <v>0</v>
      </c>
      <c r="AC782" s="238">
        <f t="shared" si="42"/>
        <v>0.22099999999999997</v>
      </c>
      <c r="AD782" s="238"/>
      <c r="AE782" s="238"/>
    </row>
    <row r="783" spans="2:31" x14ac:dyDescent="0.3">
      <c r="B783" s="245" t="s">
        <v>42</v>
      </c>
      <c r="C783" s="245"/>
      <c r="D783" s="245"/>
      <c r="E783" s="116">
        <v>0</v>
      </c>
      <c r="F783" s="117">
        <v>0</v>
      </c>
      <c r="G783" s="116">
        <v>0</v>
      </c>
      <c r="H783" s="117">
        <v>0</v>
      </c>
      <c r="I783" s="116">
        <v>0</v>
      </c>
      <c r="J783" s="117">
        <v>0</v>
      </c>
      <c r="K783" s="116">
        <v>0</v>
      </c>
      <c r="L783" s="117">
        <v>0</v>
      </c>
      <c r="M783" s="116">
        <v>0</v>
      </c>
      <c r="N783" s="117">
        <v>0</v>
      </c>
      <c r="O783" s="116">
        <v>0</v>
      </c>
      <c r="P783" s="117">
        <v>0</v>
      </c>
      <c r="Q783" s="116">
        <v>0</v>
      </c>
      <c r="R783" s="117">
        <v>0</v>
      </c>
      <c r="S783" s="116">
        <v>0</v>
      </c>
      <c r="T783" s="117">
        <v>0</v>
      </c>
      <c r="U783" s="116">
        <v>0</v>
      </c>
      <c r="V783" s="117">
        <v>0</v>
      </c>
      <c r="W783" s="116">
        <v>0</v>
      </c>
      <c r="X783" s="117">
        <v>0</v>
      </c>
      <c r="Y783" s="116">
        <v>0</v>
      </c>
      <c r="Z783" s="117">
        <v>0</v>
      </c>
      <c r="AA783" s="116">
        <v>0</v>
      </c>
      <c r="AB783" s="117">
        <v>0</v>
      </c>
      <c r="AC783" s="238">
        <f t="shared" si="42"/>
        <v>0</v>
      </c>
      <c r="AD783" s="238"/>
      <c r="AE783" s="238"/>
    </row>
    <row r="784" spans="2:31" x14ac:dyDescent="0.3">
      <c r="B784" s="245" t="s">
        <v>43</v>
      </c>
      <c r="C784" s="245"/>
      <c r="D784" s="245"/>
      <c r="E784" s="116">
        <v>0</v>
      </c>
      <c r="F784" s="117">
        <v>0</v>
      </c>
      <c r="G784" s="116">
        <v>0</v>
      </c>
      <c r="H784" s="117">
        <v>0</v>
      </c>
      <c r="I784" s="116">
        <v>0</v>
      </c>
      <c r="J784" s="117">
        <v>0</v>
      </c>
      <c r="K784" s="116">
        <v>0</v>
      </c>
      <c r="L784" s="117">
        <v>0</v>
      </c>
      <c r="M784" s="116">
        <v>0</v>
      </c>
      <c r="N784" s="117">
        <v>0</v>
      </c>
      <c r="O784" s="116">
        <v>0</v>
      </c>
      <c r="P784" s="117">
        <v>0</v>
      </c>
      <c r="Q784" s="116">
        <v>0</v>
      </c>
      <c r="R784" s="117">
        <v>0</v>
      </c>
      <c r="S784" s="116">
        <v>0</v>
      </c>
      <c r="T784" s="117">
        <v>0</v>
      </c>
      <c r="U784" s="116">
        <v>0</v>
      </c>
      <c r="V784" s="117">
        <v>0</v>
      </c>
      <c r="W784" s="116">
        <v>0.56616666666666704</v>
      </c>
      <c r="X784" s="117">
        <v>0</v>
      </c>
      <c r="Y784" s="116">
        <v>0</v>
      </c>
      <c r="Z784" s="117">
        <v>0</v>
      </c>
      <c r="AA784" s="116">
        <v>0</v>
      </c>
      <c r="AB784" s="117">
        <v>0</v>
      </c>
      <c r="AC784" s="238">
        <f t="shared" si="42"/>
        <v>0.56616666666666704</v>
      </c>
      <c r="AD784" s="238"/>
      <c r="AE784" s="238"/>
    </row>
    <row r="785" spans="2:31" x14ac:dyDescent="0.3">
      <c r="B785" s="245" t="s">
        <v>44</v>
      </c>
      <c r="C785" s="245"/>
      <c r="D785" s="245"/>
      <c r="E785" s="116">
        <v>0</v>
      </c>
      <c r="F785" s="117">
        <v>0</v>
      </c>
      <c r="G785" s="116">
        <v>0</v>
      </c>
      <c r="H785" s="117">
        <v>0</v>
      </c>
      <c r="I785" s="116">
        <v>0</v>
      </c>
      <c r="J785" s="117">
        <v>0</v>
      </c>
      <c r="K785" s="116">
        <v>0</v>
      </c>
      <c r="L785" s="117">
        <v>0</v>
      </c>
      <c r="M785" s="116">
        <v>0</v>
      </c>
      <c r="N785" s="117">
        <v>0</v>
      </c>
      <c r="O785" s="116">
        <v>0</v>
      </c>
      <c r="P785" s="117">
        <v>0</v>
      </c>
      <c r="Q785" s="116">
        <v>0</v>
      </c>
      <c r="R785" s="117">
        <v>0</v>
      </c>
      <c r="S785" s="116">
        <v>0</v>
      </c>
      <c r="T785" s="117">
        <v>0</v>
      </c>
      <c r="U785" s="116">
        <v>0</v>
      </c>
      <c r="V785" s="117">
        <v>0</v>
      </c>
      <c r="W785" s="116">
        <v>0</v>
      </c>
      <c r="X785" s="117">
        <v>0</v>
      </c>
      <c r="Y785" s="116">
        <v>0</v>
      </c>
      <c r="Z785" s="117">
        <v>0</v>
      </c>
      <c r="AA785" s="116">
        <v>0</v>
      </c>
      <c r="AB785" s="117">
        <v>0</v>
      </c>
      <c r="AC785" s="238">
        <f t="shared" si="42"/>
        <v>0</v>
      </c>
      <c r="AD785" s="238"/>
      <c r="AE785" s="238"/>
    </row>
    <row r="786" spans="2:31" x14ac:dyDescent="0.3">
      <c r="B786" s="245" t="s">
        <v>45</v>
      </c>
      <c r="C786" s="245"/>
      <c r="D786" s="245"/>
      <c r="E786" s="116">
        <v>0</v>
      </c>
      <c r="F786" s="117">
        <v>0</v>
      </c>
      <c r="G786" s="116">
        <v>0</v>
      </c>
      <c r="H786" s="117">
        <v>0</v>
      </c>
      <c r="I786" s="116">
        <v>0</v>
      </c>
      <c r="J786" s="117">
        <v>0</v>
      </c>
      <c r="K786" s="116">
        <v>0</v>
      </c>
      <c r="L786" s="117">
        <v>0</v>
      </c>
      <c r="M786" s="116">
        <v>0</v>
      </c>
      <c r="N786" s="117">
        <v>0</v>
      </c>
      <c r="O786" s="116">
        <v>0</v>
      </c>
      <c r="P786" s="117">
        <v>0.17250000000000001</v>
      </c>
      <c r="Q786" s="116">
        <v>26.740000000000006</v>
      </c>
      <c r="R786" s="117">
        <v>9.139999999999997</v>
      </c>
      <c r="S786" s="116">
        <v>14.940000000000023</v>
      </c>
      <c r="T786" s="117">
        <v>10.94000000000001</v>
      </c>
      <c r="U786" s="116">
        <v>7.6150000000000047</v>
      </c>
      <c r="V786" s="117">
        <v>9.17</v>
      </c>
      <c r="W786" s="116">
        <v>0</v>
      </c>
      <c r="X786" s="117">
        <v>0</v>
      </c>
      <c r="Y786" s="116">
        <v>0</v>
      </c>
      <c r="Z786" s="117">
        <v>0</v>
      </c>
      <c r="AA786" s="116">
        <v>0</v>
      </c>
      <c r="AB786" s="117">
        <v>0</v>
      </c>
      <c r="AC786" s="238">
        <f t="shared" si="42"/>
        <v>78.717500000000044</v>
      </c>
      <c r="AD786" s="238"/>
      <c r="AE786" s="238"/>
    </row>
    <row r="787" spans="2:31" x14ac:dyDescent="0.3">
      <c r="B787" s="245" t="s">
        <v>46</v>
      </c>
      <c r="C787" s="245"/>
      <c r="D787" s="245"/>
      <c r="E787" s="116">
        <v>0</v>
      </c>
      <c r="F787" s="117">
        <v>0</v>
      </c>
      <c r="G787" s="116">
        <v>0</v>
      </c>
      <c r="H787" s="117">
        <v>0</v>
      </c>
      <c r="I787" s="116">
        <v>0</v>
      </c>
      <c r="J787" s="117">
        <v>0</v>
      </c>
      <c r="K787" s="116">
        <v>0</v>
      </c>
      <c r="L787" s="117">
        <v>0</v>
      </c>
      <c r="M787" s="116">
        <v>0</v>
      </c>
      <c r="N787" s="117">
        <v>0</v>
      </c>
      <c r="O787" s="116">
        <v>0</v>
      </c>
      <c r="P787" s="117">
        <v>3.9605000000000006</v>
      </c>
      <c r="Q787" s="116">
        <v>38.997833333333325</v>
      </c>
      <c r="R787" s="117">
        <v>38.879999999999981</v>
      </c>
      <c r="S787" s="116">
        <v>36.519833333333345</v>
      </c>
      <c r="T787" s="117">
        <v>31.828999999999972</v>
      </c>
      <c r="U787" s="116">
        <v>24.451833333333358</v>
      </c>
      <c r="V787" s="117">
        <v>0</v>
      </c>
      <c r="W787" s="116">
        <v>0</v>
      </c>
      <c r="X787" s="117">
        <v>0</v>
      </c>
      <c r="Y787" s="116">
        <v>0</v>
      </c>
      <c r="Z787" s="117">
        <v>0</v>
      </c>
      <c r="AA787" s="116">
        <v>0</v>
      </c>
      <c r="AB787" s="117">
        <v>0</v>
      </c>
      <c r="AC787" s="238">
        <f t="shared" si="42"/>
        <v>174.63899999999998</v>
      </c>
      <c r="AD787" s="238"/>
      <c r="AE787" s="238"/>
    </row>
    <row r="788" spans="2:31" x14ac:dyDescent="0.3">
      <c r="B788" s="245" t="s">
        <v>47</v>
      </c>
      <c r="C788" s="245"/>
      <c r="D788" s="245"/>
      <c r="E788" s="116">
        <v>0</v>
      </c>
      <c r="F788" s="117">
        <v>0</v>
      </c>
      <c r="G788" s="116">
        <v>0</v>
      </c>
      <c r="H788" s="117">
        <v>0</v>
      </c>
      <c r="I788" s="116">
        <v>0</v>
      </c>
      <c r="J788" s="117">
        <v>0</v>
      </c>
      <c r="K788" s="116">
        <v>0</v>
      </c>
      <c r="L788" s="117">
        <v>0</v>
      </c>
      <c r="M788" s="116">
        <v>0</v>
      </c>
      <c r="N788" s="117">
        <v>0</v>
      </c>
      <c r="O788" s="116">
        <v>0</v>
      </c>
      <c r="P788" s="117">
        <v>0.1753333333333334</v>
      </c>
      <c r="Q788" s="116">
        <v>5.7024999999999988</v>
      </c>
      <c r="R788" s="117">
        <v>6.4900000000000055</v>
      </c>
      <c r="S788" s="116">
        <v>6.9900000000000055</v>
      </c>
      <c r="T788" s="117">
        <v>6.8899999999999908</v>
      </c>
      <c r="U788" s="116">
        <v>6.6899999999999986</v>
      </c>
      <c r="V788" s="117">
        <v>7.0890000000000004</v>
      </c>
      <c r="W788" s="116">
        <v>1.952000000000002</v>
      </c>
      <c r="X788" s="117">
        <v>0</v>
      </c>
      <c r="Y788" s="116">
        <v>0</v>
      </c>
      <c r="Z788" s="117">
        <v>0</v>
      </c>
      <c r="AA788" s="116">
        <v>0</v>
      </c>
      <c r="AB788" s="117">
        <v>0</v>
      </c>
      <c r="AC788" s="238">
        <f t="shared" si="42"/>
        <v>41.978833333333334</v>
      </c>
      <c r="AD788" s="238"/>
      <c r="AE788" s="238"/>
    </row>
    <row r="789" spans="2:31" x14ac:dyDescent="0.3">
      <c r="B789" s="245" t="s">
        <v>48</v>
      </c>
      <c r="C789" s="245"/>
      <c r="D789" s="245"/>
      <c r="E789" s="116">
        <v>0</v>
      </c>
      <c r="F789" s="117">
        <v>0</v>
      </c>
      <c r="G789" s="116">
        <v>0</v>
      </c>
      <c r="H789" s="117">
        <v>0</v>
      </c>
      <c r="I789" s="116">
        <v>0</v>
      </c>
      <c r="J789" s="117">
        <v>0</v>
      </c>
      <c r="K789" s="116">
        <v>0</v>
      </c>
      <c r="L789" s="117">
        <v>0</v>
      </c>
      <c r="M789" s="116">
        <v>0</v>
      </c>
      <c r="N789" s="117">
        <v>0</v>
      </c>
      <c r="O789" s="116">
        <v>0</v>
      </c>
      <c r="P789" s="117">
        <v>0.1595</v>
      </c>
      <c r="Q789" s="116">
        <v>5.5199999999999987</v>
      </c>
      <c r="R789" s="117">
        <v>6.1200000000000037</v>
      </c>
      <c r="S789" s="116">
        <v>6.519999999999996</v>
      </c>
      <c r="T789" s="117">
        <v>0</v>
      </c>
      <c r="U789" s="116">
        <v>6.319999999999995</v>
      </c>
      <c r="V789" s="117">
        <v>6.0629999999999971</v>
      </c>
      <c r="W789" s="116">
        <v>1.9133333333333311</v>
      </c>
      <c r="X789" s="117">
        <v>0</v>
      </c>
      <c r="Y789" s="116">
        <v>0</v>
      </c>
      <c r="Z789" s="117">
        <v>0</v>
      </c>
      <c r="AA789" s="116">
        <v>0</v>
      </c>
      <c r="AB789" s="117">
        <v>0</v>
      </c>
      <c r="AC789" s="238">
        <f t="shared" si="42"/>
        <v>32.61583333333332</v>
      </c>
      <c r="AD789" s="238"/>
      <c r="AE789" s="238"/>
    </row>
    <row r="790" spans="2:31" x14ac:dyDescent="0.3">
      <c r="B790" s="245" t="s">
        <v>49</v>
      </c>
      <c r="C790" s="245"/>
      <c r="D790" s="245"/>
      <c r="E790" s="116">
        <v>0</v>
      </c>
      <c r="F790" s="117">
        <v>0</v>
      </c>
      <c r="G790" s="116">
        <v>0</v>
      </c>
      <c r="H790" s="117">
        <v>0</v>
      </c>
      <c r="I790" s="116">
        <v>0</v>
      </c>
      <c r="J790" s="117">
        <v>0</v>
      </c>
      <c r="K790" s="116">
        <v>0</v>
      </c>
      <c r="L790" s="117">
        <v>0</v>
      </c>
      <c r="M790" s="116">
        <v>0</v>
      </c>
      <c r="N790" s="117">
        <v>0</v>
      </c>
      <c r="O790" s="116">
        <v>0</v>
      </c>
      <c r="P790" s="117">
        <v>0</v>
      </c>
      <c r="Q790" s="116">
        <v>0.65583333333333316</v>
      </c>
      <c r="R790" s="117">
        <v>1.7841666666666671</v>
      </c>
      <c r="S790" s="116">
        <v>1.8153333333333324</v>
      </c>
      <c r="T790" s="117">
        <v>1.8094999999999999</v>
      </c>
      <c r="U790" s="116">
        <v>1.8488333333333322</v>
      </c>
      <c r="V790" s="117">
        <v>2.061500000000001</v>
      </c>
      <c r="W790" s="116">
        <v>2.696166666666667</v>
      </c>
      <c r="X790" s="117">
        <v>0</v>
      </c>
      <c r="Y790" s="116">
        <v>0</v>
      </c>
      <c r="Z790" s="117">
        <v>0</v>
      </c>
      <c r="AA790" s="116">
        <v>0</v>
      </c>
      <c r="AB790" s="117">
        <v>0</v>
      </c>
      <c r="AC790" s="238">
        <f t="shared" si="42"/>
        <v>12.671333333333333</v>
      </c>
      <c r="AD790" s="238"/>
      <c r="AE790" s="238"/>
    </row>
    <row r="791" spans="2:31" x14ac:dyDescent="0.3">
      <c r="B791" s="245" t="s">
        <v>50</v>
      </c>
      <c r="C791" s="245"/>
      <c r="D791" s="245"/>
      <c r="E791" s="116">
        <v>0</v>
      </c>
      <c r="F791" s="117">
        <v>0</v>
      </c>
      <c r="G791" s="116">
        <v>0</v>
      </c>
      <c r="H791" s="117">
        <v>0</v>
      </c>
      <c r="I791" s="116">
        <v>0</v>
      </c>
      <c r="J791" s="117">
        <v>0</v>
      </c>
      <c r="K791" s="116">
        <v>0</v>
      </c>
      <c r="L791" s="117">
        <v>0</v>
      </c>
      <c r="M791" s="116">
        <v>0</v>
      </c>
      <c r="N791" s="117">
        <v>0</v>
      </c>
      <c r="O791" s="116">
        <v>0</v>
      </c>
      <c r="P791" s="117">
        <v>0</v>
      </c>
      <c r="Q791" s="116">
        <v>7.7449999999999966</v>
      </c>
      <c r="R791" s="117">
        <v>19.919499999999982</v>
      </c>
      <c r="S791" s="116">
        <v>14.237000000000002</v>
      </c>
      <c r="T791" s="117">
        <v>1.9680000000000002</v>
      </c>
      <c r="U791" s="116">
        <v>0</v>
      </c>
      <c r="V791" s="117">
        <v>0</v>
      </c>
      <c r="W791" s="116">
        <v>0</v>
      </c>
      <c r="X791" s="117">
        <v>0</v>
      </c>
      <c r="Y791" s="116">
        <v>0</v>
      </c>
      <c r="Z791" s="117">
        <v>0</v>
      </c>
      <c r="AA791" s="116">
        <v>0</v>
      </c>
      <c r="AB791" s="117">
        <v>0</v>
      </c>
      <c r="AC791" s="238">
        <f t="shared" si="42"/>
        <v>43.869499999999988</v>
      </c>
      <c r="AD791" s="238"/>
      <c r="AE791" s="238"/>
    </row>
    <row r="792" spans="2:31" x14ac:dyDescent="0.3">
      <c r="B792" s="245" t="s">
        <v>97</v>
      </c>
      <c r="C792" s="245"/>
      <c r="D792" s="245"/>
      <c r="E792" s="116">
        <v>0</v>
      </c>
      <c r="F792" s="117">
        <v>0</v>
      </c>
      <c r="G792" s="116">
        <v>0</v>
      </c>
      <c r="H792" s="117">
        <v>0</v>
      </c>
      <c r="I792" s="116">
        <v>0</v>
      </c>
      <c r="J792" s="117">
        <v>0</v>
      </c>
      <c r="K792" s="116">
        <v>0</v>
      </c>
      <c r="L792" s="117">
        <v>0</v>
      </c>
      <c r="M792" s="116">
        <v>0</v>
      </c>
      <c r="N792" s="117">
        <v>0</v>
      </c>
      <c r="O792" s="116">
        <v>0</v>
      </c>
      <c r="P792" s="117">
        <v>0</v>
      </c>
      <c r="Q792" s="116">
        <v>0</v>
      </c>
      <c r="R792" s="117">
        <v>0</v>
      </c>
      <c r="S792" s="116">
        <v>0</v>
      </c>
      <c r="T792" s="117">
        <v>0</v>
      </c>
      <c r="U792" s="116">
        <v>0</v>
      </c>
      <c r="V792" s="117">
        <v>0</v>
      </c>
      <c r="W792" s="116">
        <v>0</v>
      </c>
      <c r="X792" s="117">
        <v>0</v>
      </c>
      <c r="Y792" s="116">
        <v>0</v>
      </c>
      <c r="Z792" s="117">
        <v>0</v>
      </c>
      <c r="AA792" s="116">
        <v>0</v>
      </c>
      <c r="AB792" s="117">
        <v>0</v>
      </c>
      <c r="AC792" s="238">
        <f t="shared" si="42"/>
        <v>0</v>
      </c>
      <c r="AD792" s="238"/>
      <c r="AE792" s="238"/>
    </row>
    <row r="793" spans="2:31" x14ac:dyDescent="0.3">
      <c r="B793" s="245" t="s">
        <v>51</v>
      </c>
      <c r="C793" s="245"/>
      <c r="D793" s="245"/>
      <c r="E793" s="116">
        <v>0</v>
      </c>
      <c r="F793" s="117">
        <v>0</v>
      </c>
      <c r="G793" s="116">
        <v>0</v>
      </c>
      <c r="H793" s="117">
        <v>0</v>
      </c>
      <c r="I793" s="116">
        <v>0</v>
      </c>
      <c r="J793" s="117">
        <v>0</v>
      </c>
      <c r="K793" s="116">
        <v>0</v>
      </c>
      <c r="L793" s="117">
        <v>0</v>
      </c>
      <c r="M793" s="116">
        <v>0</v>
      </c>
      <c r="N793" s="117">
        <v>0</v>
      </c>
      <c r="O793" s="116">
        <v>0</v>
      </c>
      <c r="P793" s="117">
        <v>0</v>
      </c>
      <c r="Q793" s="116">
        <v>0</v>
      </c>
      <c r="R793" s="117">
        <v>0</v>
      </c>
      <c r="S793" s="116">
        <v>0</v>
      </c>
      <c r="T793" s="117">
        <v>0</v>
      </c>
      <c r="U793" s="116">
        <v>0</v>
      </c>
      <c r="V793" s="117">
        <v>0</v>
      </c>
      <c r="W793" s="116">
        <v>0</v>
      </c>
      <c r="X793" s="117">
        <v>0</v>
      </c>
      <c r="Y793" s="116">
        <v>0</v>
      </c>
      <c r="Z793" s="117">
        <v>0</v>
      </c>
      <c r="AA793" s="116">
        <v>0</v>
      </c>
      <c r="AB793" s="117">
        <v>0</v>
      </c>
      <c r="AC793" s="238">
        <f t="shared" si="42"/>
        <v>0</v>
      </c>
      <c r="AD793" s="238"/>
      <c r="AE793" s="238"/>
    </row>
    <row r="794" spans="2:31" x14ac:dyDescent="0.3">
      <c r="B794" s="245" t="s">
        <v>52</v>
      </c>
      <c r="C794" s="245"/>
      <c r="D794" s="245"/>
      <c r="E794" s="116">
        <v>0</v>
      </c>
      <c r="F794" s="117">
        <v>0</v>
      </c>
      <c r="G794" s="116">
        <v>0</v>
      </c>
      <c r="H794" s="117">
        <v>0</v>
      </c>
      <c r="I794" s="116">
        <v>0</v>
      </c>
      <c r="J794" s="117">
        <v>0</v>
      </c>
      <c r="K794" s="116">
        <v>0</v>
      </c>
      <c r="L794" s="117">
        <v>0</v>
      </c>
      <c r="M794" s="116">
        <v>0</v>
      </c>
      <c r="N794" s="117">
        <v>0</v>
      </c>
      <c r="O794" s="116">
        <v>0</v>
      </c>
      <c r="P794" s="117">
        <v>0</v>
      </c>
      <c r="Q794" s="116">
        <v>0</v>
      </c>
      <c r="R794" s="117">
        <v>0</v>
      </c>
      <c r="S794" s="116">
        <v>0</v>
      </c>
      <c r="T794" s="117">
        <v>0</v>
      </c>
      <c r="U794" s="116">
        <v>0</v>
      </c>
      <c r="V794" s="117">
        <v>0</v>
      </c>
      <c r="W794" s="116">
        <v>0</v>
      </c>
      <c r="X794" s="117">
        <v>0</v>
      </c>
      <c r="Y794" s="116">
        <v>0</v>
      </c>
      <c r="Z794" s="117">
        <v>0</v>
      </c>
      <c r="AA794" s="116">
        <v>0</v>
      </c>
      <c r="AB794" s="117">
        <v>0</v>
      </c>
      <c r="AC794" s="238">
        <f t="shared" si="42"/>
        <v>0</v>
      </c>
      <c r="AD794" s="238"/>
      <c r="AE794" s="238"/>
    </row>
    <row r="795" spans="2:31" x14ac:dyDescent="0.3">
      <c r="B795" s="245" t="s">
        <v>53</v>
      </c>
      <c r="C795" s="245"/>
      <c r="D795" s="245"/>
      <c r="E795" s="116">
        <v>0</v>
      </c>
      <c r="F795" s="117">
        <v>0</v>
      </c>
      <c r="G795" s="116">
        <v>0</v>
      </c>
      <c r="H795" s="117">
        <v>0</v>
      </c>
      <c r="I795" s="116">
        <v>0</v>
      </c>
      <c r="J795" s="117">
        <v>0</v>
      </c>
      <c r="K795" s="116">
        <v>0</v>
      </c>
      <c r="L795" s="117">
        <v>0</v>
      </c>
      <c r="M795" s="116">
        <v>0</v>
      </c>
      <c r="N795" s="117">
        <v>0</v>
      </c>
      <c r="O795" s="116">
        <v>0</v>
      </c>
      <c r="P795" s="117">
        <v>0</v>
      </c>
      <c r="Q795" s="116">
        <v>0</v>
      </c>
      <c r="R795" s="117">
        <v>0</v>
      </c>
      <c r="S795" s="116">
        <v>0</v>
      </c>
      <c r="T795" s="117">
        <v>0</v>
      </c>
      <c r="U795" s="116">
        <v>0</v>
      </c>
      <c r="V795" s="117">
        <v>0</v>
      </c>
      <c r="W795" s="116">
        <v>0</v>
      </c>
      <c r="X795" s="117">
        <v>0</v>
      </c>
      <c r="Y795" s="116">
        <v>0</v>
      </c>
      <c r="Z795" s="117">
        <v>0</v>
      </c>
      <c r="AA795" s="116">
        <v>0</v>
      </c>
      <c r="AB795" s="117">
        <v>0</v>
      </c>
      <c r="AC795" s="238">
        <f t="shared" si="42"/>
        <v>0</v>
      </c>
      <c r="AD795" s="238"/>
      <c r="AE795" s="238"/>
    </row>
    <row r="796" spans="2:31" x14ac:dyDescent="0.3">
      <c r="B796" s="245" t="s">
        <v>54</v>
      </c>
      <c r="C796" s="245"/>
      <c r="D796" s="245"/>
      <c r="E796" s="116">
        <v>0</v>
      </c>
      <c r="F796" s="117">
        <v>0</v>
      </c>
      <c r="G796" s="116">
        <v>0</v>
      </c>
      <c r="H796" s="117">
        <v>0</v>
      </c>
      <c r="I796" s="116">
        <v>0</v>
      </c>
      <c r="J796" s="117">
        <v>0</v>
      </c>
      <c r="K796" s="116">
        <v>0</v>
      </c>
      <c r="L796" s="117">
        <v>0</v>
      </c>
      <c r="M796" s="116">
        <v>0</v>
      </c>
      <c r="N796" s="117">
        <v>0</v>
      </c>
      <c r="O796" s="116">
        <v>0</v>
      </c>
      <c r="P796" s="117">
        <v>0</v>
      </c>
      <c r="Q796" s="116">
        <v>0</v>
      </c>
      <c r="R796" s="117">
        <v>0</v>
      </c>
      <c r="S796" s="116">
        <v>1.4256666666666671</v>
      </c>
      <c r="T796" s="117">
        <v>1.2066666666666668</v>
      </c>
      <c r="U796" s="116">
        <v>0</v>
      </c>
      <c r="V796" s="117">
        <v>1.165</v>
      </c>
      <c r="W796" s="116">
        <v>1.2746666666666671</v>
      </c>
      <c r="X796" s="117">
        <v>0</v>
      </c>
      <c r="Y796" s="116">
        <v>0</v>
      </c>
      <c r="Z796" s="117">
        <v>0</v>
      </c>
      <c r="AA796" s="116">
        <v>0</v>
      </c>
      <c r="AB796" s="117">
        <v>0</v>
      </c>
      <c r="AC796" s="238">
        <f t="shared" si="42"/>
        <v>5.072000000000001</v>
      </c>
      <c r="AD796" s="238"/>
      <c r="AE796" s="238"/>
    </row>
    <row r="797" spans="2:31" x14ac:dyDescent="0.3">
      <c r="B797" s="245" t="s">
        <v>55</v>
      </c>
      <c r="C797" s="245"/>
      <c r="D797" s="245"/>
      <c r="E797" s="116">
        <v>0</v>
      </c>
      <c r="F797" s="117">
        <v>0</v>
      </c>
      <c r="G797" s="116">
        <v>0</v>
      </c>
      <c r="H797" s="117">
        <v>0</v>
      </c>
      <c r="I797" s="116">
        <v>0</v>
      </c>
      <c r="J797" s="117">
        <v>0</v>
      </c>
      <c r="K797" s="116">
        <v>0</v>
      </c>
      <c r="L797" s="117">
        <v>0</v>
      </c>
      <c r="M797" s="116">
        <v>0</v>
      </c>
      <c r="N797" s="117">
        <v>0</v>
      </c>
      <c r="O797" s="116">
        <v>0</v>
      </c>
      <c r="P797" s="117">
        <v>0</v>
      </c>
      <c r="Q797" s="116">
        <v>0</v>
      </c>
      <c r="R797" s="117">
        <v>0</v>
      </c>
      <c r="S797" s="116">
        <v>0</v>
      </c>
      <c r="T797" s="117">
        <v>0</v>
      </c>
      <c r="U797" s="116">
        <v>0</v>
      </c>
      <c r="V797" s="117">
        <v>0</v>
      </c>
      <c r="W797" s="116">
        <v>0</v>
      </c>
      <c r="X797" s="117">
        <v>0</v>
      </c>
      <c r="Y797" s="116">
        <v>0</v>
      </c>
      <c r="Z797" s="117">
        <v>0</v>
      </c>
      <c r="AA797" s="116">
        <v>0</v>
      </c>
      <c r="AB797" s="117">
        <v>0</v>
      </c>
      <c r="AC797" s="238">
        <f t="shared" si="42"/>
        <v>0</v>
      </c>
      <c r="AD797" s="238"/>
      <c r="AE797" s="238"/>
    </row>
    <row r="798" spans="2:31" x14ac:dyDescent="0.3">
      <c r="B798" s="245" t="s">
        <v>56</v>
      </c>
      <c r="C798" s="245"/>
      <c r="D798" s="245"/>
      <c r="E798" s="116">
        <v>0</v>
      </c>
      <c r="F798" s="117">
        <v>0</v>
      </c>
      <c r="G798" s="116">
        <v>0</v>
      </c>
      <c r="H798" s="117">
        <v>0</v>
      </c>
      <c r="I798" s="116">
        <v>0</v>
      </c>
      <c r="J798" s="117">
        <v>0</v>
      </c>
      <c r="K798" s="116">
        <v>0</v>
      </c>
      <c r="L798" s="117">
        <v>0</v>
      </c>
      <c r="M798" s="116">
        <v>0</v>
      </c>
      <c r="N798" s="117">
        <v>0</v>
      </c>
      <c r="O798" s="116">
        <v>0</v>
      </c>
      <c r="P798" s="117">
        <v>0</v>
      </c>
      <c r="Q798" s="116">
        <v>4.7113333333333332</v>
      </c>
      <c r="R798" s="117">
        <v>19.577666666666669</v>
      </c>
      <c r="S798" s="116">
        <v>5.8444999999999983</v>
      </c>
      <c r="T798" s="117">
        <v>0</v>
      </c>
      <c r="U798" s="116">
        <v>0</v>
      </c>
      <c r="V798" s="117">
        <v>0</v>
      </c>
      <c r="W798" s="116">
        <v>0</v>
      </c>
      <c r="X798" s="117">
        <v>0</v>
      </c>
      <c r="Y798" s="116">
        <v>0</v>
      </c>
      <c r="Z798" s="117">
        <v>0</v>
      </c>
      <c r="AA798" s="116">
        <v>0</v>
      </c>
      <c r="AB798" s="117">
        <v>0</v>
      </c>
      <c r="AC798" s="238">
        <f t="shared" si="42"/>
        <v>30.133499999999998</v>
      </c>
      <c r="AD798" s="238"/>
      <c r="AE798" s="238"/>
    </row>
    <row r="799" spans="2:31" x14ac:dyDescent="0.3">
      <c r="B799" s="245" t="s">
        <v>94</v>
      </c>
      <c r="C799" s="245"/>
      <c r="D799" s="245"/>
      <c r="E799" s="116">
        <v>0</v>
      </c>
      <c r="F799" s="117">
        <v>0</v>
      </c>
      <c r="G799" s="116">
        <v>0</v>
      </c>
      <c r="H799" s="117">
        <v>0</v>
      </c>
      <c r="I799" s="116">
        <v>0</v>
      </c>
      <c r="J799" s="117">
        <v>0</v>
      </c>
      <c r="K799" s="116">
        <v>0</v>
      </c>
      <c r="L799" s="117">
        <v>0</v>
      </c>
      <c r="M799" s="116">
        <v>0</v>
      </c>
      <c r="N799" s="117">
        <v>0</v>
      </c>
      <c r="O799" s="116">
        <v>0</v>
      </c>
      <c r="P799" s="117">
        <v>0</v>
      </c>
      <c r="Q799" s="116">
        <v>0</v>
      </c>
      <c r="R799" s="117">
        <v>0</v>
      </c>
      <c r="S799" s="116">
        <v>0</v>
      </c>
      <c r="T799" s="117">
        <v>0</v>
      </c>
      <c r="U799" s="116">
        <v>0</v>
      </c>
      <c r="V799" s="117">
        <v>0</v>
      </c>
      <c r="W799" s="116">
        <v>0</v>
      </c>
      <c r="X799" s="117">
        <v>0</v>
      </c>
      <c r="Y799" s="116">
        <v>0</v>
      </c>
      <c r="Z799" s="117">
        <v>0</v>
      </c>
      <c r="AA799" s="116">
        <v>0</v>
      </c>
      <c r="AB799" s="117">
        <v>0</v>
      </c>
      <c r="AC799" s="238">
        <f t="shared" si="42"/>
        <v>0</v>
      </c>
      <c r="AD799" s="238"/>
      <c r="AE799" s="238"/>
    </row>
    <row r="800" spans="2:31" x14ac:dyDescent="0.3">
      <c r="B800" s="245" t="s">
        <v>57</v>
      </c>
      <c r="C800" s="245"/>
      <c r="D800" s="245"/>
      <c r="E800" s="116">
        <v>0</v>
      </c>
      <c r="F800" s="117">
        <v>0</v>
      </c>
      <c r="G800" s="116">
        <v>0</v>
      </c>
      <c r="H800" s="117">
        <v>0</v>
      </c>
      <c r="I800" s="116">
        <v>0</v>
      </c>
      <c r="J800" s="117">
        <v>0</v>
      </c>
      <c r="K800" s="116">
        <v>0</v>
      </c>
      <c r="L800" s="117">
        <v>0</v>
      </c>
      <c r="M800" s="116">
        <v>0</v>
      </c>
      <c r="N800" s="117">
        <v>0</v>
      </c>
      <c r="O800" s="116">
        <v>0</v>
      </c>
      <c r="P800" s="117">
        <v>0</v>
      </c>
      <c r="Q800" s="116">
        <v>0</v>
      </c>
      <c r="R800" s="117">
        <v>0.15433333333333329</v>
      </c>
      <c r="S800" s="116">
        <v>0</v>
      </c>
      <c r="T800" s="117">
        <v>2.5836666666666659</v>
      </c>
      <c r="U800" s="116">
        <v>0</v>
      </c>
      <c r="V800" s="117">
        <v>0</v>
      </c>
      <c r="W800" s="116">
        <v>1.8341666666666669</v>
      </c>
      <c r="X800" s="117">
        <v>0</v>
      </c>
      <c r="Y800" s="116">
        <v>0</v>
      </c>
      <c r="Z800" s="117">
        <v>0</v>
      </c>
      <c r="AA800" s="116">
        <v>0</v>
      </c>
      <c r="AB800" s="117">
        <v>0</v>
      </c>
      <c r="AC800" s="238">
        <f t="shared" si="42"/>
        <v>4.572166666666666</v>
      </c>
      <c r="AD800" s="238"/>
      <c r="AE800" s="238"/>
    </row>
    <row r="801" spans="2:31" x14ac:dyDescent="0.3">
      <c r="B801" s="245" t="s">
        <v>58</v>
      </c>
      <c r="C801" s="245"/>
      <c r="D801" s="245"/>
      <c r="E801" s="116">
        <v>0</v>
      </c>
      <c r="F801" s="117">
        <v>0</v>
      </c>
      <c r="G801" s="116">
        <v>0</v>
      </c>
      <c r="H801" s="117">
        <v>0</v>
      </c>
      <c r="I801" s="116">
        <v>0</v>
      </c>
      <c r="J801" s="117">
        <v>0</v>
      </c>
      <c r="K801" s="116">
        <v>0</v>
      </c>
      <c r="L801" s="117">
        <v>0</v>
      </c>
      <c r="M801" s="116">
        <v>0</v>
      </c>
      <c r="N801" s="117">
        <v>0</v>
      </c>
      <c r="O801" s="116">
        <v>0</v>
      </c>
      <c r="P801" s="117">
        <v>0</v>
      </c>
      <c r="Q801" s="116">
        <v>0</v>
      </c>
      <c r="R801" s="117">
        <v>9.1000000000000011E-2</v>
      </c>
      <c r="S801" s="116">
        <v>0.16650000000000015</v>
      </c>
      <c r="T801" s="117">
        <v>12.096499999999997</v>
      </c>
      <c r="U801" s="116">
        <v>0</v>
      </c>
      <c r="V801" s="117">
        <v>0</v>
      </c>
      <c r="W801" s="116">
        <v>7.802999999999999</v>
      </c>
      <c r="X801" s="117">
        <v>0</v>
      </c>
      <c r="Y801" s="116">
        <v>0</v>
      </c>
      <c r="Z801" s="117">
        <v>0</v>
      </c>
      <c r="AA801" s="116">
        <v>0</v>
      </c>
      <c r="AB801" s="117">
        <v>0</v>
      </c>
      <c r="AC801" s="238">
        <f t="shared" si="42"/>
        <v>20.156999999999996</v>
      </c>
      <c r="AD801" s="238"/>
      <c r="AE801" s="238"/>
    </row>
    <row r="802" spans="2:31" x14ac:dyDescent="0.3">
      <c r="B802" s="245" t="s">
        <v>95</v>
      </c>
      <c r="C802" s="245"/>
      <c r="D802" s="245"/>
      <c r="E802" s="116">
        <v>0</v>
      </c>
      <c r="F802" s="117">
        <v>0</v>
      </c>
      <c r="G802" s="116">
        <v>0</v>
      </c>
      <c r="H802" s="117">
        <v>0</v>
      </c>
      <c r="I802" s="116">
        <v>0</v>
      </c>
      <c r="J802" s="117">
        <v>0</v>
      </c>
      <c r="K802" s="116">
        <v>0</v>
      </c>
      <c r="L802" s="117">
        <v>0</v>
      </c>
      <c r="M802" s="116">
        <v>0</v>
      </c>
      <c r="N802" s="117">
        <v>0</v>
      </c>
      <c r="O802" s="116">
        <v>0</v>
      </c>
      <c r="P802" s="117">
        <v>0</v>
      </c>
      <c r="Q802" s="116">
        <v>0</v>
      </c>
      <c r="R802" s="117">
        <v>0</v>
      </c>
      <c r="S802" s="116">
        <v>0</v>
      </c>
      <c r="T802" s="117">
        <v>0</v>
      </c>
      <c r="U802" s="116">
        <v>0</v>
      </c>
      <c r="V802" s="117">
        <v>0</v>
      </c>
      <c r="W802" s="116">
        <v>0</v>
      </c>
      <c r="X802" s="117">
        <v>0</v>
      </c>
      <c r="Y802" s="116">
        <v>0</v>
      </c>
      <c r="Z802" s="117">
        <v>0</v>
      </c>
      <c r="AA802" s="116">
        <v>0</v>
      </c>
      <c r="AB802" s="117">
        <v>0</v>
      </c>
      <c r="AC802" s="238">
        <f t="shared" si="42"/>
        <v>0</v>
      </c>
      <c r="AD802" s="238"/>
      <c r="AE802" s="238"/>
    </row>
    <row r="803" spans="2:31" x14ac:dyDescent="0.3">
      <c r="B803" s="245" t="s">
        <v>59</v>
      </c>
      <c r="C803" s="245"/>
      <c r="D803" s="245"/>
      <c r="E803" s="116">
        <v>0</v>
      </c>
      <c r="F803" s="117">
        <v>0</v>
      </c>
      <c r="G803" s="116">
        <v>0</v>
      </c>
      <c r="H803" s="117">
        <v>0</v>
      </c>
      <c r="I803" s="116">
        <v>0</v>
      </c>
      <c r="J803" s="117">
        <v>0</v>
      </c>
      <c r="K803" s="116">
        <v>0</v>
      </c>
      <c r="L803" s="117">
        <v>0</v>
      </c>
      <c r="M803" s="116">
        <v>0</v>
      </c>
      <c r="N803" s="117">
        <v>0</v>
      </c>
      <c r="O803" s="116">
        <v>0</v>
      </c>
      <c r="P803" s="117">
        <v>0</v>
      </c>
      <c r="Q803" s="116">
        <v>0.10083333333333151</v>
      </c>
      <c r="R803" s="117">
        <v>1.746999999999997</v>
      </c>
      <c r="S803" s="116">
        <v>0.20599999999999893</v>
      </c>
      <c r="T803" s="117">
        <v>4.1476666666666722</v>
      </c>
      <c r="U803" s="116">
        <v>4.7345000000000024</v>
      </c>
      <c r="V803" s="117">
        <v>0.86366666666666669</v>
      </c>
      <c r="W803" s="116">
        <v>0.62400000000000011</v>
      </c>
      <c r="X803" s="117">
        <v>0</v>
      </c>
      <c r="Y803" s="116">
        <v>0</v>
      </c>
      <c r="Z803" s="117">
        <v>0</v>
      </c>
      <c r="AA803" s="116">
        <v>0</v>
      </c>
      <c r="AB803" s="117">
        <v>0</v>
      </c>
      <c r="AC803" s="238">
        <f t="shared" si="42"/>
        <v>12.423666666666669</v>
      </c>
      <c r="AD803" s="238"/>
      <c r="AE803" s="238"/>
    </row>
    <row r="804" spans="2:31" x14ac:dyDescent="0.3">
      <c r="B804" s="245" t="s">
        <v>60</v>
      </c>
      <c r="C804" s="245"/>
      <c r="D804" s="245"/>
      <c r="E804" s="116">
        <v>0</v>
      </c>
      <c r="F804" s="117">
        <v>0</v>
      </c>
      <c r="G804" s="116">
        <v>0</v>
      </c>
      <c r="H804" s="117">
        <v>0</v>
      </c>
      <c r="I804" s="116">
        <v>0</v>
      </c>
      <c r="J804" s="117">
        <v>0</v>
      </c>
      <c r="K804" s="116">
        <v>0</v>
      </c>
      <c r="L804" s="117">
        <v>0</v>
      </c>
      <c r="M804" s="116">
        <v>0</v>
      </c>
      <c r="N804" s="117">
        <v>0</v>
      </c>
      <c r="O804" s="116">
        <v>0</v>
      </c>
      <c r="P804" s="117">
        <v>0</v>
      </c>
      <c r="Q804" s="116">
        <v>2.3333333333333426E-3</v>
      </c>
      <c r="R804" s="117">
        <v>1.5983333333333325</v>
      </c>
      <c r="S804" s="116">
        <v>0.23000000000000043</v>
      </c>
      <c r="T804" s="117">
        <v>0</v>
      </c>
      <c r="U804" s="116">
        <v>2.7111666666666681</v>
      </c>
      <c r="V804" s="117">
        <v>8.05683333333333</v>
      </c>
      <c r="W804" s="116">
        <v>0</v>
      </c>
      <c r="X804" s="117">
        <v>0</v>
      </c>
      <c r="Y804" s="116">
        <v>0</v>
      </c>
      <c r="Z804" s="117">
        <v>0</v>
      </c>
      <c r="AA804" s="116">
        <v>0</v>
      </c>
      <c r="AB804" s="117">
        <v>0</v>
      </c>
      <c r="AC804" s="238">
        <f t="shared" si="42"/>
        <v>12.598666666666665</v>
      </c>
      <c r="AD804" s="238"/>
      <c r="AE804" s="238"/>
    </row>
    <row r="805" spans="2:31" x14ac:dyDescent="0.3">
      <c r="B805" s="245" t="s">
        <v>61</v>
      </c>
      <c r="C805" s="245"/>
      <c r="D805" s="245"/>
      <c r="E805" s="116">
        <v>0</v>
      </c>
      <c r="F805" s="117">
        <v>0</v>
      </c>
      <c r="G805" s="116">
        <v>0</v>
      </c>
      <c r="H805" s="117">
        <v>0</v>
      </c>
      <c r="I805" s="116">
        <v>0</v>
      </c>
      <c r="J805" s="117">
        <v>0</v>
      </c>
      <c r="K805" s="116">
        <v>0</v>
      </c>
      <c r="L805" s="117">
        <v>0</v>
      </c>
      <c r="M805" s="116">
        <v>0</v>
      </c>
      <c r="N805" s="117">
        <v>0</v>
      </c>
      <c r="O805" s="116">
        <v>0</v>
      </c>
      <c r="P805" s="117">
        <v>0</v>
      </c>
      <c r="Q805" s="116">
        <v>0</v>
      </c>
      <c r="R805" s="117">
        <v>0</v>
      </c>
      <c r="S805" s="116">
        <v>0</v>
      </c>
      <c r="T805" s="117">
        <v>0</v>
      </c>
      <c r="U805" s="116">
        <v>0.58783333333333276</v>
      </c>
      <c r="V805" s="117">
        <v>9.2949999999999946</v>
      </c>
      <c r="W805" s="116">
        <v>0</v>
      </c>
      <c r="X805" s="117">
        <v>0</v>
      </c>
      <c r="Y805" s="116">
        <v>0</v>
      </c>
      <c r="Z805" s="117">
        <v>0</v>
      </c>
      <c r="AA805" s="116">
        <v>0</v>
      </c>
      <c r="AB805" s="117">
        <v>0</v>
      </c>
      <c r="AC805" s="238">
        <f t="shared" si="42"/>
        <v>9.8828333333333269</v>
      </c>
      <c r="AD805" s="238"/>
      <c r="AE805" s="238"/>
    </row>
    <row r="806" spans="2:31" x14ac:dyDescent="0.3">
      <c r="B806" s="245" t="s">
        <v>62</v>
      </c>
      <c r="C806" s="245"/>
      <c r="D806" s="245"/>
      <c r="E806" s="116">
        <v>0</v>
      </c>
      <c r="F806" s="117">
        <v>0</v>
      </c>
      <c r="G806" s="116">
        <v>0</v>
      </c>
      <c r="H806" s="117">
        <v>0</v>
      </c>
      <c r="I806" s="116">
        <v>0</v>
      </c>
      <c r="J806" s="117">
        <v>0</v>
      </c>
      <c r="K806" s="116">
        <v>0</v>
      </c>
      <c r="L806" s="117">
        <v>0</v>
      </c>
      <c r="M806" s="116">
        <v>0</v>
      </c>
      <c r="N806" s="117">
        <v>0</v>
      </c>
      <c r="O806" s="116">
        <v>0</v>
      </c>
      <c r="P806" s="117">
        <v>0</v>
      </c>
      <c r="Q806" s="116">
        <v>0.1968333333333333</v>
      </c>
      <c r="R806" s="117">
        <v>5.2855000000000016</v>
      </c>
      <c r="S806" s="116">
        <v>0.51616666666666644</v>
      </c>
      <c r="T806" s="117">
        <v>0</v>
      </c>
      <c r="U806" s="116">
        <v>3.6781666666666655</v>
      </c>
      <c r="V806" s="117">
        <v>18.450499999999991</v>
      </c>
      <c r="W806" s="116">
        <v>6.1769999999999978</v>
      </c>
      <c r="X806" s="117">
        <v>0</v>
      </c>
      <c r="Y806" s="116">
        <v>0</v>
      </c>
      <c r="Z806" s="117">
        <v>0</v>
      </c>
      <c r="AA806" s="116">
        <v>0</v>
      </c>
      <c r="AB806" s="117">
        <v>0</v>
      </c>
      <c r="AC806" s="238">
        <f t="shared" si="42"/>
        <v>34.30416666666666</v>
      </c>
      <c r="AD806" s="238"/>
      <c r="AE806" s="238"/>
    </row>
    <row r="807" spans="2:31" x14ac:dyDescent="0.3">
      <c r="B807" s="245" t="s">
        <v>63</v>
      </c>
      <c r="C807" s="245"/>
      <c r="D807" s="245"/>
      <c r="E807" s="116">
        <v>0</v>
      </c>
      <c r="F807" s="117">
        <v>0</v>
      </c>
      <c r="G807" s="116">
        <v>0</v>
      </c>
      <c r="H807" s="117">
        <v>0</v>
      </c>
      <c r="I807" s="116">
        <v>0</v>
      </c>
      <c r="J807" s="117">
        <v>0</v>
      </c>
      <c r="K807" s="116">
        <v>0</v>
      </c>
      <c r="L807" s="117">
        <v>0</v>
      </c>
      <c r="M807" s="116">
        <v>0</v>
      </c>
      <c r="N807" s="117">
        <v>0</v>
      </c>
      <c r="O807" s="116">
        <v>0</v>
      </c>
      <c r="P807" s="117">
        <v>0</v>
      </c>
      <c r="Q807" s="116">
        <v>0</v>
      </c>
      <c r="R807" s="117">
        <v>0</v>
      </c>
      <c r="S807" s="116">
        <v>0</v>
      </c>
      <c r="T807" s="117">
        <v>0</v>
      </c>
      <c r="U807" s="116">
        <v>0</v>
      </c>
      <c r="V807" s="117">
        <v>0</v>
      </c>
      <c r="W807" s="116">
        <v>18.990500000000004</v>
      </c>
      <c r="X807" s="117">
        <v>0</v>
      </c>
      <c r="Y807" s="116">
        <v>0</v>
      </c>
      <c r="Z807" s="117">
        <v>0</v>
      </c>
      <c r="AA807" s="116">
        <v>0</v>
      </c>
      <c r="AB807" s="117">
        <v>0</v>
      </c>
      <c r="AC807" s="238">
        <f t="shared" si="42"/>
        <v>18.990500000000004</v>
      </c>
      <c r="AD807" s="238"/>
      <c r="AE807" s="238"/>
    </row>
    <row r="808" spans="2:31" x14ac:dyDescent="0.3">
      <c r="B808" s="245" t="s">
        <v>64</v>
      </c>
      <c r="C808" s="245"/>
      <c r="D808" s="245"/>
      <c r="E808" s="116">
        <v>0</v>
      </c>
      <c r="F808" s="117">
        <v>0</v>
      </c>
      <c r="G808" s="116">
        <v>0</v>
      </c>
      <c r="H808" s="117">
        <v>0</v>
      </c>
      <c r="I808" s="116">
        <v>0</v>
      </c>
      <c r="J808" s="117">
        <v>0</v>
      </c>
      <c r="K808" s="116">
        <v>0</v>
      </c>
      <c r="L808" s="117">
        <v>0</v>
      </c>
      <c r="M808" s="116">
        <v>0</v>
      </c>
      <c r="N808" s="117">
        <v>0</v>
      </c>
      <c r="O808" s="116">
        <v>0</v>
      </c>
      <c r="P808" s="117">
        <v>0</v>
      </c>
      <c r="Q808" s="116">
        <v>0</v>
      </c>
      <c r="R808" s="117">
        <v>0</v>
      </c>
      <c r="S808" s="116">
        <v>0</v>
      </c>
      <c r="T808" s="117">
        <v>0</v>
      </c>
      <c r="U808" s="116">
        <v>0</v>
      </c>
      <c r="V808" s="117">
        <v>0</v>
      </c>
      <c r="W808" s="116">
        <v>0</v>
      </c>
      <c r="X808" s="117">
        <v>0</v>
      </c>
      <c r="Y808" s="116">
        <v>0</v>
      </c>
      <c r="Z808" s="117">
        <v>0</v>
      </c>
      <c r="AA808" s="116">
        <v>0</v>
      </c>
      <c r="AB808" s="117">
        <v>0</v>
      </c>
      <c r="AC808" s="238">
        <f t="shared" si="42"/>
        <v>0</v>
      </c>
      <c r="AD808" s="238"/>
      <c r="AE808" s="238"/>
    </row>
    <row r="809" spans="2:31" x14ac:dyDescent="0.3">
      <c r="B809" s="245" t="s">
        <v>96</v>
      </c>
      <c r="C809" s="245"/>
      <c r="D809" s="245"/>
      <c r="E809" s="116">
        <v>0</v>
      </c>
      <c r="F809" s="117">
        <v>0</v>
      </c>
      <c r="G809" s="116">
        <v>0</v>
      </c>
      <c r="H809" s="117">
        <v>0</v>
      </c>
      <c r="I809" s="116">
        <v>0</v>
      </c>
      <c r="J809" s="117">
        <v>0</v>
      </c>
      <c r="K809" s="116">
        <v>0</v>
      </c>
      <c r="L809" s="117">
        <v>0</v>
      </c>
      <c r="M809" s="116">
        <v>0</v>
      </c>
      <c r="N809" s="117">
        <v>0</v>
      </c>
      <c r="O809" s="116">
        <v>0</v>
      </c>
      <c r="P809" s="117">
        <v>0</v>
      </c>
      <c r="Q809" s="116">
        <v>0</v>
      </c>
      <c r="R809" s="117">
        <v>0</v>
      </c>
      <c r="S809" s="116">
        <v>0</v>
      </c>
      <c r="T809" s="117">
        <v>0</v>
      </c>
      <c r="U809" s="116">
        <v>0</v>
      </c>
      <c r="V809" s="117">
        <v>0</v>
      </c>
      <c r="W809" s="116">
        <v>0</v>
      </c>
      <c r="X809" s="117">
        <v>0</v>
      </c>
      <c r="Y809" s="116">
        <v>0</v>
      </c>
      <c r="Z809" s="117">
        <v>0</v>
      </c>
      <c r="AA809" s="116">
        <v>0</v>
      </c>
      <c r="AB809" s="117">
        <v>0</v>
      </c>
      <c r="AC809" s="238">
        <f t="shared" si="42"/>
        <v>0</v>
      </c>
      <c r="AD809" s="238"/>
      <c r="AE809" s="238"/>
    </row>
    <row r="810" spans="2:31" x14ac:dyDescent="0.3">
      <c r="B810" s="245" t="s">
        <v>65</v>
      </c>
      <c r="C810" s="245"/>
      <c r="D810" s="245"/>
      <c r="E810" s="116">
        <v>0</v>
      </c>
      <c r="F810" s="117">
        <v>0</v>
      </c>
      <c r="G810" s="116">
        <v>0</v>
      </c>
      <c r="H810" s="117">
        <v>0</v>
      </c>
      <c r="I810" s="116">
        <v>0</v>
      </c>
      <c r="J810" s="117">
        <v>0</v>
      </c>
      <c r="K810" s="116">
        <v>0</v>
      </c>
      <c r="L810" s="117">
        <v>0</v>
      </c>
      <c r="M810" s="116">
        <v>0</v>
      </c>
      <c r="N810" s="117">
        <v>0</v>
      </c>
      <c r="O810" s="116">
        <v>0</v>
      </c>
      <c r="P810" s="117">
        <v>0</v>
      </c>
      <c r="Q810" s="116">
        <v>0</v>
      </c>
      <c r="R810" s="117">
        <v>3.0636666666666659</v>
      </c>
      <c r="S810" s="116">
        <v>0</v>
      </c>
      <c r="T810" s="117">
        <v>0</v>
      </c>
      <c r="U810" s="116">
        <v>0</v>
      </c>
      <c r="V810" s="117">
        <v>0</v>
      </c>
      <c r="W810" s="116">
        <v>0</v>
      </c>
      <c r="X810" s="117">
        <v>0</v>
      </c>
      <c r="Y810" s="116">
        <v>0</v>
      </c>
      <c r="Z810" s="117">
        <v>0</v>
      </c>
      <c r="AA810" s="116">
        <v>0</v>
      </c>
      <c r="AB810" s="117">
        <v>0</v>
      </c>
      <c r="AC810" s="238">
        <f t="shared" si="42"/>
        <v>3.0636666666666659</v>
      </c>
      <c r="AD810" s="238"/>
      <c r="AE810" s="238"/>
    </row>
    <row r="811" spans="2:31" x14ac:dyDescent="0.3">
      <c r="B811" s="245" t="s">
        <v>66</v>
      </c>
      <c r="C811" s="245"/>
      <c r="D811" s="245"/>
      <c r="E811" s="116">
        <v>0</v>
      </c>
      <c r="F811" s="117">
        <v>0</v>
      </c>
      <c r="G811" s="116">
        <v>0</v>
      </c>
      <c r="H811" s="117">
        <v>0</v>
      </c>
      <c r="I811" s="116">
        <v>0</v>
      </c>
      <c r="J811" s="117">
        <v>0</v>
      </c>
      <c r="K811" s="116">
        <v>0</v>
      </c>
      <c r="L811" s="117">
        <v>0</v>
      </c>
      <c r="M811" s="116">
        <v>0</v>
      </c>
      <c r="N811" s="117">
        <v>0</v>
      </c>
      <c r="O811" s="116">
        <v>0</v>
      </c>
      <c r="P811" s="117">
        <v>0</v>
      </c>
      <c r="Q811" s="116">
        <v>8.5048333333333321</v>
      </c>
      <c r="R811" s="117">
        <v>24.497499999999999</v>
      </c>
      <c r="S811" s="116">
        <v>1.6393333333333331</v>
      </c>
      <c r="T811" s="117">
        <v>1.2514999999999994</v>
      </c>
      <c r="U811" s="116">
        <v>5.8523333333333358</v>
      </c>
      <c r="V811" s="117">
        <v>9.1776666666666635</v>
      </c>
      <c r="W811" s="116">
        <v>1.6863333333333337</v>
      </c>
      <c r="X811" s="117">
        <v>0</v>
      </c>
      <c r="Y811" s="116">
        <v>0</v>
      </c>
      <c r="Z811" s="117">
        <v>0</v>
      </c>
      <c r="AA811" s="116">
        <v>0</v>
      </c>
      <c r="AB811" s="117">
        <v>0</v>
      </c>
      <c r="AC811" s="238">
        <f>SUM(E811:AB811)</f>
        <v>52.609499999999997</v>
      </c>
      <c r="AD811" s="238"/>
      <c r="AE811" s="238"/>
    </row>
    <row r="812" spans="2:31" x14ac:dyDescent="0.3">
      <c r="B812" s="245" t="s">
        <v>67</v>
      </c>
      <c r="C812" s="245"/>
      <c r="D812" s="245"/>
      <c r="E812" s="116">
        <v>0</v>
      </c>
      <c r="F812" s="117">
        <v>0</v>
      </c>
      <c r="G812" s="116">
        <v>0</v>
      </c>
      <c r="H812" s="117">
        <v>0</v>
      </c>
      <c r="I812" s="116">
        <v>0</v>
      </c>
      <c r="J812" s="117">
        <v>0</v>
      </c>
      <c r="K812" s="116">
        <v>0</v>
      </c>
      <c r="L812" s="117">
        <v>0</v>
      </c>
      <c r="M812" s="116">
        <v>0</v>
      </c>
      <c r="N812" s="117">
        <v>0</v>
      </c>
      <c r="O812" s="116">
        <v>0</v>
      </c>
      <c r="P812" s="117">
        <v>0</v>
      </c>
      <c r="Q812" s="116">
        <v>0</v>
      </c>
      <c r="R812" s="117">
        <v>0.74799999999999989</v>
      </c>
      <c r="S812" s="116">
        <v>0</v>
      </c>
      <c r="T812" s="117">
        <v>0</v>
      </c>
      <c r="U812" s="116">
        <v>0</v>
      </c>
      <c r="V812" s="117">
        <v>3.4999999999999962E-2</v>
      </c>
      <c r="W812" s="116">
        <v>0</v>
      </c>
      <c r="X812" s="117">
        <v>0</v>
      </c>
      <c r="Y812" s="116">
        <v>0</v>
      </c>
      <c r="Z812" s="117">
        <v>0</v>
      </c>
      <c r="AA812" s="116">
        <v>0</v>
      </c>
      <c r="AB812" s="117">
        <v>0</v>
      </c>
      <c r="AC812" s="238">
        <f t="shared" ref="AC812:AC825" si="43">SUM(E812:AB812)</f>
        <v>0.78299999999999981</v>
      </c>
      <c r="AD812" s="238"/>
      <c r="AE812" s="238"/>
    </row>
    <row r="813" spans="2:31" x14ac:dyDescent="0.3">
      <c r="B813" s="245" t="s">
        <v>68</v>
      </c>
      <c r="C813" s="245"/>
      <c r="D813" s="245"/>
      <c r="E813" s="116">
        <v>0</v>
      </c>
      <c r="F813" s="117">
        <v>0</v>
      </c>
      <c r="G813" s="116">
        <v>0</v>
      </c>
      <c r="H813" s="117">
        <v>0</v>
      </c>
      <c r="I813" s="116">
        <v>0</v>
      </c>
      <c r="J813" s="117">
        <v>0</v>
      </c>
      <c r="K813" s="116">
        <v>0</v>
      </c>
      <c r="L813" s="117">
        <v>0</v>
      </c>
      <c r="M813" s="116">
        <v>0</v>
      </c>
      <c r="N813" s="117">
        <v>0</v>
      </c>
      <c r="O813" s="116">
        <v>0</v>
      </c>
      <c r="P813" s="117">
        <v>0</v>
      </c>
      <c r="Q813" s="116">
        <v>0.52649999999999963</v>
      </c>
      <c r="R813" s="117">
        <v>2.6671666666666671</v>
      </c>
      <c r="S813" s="116">
        <v>0</v>
      </c>
      <c r="T813" s="117">
        <v>0</v>
      </c>
      <c r="U813" s="116">
        <v>2.9166666666666549E-2</v>
      </c>
      <c r="V813" s="117">
        <v>2.8581666666666661</v>
      </c>
      <c r="W813" s="116">
        <v>6.0225000000000017</v>
      </c>
      <c r="X813" s="117">
        <v>0</v>
      </c>
      <c r="Y813" s="116">
        <v>0</v>
      </c>
      <c r="Z813" s="117">
        <v>0</v>
      </c>
      <c r="AA813" s="116">
        <v>0</v>
      </c>
      <c r="AB813" s="117">
        <v>0</v>
      </c>
      <c r="AC813" s="238">
        <f t="shared" si="43"/>
        <v>12.1035</v>
      </c>
      <c r="AD813" s="238"/>
      <c r="AE813" s="238"/>
    </row>
    <row r="814" spans="2:31" x14ac:dyDescent="0.3">
      <c r="B814" s="245" t="s">
        <v>69</v>
      </c>
      <c r="C814" s="245"/>
      <c r="D814" s="245"/>
      <c r="E814" s="116">
        <v>0</v>
      </c>
      <c r="F814" s="117">
        <v>0</v>
      </c>
      <c r="G814" s="116">
        <v>0</v>
      </c>
      <c r="H814" s="117">
        <v>0</v>
      </c>
      <c r="I814" s="116">
        <v>0</v>
      </c>
      <c r="J814" s="117">
        <v>0</v>
      </c>
      <c r="K814" s="116">
        <v>0</v>
      </c>
      <c r="L814" s="117">
        <v>0</v>
      </c>
      <c r="M814" s="116">
        <v>0</v>
      </c>
      <c r="N814" s="117">
        <v>0</v>
      </c>
      <c r="O814" s="116">
        <v>0</v>
      </c>
      <c r="P814" s="117">
        <v>0</v>
      </c>
      <c r="Q814" s="116">
        <v>0</v>
      </c>
      <c r="R814" s="117">
        <v>0</v>
      </c>
      <c r="S814" s="116">
        <v>0</v>
      </c>
      <c r="T814" s="117">
        <v>0</v>
      </c>
      <c r="U814" s="116">
        <v>0</v>
      </c>
      <c r="V814" s="117">
        <v>0.18766666666666676</v>
      </c>
      <c r="W814" s="116">
        <v>0</v>
      </c>
      <c r="X814" s="117">
        <v>0</v>
      </c>
      <c r="Y814" s="116">
        <v>0</v>
      </c>
      <c r="Z814" s="117">
        <v>0</v>
      </c>
      <c r="AA814" s="116">
        <v>0</v>
      </c>
      <c r="AB814" s="117">
        <v>0</v>
      </c>
      <c r="AC814" s="238">
        <f t="shared" si="43"/>
        <v>0.18766666666666676</v>
      </c>
      <c r="AD814" s="238"/>
      <c r="AE814" s="238"/>
    </row>
    <row r="815" spans="2:31" x14ac:dyDescent="0.3">
      <c r="B815" s="245" t="s">
        <v>70</v>
      </c>
      <c r="C815" s="245"/>
      <c r="D815" s="245"/>
      <c r="E815" s="116">
        <v>0</v>
      </c>
      <c r="F815" s="117">
        <v>0</v>
      </c>
      <c r="G815" s="116">
        <v>0</v>
      </c>
      <c r="H815" s="117">
        <v>0</v>
      </c>
      <c r="I815" s="116">
        <v>0</v>
      </c>
      <c r="J815" s="117">
        <v>0</v>
      </c>
      <c r="K815" s="116">
        <v>0</v>
      </c>
      <c r="L815" s="117">
        <v>0</v>
      </c>
      <c r="M815" s="116">
        <v>0</v>
      </c>
      <c r="N815" s="117">
        <v>0</v>
      </c>
      <c r="O815" s="116">
        <v>0</v>
      </c>
      <c r="P815" s="117">
        <v>0</v>
      </c>
      <c r="Q815" s="116">
        <v>0</v>
      </c>
      <c r="R815" s="117">
        <v>0</v>
      </c>
      <c r="S815" s="116">
        <v>0</v>
      </c>
      <c r="T815" s="117">
        <v>0</v>
      </c>
      <c r="U815" s="116">
        <v>0</v>
      </c>
      <c r="V815" s="117">
        <v>0</v>
      </c>
      <c r="W815" s="116">
        <v>0.10183333333333332</v>
      </c>
      <c r="X815" s="117">
        <v>0</v>
      </c>
      <c r="Y815" s="116">
        <v>0</v>
      </c>
      <c r="Z815" s="117">
        <v>0</v>
      </c>
      <c r="AA815" s="116">
        <v>0</v>
      </c>
      <c r="AB815" s="117">
        <v>0</v>
      </c>
      <c r="AC815" s="238">
        <f t="shared" si="43"/>
        <v>0.10183333333333332</v>
      </c>
      <c r="AD815" s="238"/>
      <c r="AE815" s="238"/>
    </row>
    <row r="816" spans="2:31" x14ac:dyDescent="0.3">
      <c r="B816" s="245" t="s">
        <v>71</v>
      </c>
      <c r="C816" s="245"/>
      <c r="D816" s="245"/>
      <c r="E816" s="116">
        <v>0</v>
      </c>
      <c r="F816" s="117">
        <v>0</v>
      </c>
      <c r="G816" s="116">
        <v>0</v>
      </c>
      <c r="H816" s="117">
        <v>0</v>
      </c>
      <c r="I816" s="116">
        <v>0</v>
      </c>
      <c r="J816" s="117">
        <v>0</v>
      </c>
      <c r="K816" s="116">
        <v>0</v>
      </c>
      <c r="L816" s="117">
        <v>0</v>
      </c>
      <c r="M816" s="116">
        <v>0</v>
      </c>
      <c r="N816" s="117">
        <v>0</v>
      </c>
      <c r="O816" s="116">
        <v>0</v>
      </c>
      <c r="P816" s="117">
        <v>0</v>
      </c>
      <c r="Q816" s="116">
        <v>2.3201666666666672</v>
      </c>
      <c r="R816" s="117">
        <v>7.1211666666666584</v>
      </c>
      <c r="S816" s="116">
        <v>1.9611666666666661</v>
      </c>
      <c r="T816" s="117">
        <v>0</v>
      </c>
      <c r="U816" s="116">
        <v>0</v>
      </c>
      <c r="V816" s="117">
        <v>0</v>
      </c>
      <c r="W816" s="116">
        <v>0</v>
      </c>
      <c r="X816" s="117">
        <v>0</v>
      </c>
      <c r="Y816" s="116">
        <v>0</v>
      </c>
      <c r="Z816" s="117">
        <v>0</v>
      </c>
      <c r="AA816" s="116">
        <v>0</v>
      </c>
      <c r="AB816" s="117">
        <v>0</v>
      </c>
      <c r="AC816" s="238">
        <f t="shared" si="43"/>
        <v>11.402499999999991</v>
      </c>
      <c r="AD816" s="238"/>
      <c r="AE816" s="238"/>
    </row>
    <row r="817" spans="2:31" x14ac:dyDescent="0.3">
      <c r="B817" s="245" t="s">
        <v>72</v>
      </c>
      <c r="C817" s="245"/>
      <c r="D817" s="245"/>
      <c r="E817" s="116">
        <v>0</v>
      </c>
      <c r="F817" s="117">
        <v>0</v>
      </c>
      <c r="G817" s="116">
        <v>0</v>
      </c>
      <c r="H817" s="117">
        <v>0</v>
      </c>
      <c r="I817" s="116">
        <v>0</v>
      </c>
      <c r="J817" s="117">
        <v>0</v>
      </c>
      <c r="K817" s="116">
        <v>0</v>
      </c>
      <c r="L817" s="117">
        <v>0</v>
      </c>
      <c r="M817" s="116">
        <v>0</v>
      </c>
      <c r="N817" s="117">
        <v>0</v>
      </c>
      <c r="O817" s="116">
        <v>0</v>
      </c>
      <c r="P817" s="117">
        <v>0</v>
      </c>
      <c r="Q817" s="116">
        <v>0.71866666666666645</v>
      </c>
      <c r="R817" s="117">
        <v>4.5739999999999981</v>
      </c>
      <c r="S817" s="116">
        <v>0.34716666666666657</v>
      </c>
      <c r="T817" s="117">
        <v>0</v>
      </c>
      <c r="U817" s="116">
        <v>0</v>
      </c>
      <c r="V817" s="117">
        <v>0</v>
      </c>
      <c r="W817" s="116">
        <v>0</v>
      </c>
      <c r="X817" s="117">
        <v>0</v>
      </c>
      <c r="Y817" s="116">
        <v>0</v>
      </c>
      <c r="Z817" s="117">
        <v>0</v>
      </c>
      <c r="AA817" s="116">
        <v>0</v>
      </c>
      <c r="AB817" s="117">
        <v>0</v>
      </c>
      <c r="AC817" s="238">
        <f t="shared" si="43"/>
        <v>5.639833333333331</v>
      </c>
      <c r="AD817" s="238"/>
      <c r="AE817" s="238"/>
    </row>
    <row r="818" spans="2:31" x14ac:dyDescent="0.3">
      <c r="B818" s="245" t="s">
        <v>73</v>
      </c>
      <c r="C818" s="245"/>
      <c r="D818" s="245"/>
      <c r="E818" s="116">
        <v>0</v>
      </c>
      <c r="F818" s="117">
        <v>0</v>
      </c>
      <c r="G818" s="116">
        <v>0</v>
      </c>
      <c r="H818" s="117">
        <v>0</v>
      </c>
      <c r="I818" s="116">
        <v>0</v>
      </c>
      <c r="J818" s="117">
        <v>0</v>
      </c>
      <c r="K818" s="116">
        <v>0</v>
      </c>
      <c r="L818" s="117">
        <v>0</v>
      </c>
      <c r="M818" s="116">
        <v>0</v>
      </c>
      <c r="N818" s="117">
        <v>0</v>
      </c>
      <c r="O818" s="116">
        <v>0</v>
      </c>
      <c r="P818" s="117">
        <v>0</v>
      </c>
      <c r="Q818" s="116">
        <v>0</v>
      </c>
      <c r="R818" s="117">
        <v>0</v>
      </c>
      <c r="S818" s="116">
        <v>0</v>
      </c>
      <c r="T818" s="117">
        <v>11.415833333333333</v>
      </c>
      <c r="U818" s="116">
        <v>5.273833333333334</v>
      </c>
      <c r="V818" s="117">
        <v>0</v>
      </c>
      <c r="W818" s="116">
        <v>0</v>
      </c>
      <c r="X818" s="117">
        <v>0</v>
      </c>
      <c r="Y818" s="116">
        <v>0</v>
      </c>
      <c r="Z818" s="117">
        <v>0</v>
      </c>
      <c r="AA818" s="116">
        <v>0</v>
      </c>
      <c r="AB818" s="117">
        <v>0</v>
      </c>
      <c r="AC818" s="238">
        <f t="shared" si="43"/>
        <v>16.689666666666668</v>
      </c>
      <c r="AD818" s="238"/>
      <c r="AE818" s="238"/>
    </row>
    <row r="819" spans="2:31" x14ac:dyDescent="0.3">
      <c r="B819" s="245" t="s">
        <v>74</v>
      </c>
      <c r="C819" s="245"/>
      <c r="D819" s="245"/>
      <c r="E819" s="116">
        <v>0</v>
      </c>
      <c r="F819" s="117">
        <v>0</v>
      </c>
      <c r="G819" s="116">
        <v>0</v>
      </c>
      <c r="H819" s="117">
        <v>0</v>
      </c>
      <c r="I819" s="116">
        <v>0</v>
      </c>
      <c r="J819" s="117">
        <v>0</v>
      </c>
      <c r="K819" s="116">
        <v>0</v>
      </c>
      <c r="L819" s="117">
        <v>0</v>
      </c>
      <c r="M819" s="116">
        <v>0</v>
      </c>
      <c r="N819" s="117">
        <v>0</v>
      </c>
      <c r="O819" s="116">
        <v>0</v>
      </c>
      <c r="P819" s="117">
        <v>0</v>
      </c>
      <c r="Q819" s="116">
        <v>0.26883333333333331</v>
      </c>
      <c r="R819" s="117">
        <v>3.4745000000000004</v>
      </c>
      <c r="S819" s="116">
        <v>2.5198333333333349</v>
      </c>
      <c r="T819" s="117">
        <v>1.2174999999999996</v>
      </c>
      <c r="U819" s="116">
        <v>0.3031666666666667</v>
      </c>
      <c r="V819" s="117">
        <v>0.9441666666666666</v>
      </c>
      <c r="W819" s="116">
        <v>0.22749999999999998</v>
      </c>
      <c r="X819" s="117">
        <v>0</v>
      </c>
      <c r="Y819" s="116">
        <v>0</v>
      </c>
      <c r="Z819" s="117">
        <v>0</v>
      </c>
      <c r="AA819" s="116">
        <v>0</v>
      </c>
      <c r="AB819" s="117">
        <v>0</v>
      </c>
      <c r="AC819" s="238">
        <f t="shared" si="43"/>
        <v>8.9555000000000007</v>
      </c>
      <c r="AD819" s="238"/>
      <c r="AE819" s="238"/>
    </row>
    <row r="820" spans="2:31" x14ac:dyDescent="0.3">
      <c r="B820" s="245" t="s">
        <v>75</v>
      </c>
      <c r="C820" s="245"/>
      <c r="D820" s="245"/>
      <c r="E820" s="116">
        <v>0</v>
      </c>
      <c r="F820" s="117">
        <v>0</v>
      </c>
      <c r="G820" s="116">
        <v>0</v>
      </c>
      <c r="H820" s="117">
        <v>0</v>
      </c>
      <c r="I820" s="116">
        <v>0</v>
      </c>
      <c r="J820" s="117">
        <v>0</v>
      </c>
      <c r="K820" s="116">
        <v>0</v>
      </c>
      <c r="L820" s="117">
        <v>0</v>
      </c>
      <c r="M820" s="116">
        <v>0</v>
      </c>
      <c r="N820" s="117">
        <v>0</v>
      </c>
      <c r="O820" s="116">
        <v>0</v>
      </c>
      <c r="P820" s="117">
        <v>0</v>
      </c>
      <c r="Q820" s="116">
        <v>0</v>
      </c>
      <c r="R820" s="117">
        <v>0</v>
      </c>
      <c r="S820" s="116">
        <v>0</v>
      </c>
      <c r="T820" s="117">
        <v>0</v>
      </c>
      <c r="U820" s="116">
        <v>4.5499999999999832E-2</v>
      </c>
      <c r="V820" s="117">
        <v>0</v>
      </c>
      <c r="W820" s="116">
        <v>0</v>
      </c>
      <c r="X820" s="117">
        <v>0</v>
      </c>
      <c r="Y820" s="116">
        <v>0</v>
      </c>
      <c r="Z820" s="117">
        <v>0</v>
      </c>
      <c r="AA820" s="116">
        <v>0</v>
      </c>
      <c r="AB820" s="117">
        <v>0</v>
      </c>
      <c r="AC820" s="238">
        <f t="shared" si="43"/>
        <v>4.5499999999999832E-2</v>
      </c>
      <c r="AD820" s="238"/>
      <c r="AE820" s="238"/>
    </row>
    <row r="821" spans="2:31" x14ac:dyDescent="0.3">
      <c r="B821" s="245" t="s">
        <v>76</v>
      </c>
      <c r="C821" s="245"/>
      <c r="D821" s="245"/>
      <c r="E821" s="116">
        <v>0</v>
      </c>
      <c r="F821" s="117">
        <v>0</v>
      </c>
      <c r="G821" s="116">
        <v>0</v>
      </c>
      <c r="H821" s="117">
        <v>0</v>
      </c>
      <c r="I821" s="116">
        <v>0</v>
      </c>
      <c r="J821" s="117">
        <v>0</v>
      </c>
      <c r="K821" s="116">
        <v>0</v>
      </c>
      <c r="L821" s="117">
        <v>0</v>
      </c>
      <c r="M821" s="116">
        <v>0</v>
      </c>
      <c r="N821" s="117">
        <v>0</v>
      </c>
      <c r="O821" s="116">
        <v>0</v>
      </c>
      <c r="P821" s="117">
        <v>0</v>
      </c>
      <c r="Q821" s="116">
        <v>0</v>
      </c>
      <c r="R821" s="117">
        <v>0</v>
      </c>
      <c r="S821" s="116">
        <v>0</v>
      </c>
      <c r="T821" s="117">
        <v>0</v>
      </c>
      <c r="U821" s="116">
        <v>0</v>
      </c>
      <c r="V821" s="117">
        <v>0</v>
      </c>
      <c r="W821" s="116">
        <v>0</v>
      </c>
      <c r="X821" s="117">
        <v>0</v>
      </c>
      <c r="Y821" s="116">
        <v>0</v>
      </c>
      <c r="Z821" s="117">
        <v>0</v>
      </c>
      <c r="AA821" s="116">
        <v>0</v>
      </c>
      <c r="AB821" s="117">
        <v>0</v>
      </c>
      <c r="AC821" s="238">
        <f t="shared" si="43"/>
        <v>0</v>
      </c>
      <c r="AD821" s="238"/>
      <c r="AE821" s="238"/>
    </row>
    <row r="822" spans="2:31" x14ac:dyDescent="0.3">
      <c r="B822" s="245" t="s">
        <v>77</v>
      </c>
      <c r="C822" s="245"/>
      <c r="D822" s="245"/>
      <c r="E822" s="116">
        <v>0</v>
      </c>
      <c r="F822" s="117">
        <v>0</v>
      </c>
      <c r="G822" s="116">
        <v>0</v>
      </c>
      <c r="H822" s="117">
        <v>0</v>
      </c>
      <c r="I822" s="116">
        <v>0</v>
      </c>
      <c r="J822" s="117">
        <v>0</v>
      </c>
      <c r="K822" s="116">
        <v>0</v>
      </c>
      <c r="L822" s="117">
        <v>0</v>
      </c>
      <c r="M822" s="116">
        <v>0</v>
      </c>
      <c r="N822" s="117">
        <v>0</v>
      </c>
      <c r="O822" s="116">
        <v>0</v>
      </c>
      <c r="P822" s="117">
        <v>0</v>
      </c>
      <c r="Q822" s="116">
        <v>0</v>
      </c>
      <c r="R822" s="117">
        <v>0</v>
      </c>
      <c r="S822" s="116">
        <v>0</v>
      </c>
      <c r="T822" s="117">
        <v>0</v>
      </c>
      <c r="U822" s="116">
        <v>0</v>
      </c>
      <c r="V822" s="117">
        <v>0</v>
      </c>
      <c r="W822" s="116">
        <v>0</v>
      </c>
      <c r="X822" s="117">
        <v>0</v>
      </c>
      <c r="Y822" s="116">
        <v>0</v>
      </c>
      <c r="Z822" s="117">
        <v>0</v>
      </c>
      <c r="AA822" s="116">
        <v>0</v>
      </c>
      <c r="AB822" s="117">
        <v>0</v>
      </c>
      <c r="AC822" s="238">
        <f t="shared" si="43"/>
        <v>0</v>
      </c>
      <c r="AD822" s="238"/>
      <c r="AE822" s="238"/>
    </row>
    <row r="823" spans="2:31" x14ac:dyDescent="0.3">
      <c r="B823" s="245" t="s">
        <v>78</v>
      </c>
      <c r="C823" s="245"/>
      <c r="D823" s="245"/>
      <c r="E823" s="116">
        <v>0</v>
      </c>
      <c r="F823" s="117">
        <v>0</v>
      </c>
      <c r="G823" s="116">
        <v>0</v>
      </c>
      <c r="H823" s="117">
        <v>0</v>
      </c>
      <c r="I823" s="116">
        <v>0</v>
      </c>
      <c r="J823" s="117">
        <v>0</v>
      </c>
      <c r="K823" s="116">
        <v>0</v>
      </c>
      <c r="L823" s="117">
        <v>0</v>
      </c>
      <c r="M823" s="116">
        <v>0</v>
      </c>
      <c r="N823" s="117">
        <v>0</v>
      </c>
      <c r="O823" s="116">
        <v>0</v>
      </c>
      <c r="P823" s="117">
        <v>0</v>
      </c>
      <c r="Q823" s="116">
        <v>0</v>
      </c>
      <c r="R823" s="117">
        <v>0</v>
      </c>
      <c r="S823" s="116">
        <v>0</v>
      </c>
      <c r="T823" s="117">
        <v>0</v>
      </c>
      <c r="U823" s="116">
        <v>0</v>
      </c>
      <c r="V823" s="117">
        <v>0</v>
      </c>
      <c r="W823" s="116">
        <v>0</v>
      </c>
      <c r="X823" s="117">
        <v>0</v>
      </c>
      <c r="Y823" s="116">
        <v>0</v>
      </c>
      <c r="Z823" s="117">
        <v>0</v>
      </c>
      <c r="AA823" s="116">
        <v>0</v>
      </c>
      <c r="AB823" s="117">
        <v>0</v>
      </c>
      <c r="AC823" s="238">
        <f t="shared" si="43"/>
        <v>0</v>
      </c>
      <c r="AD823" s="238"/>
      <c r="AE823" s="238"/>
    </row>
    <row r="824" spans="2:31" x14ac:dyDescent="0.3">
      <c r="B824" s="245" t="s">
        <v>79</v>
      </c>
      <c r="C824" s="245"/>
      <c r="D824" s="245"/>
      <c r="E824" s="116">
        <v>0</v>
      </c>
      <c r="F824" s="117">
        <v>0</v>
      </c>
      <c r="G824" s="116">
        <v>0</v>
      </c>
      <c r="H824" s="117">
        <v>0</v>
      </c>
      <c r="I824" s="116">
        <v>0</v>
      </c>
      <c r="J824" s="117">
        <v>0</v>
      </c>
      <c r="K824" s="116">
        <v>0</v>
      </c>
      <c r="L824" s="117">
        <v>0</v>
      </c>
      <c r="M824" s="116">
        <v>0</v>
      </c>
      <c r="N824" s="117">
        <v>0</v>
      </c>
      <c r="O824" s="116">
        <v>0</v>
      </c>
      <c r="P824" s="117">
        <v>0</v>
      </c>
      <c r="Q824" s="116">
        <v>0.34700000000000036</v>
      </c>
      <c r="R824" s="117">
        <v>7.5178333333333365</v>
      </c>
      <c r="S824" s="116">
        <v>0.65366666666666684</v>
      </c>
      <c r="T824" s="117">
        <v>0.48149999999999976</v>
      </c>
      <c r="U824" s="116">
        <v>0</v>
      </c>
      <c r="V824" s="117">
        <v>0.15566666666666709</v>
      </c>
      <c r="W824" s="116">
        <v>3.1534999999999997</v>
      </c>
      <c r="X824" s="117">
        <v>0</v>
      </c>
      <c r="Y824" s="116">
        <v>0</v>
      </c>
      <c r="Z824" s="117">
        <v>0</v>
      </c>
      <c r="AA824" s="116">
        <v>0</v>
      </c>
      <c r="AB824" s="117">
        <v>0</v>
      </c>
      <c r="AC824" s="238">
        <f t="shared" si="43"/>
        <v>12.30916666666667</v>
      </c>
      <c r="AD824" s="238"/>
      <c r="AE824" s="238"/>
    </row>
    <row r="825" spans="2:31" x14ac:dyDescent="0.3">
      <c r="B825" s="245" t="s">
        <v>80</v>
      </c>
      <c r="C825" s="245"/>
      <c r="D825" s="245"/>
      <c r="E825" s="116">
        <v>0</v>
      </c>
      <c r="F825" s="117">
        <v>0</v>
      </c>
      <c r="G825" s="116">
        <v>0</v>
      </c>
      <c r="H825" s="117">
        <v>0</v>
      </c>
      <c r="I825" s="116">
        <v>0</v>
      </c>
      <c r="J825" s="117">
        <v>0</v>
      </c>
      <c r="K825" s="116">
        <v>0</v>
      </c>
      <c r="L825" s="117">
        <v>0</v>
      </c>
      <c r="M825" s="116">
        <v>0</v>
      </c>
      <c r="N825" s="117">
        <v>0</v>
      </c>
      <c r="O825" s="116">
        <v>0</v>
      </c>
      <c r="P825" s="117">
        <v>0</v>
      </c>
      <c r="Q825" s="116">
        <v>0</v>
      </c>
      <c r="R825" s="117">
        <v>0</v>
      </c>
      <c r="S825" s="116">
        <v>0</v>
      </c>
      <c r="T825" s="117">
        <v>0</v>
      </c>
      <c r="U825" s="116">
        <v>0.52099999999999913</v>
      </c>
      <c r="V825" s="117">
        <v>0</v>
      </c>
      <c r="W825" s="116">
        <v>0.14633333333333334</v>
      </c>
      <c r="X825" s="117">
        <v>0</v>
      </c>
      <c r="Y825" s="116">
        <v>0</v>
      </c>
      <c r="Z825" s="117">
        <v>0</v>
      </c>
      <c r="AA825" s="116">
        <v>0</v>
      </c>
      <c r="AB825" s="117">
        <v>0</v>
      </c>
      <c r="AC825" s="238">
        <f t="shared" si="43"/>
        <v>0.66733333333333245</v>
      </c>
      <c r="AD825" s="238"/>
      <c r="AE825" s="238"/>
    </row>
    <row r="826" spans="2:31" x14ac:dyDescent="0.3">
      <c r="B826" s="245" t="s">
        <v>93</v>
      </c>
      <c r="C826" s="245"/>
      <c r="D826" s="245"/>
      <c r="E826" s="116">
        <v>0</v>
      </c>
      <c r="F826" s="117">
        <v>0</v>
      </c>
      <c r="G826" s="116">
        <v>0</v>
      </c>
      <c r="H826" s="117">
        <v>0</v>
      </c>
      <c r="I826" s="116">
        <v>0</v>
      </c>
      <c r="J826" s="117">
        <v>0</v>
      </c>
      <c r="K826" s="116">
        <v>0</v>
      </c>
      <c r="L826" s="117">
        <v>0</v>
      </c>
      <c r="M826" s="116">
        <v>0</v>
      </c>
      <c r="N826" s="117">
        <v>0</v>
      </c>
      <c r="O826" s="116">
        <v>0</v>
      </c>
      <c r="P826" s="117">
        <v>1.3999999999999997E-2</v>
      </c>
      <c r="Q826" s="116">
        <v>0.67000000000000104</v>
      </c>
      <c r="R826" s="117">
        <v>0.66749999999999987</v>
      </c>
      <c r="S826" s="116">
        <v>0.85999999999999943</v>
      </c>
      <c r="T826" s="117">
        <v>0.85999999999999943</v>
      </c>
      <c r="U826" s="116">
        <v>1.2599999999999993</v>
      </c>
      <c r="V826" s="117">
        <v>0.35999999999999943</v>
      </c>
      <c r="W826" s="116">
        <v>0</v>
      </c>
      <c r="X826" s="117">
        <v>0</v>
      </c>
      <c r="Y826" s="116">
        <v>0</v>
      </c>
      <c r="Z826" s="117">
        <v>0</v>
      </c>
      <c r="AA826" s="116">
        <v>0</v>
      </c>
      <c r="AB826" s="117">
        <v>0</v>
      </c>
      <c r="AC826" s="238">
        <f>SUM(E826:AB826)</f>
        <v>4.6914999999999987</v>
      </c>
      <c r="AD826" s="238"/>
      <c r="AE826" s="238"/>
    </row>
    <row r="827" spans="2:31" x14ac:dyDescent="0.3">
      <c r="B827" s="14" t="s">
        <v>2</v>
      </c>
      <c r="C827" s="14"/>
      <c r="D827" s="14"/>
      <c r="E827" s="15">
        <f t="shared" ref="E827:AB827" si="44">SUM(E778:E826)</f>
        <v>0</v>
      </c>
      <c r="F827" s="15">
        <f t="shared" si="44"/>
        <v>0</v>
      </c>
      <c r="G827" s="15">
        <f t="shared" si="44"/>
        <v>0</v>
      </c>
      <c r="H827" s="15">
        <f t="shared" si="44"/>
        <v>0</v>
      </c>
      <c r="I827" s="15">
        <f t="shared" si="44"/>
        <v>0</v>
      </c>
      <c r="J827" s="15">
        <f t="shared" si="44"/>
        <v>0</v>
      </c>
      <c r="K827" s="15">
        <f t="shared" si="44"/>
        <v>0</v>
      </c>
      <c r="L827" s="15">
        <f t="shared" si="44"/>
        <v>0</v>
      </c>
      <c r="M827" s="15">
        <f t="shared" si="44"/>
        <v>0</v>
      </c>
      <c r="N827" s="15">
        <f t="shared" si="44"/>
        <v>0</v>
      </c>
      <c r="O827" s="15">
        <f t="shared" si="44"/>
        <v>0</v>
      </c>
      <c r="P827" s="15">
        <f t="shared" si="44"/>
        <v>4.4818333333333351</v>
      </c>
      <c r="Q827" s="15">
        <f t="shared" si="44"/>
        <v>103.84216666666664</v>
      </c>
      <c r="R827" s="15">
        <f t="shared" si="44"/>
        <v>166.60683333333327</v>
      </c>
      <c r="S827" s="15">
        <f t="shared" si="44"/>
        <v>98.011666666666713</v>
      </c>
      <c r="T827" s="15">
        <f t="shared" si="44"/>
        <v>89.058166666666637</v>
      </c>
      <c r="U827" s="15">
        <f t="shared" si="44"/>
        <v>72.220333333333372</v>
      </c>
      <c r="V827" s="15">
        <f t="shared" si="44"/>
        <v>76.174499999999966</v>
      </c>
      <c r="W827" s="15">
        <f t="shared" si="44"/>
        <v>55.847333333333331</v>
      </c>
      <c r="X827" s="15">
        <f t="shared" si="44"/>
        <v>0</v>
      </c>
      <c r="Y827" s="15">
        <f t="shared" si="44"/>
        <v>0</v>
      </c>
      <c r="Z827" s="15">
        <f t="shared" si="44"/>
        <v>0</v>
      </c>
      <c r="AA827" s="15">
        <f t="shared" si="44"/>
        <v>0</v>
      </c>
      <c r="AB827" s="15">
        <f t="shared" si="44"/>
        <v>0</v>
      </c>
      <c r="AC827" s="249">
        <f>SUM(AC778:AE826)</f>
        <v>666.24283333333346</v>
      </c>
      <c r="AD827" s="249"/>
      <c r="AE827" s="249"/>
    </row>
    <row r="828" spans="2:31" x14ac:dyDescent="0.3">
      <c r="B828" s="16"/>
      <c r="C828" s="17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2:31" x14ac:dyDescent="0.3">
      <c r="B829" s="16"/>
      <c r="C829" s="17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2:31" x14ac:dyDescent="0.3">
      <c r="B830" s="8">
        <f>'Resumen-Mensual'!$T$22</f>
        <v>44577</v>
      </c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118"/>
      <c r="AD830" s="118"/>
      <c r="AE830" s="118"/>
    </row>
    <row r="831" spans="2:31" x14ac:dyDescent="0.3">
      <c r="B831" s="8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118"/>
      <c r="AD831" s="118"/>
      <c r="AE831" s="118"/>
    </row>
    <row r="832" spans="2:31" x14ac:dyDescent="0.3">
      <c r="B832" s="9" t="s">
        <v>81</v>
      </c>
      <c r="C832" s="10"/>
      <c r="D832" s="10"/>
      <c r="E832" s="11">
        <v>1</v>
      </c>
      <c r="F832" s="11">
        <v>2</v>
      </c>
      <c r="G832" s="11">
        <v>3</v>
      </c>
      <c r="H832" s="11">
        <v>4</v>
      </c>
      <c r="I832" s="11">
        <v>5</v>
      </c>
      <c r="J832" s="11">
        <v>6</v>
      </c>
      <c r="K832" s="11">
        <v>7</v>
      </c>
      <c r="L832" s="11">
        <v>8</v>
      </c>
      <c r="M832" s="11">
        <v>9</v>
      </c>
      <c r="N832" s="11">
        <v>10</v>
      </c>
      <c r="O832" s="11">
        <v>11</v>
      </c>
      <c r="P832" s="11">
        <v>12</v>
      </c>
      <c r="Q832" s="11">
        <v>13</v>
      </c>
      <c r="R832" s="11">
        <v>14</v>
      </c>
      <c r="S832" s="11">
        <v>15</v>
      </c>
      <c r="T832" s="11">
        <v>16</v>
      </c>
      <c r="U832" s="11">
        <v>17</v>
      </c>
      <c r="V832" s="11">
        <v>18</v>
      </c>
      <c r="W832" s="11">
        <v>19</v>
      </c>
      <c r="X832" s="11">
        <v>20</v>
      </c>
      <c r="Y832" s="11">
        <v>21</v>
      </c>
      <c r="Z832" s="11">
        <v>22</v>
      </c>
      <c r="AA832" s="11">
        <v>23</v>
      </c>
      <c r="AB832" s="11">
        <v>24</v>
      </c>
      <c r="AC832" s="248" t="s">
        <v>2</v>
      </c>
      <c r="AD832" s="248"/>
      <c r="AE832" s="248"/>
    </row>
    <row r="833" spans="2:31" x14ac:dyDescent="0.3">
      <c r="B833" s="245" t="s">
        <v>37</v>
      </c>
      <c r="C833" s="245"/>
      <c r="D833" s="245"/>
      <c r="E833" s="123">
        <v>0</v>
      </c>
      <c r="F833" s="124">
        <v>0</v>
      </c>
      <c r="G833" s="123">
        <v>0</v>
      </c>
      <c r="H833" s="124">
        <v>0</v>
      </c>
      <c r="I833" s="123">
        <v>0</v>
      </c>
      <c r="J833" s="124">
        <v>0</v>
      </c>
      <c r="K833" s="123">
        <v>0</v>
      </c>
      <c r="L833" s="124">
        <v>0</v>
      </c>
      <c r="M833" s="123">
        <v>0</v>
      </c>
      <c r="N833" s="124">
        <v>0</v>
      </c>
      <c r="O833" s="123">
        <v>0</v>
      </c>
      <c r="P833" s="124">
        <v>0</v>
      </c>
      <c r="Q833" s="123">
        <v>0</v>
      </c>
      <c r="R833" s="124">
        <v>0</v>
      </c>
      <c r="S833" s="123">
        <v>0</v>
      </c>
      <c r="T833" s="124">
        <v>0</v>
      </c>
      <c r="U833" s="123">
        <v>0</v>
      </c>
      <c r="V833" s="124">
        <v>1.0166666666666668</v>
      </c>
      <c r="W833" s="123">
        <v>0</v>
      </c>
      <c r="X833" s="124">
        <v>0</v>
      </c>
      <c r="Y833" s="123">
        <v>0</v>
      </c>
      <c r="Z833" s="124">
        <v>0</v>
      </c>
      <c r="AA833" s="123">
        <v>0</v>
      </c>
      <c r="AB833" s="124">
        <v>0</v>
      </c>
      <c r="AC833" s="238">
        <f t="shared" ref="AC833:AC865" si="45">SUM(E833:AB833)</f>
        <v>1.0166666666666668</v>
      </c>
      <c r="AD833" s="238"/>
      <c r="AE833" s="238"/>
    </row>
    <row r="834" spans="2:31" x14ac:dyDescent="0.3">
      <c r="B834" s="245" t="s">
        <v>38</v>
      </c>
      <c r="C834" s="245"/>
      <c r="D834" s="245"/>
      <c r="E834" s="123">
        <v>0</v>
      </c>
      <c r="F834" s="124">
        <v>0</v>
      </c>
      <c r="G834" s="123">
        <v>0</v>
      </c>
      <c r="H834" s="124">
        <v>0</v>
      </c>
      <c r="I834" s="123">
        <v>0</v>
      </c>
      <c r="J834" s="124">
        <v>0</v>
      </c>
      <c r="K834" s="123">
        <v>0</v>
      </c>
      <c r="L834" s="124">
        <v>0</v>
      </c>
      <c r="M834" s="123">
        <v>0</v>
      </c>
      <c r="N834" s="124">
        <v>0</v>
      </c>
      <c r="O834" s="123">
        <v>0</v>
      </c>
      <c r="P834" s="124">
        <v>0</v>
      </c>
      <c r="Q834" s="123">
        <v>0</v>
      </c>
      <c r="R834" s="124">
        <v>0</v>
      </c>
      <c r="S834" s="123">
        <v>0</v>
      </c>
      <c r="T834" s="124">
        <v>0</v>
      </c>
      <c r="U834" s="123">
        <v>0.12183333333333296</v>
      </c>
      <c r="V834" s="124">
        <v>4.5333333333333135E-2</v>
      </c>
      <c r="W834" s="123">
        <v>0</v>
      </c>
      <c r="X834" s="124">
        <v>0</v>
      </c>
      <c r="Y834" s="123">
        <v>0</v>
      </c>
      <c r="Z834" s="124">
        <v>0</v>
      </c>
      <c r="AA834" s="123">
        <v>0</v>
      </c>
      <c r="AB834" s="124">
        <v>0</v>
      </c>
      <c r="AC834" s="238">
        <f t="shared" si="45"/>
        <v>0.1671666666666661</v>
      </c>
      <c r="AD834" s="238"/>
      <c r="AE834" s="238"/>
    </row>
    <row r="835" spans="2:31" x14ac:dyDescent="0.3">
      <c r="B835" s="245" t="s">
        <v>39</v>
      </c>
      <c r="C835" s="245"/>
      <c r="D835" s="245"/>
      <c r="E835" s="123">
        <v>0</v>
      </c>
      <c r="F835" s="124">
        <v>0</v>
      </c>
      <c r="G835" s="123">
        <v>0</v>
      </c>
      <c r="H835" s="124">
        <v>0</v>
      </c>
      <c r="I835" s="123">
        <v>0</v>
      </c>
      <c r="J835" s="124">
        <v>0</v>
      </c>
      <c r="K835" s="123">
        <v>0</v>
      </c>
      <c r="L835" s="124">
        <v>0</v>
      </c>
      <c r="M835" s="123">
        <v>0</v>
      </c>
      <c r="N835" s="124">
        <v>0</v>
      </c>
      <c r="O835" s="123">
        <v>0</v>
      </c>
      <c r="P835" s="124">
        <v>0</v>
      </c>
      <c r="Q835" s="123">
        <v>0</v>
      </c>
      <c r="R835" s="124">
        <v>0</v>
      </c>
      <c r="S835" s="123">
        <v>8.2833333333333439E-2</v>
      </c>
      <c r="T835" s="124">
        <v>1.6213333333333331</v>
      </c>
      <c r="U835" s="123">
        <v>0.54049999999999954</v>
      </c>
      <c r="V835" s="124">
        <v>0.70533333333333326</v>
      </c>
      <c r="W835" s="123">
        <v>0.127</v>
      </c>
      <c r="X835" s="124">
        <v>0</v>
      </c>
      <c r="Y835" s="123">
        <v>0</v>
      </c>
      <c r="Z835" s="124">
        <v>0</v>
      </c>
      <c r="AA835" s="123">
        <v>0</v>
      </c>
      <c r="AB835" s="124">
        <v>0</v>
      </c>
      <c r="AC835" s="238">
        <f t="shared" si="45"/>
        <v>3.077</v>
      </c>
      <c r="AD835" s="238"/>
      <c r="AE835" s="238"/>
    </row>
    <row r="836" spans="2:31" x14ac:dyDescent="0.3">
      <c r="B836" s="245" t="s">
        <v>40</v>
      </c>
      <c r="C836" s="245"/>
      <c r="D836" s="245"/>
      <c r="E836" s="123">
        <v>0</v>
      </c>
      <c r="F836" s="124">
        <v>0</v>
      </c>
      <c r="G836" s="123">
        <v>0</v>
      </c>
      <c r="H836" s="124">
        <v>0</v>
      </c>
      <c r="I836" s="123">
        <v>0</v>
      </c>
      <c r="J836" s="124">
        <v>0</v>
      </c>
      <c r="K836" s="123">
        <v>0</v>
      </c>
      <c r="L836" s="124">
        <v>0</v>
      </c>
      <c r="M836" s="123">
        <v>0</v>
      </c>
      <c r="N836" s="124">
        <v>0</v>
      </c>
      <c r="O836" s="123">
        <v>0</v>
      </c>
      <c r="P836" s="124">
        <v>0</v>
      </c>
      <c r="Q836" s="123">
        <v>0</v>
      </c>
      <c r="R836" s="124">
        <v>0</v>
      </c>
      <c r="S836" s="123">
        <v>0</v>
      </c>
      <c r="T836" s="124">
        <v>3.018000000000002</v>
      </c>
      <c r="U836" s="123">
        <v>0.4068333333333361</v>
      </c>
      <c r="V836" s="124">
        <v>1.2003333333333284</v>
      </c>
      <c r="W836" s="123">
        <v>0</v>
      </c>
      <c r="X836" s="124">
        <v>0</v>
      </c>
      <c r="Y836" s="123">
        <v>0</v>
      </c>
      <c r="Z836" s="124">
        <v>0</v>
      </c>
      <c r="AA836" s="123">
        <v>0</v>
      </c>
      <c r="AB836" s="124">
        <v>0</v>
      </c>
      <c r="AC836" s="238">
        <f t="shared" si="45"/>
        <v>4.6251666666666669</v>
      </c>
      <c r="AD836" s="238"/>
      <c r="AE836" s="238"/>
    </row>
    <row r="837" spans="2:31" x14ac:dyDescent="0.3">
      <c r="B837" s="245" t="s">
        <v>41</v>
      </c>
      <c r="C837" s="245"/>
      <c r="D837" s="245"/>
      <c r="E837" s="123">
        <v>0</v>
      </c>
      <c r="F837" s="124">
        <v>0</v>
      </c>
      <c r="G837" s="123">
        <v>0</v>
      </c>
      <c r="H837" s="124">
        <v>0</v>
      </c>
      <c r="I837" s="123">
        <v>0</v>
      </c>
      <c r="J837" s="124">
        <v>0</v>
      </c>
      <c r="K837" s="123">
        <v>0</v>
      </c>
      <c r="L837" s="124">
        <v>0</v>
      </c>
      <c r="M837" s="123">
        <v>0</v>
      </c>
      <c r="N837" s="124">
        <v>0</v>
      </c>
      <c r="O837" s="123">
        <v>0.76366666666666727</v>
      </c>
      <c r="P837" s="124">
        <v>0</v>
      </c>
      <c r="Q837" s="123">
        <v>0</v>
      </c>
      <c r="R837" s="124">
        <v>12.095000000000004</v>
      </c>
      <c r="S837" s="123">
        <v>10.820500000000001</v>
      </c>
      <c r="T837" s="124">
        <v>0</v>
      </c>
      <c r="U837" s="123">
        <v>6.1969999999999938</v>
      </c>
      <c r="V837" s="124">
        <v>0</v>
      </c>
      <c r="W837" s="123">
        <v>1.7425000000000004</v>
      </c>
      <c r="X837" s="124">
        <v>0</v>
      </c>
      <c r="Y837" s="123">
        <v>0</v>
      </c>
      <c r="Z837" s="124">
        <v>0</v>
      </c>
      <c r="AA837" s="123">
        <v>0</v>
      </c>
      <c r="AB837" s="124">
        <v>0</v>
      </c>
      <c r="AC837" s="238">
        <f t="shared" si="45"/>
        <v>31.61866666666667</v>
      </c>
      <c r="AD837" s="238"/>
      <c r="AE837" s="238"/>
    </row>
    <row r="838" spans="2:31" x14ac:dyDescent="0.3">
      <c r="B838" s="245" t="s">
        <v>42</v>
      </c>
      <c r="C838" s="245"/>
      <c r="D838" s="245"/>
      <c r="E838" s="123">
        <v>0</v>
      </c>
      <c r="F838" s="124">
        <v>0</v>
      </c>
      <c r="G838" s="123">
        <v>0</v>
      </c>
      <c r="H838" s="124">
        <v>0</v>
      </c>
      <c r="I838" s="123">
        <v>0</v>
      </c>
      <c r="J838" s="124">
        <v>0</v>
      </c>
      <c r="K838" s="123">
        <v>0</v>
      </c>
      <c r="L838" s="124">
        <v>0</v>
      </c>
      <c r="M838" s="123">
        <v>0</v>
      </c>
      <c r="N838" s="124">
        <v>0</v>
      </c>
      <c r="O838" s="123">
        <v>0</v>
      </c>
      <c r="P838" s="124">
        <v>0</v>
      </c>
      <c r="Q838" s="123">
        <v>0</v>
      </c>
      <c r="R838" s="124">
        <v>0</v>
      </c>
      <c r="S838" s="123">
        <v>0</v>
      </c>
      <c r="T838" s="124">
        <v>0.52716666666666656</v>
      </c>
      <c r="U838" s="123">
        <v>0</v>
      </c>
      <c r="V838" s="124">
        <v>0</v>
      </c>
      <c r="W838" s="123">
        <v>0</v>
      </c>
      <c r="X838" s="124">
        <v>0</v>
      </c>
      <c r="Y838" s="123">
        <v>0</v>
      </c>
      <c r="Z838" s="124">
        <v>0</v>
      </c>
      <c r="AA838" s="123">
        <v>0</v>
      </c>
      <c r="AB838" s="124">
        <v>0</v>
      </c>
      <c r="AC838" s="238">
        <f t="shared" si="45"/>
        <v>0.52716666666666656</v>
      </c>
      <c r="AD838" s="238"/>
      <c r="AE838" s="238"/>
    </row>
    <row r="839" spans="2:31" x14ac:dyDescent="0.3">
      <c r="B839" s="245" t="s">
        <v>43</v>
      </c>
      <c r="C839" s="245"/>
      <c r="D839" s="245"/>
      <c r="E839" s="123">
        <v>0</v>
      </c>
      <c r="F839" s="124">
        <v>0</v>
      </c>
      <c r="G839" s="123">
        <v>0</v>
      </c>
      <c r="H839" s="124">
        <v>0</v>
      </c>
      <c r="I839" s="123">
        <v>0</v>
      </c>
      <c r="J839" s="124">
        <v>0</v>
      </c>
      <c r="K839" s="123">
        <v>0</v>
      </c>
      <c r="L839" s="124">
        <v>0</v>
      </c>
      <c r="M839" s="123">
        <v>0</v>
      </c>
      <c r="N839" s="124">
        <v>0</v>
      </c>
      <c r="O839" s="123">
        <v>2.8343333333333307</v>
      </c>
      <c r="P839" s="124">
        <v>6.2679999999999989</v>
      </c>
      <c r="Q839" s="123">
        <v>7.3076666666666714</v>
      </c>
      <c r="R839" s="124">
        <v>0</v>
      </c>
      <c r="S839" s="123">
        <v>8.3873333333333271</v>
      </c>
      <c r="T839" s="124">
        <v>8.1269999999999936</v>
      </c>
      <c r="U839" s="123">
        <v>6.367</v>
      </c>
      <c r="V839" s="124">
        <v>4.9066666666666681</v>
      </c>
      <c r="W839" s="123">
        <v>0.89249999999999863</v>
      </c>
      <c r="X839" s="124">
        <v>0</v>
      </c>
      <c r="Y839" s="123">
        <v>0</v>
      </c>
      <c r="Z839" s="124">
        <v>0</v>
      </c>
      <c r="AA839" s="123">
        <v>0</v>
      </c>
      <c r="AB839" s="124">
        <v>0</v>
      </c>
      <c r="AC839" s="238">
        <f t="shared" si="45"/>
        <v>45.090499999999984</v>
      </c>
      <c r="AD839" s="238"/>
      <c r="AE839" s="238"/>
    </row>
    <row r="840" spans="2:31" x14ac:dyDescent="0.3">
      <c r="B840" s="245" t="s">
        <v>44</v>
      </c>
      <c r="C840" s="245"/>
      <c r="D840" s="245"/>
      <c r="E840" s="123">
        <v>0</v>
      </c>
      <c r="F840" s="124">
        <v>0</v>
      </c>
      <c r="G840" s="123">
        <v>0</v>
      </c>
      <c r="H840" s="124">
        <v>0</v>
      </c>
      <c r="I840" s="123">
        <v>0</v>
      </c>
      <c r="J840" s="124">
        <v>0</v>
      </c>
      <c r="K840" s="123">
        <v>0</v>
      </c>
      <c r="L840" s="124">
        <v>0</v>
      </c>
      <c r="M840" s="123">
        <v>0</v>
      </c>
      <c r="N840" s="124">
        <v>0</v>
      </c>
      <c r="O840" s="123">
        <v>0</v>
      </c>
      <c r="P840" s="124">
        <v>0</v>
      </c>
      <c r="Q840" s="123">
        <v>0</v>
      </c>
      <c r="R840" s="124">
        <v>0</v>
      </c>
      <c r="S840" s="123">
        <v>0</v>
      </c>
      <c r="T840" s="124">
        <v>0</v>
      </c>
      <c r="U840" s="123">
        <v>0</v>
      </c>
      <c r="V840" s="124">
        <v>0</v>
      </c>
      <c r="W840" s="123">
        <v>0</v>
      </c>
      <c r="X840" s="124">
        <v>0</v>
      </c>
      <c r="Y840" s="123">
        <v>0</v>
      </c>
      <c r="Z840" s="124">
        <v>0</v>
      </c>
      <c r="AA840" s="123">
        <v>0</v>
      </c>
      <c r="AB840" s="124">
        <v>0</v>
      </c>
      <c r="AC840" s="238">
        <f t="shared" si="45"/>
        <v>0</v>
      </c>
      <c r="AD840" s="238"/>
      <c r="AE840" s="238"/>
    </row>
    <row r="841" spans="2:31" x14ac:dyDescent="0.3">
      <c r="B841" s="245" t="s">
        <v>45</v>
      </c>
      <c r="C841" s="245"/>
      <c r="D841" s="245"/>
      <c r="E841" s="123">
        <v>0</v>
      </c>
      <c r="F841" s="124">
        <v>0</v>
      </c>
      <c r="G841" s="123">
        <v>0</v>
      </c>
      <c r="H841" s="124">
        <v>0</v>
      </c>
      <c r="I841" s="123">
        <v>0</v>
      </c>
      <c r="J841" s="124">
        <v>0</v>
      </c>
      <c r="K841" s="123">
        <v>0</v>
      </c>
      <c r="L841" s="124">
        <v>0</v>
      </c>
      <c r="M841" s="123">
        <v>0</v>
      </c>
      <c r="N841" s="124">
        <v>0</v>
      </c>
      <c r="O841" s="123">
        <v>0</v>
      </c>
      <c r="P841" s="124">
        <v>3.1001666666666674</v>
      </c>
      <c r="Q841" s="123">
        <v>15.509999999999993</v>
      </c>
      <c r="R841" s="124">
        <v>0</v>
      </c>
      <c r="S841" s="123">
        <v>0</v>
      </c>
      <c r="T841" s="124">
        <v>27.049999999999972</v>
      </c>
      <c r="U841" s="123">
        <v>21.049999999999976</v>
      </c>
      <c r="V841" s="124">
        <v>9.0986666666666753</v>
      </c>
      <c r="W841" s="123">
        <v>1.4238333333333328</v>
      </c>
      <c r="X841" s="124">
        <v>0.52649999999999997</v>
      </c>
      <c r="Y841" s="123">
        <v>0</v>
      </c>
      <c r="Z841" s="124">
        <v>0</v>
      </c>
      <c r="AA841" s="123">
        <v>0</v>
      </c>
      <c r="AB841" s="124">
        <v>0</v>
      </c>
      <c r="AC841" s="238">
        <f t="shared" si="45"/>
        <v>77.759166666666616</v>
      </c>
      <c r="AD841" s="238"/>
      <c r="AE841" s="238"/>
    </row>
    <row r="842" spans="2:31" x14ac:dyDescent="0.3">
      <c r="B842" s="245" t="s">
        <v>46</v>
      </c>
      <c r="C842" s="245"/>
      <c r="D842" s="245"/>
      <c r="E842" s="123">
        <v>0</v>
      </c>
      <c r="F842" s="124">
        <v>0</v>
      </c>
      <c r="G842" s="123">
        <v>0</v>
      </c>
      <c r="H842" s="124">
        <v>0</v>
      </c>
      <c r="I842" s="123">
        <v>0</v>
      </c>
      <c r="J842" s="124">
        <v>0</v>
      </c>
      <c r="K842" s="123">
        <v>0</v>
      </c>
      <c r="L842" s="124">
        <v>0</v>
      </c>
      <c r="M842" s="123">
        <v>0</v>
      </c>
      <c r="N842" s="124">
        <v>0</v>
      </c>
      <c r="O842" s="123">
        <v>0</v>
      </c>
      <c r="P842" s="124">
        <v>2.170333333333331</v>
      </c>
      <c r="Q842" s="123">
        <v>10.219500000000012</v>
      </c>
      <c r="R842" s="124">
        <v>9.2165000000000035</v>
      </c>
      <c r="S842" s="123">
        <v>25.724833333333319</v>
      </c>
      <c r="T842" s="124">
        <v>13.011999999999993</v>
      </c>
      <c r="U842" s="123">
        <v>10.153999999999986</v>
      </c>
      <c r="V842" s="124">
        <v>9.4938333333333276</v>
      </c>
      <c r="W842" s="123">
        <v>0</v>
      </c>
      <c r="X842" s="124">
        <v>0</v>
      </c>
      <c r="Y842" s="123">
        <v>0</v>
      </c>
      <c r="Z842" s="124">
        <v>0</v>
      </c>
      <c r="AA842" s="123">
        <v>0</v>
      </c>
      <c r="AB842" s="124">
        <v>0</v>
      </c>
      <c r="AC842" s="238">
        <f t="shared" si="45"/>
        <v>79.990999999999971</v>
      </c>
      <c r="AD842" s="238"/>
      <c r="AE842" s="238"/>
    </row>
    <row r="843" spans="2:31" x14ac:dyDescent="0.3">
      <c r="B843" s="245" t="s">
        <v>47</v>
      </c>
      <c r="C843" s="245"/>
      <c r="D843" s="245"/>
      <c r="E843" s="123">
        <v>0</v>
      </c>
      <c r="F843" s="124">
        <v>0</v>
      </c>
      <c r="G843" s="123">
        <v>0</v>
      </c>
      <c r="H843" s="124">
        <v>0</v>
      </c>
      <c r="I843" s="123">
        <v>0</v>
      </c>
      <c r="J843" s="124">
        <v>0</v>
      </c>
      <c r="K843" s="123">
        <v>0</v>
      </c>
      <c r="L843" s="124">
        <v>0</v>
      </c>
      <c r="M843" s="123">
        <v>0</v>
      </c>
      <c r="N843" s="124">
        <v>0</v>
      </c>
      <c r="O843" s="123">
        <v>0</v>
      </c>
      <c r="P843" s="124">
        <v>0.42083333333333334</v>
      </c>
      <c r="Q843" s="123">
        <v>2.3001666666666662</v>
      </c>
      <c r="R843" s="124">
        <v>1.843833333333333</v>
      </c>
      <c r="S843" s="123">
        <v>7.8516666666666701</v>
      </c>
      <c r="T843" s="124">
        <v>9.2533333333333356</v>
      </c>
      <c r="U843" s="123">
        <v>6.6175000000000006</v>
      </c>
      <c r="V843" s="124">
        <v>4.437333333333334</v>
      </c>
      <c r="W843" s="123">
        <v>1.1111666666666684</v>
      </c>
      <c r="X843" s="124">
        <v>0</v>
      </c>
      <c r="Y843" s="123">
        <v>0</v>
      </c>
      <c r="Z843" s="124">
        <v>0</v>
      </c>
      <c r="AA843" s="123">
        <v>0</v>
      </c>
      <c r="AB843" s="124">
        <v>0</v>
      </c>
      <c r="AC843" s="238">
        <f t="shared" si="45"/>
        <v>33.835833333333341</v>
      </c>
      <c r="AD843" s="238"/>
      <c r="AE843" s="238"/>
    </row>
    <row r="844" spans="2:31" x14ac:dyDescent="0.3">
      <c r="B844" s="245" t="s">
        <v>48</v>
      </c>
      <c r="C844" s="245"/>
      <c r="D844" s="245"/>
      <c r="E844" s="123">
        <v>0</v>
      </c>
      <c r="F844" s="124">
        <v>0</v>
      </c>
      <c r="G844" s="123">
        <v>0</v>
      </c>
      <c r="H844" s="124">
        <v>0</v>
      </c>
      <c r="I844" s="123">
        <v>0</v>
      </c>
      <c r="J844" s="124">
        <v>0</v>
      </c>
      <c r="K844" s="123">
        <v>0</v>
      </c>
      <c r="L844" s="124">
        <v>0</v>
      </c>
      <c r="M844" s="123">
        <v>0</v>
      </c>
      <c r="N844" s="124">
        <v>0</v>
      </c>
      <c r="O844" s="123">
        <v>0</v>
      </c>
      <c r="P844" s="124">
        <v>0.41833333333333311</v>
      </c>
      <c r="Q844" s="123">
        <v>1.5315000000000016</v>
      </c>
      <c r="R844" s="124">
        <v>2.5033333333333343</v>
      </c>
      <c r="S844" s="123">
        <v>7.0303333333333331</v>
      </c>
      <c r="T844" s="124">
        <v>7.0948333333333355</v>
      </c>
      <c r="U844" s="123">
        <v>5.8991666666666651</v>
      </c>
      <c r="V844" s="124">
        <v>4.2643333333333295</v>
      </c>
      <c r="W844" s="123">
        <v>1.6958333333333333</v>
      </c>
      <c r="X844" s="124">
        <v>0</v>
      </c>
      <c r="Y844" s="123">
        <v>0</v>
      </c>
      <c r="Z844" s="124">
        <v>0</v>
      </c>
      <c r="AA844" s="123">
        <v>0</v>
      </c>
      <c r="AB844" s="124">
        <v>0</v>
      </c>
      <c r="AC844" s="238">
        <f t="shared" si="45"/>
        <v>30.437666666666669</v>
      </c>
      <c r="AD844" s="238"/>
      <c r="AE844" s="238"/>
    </row>
    <row r="845" spans="2:31" x14ac:dyDescent="0.3">
      <c r="B845" s="245" t="s">
        <v>49</v>
      </c>
      <c r="C845" s="245"/>
      <c r="D845" s="245"/>
      <c r="E845" s="123">
        <v>0</v>
      </c>
      <c r="F845" s="124">
        <v>0</v>
      </c>
      <c r="G845" s="123">
        <v>0</v>
      </c>
      <c r="H845" s="124">
        <v>0</v>
      </c>
      <c r="I845" s="123">
        <v>0</v>
      </c>
      <c r="J845" s="124">
        <v>0</v>
      </c>
      <c r="K845" s="123">
        <v>0</v>
      </c>
      <c r="L845" s="124">
        <v>0</v>
      </c>
      <c r="M845" s="123">
        <v>0</v>
      </c>
      <c r="N845" s="124">
        <v>0</v>
      </c>
      <c r="O845" s="123">
        <v>0</v>
      </c>
      <c r="P845" s="124">
        <v>8.8833333333332445E-2</v>
      </c>
      <c r="Q845" s="123">
        <v>0</v>
      </c>
      <c r="R845" s="124">
        <v>1.7606666666666684</v>
      </c>
      <c r="S845" s="123">
        <v>0</v>
      </c>
      <c r="T845" s="124">
        <v>0</v>
      </c>
      <c r="U845" s="123">
        <v>1.6033333333333342</v>
      </c>
      <c r="V845" s="124">
        <v>0.76949999999999974</v>
      </c>
      <c r="W845" s="123">
        <v>0</v>
      </c>
      <c r="X845" s="124">
        <v>0</v>
      </c>
      <c r="Y845" s="123">
        <v>0</v>
      </c>
      <c r="Z845" s="124">
        <v>0</v>
      </c>
      <c r="AA845" s="123">
        <v>0</v>
      </c>
      <c r="AB845" s="124">
        <v>0</v>
      </c>
      <c r="AC845" s="238">
        <f t="shared" si="45"/>
        <v>4.222333333333335</v>
      </c>
      <c r="AD845" s="238"/>
      <c r="AE845" s="238"/>
    </row>
    <row r="846" spans="2:31" x14ac:dyDescent="0.3">
      <c r="B846" s="245" t="s">
        <v>50</v>
      </c>
      <c r="C846" s="245"/>
      <c r="D846" s="245"/>
      <c r="E846" s="123">
        <v>0</v>
      </c>
      <c r="F846" s="124">
        <v>0</v>
      </c>
      <c r="G846" s="123">
        <v>0</v>
      </c>
      <c r="H846" s="124">
        <v>0</v>
      </c>
      <c r="I846" s="123">
        <v>0</v>
      </c>
      <c r="J846" s="124">
        <v>0</v>
      </c>
      <c r="K846" s="123">
        <v>0</v>
      </c>
      <c r="L846" s="124">
        <v>0</v>
      </c>
      <c r="M846" s="123">
        <v>0</v>
      </c>
      <c r="N846" s="124">
        <v>0</v>
      </c>
      <c r="O846" s="123">
        <v>0</v>
      </c>
      <c r="P846" s="124">
        <v>4.0878333333333332</v>
      </c>
      <c r="Q846" s="123">
        <v>4.480999999999999</v>
      </c>
      <c r="R846" s="124">
        <v>4.5303333333333358</v>
      </c>
      <c r="S846" s="123">
        <v>4.5074999999999958</v>
      </c>
      <c r="T846" s="124">
        <v>4.7421666666666606</v>
      </c>
      <c r="U846" s="123">
        <v>2.4430000000000036</v>
      </c>
      <c r="V846" s="124">
        <v>5.3226666666666667</v>
      </c>
      <c r="W846" s="123">
        <v>0</v>
      </c>
      <c r="X846" s="124">
        <v>0</v>
      </c>
      <c r="Y846" s="123">
        <v>0</v>
      </c>
      <c r="Z846" s="124">
        <v>0</v>
      </c>
      <c r="AA846" s="123">
        <v>0</v>
      </c>
      <c r="AB846" s="124">
        <v>0</v>
      </c>
      <c r="AC846" s="238">
        <f t="shared" si="45"/>
        <v>30.114499999999996</v>
      </c>
      <c r="AD846" s="238"/>
      <c r="AE846" s="238"/>
    </row>
    <row r="847" spans="2:31" x14ac:dyDescent="0.3">
      <c r="B847" s="245" t="s">
        <v>97</v>
      </c>
      <c r="C847" s="245"/>
      <c r="D847" s="245"/>
      <c r="E847" s="123">
        <v>0</v>
      </c>
      <c r="F847" s="124">
        <v>0</v>
      </c>
      <c r="G847" s="123">
        <v>0</v>
      </c>
      <c r="H847" s="124">
        <v>0</v>
      </c>
      <c r="I847" s="123">
        <v>0</v>
      </c>
      <c r="J847" s="124">
        <v>0</v>
      </c>
      <c r="K847" s="123">
        <v>0</v>
      </c>
      <c r="L847" s="124">
        <v>0</v>
      </c>
      <c r="M847" s="123">
        <v>0</v>
      </c>
      <c r="N847" s="124">
        <v>0</v>
      </c>
      <c r="O847" s="123">
        <v>0</v>
      </c>
      <c r="P847" s="124">
        <v>0</v>
      </c>
      <c r="Q847" s="123">
        <v>0</v>
      </c>
      <c r="R847" s="124">
        <v>0</v>
      </c>
      <c r="S847" s="123">
        <v>0</v>
      </c>
      <c r="T847" s="124">
        <v>0</v>
      </c>
      <c r="U847" s="123">
        <v>0</v>
      </c>
      <c r="V847" s="124">
        <v>0</v>
      </c>
      <c r="W847" s="123">
        <v>0</v>
      </c>
      <c r="X847" s="124">
        <v>0</v>
      </c>
      <c r="Y847" s="123">
        <v>0</v>
      </c>
      <c r="Z847" s="124">
        <v>0</v>
      </c>
      <c r="AA847" s="123">
        <v>0</v>
      </c>
      <c r="AB847" s="124">
        <v>0</v>
      </c>
      <c r="AC847" s="238">
        <f t="shared" si="45"/>
        <v>0</v>
      </c>
      <c r="AD847" s="238"/>
      <c r="AE847" s="238"/>
    </row>
    <row r="848" spans="2:31" x14ac:dyDescent="0.3">
      <c r="B848" s="245" t="s">
        <v>51</v>
      </c>
      <c r="C848" s="245"/>
      <c r="D848" s="245"/>
      <c r="E848" s="123">
        <v>0</v>
      </c>
      <c r="F848" s="124">
        <v>0</v>
      </c>
      <c r="G848" s="123">
        <v>0</v>
      </c>
      <c r="H848" s="124">
        <v>0</v>
      </c>
      <c r="I848" s="123">
        <v>0</v>
      </c>
      <c r="J848" s="124">
        <v>0</v>
      </c>
      <c r="K848" s="123">
        <v>0</v>
      </c>
      <c r="L848" s="124">
        <v>0</v>
      </c>
      <c r="M848" s="123">
        <v>0</v>
      </c>
      <c r="N848" s="124">
        <v>0</v>
      </c>
      <c r="O848" s="123">
        <v>0</v>
      </c>
      <c r="P848" s="124">
        <v>0</v>
      </c>
      <c r="Q848" s="123">
        <v>0</v>
      </c>
      <c r="R848" s="124">
        <v>2.117833333333333</v>
      </c>
      <c r="S848" s="123">
        <v>4.5908333333333333</v>
      </c>
      <c r="T848" s="124">
        <v>9.5461666666666627</v>
      </c>
      <c r="U848" s="123">
        <v>9.8591666666666722</v>
      </c>
      <c r="V848" s="124">
        <v>9.2645000000000088</v>
      </c>
      <c r="W848" s="123">
        <v>0</v>
      </c>
      <c r="X848" s="124">
        <v>0</v>
      </c>
      <c r="Y848" s="123">
        <v>0</v>
      </c>
      <c r="Z848" s="124">
        <v>0</v>
      </c>
      <c r="AA848" s="123">
        <v>0</v>
      </c>
      <c r="AB848" s="124">
        <v>0</v>
      </c>
      <c r="AC848" s="238">
        <f t="shared" si="45"/>
        <v>35.378500000000017</v>
      </c>
      <c r="AD848" s="238"/>
      <c r="AE848" s="238"/>
    </row>
    <row r="849" spans="2:31" x14ac:dyDescent="0.3">
      <c r="B849" s="245" t="s">
        <v>52</v>
      </c>
      <c r="C849" s="245"/>
      <c r="D849" s="245"/>
      <c r="E849" s="123">
        <v>0</v>
      </c>
      <c r="F849" s="124">
        <v>0</v>
      </c>
      <c r="G849" s="123">
        <v>0</v>
      </c>
      <c r="H849" s="124">
        <v>0</v>
      </c>
      <c r="I849" s="123">
        <v>0</v>
      </c>
      <c r="J849" s="124">
        <v>0</v>
      </c>
      <c r="K849" s="123">
        <v>0</v>
      </c>
      <c r="L849" s="124">
        <v>0</v>
      </c>
      <c r="M849" s="123">
        <v>0</v>
      </c>
      <c r="N849" s="124">
        <v>0</v>
      </c>
      <c r="O849" s="123">
        <v>0</v>
      </c>
      <c r="P849" s="124">
        <v>0</v>
      </c>
      <c r="Q849" s="123">
        <v>0</v>
      </c>
      <c r="R849" s="124">
        <v>0</v>
      </c>
      <c r="S849" s="123">
        <v>0</v>
      </c>
      <c r="T849" s="124">
        <v>0</v>
      </c>
      <c r="U849" s="123">
        <v>0</v>
      </c>
      <c r="V849" s="124">
        <v>0</v>
      </c>
      <c r="W849" s="123">
        <v>0</v>
      </c>
      <c r="X849" s="124">
        <v>0</v>
      </c>
      <c r="Y849" s="123">
        <v>0</v>
      </c>
      <c r="Z849" s="124">
        <v>0</v>
      </c>
      <c r="AA849" s="123">
        <v>0</v>
      </c>
      <c r="AB849" s="124">
        <v>0</v>
      </c>
      <c r="AC849" s="238">
        <f t="shared" si="45"/>
        <v>0</v>
      </c>
      <c r="AD849" s="238"/>
      <c r="AE849" s="238"/>
    </row>
    <row r="850" spans="2:31" x14ac:dyDescent="0.3">
      <c r="B850" s="245" t="s">
        <v>53</v>
      </c>
      <c r="C850" s="245"/>
      <c r="D850" s="245"/>
      <c r="E850" s="123">
        <v>0</v>
      </c>
      <c r="F850" s="124">
        <v>0</v>
      </c>
      <c r="G850" s="123">
        <v>0</v>
      </c>
      <c r="H850" s="124">
        <v>0</v>
      </c>
      <c r="I850" s="123">
        <v>0</v>
      </c>
      <c r="J850" s="124">
        <v>0</v>
      </c>
      <c r="K850" s="123">
        <v>0</v>
      </c>
      <c r="L850" s="124">
        <v>0</v>
      </c>
      <c r="M850" s="123">
        <v>0</v>
      </c>
      <c r="N850" s="124">
        <v>0</v>
      </c>
      <c r="O850" s="123">
        <v>0</v>
      </c>
      <c r="P850" s="124">
        <v>0</v>
      </c>
      <c r="Q850" s="123">
        <v>0</v>
      </c>
      <c r="R850" s="124">
        <v>0.14999999999999858</v>
      </c>
      <c r="S850" s="123">
        <v>0.79999999999999716</v>
      </c>
      <c r="T850" s="124">
        <v>1.2000000000000028</v>
      </c>
      <c r="U850" s="123">
        <v>0.5</v>
      </c>
      <c r="V850" s="124">
        <v>0</v>
      </c>
      <c r="W850" s="123">
        <v>0</v>
      </c>
      <c r="X850" s="124">
        <v>0</v>
      </c>
      <c r="Y850" s="123">
        <v>0</v>
      </c>
      <c r="Z850" s="124">
        <v>0</v>
      </c>
      <c r="AA850" s="123">
        <v>0</v>
      </c>
      <c r="AB850" s="124">
        <v>0</v>
      </c>
      <c r="AC850" s="238">
        <f t="shared" si="45"/>
        <v>2.6499999999999986</v>
      </c>
      <c r="AD850" s="238"/>
      <c r="AE850" s="238"/>
    </row>
    <row r="851" spans="2:31" x14ac:dyDescent="0.3">
      <c r="B851" s="245" t="s">
        <v>54</v>
      </c>
      <c r="C851" s="245"/>
      <c r="D851" s="245"/>
      <c r="E851" s="123">
        <v>0</v>
      </c>
      <c r="F851" s="124">
        <v>0</v>
      </c>
      <c r="G851" s="123">
        <v>0</v>
      </c>
      <c r="H851" s="124">
        <v>0</v>
      </c>
      <c r="I851" s="123">
        <v>0</v>
      </c>
      <c r="J851" s="124">
        <v>0</v>
      </c>
      <c r="K851" s="123">
        <v>0</v>
      </c>
      <c r="L851" s="124">
        <v>0</v>
      </c>
      <c r="M851" s="123">
        <v>0</v>
      </c>
      <c r="N851" s="124">
        <v>0</v>
      </c>
      <c r="O851" s="123">
        <v>0</v>
      </c>
      <c r="P851" s="124">
        <v>0</v>
      </c>
      <c r="Q851" s="123">
        <v>0</v>
      </c>
      <c r="R851" s="124">
        <v>0</v>
      </c>
      <c r="S851" s="123">
        <v>0</v>
      </c>
      <c r="T851" s="124">
        <v>0</v>
      </c>
      <c r="U851" s="123">
        <v>1.6275000000000004</v>
      </c>
      <c r="V851" s="124">
        <v>0.93949999999999867</v>
      </c>
      <c r="W851" s="123">
        <v>0</v>
      </c>
      <c r="X851" s="124">
        <v>0</v>
      </c>
      <c r="Y851" s="123">
        <v>0</v>
      </c>
      <c r="Z851" s="124">
        <v>0</v>
      </c>
      <c r="AA851" s="123">
        <v>0</v>
      </c>
      <c r="AB851" s="124">
        <v>0</v>
      </c>
      <c r="AC851" s="238">
        <f t="shared" si="45"/>
        <v>2.5669999999999993</v>
      </c>
      <c r="AD851" s="238"/>
      <c r="AE851" s="238"/>
    </row>
    <row r="852" spans="2:31" x14ac:dyDescent="0.3">
      <c r="B852" s="245" t="s">
        <v>55</v>
      </c>
      <c r="C852" s="245"/>
      <c r="D852" s="245"/>
      <c r="E852" s="123">
        <v>0</v>
      </c>
      <c r="F852" s="124">
        <v>0</v>
      </c>
      <c r="G852" s="123">
        <v>0</v>
      </c>
      <c r="H852" s="124">
        <v>0</v>
      </c>
      <c r="I852" s="123">
        <v>0</v>
      </c>
      <c r="J852" s="124">
        <v>0</v>
      </c>
      <c r="K852" s="123">
        <v>0</v>
      </c>
      <c r="L852" s="124">
        <v>0</v>
      </c>
      <c r="M852" s="123">
        <v>0</v>
      </c>
      <c r="N852" s="124">
        <v>0</v>
      </c>
      <c r="O852" s="123">
        <v>0</v>
      </c>
      <c r="P852" s="124">
        <v>0</v>
      </c>
      <c r="Q852" s="123">
        <v>0</v>
      </c>
      <c r="R852" s="124">
        <v>0</v>
      </c>
      <c r="S852" s="123">
        <v>0</v>
      </c>
      <c r="T852" s="124">
        <v>0</v>
      </c>
      <c r="U852" s="123">
        <v>0</v>
      </c>
      <c r="V852" s="124">
        <v>0</v>
      </c>
      <c r="W852" s="123">
        <v>0</v>
      </c>
      <c r="X852" s="124">
        <v>0</v>
      </c>
      <c r="Y852" s="123">
        <v>0</v>
      </c>
      <c r="Z852" s="124">
        <v>0</v>
      </c>
      <c r="AA852" s="123">
        <v>0</v>
      </c>
      <c r="AB852" s="124">
        <v>0</v>
      </c>
      <c r="AC852" s="238">
        <f t="shared" si="45"/>
        <v>0</v>
      </c>
      <c r="AD852" s="238"/>
      <c r="AE852" s="238"/>
    </row>
    <row r="853" spans="2:31" x14ac:dyDescent="0.3">
      <c r="B853" s="245" t="s">
        <v>56</v>
      </c>
      <c r="C853" s="245"/>
      <c r="D853" s="245"/>
      <c r="E853" s="123">
        <v>0</v>
      </c>
      <c r="F853" s="124">
        <v>0</v>
      </c>
      <c r="G853" s="123">
        <v>0</v>
      </c>
      <c r="H853" s="124">
        <v>0</v>
      </c>
      <c r="I853" s="123">
        <v>0</v>
      </c>
      <c r="J853" s="124">
        <v>0</v>
      </c>
      <c r="K853" s="123">
        <v>0</v>
      </c>
      <c r="L853" s="124">
        <v>0</v>
      </c>
      <c r="M853" s="123">
        <v>0</v>
      </c>
      <c r="N853" s="124">
        <v>0</v>
      </c>
      <c r="O853" s="123">
        <v>0</v>
      </c>
      <c r="P853" s="124">
        <v>0</v>
      </c>
      <c r="Q853" s="123">
        <v>0</v>
      </c>
      <c r="R853" s="124">
        <v>4.9166666666666595E-2</v>
      </c>
      <c r="S853" s="123">
        <v>0.64149999999999929</v>
      </c>
      <c r="T853" s="124">
        <v>2.2899999999999978</v>
      </c>
      <c r="U853" s="123">
        <v>2.4351666666666651</v>
      </c>
      <c r="V853" s="124">
        <v>1.9915000000000012</v>
      </c>
      <c r="W853" s="123">
        <v>0</v>
      </c>
      <c r="X853" s="124">
        <v>0</v>
      </c>
      <c r="Y853" s="123">
        <v>0</v>
      </c>
      <c r="Z853" s="124">
        <v>0</v>
      </c>
      <c r="AA853" s="123">
        <v>0</v>
      </c>
      <c r="AB853" s="124">
        <v>0</v>
      </c>
      <c r="AC853" s="238">
        <f t="shared" si="45"/>
        <v>7.4073333333333293</v>
      </c>
      <c r="AD853" s="238"/>
      <c r="AE853" s="238"/>
    </row>
    <row r="854" spans="2:31" x14ac:dyDescent="0.3">
      <c r="B854" s="245" t="s">
        <v>94</v>
      </c>
      <c r="C854" s="245"/>
      <c r="D854" s="245"/>
      <c r="E854" s="123">
        <v>0</v>
      </c>
      <c r="F854" s="124">
        <v>0</v>
      </c>
      <c r="G854" s="123">
        <v>0</v>
      </c>
      <c r="H854" s="124">
        <v>0</v>
      </c>
      <c r="I854" s="123">
        <v>0</v>
      </c>
      <c r="J854" s="124">
        <v>0</v>
      </c>
      <c r="K854" s="123">
        <v>0</v>
      </c>
      <c r="L854" s="124">
        <v>0</v>
      </c>
      <c r="M854" s="123">
        <v>0</v>
      </c>
      <c r="N854" s="124">
        <v>0</v>
      </c>
      <c r="O854" s="123">
        <v>0</v>
      </c>
      <c r="P854" s="124">
        <v>0</v>
      </c>
      <c r="Q854" s="123">
        <v>0</v>
      </c>
      <c r="R854" s="124">
        <v>0</v>
      </c>
      <c r="S854" s="123">
        <v>0</v>
      </c>
      <c r="T854" s="124">
        <v>0</v>
      </c>
      <c r="U854" s="123">
        <v>0</v>
      </c>
      <c r="V854" s="124">
        <v>0</v>
      </c>
      <c r="W854" s="123">
        <v>0</v>
      </c>
      <c r="X854" s="124">
        <v>0</v>
      </c>
      <c r="Y854" s="123">
        <v>0</v>
      </c>
      <c r="Z854" s="124">
        <v>0</v>
      </c>
      <c r="AA854" s="123">
        <v>0</v>
      </c>
      <c r="AB854" s="124">
        <v>0</v>
      </c>
      <c r="AC854" s="238">
        <f t="shared" si="45"/>
        <v>0</v>
      </c>
      <c r="AD854" s="238"/>
      <c r="AE854" s="238"/>
    </row>
    <row r="855" spans="2:31" x14ac:dyDescent="0.3">
      <c r="B855" s="245" t="s">
        <v>57</v>
      </c>
      <c r="C855" s="245"/>
      <c r="D855" s="245"/>
      <c r="E855" s="123">
        <v>0</v>
      </c>
      <c r="F855" s="124">
        <v>0</v>
      </c>
      <c r="G855" s="123">
        <v>0</v>
      </c>
      <c r="H855" s="124">
        <v>0</v>
      </c>
      <c r="I855" s="123">
        <v>0</v>
      </c>
      <c r="J855" s="124">
        <v>0</v>
      </c>
      <c r="K855" s="123">
        <v>0</v>
      </c>
      <c r="L855" s="124">
        <v>0</v>
      </c>
      <c r="M855" s="123">
        <v>0</v>
      </c>
      <c r="N855" s="124">
        <v>0</v>
      </c>
      <c r="O855" s="123">
        <v>0</v>
      </c>
      <c r="P855" s="124">
        <v>0</v>
      </c>
      <c r="Q855" s="123">
        <v>0</v>
      </c>
      <c r="R855" s="124">
        <v>1.9218333333333333</v>
      </c>
      <c r="S855" s="123">
        <v>3.7941666666666669</v>
      </c>
      <c r="T855" s="124">
        <v>0</v>
      </c>
      <c r="U855" s="123">
        <v>0</v>
      </c>
      <c r="V855" s="124">
        <v>0</v>
      </c>
      <c r="W855" s="123">
        <v>0</v>
      </c>
      <c r="X855" s="124">
        <v>0</v>
      </c>
      <c r="Y855" s="123">
        <v>0</v>
      </c>
      <c r="Z855" s="124">
        <v>0</v>
      </c>
      <c r="AA855" s="123">
        <v>0</v>
      </c>
      <c r="AB855" s="124">
        <v>0</v>
      </c>
      <c r="AC855" s="238">
        <f t="shared" si="45"/>
        <v>5.7160000000000002</v>
      </c>
      <c r="AD855" s="238"/>
      <c r="AE855" s="238"/>
    </row>
    <row r="856" spans="2:31" x14ac:dyDescent="0.3">
      <c r="B856" s="245" t="s">
        <v>58</v>
      </c>
      <c r="C856" s="245"/>
      <c r="D856" s="245"/>
      <c r="E856" s="123">
        <v>0</v>
      </c>
      <c r="F856" s="124">
        <v>0</v>
      </c>
      <c r="G856" s="123">
        <v>0</v>
      </c>
      <c r="H856" s="124">
        <v>0</v>
      </c>
      <c r="I856" s="123">
        <v>0</v>
      </c>
      <c r="J856" s="124">
        <v>0</v>
      </c>
      <c r="K856" s="123">
        <v>0</v>
      </c>
      <c r="L856" s="124">
        <v>0</v>
      </c>
      <c r="M856" s="123">
        <v>0</v>
      </c>
      <c r="N856" s="124">
        <v>0</v>
      </c>
      <c r="O856" s="123">
        <v>0</v>
      </c>
      <c r="P856" s="124">
        <v>0</v>
      </c>
      <c r="Q856" s="123">
        <v>0</v>
      </c>
      <c r="R856" s="124">
        <v>1.2910000000000001</v>
      </c>
      <c r="S856" s="123">
        <v>12.3285</v>
      </c>
      <c r="T856" s="124">
        <v>0</v>
      </c>
      <c r="U856" s="123">
        <v>0</v>
      </c>
      <c r="V856" s="124">
        <v>0</v>
      </c>
      <c r="W856" s="123">
        <v>0</v>
      </c>
      <c r="X856" s="124">
        <v>0</v>
      </c>
      <c r="Y856" s="123">
        <v>0</v>
      </c>
      <c r="Z856" s="124">
        <v>0</v>
      </c>
      <c r="AA856" s="123">
        <v>0</v>
      </c>
      <c r="AB856" s="124">
        <v>0</v>
      </c>
      <c r="AC856" s="238">
        <f t="shared" si="45"/>
        <v>13.6195</v>
      </c>
      <c r="AD856" s="238"/>
      <c r="AE856" s="238"/>
    </row>
    <row r="857" spans="2:31" x14ac:dyDescent="0.3">
      <c r="B857" s="245" t="s">
        <v>95</v>
      </c>
      <c r="C857" s="245"/>
      <c r="D857" s="245"/>
      <c r="E857" s="123">
        <v>0</v>
      </c>
      <c r="F857" s="124">
        <v>0</v>
      </c>
      <c r="G857" s="123">
        <v>0</v>
      </c>
      <c r="H857" s="124">
        <v>0</v>
      </c>
      <c r="I857" s="123">
        <v>0</v>
      </c>
      <c r="J857" s="124">
        <v>0</v>
      </c>
      <c r="K857" s="123">
        <v>0</v>
      </c>
      <c r="L857" s="124">
        <v>0</v>
      </c>
      <c r="M857" s="123">
        <v>0</v>
      </c>
      <c r="N857" s="124">
        <v>0</v>
      </c>
      <c r="O857" s="123">
        <v>0</v>
      </c>
      <c r="P857" s="124">
        <v>0</v>
      </c>
      <c r="Q857" s="123">
        <v>0</v>
      </c>
      <c r="R857" s="124">
        <v>0</v>
      </c>
      <c r="S857" s="123">
        <v>0</v>
      </c>
      <c r="T857" s="124">
        <v>0</v>
      </c>
      <c r="U857" s="123">
        <v>0</v>
      </c>
      <c r="V857" s="124">
        <v>0</v>
      </c>
      <c r="W857" s="123">
        <v>0</v>
      </c>
      <c r="X857" s="124">
        <v>0</v>
      </c>
      <c r="Y857" s="123">
        <v>0</v>
      </c>
      <c r="Z857" s="124">
        <v>0</v>
      </c>
      <c r="AA857" s="123">
        <v>0</v>
      </c>
      <c r="AB857" s="124">
        <v>0</v>
      </c>
      <c r="AC857" s="238">
        <f t="shared" si="45"/>
        <v>0</v>
      </c>
      <c r="AD857" s="238"/>
      <c r="AE857" s="238"/>
    </row>
    <row r="858" spans="2:31" x14ac:dyDescent="0.3">
      <c r="B858" s="245" t="s">
        <v>59</v>
      </c>
      <c r="C858" s="245"/>
      <c r="D858" s="245"/>
      <c r="E858" s="123">
        <v>0</v>
      </c>
      <c r="F858" s="124">
        <v>0</v>
      </c>
      <c r="G858" s="123">
        <v>0</v>
      </c>
      <c r="H858" s="124">
        <v>0</v>
      </c>
      <c r="I858" s="123">
        <v>0</v>
      </c>
      <c r="J858" s="124">
        <v>0</v>
      </c>
      <c r="K858" s="123">
        <v>0</v>
      </c>
      <c r="L858" s="124">
        <v>0</v>
      </c>
      <c r="M858" s="123">
        <v>0</v>
      </c>
      <c r="N858" s="124">
        <v>0</v>
      </c>
      <c r="O858" s="123">
        <v>0</v>
      </c>
      <c r="P858" s="124">
        <v>0</v>
      </c>
      <c r="Q858" s="123">
        <v>0</v>
      </c>
      <c r="R858" s="124">
        <v>8.0478333333333332</v>
      </c>
      <c r="S858" s="123">
        <v>16.447333333333326</v>
      </c>
      <c r="T858" s="124">
        <v>0</v>
      </c>
      <c r="U858" s="123">
        <v>0</v>
      </c>
      <c r="V858" s="124">
        <v>0</v>
      </c>
      <c r="W858" s="123">
        <v>0</v>
      </c>
      <c r="X858" s="124">
        <v>0</v>
      </c>
      <c r="Y858" s="123">
        <v>0</v>
      </c>
      <c r="Z858" s="124">
        <v>0</v>
      </c>
      <c r="AA858" s="123">
        <v>0</v>
      </c>
      <c r="AB858" s="124">
        <v>0</v>
      </c>
      <c r="AC858" s="238">
        <f t="shared" si="45"/>
        <v>24.495166666666659</v>
      </c>
      <c r="AD858" s="238"/>
      <c r="AE858" s="238"/>
    </row>
    <row r="859" spans="2:31" x14ac:dyDescent="0.3">
      <c r="B859" s="245" t="s">
        <v>60</v>
      </c>
      <c r="C859" s="245"/>
      <c r="D859" s="245"/>
      <c r="E859" s="123">
        <v>0</v>
      </c>
      <c r="F859" s="124">
        <v>0</v>
      </c>
      <c r="G859" s="123">
        <v>0</v>
      </c>
      <c r="H859" s="124">
        <v>0</v>
      </c>
      <c r="I859" s="123">
        <v>0</v>
      </c>
      <c r="J859" s="124">
        <v>0</v>
      </c>
      <c r="K859" s="123">
        <v>0</v>
      </c>
      <c r="L859" s="124">
        <v>0</v>
      </c>
      <c r="M859" s="123">
        <v>0</v>
      </c>
      <c r="N859" s="124">
        <v>0</v>
      </c>
      <c r="O859" s="123">
        <v>0</v>
      </c>
      <c r="P859" s="124">
        <v>0</v>
      </c>
      <c r="Q859" s="123">
        <v>0</v>
      </c>
      <c r="R859" s="124">
        <v>0</v>
      </c>
      <c r="S859" s="123">
        <v>0</v>
      </c>
      <c r="T859" s="124">
        <v>0</v>
      </c>
      <c r="U859" s="123">
        <v>0</v>
      </c>
      <c r="V859" s="124">
        <v>0</v>
      </c>
      <c r="W859" s="123">
        <v>0</v>
      </c>
      <c r="X859" s="124">
        <v>0</v>
      </c>
      <c r="Y859" s="123">
        <v>0</v>
      </c>
      <c r="Z859" s="124">
        <v>0</v>
      </c>
      <c r="AA859" s="123">
        <v>0</v>
      </c>
      <c r="AB859" s="124">
        <v>0</v>
      </c>
      <c r="AC859" s="238">
        <f t="shared" si="45"/>
        <v>0</v>
      </c>
      <c r="AD859" s="238"/>
      <c r="AE859" s="238"/>
    </row>
    <row r="860" spans="2:31" x14ac:dyDescent="0.3">
      <c r="B860" s="245" t="s">
        <v>61</v>
      </c>
      <c r="C860" s="245"/>
      <c r="D860" s="245"/>
      <c r="E860" s="123">
        <v>0</v>
      </c>
      <c r="F860" s="124">
        <v>0</v>
      </c>
      <c r="G860" s="123">
        <v>0</v>
      </c>
      <c r="H860" s="124">
        <v>0</v>
      </c>
      <c r="I860" s="123">
        <v>0</v>
      </c>
      <c r="J860" s="124">
        <v>0</v>
      </c>
      <c r="K860" s="123">
        <v>0</v>
      </c>
      <c r="L860" s="124">
        <v>0</v>
      </c>
      <c r="M860" s="123">
        <v>0</v>
      </c>
      <c r="N860" s="124">
        <v>0</v>
      </c>
      <c r="O860" s="123">
        <v>0</v>
      </c>
      <c r="P860" s="124">
        <v>0</v>
      </c>
      <c r="Q860" s="123">
        <v>0</v>
      </c>
      <c r="R860" s="124">
        <v>0</v>
      </c>
      <c r="S860" s="123">
        <v>0</v>
      </c>
      <c r="T860" s="124">
        <v>0</v>
      </c>
      <c r="U860" s="123">
        <v>0</v>
      </c>
      <c r="V860" s="124">
        <v>0</v>
      </c>
      <c r="W860" s="123">
        <v>0</v>
      </c>
      <c r="X860" s="124">
        <v>0</v>
      </c>
      <c r="Y860" s="123">
        <v>0</v>
      </c>
      <c r="Z860" s="124">
        <v>0</v>
      </c>
      <c r="AA860" s="123">
        <v>0</v>
      </c>
      <c r="AB860" s="124">
        <v>0</v>
      </c>
      <c r="AC860" s="238">
        <f t="shared" si="45"/>
        <v>0</v>
      </c>
      <c r="AD860" s="238"/>
      <c r="AE860" s="238"/>
    </row>
    <row r="861" spans="2:31" x14ac:dyDescent="0.3">
      <c r="B861" s="245" t="s">
        <v>62</v>
      </c>
      <c r="C861" s="245"/>
      <c r="D861" s="245"/>
      <c r="E861" s="123">
        <v>0</v>
      </c>
      <c r="F861" s="124">
        <v>0</v>
      </c>
      <c r="G861" s="123">
        <v>0</v>
      </c>
      <c r="H861" s="124">
        <v>0</v>
      </c>
      <c r="I861" s="123">
        <v>0</v>
      </c>
      <c r="J861" s="124">
        <v>0</v>
      </c>
      <c r="K861" s="123">
        <v>0</v>
      </c>
      <c r="L861" s="124">
        <v>0</v>
      </c>
      <c r="M861" s="123">
        <v>0</v>
      </c>
      <c r="N861" s="124">
        <v>0</v>
      </c>
      <c r="O861" s="123">
        <v>0</v>
      </c>
      <c r="P861" s="124">
        <v>0</v>
      </c>
      <c r="Q861" s="123">
        <v>0</v>
      </c>
      <c r="R861" s="124">
        <v>0</v>
      </c>
      <c r="S861" s="123">
        <v>0</v>
      </c>
      <c r="T861" s="124">
        <v>0</v>
      </c>
      <c r="U861" s="123">
        <v>0</v>
      </c>
      <c r="V861" s="124">
        <v>0</v>
      </c>
      <c r="W861" s="123">
        <v>0</v>
      </c>
      <c r="X861" s="124">
        <v>0</v>
      </c>
      <c r="Y861" s="123">
        <v>0</v>
      </c>
      <c r="Z861" s="124">
        <v>0</v>
      </c>
      <c r="AA861" s="123">
        <v>0</v>
      </c>
      <c r="AB861" s="124">
        <v>0</v>
      </c>
      <c r="AC861" s="238">
        <f t="shared" si="45"/>
        <v>0</v>
      </c>
      <c r="AD861" s="238"/>
      <c r="AE861" s="238"/>
    </row>
    <row r="862" spans="2:31" x14ac:dyDescent="0.3">
      <c r="B862" s="245" t="s">
        <v>63</v>
      </c>
      <c r="C862" s="245"/>
      <c r="D862" s="245"/>
      <c r="E862" s="123">
        <v>0</v>
      </c>
      <c r="F862" s="124">
        <v>0</v>
      </c>
      <c r="G862" s="123">
        <v>0</v>
      </c>
      <c r="H862" s="124">
        <v>0</v>
      </c>
      <c r="I862" s="123">
        <v>0</v>
      </c>
      <c r="J862" s="124">
        <v>0</v>
      </c>
      <c r="K862" s="123">
        <v>0</v>
      </c>
      <c r="L862" s="124">
        <v>0</v>
      </c>
      <c r="M862" s="123">
        <v>0</v>
      </c>
      <c r="N862" s="124">
        <v>0</v>
      </c>
      <c r="O862" s="123">
        <v>0</v>
      </c>
      <c r="P862" s="124">
        <v>0</v>
      </c>
      <c r="Q862" s="123">
        <v>0</v>
      </c>
      <c r="R862" s="124">
        <v>0.36316666666666514</v>
      </c>
      <c r="S862" s="123">
        <v>0.70150000000000623</v>
      </c>
      <c r="T862" s="124">
        <v>7.1015000000000077</v>
      </c>
      <c r="U862" s="123">
        <v>7.6664999999999983</v>
      </c>
      <c r="V862" s="124">
        <v>15.375833333333352</v>
      </c>
      <c r="W862" s="123">
        <v>7.2789999999999964</v>
      </c>
      <c r="X862" s="124">
        <v>0</v>
      </c>
      <c r="Y862" s="123">
        <v>0</v>
      </c>
      <c r="Z862" s="124">
        <v>0</v>
      </c>
      <c r="AA862" s="123">
        <v>0</v>
      </c>
      <c r="AB862" s="124">
        <v>0</v>
      </c>
      <c r="AC862" s="238">
        <f t="shared" si="45"/>
        <v>38.487500000000026</v>
      </c>
      <c r="AD862" s="238"/>
      <c r="AE862" s="238"/>
    </row>
    <row r="863" spans="2:31" x14ac:dyDescent="0.3">
      <c r="B863" s="245" t="s">
        <v>64</v>
      </c>
      <c r="C863" s="245"/>
      <c r="D863" s="245"/>
      <c r="E863" s="123">
        <v>0</v>
      </c>
      <c r="F863" s="124">
        <v>0</v>
      </c>
      <c r="G863" s="123">
        <v>0</v>
      </c>
      <c r="H863" s="124">
        <v>0</v>
      </c>
      <c r="I863" s="123">
        <v>0</v>
      </c>
      <c r="J863" s="124">
        <v>0</v>
      </c>
      <c r="K863" s="123">
        <v>0</v>
      </c>
      <c r="L863" s="124">
        <v>0</v>
      </c>
      <c r="M863" s="123">
        <v>0</v>
      </c>
      <c r="N863" s="124">
        <v>0</v>
      </c>
      <c r="O863" s="123">
        <v>0</v>
      </c>
      <c r="P863" s="124">
        <v>0</v>
      </c>
      <c r="Q863" s="123">
        <v>0</v>
      </c>
      <c r="R863" s="124">
        <v>1.6666666666666666E-2</v>
      </c>
      <c r="S863" s="123">
        <v>1.1604999999999999</v>
      </c>
      <c r="T863" s="124">
        <v>2.4703333333333304</v>
      </c>
      <c r="U863" s="123">
        <v>4.2360000000000033</v>
      </c>
      <c r="V863" s="124">
        <v>0</v>
      </c>
      <c r="W863" s="123">
        <v>0</v>
      </c>
      <c r="X863" s="124">
        <v>0</v>
      </c>
      <c r="Y863" s="123">
        <v>0</v>
      </c>
      <c r="Z863" s="124">
        <v>0</v>
      </c>
      <c r="AA863" s="123">
        <v>0</v>
      </c>
      <c r="AB863" s="124">
        <v>0</v>
      </c>
      <c r="AC863" s="238">
        <f t="shared" si="45"/>
        <v>7.8834999999999997</v>
      </c>
      <c r="AD863" s="238"/>
      <c r="AE863" s="238"/>
    </row>
    <row r="864" spans="2:31" x14ac:dyDescent="0.3">
      <c r="B864" s="245" t="s">
        <v>96</v>
      </c>
      <c r="C864" s="245"/>
      <c r="D864" s="245"/>
      <c r="E864" s="123">
        <v>0</v>
      </c>
      <c r="F864" s="124">
        <v>0</v>
      </c>
      <c r="G864" s="123">
        <v>0</v>
      </c>
      <c r="H864" s="124">
        <v>0</v>
      </c>
      <c r="I864" s="123">
        <v>0</v>
      </c>
      <c r="J864" s="124">
        <v>0</v>
      </c>
      <c r="K864" s="123">
        <v>0</v>
      </c>
      <c r="L864" s="124">
        <v>0</v>
      </c>
      <c r="M864" s="123">
        <v>0</v>
      </c>
      <c r="N864" s="124">
        <v>0</v>
      </c>
      <c r="O864" s="123">
        <v>0</v>
      </c>
      <c r="P864" s="124">
        <v>0</v>
      </c>
      <c r="Q864" s="123">
        <v>0</v>
      </c>
      <c r="R864" s="124">
        <v>0</v>
      </c>
      <c r="S864" s="123">
        <v>0</v>
      </c>
      <c r="T864" s="124">
        <v>0</v>
      </c>
      <c r="U864" s="123">
        <v>0</v>
      </c>
      <c r="V864" s="124">
        <v>0</v>
      </c>
      <c r="W864" s="123">
        <v>0</v>
      </c>
      <c r="X864" s="124">
        <v>0</v>
      </c>
      <c r="Y864" s="123">
        <v>0</v>
      </c>
      <c r="Z864" s="124">
        <v>0</v>
      </c>
      <c r="AA864" s="123">
        <v>0</v>
      </c>
      <c r="AB864" s="124">
        <v>0</v>
      </c>
      <c r="AC864" s="238">
        <f t="shared" si="45"/>
        <v>0</v>
      </c>
      <c r="AD864" s="238"/>
      <c r="AE864" s="238"/>
    </row>
    <row r="865" spans="2:31" x14ac:dyDescent="0.3">
      <c r="B865" s="245" t="s">
        <v>65</v>
      </c>
      <c r="C865" s="245"/>
      <c r="D865" s="245"/>
      <c r="E865" s="123">
        <v>0</v>
      </c>
      <c r="F865" s="124">
        <v>0</v>
      </c>
      <c r="G865" s="123">
        <v>0</v>
      </c>
      <c r="H865" s="124">
        <v>0</v>
      </c>
      <c r="I865" s="123">
        <v>0</v>
      </c>
      <c r="J865" s="124">
        <v>0</v>
      </c>
      <c r="K865" s="123">
        <v>0</v>
      </c>
      <c r="L865" s="124">
        <v>0</v>
      </c>
      <c r="M865" s="123">
        <v>0</v>
      </c>
      <c r="N865" s="124">
        <v>0</v>
      </c>
      <c r="O865" s="123">
        <v>0</v>
      </c>
      <c r="P865" s="124">
        <v>0</v>
      </c>
      <c r="Q865" s="123">
        <v>0</v>
      </c>
      <c r="R865" s="124">
        <v>0.31300000000000128</v>
      </c>
      <c r="S865" s="123">
        <v>0.50316666666666676</v>
      </c>
      <c r="T865" s="124">
        <v>1.863333333333334</v>
      </c>
      <c r="U865" s="123">
        <v>0</v>
      </c>
      <c r="V865" s="124">
        <v>0</v>
      </c>
      <c r="W865" s="123">
        <v>0</v>
      </c>
      <c r="X865" s="124">
        <v>0</v>
      </c>
      <c r="Y865" s="123">
        <v>0</v>
      </c>
      <c r="Z865" s="124">
        <v>0</v>
      </c>
      <c r="AA865" s="123">
        <v>0</v>
      </c>
      <c r="AB865" s="124">
        <v>0</v>
      </c>
      <c r="AC865" s="238">
        <f t="shared" si="45"/>
        <v>2.6795000000000018</v>
      </c>
      <c r="AD865" s="238"/>
      <c r="AE865" s="238"/>
    </row>
    <row r="866" spans="2:31" x14ac:dyDescent="0.3">
      <c r="B866" s="245" t="s">
        <v>66</v>
      </c>
      <c r="C866" s="245"/>
      <c r="D866" s="245"/>
      <c r="E866" s="123">
        <v>0</v>
      </c>
      <c r="F866" s="124">
        <v>0</v>
      </c>
      <c r="G866" s="123">
        <v>0</v>
      </c>
      <c r="H866" s="124">
        <v>0</v>
      </c>
      <c r="I866" s="123">
        <v>0</v>
      </c>
      <c r="J866" s="124">
        <v>0</v>
      </c>
      <c r="K866" s="123">
        <v>0</v>
      </c>
      <c r="L866" s="124">
        <v>0</v>
      </c>
      <c r="M866" s="123">
        <v>0</v>
      </c>
      <c r="N866" s="124">
        <v>0</v>
      </c>
      <c r="O866" s="123">
        <v>0</v>
      </c>
      <c r="P866" s="124">
        <v>0</v>
      </c>
      <c r="Q866" s="123">
        <v>0</v>
      </c>
      <c r="R866" s="124">
        <v>2.1983333333333328</v>
      </c>
      <c r="S866" s="123">
        <v>4.1661666666666708</v>
      </c>
      <c r="T866" s="124">
        <v>6.6126666666666631</v>
      </c>
      <c r="U866" s="123">
        <v>0</v>
      </c>
      <c r="V866" s="124">
        <v>0</v>
      </c>
      <c r="W866" s="123">
        <v>0</v>
      </c>
      <c r="X866" s="124">
        <v>0</v>
      </c>
      <c r="Y866" s="123">
        <v>0</v>
      </c>
      <c r="Z866" s="124">
        <v>0</v>
      </c>
      <c r="AA866" s="123">
        <v>0</v>
      </c>
      <c r="AB866" s="124">
        <v>0</v>
      </c>
      <c r="AC866" s="238">
        <f>SUM(E866:AB866)</f>
        <v>12.977166666666665</v>
      </c>
      <c r="AD866" s="238"/>
      <c r="AE866" s="238"/>
    </row>
    <row r="867" spans="2:31" x14ac:dyDescent="0.3">
      <c r="B867" s="245" t="s">
        <v>67</v>
      </c>
      <c r="C867" s="245"/>
      <c r="D867" s="245"/>
      <c r="E867" s="123">
        <v>0</v>
      </c>
      <c r="F867" s="124">
        <v>0</v>
      </c>
      <c r="G867" s="123">
        <v>0</v>
      </c>
      <c r="H867" s="124">
        <v>0</v>
      </c>
      <c r="I867" s="123">
        <v>0</v>
      </c>
      <c r="J867" s="124">
        <v>0</v>
      </c>
      <c r="K867" s="123">
        <v>0</v>
      </c>
      <c r="L867" s="124">
        <v>0</v>
      </c>
      <c r="M867" s="123">
        <v>0</v>
      </c>
      <c r="N867" s="124">
        <v>0</v>
      </c>
      <c r="O867" s="123">
        <v>0</v>
      </c>
      <c r="P867" s="124">
        <v>0</v>
      </c>
      <c r="Q867" s="123">
        <v>0</v>
      </c>
      <c r="R867" s="124">
        <v>1.4864999999999999</v>
      </c>
      <c r="S867" s="123">
        <v>3.2008333333333359</v>
      </c>
      <c r="T867" s="124">
        <v>4.7941666666666665</v>
      </c>
      <c r="U867" s="123">
        <v>0</v>
      </c>
      <c r="V867" s="124">
        <v>0</v>
      </c>
      <c r="W867" s="123">
        <v>0</v>
      </c>
      <c r="X867" s="124">
        <v>0</v>
      </c>
      <c r="Y867" s="123">
        <v>0</v>
      </c>
      <c r="Z867" s="124">
        <v>0</v>
      </c>
      <c r="AA867" s="123">
        <v>0</v>
      </c>
      <c r="AB867" s="124">
        <v>0</v>
      </c>
      <c r="AC867" s="238">
        <f t="shared" ref="AC867:AC880" si="46">SUM(E867:AB867)</f>
        <v>9.4815000000000023</v>
      </c>
      <c r="AD867" s="238"/>
      <c r="AE867" s="238"/>
    </row>
    <row r="868" spans="2:31" x14ac:dyDescent="0.3">
      <c r="B868" s="245" t="s">
        <v>68</v>
      </c>
      <c r="C868" s="245"/>
      <c r="D868" s="245"/>
      <c r="E868" s="123">
        <v>0</v>
      </c>
      <c r="F868" s="124">
        <v>0</v>
      </c>
      <c r="G868" s="123">
        <v>0</v>
      </c>
      <c r="H868" s="124">
        <v>0</v>
      </c>
      <c r="I868" s="123">
        <v>0</v>
      </c>
      <c r="J868" s="124">
        <v>0</v>
      </c>
      <c r="K868" s="123">
        <v>0</v>
      </c>
      <c r="L868" s="124">
        <v>0</v>
      </c>
      <c r="M868" s="123">
        <v>0</v>
      </c>
      <c r="N868" s="124">
        <v>0</v>
      </c>
      <c r="O868" s="123">
        <v>0</v>
      </c>
      <c r="P868" s="124">
        <v>0</v>
      </c>
      <c r="Q868" s="123">
        <v>0</v>
      </c>
      <c r="R868" s="124">
        <v>0</v>
      </c>
      <c r="S868" s="123">
        <v>0.4669999999999998</v>
      </c>
      <c r="T868" s="124">
        <v>2.256833333333331</v>
      </c>
      <c r="U868" s="123">
        <v>7.6921666666666662</v>
      </c>
      <c r="V868" s="124">
        <v>14.248666666666669</v>
      </c>
      <c r="W868" s="123">
        <v>10.101499999999994</v>
      </c>
      <c r="X868" s="124">
        <v>0</v>
      </c>
      <c r="Y868" s="123">
        <v>0</v>
      </c>
      <c r="Z868" s="124">
        <v>0</v>
      </c>
      <c r="AA868" s="123">
        <v>0</v>
      </c>
      <c r="AB868" s="124">
        <v>0</v>
      </c>
      <c r="AC868" s="238">
        <f t="shared" si="46"/>
        <v>34.766166666666663</v>
      </c>
      <c r="AD868" s="238"/>
      <c r="AE868" s="238"/>
    </row>
    <row r="869" spans="2:31" x14ac:dyDescent="0.3">
      <c r="B869" s="245" t="s">
        <v>69</v>
      </c>
      <c r="C869" s="245"/>
      <c r="D869" s="245"/>
      <c r="E869" s="123">
        <v>0</v>
      </c>
      <c r="F869" s="124">
        <v>0</v>
      </c>
      <c r="G869" s="123">
        <v>0</v>
      </c>
      <c r="H869" s="124">
        <v>0</v>
      </c>
      <c r="I869" s="123">
        <v>0</v>
      </c>
      <c r="J869" s="124">
        <v>0</v>
      </c>
      <c r="K869" s="123">
        <v>0</v>
      </c>
      <c r="L869" s="124">
        <v>0</v>
      </c>
      <c r="M869" s="123">
        <v>0</v>
      </c>
      <c r="N869" s="124">
        <v>0</v>
      </c>
      <c r="O869" s="123">
        <v>0</v>
      </c>
      <c r="P869" s="124">
        <v>0</v>
      </c>
      <c r="Q869" s="123">
        <v>0</v>
      </c>
      <c r="R869" s="124">
        <v>0</v>
      </c>
      <c r="S869" s="123">
        <v>0</v>
      </c>
      <c r="T869" s="124">
        <v>0</v>
      </c>
      <c r="U869" s="123">
        <v>0</v>
      </c>
      <c r="V869" s="124">
        <v>0</v>
      </c>
      <c r="W869" s="123">
        <v>0</v>
      </c>
      <c r="X869" s="124">
        <v>0</v>
      </c>
      <c r="Y869" s="123">
        <v>0</v>
      </c>
      <c r="Z869" s="124">
        <v>0</v>
      </c>
      <c r="AA869" s="123">
        <v>0</v>
      </c>
      <c r="AB869" s="124">
        <v>0</v>
      </c>
      <c r="AC869" s="238">
        <f t="shared" si="46"/>
        <v>0</v>
      </c>
      <c r="AD869" s="238"/>
      <c r="AE869" s="238"/>
    </row>
    <row r="870" spans="2:31" x14ac:dyDescent="0.3">
      <c r="B870" s="245" t="s">
        <v>70</v>
      </c>
      <c r="C870" s="245"/>
      <c r="D870" s="245"/>
      <c r="E870" s="123">
        <v>0</v>
      </c>
      <c r="F870" s="124">
        <v>0</v>
      </c>
      <c r="G870" s="123">
        <v>0</v>
      </c>
      <c r="H870" s="124">
        <v>0</v>
      </c>
      <c r="I870" s="123">
        <v>0</v>
      </c>
      <c r="J870" s="124">
        <v>0</v>
      </c>
      <c r="K870" s="123">
        <v>0</v>
      </c>
      <c r="L870" s="124">
        <v>0</v>
      </c>
      <c r="M870" s="123">
        <v>0</v>
      </c>
      <c r="N870" s="124">
        <v>0</v>
      </c>
      <c r="O870" s="123">
        <v>0</v>
      </c>
      <c r="P870" s="124">
        <v>0</v>
      </c>
      <c r="Q870" s="123">
        <v>0</v>
      </c>
      <c r="R870" s="124">
        <v>0</v>
      </c>
      <c r="S870" s="123">
        <v>0</v>
      </c>
      <c r="T870" s="124">
        <v>0</v>
      </c>
      <c r="U870" s="123">
        <v>0</v>
      </c>
      <c r="V870" s="124">
        <v>0</v>
      </c>
      <c r="W870" s="123">
        <v>0</v>
      </c>
      <c r="X870" s="124">
        <v>0</v>
      </c>
      <c r="Y870" s="123">
        <v>0</v>
      </c>
      <c r="Z870" s="124">
        <v>0</v>
      </c>
      <c r="AA870" s="123">
        <v>0</v>
      </c>
      <c r="AB870" s="124">
        <v>0</v>
      </c>
      <c r="AC870" s="238">
        <f t="shared" si="46"/>
        <v>0</v>
      </c>
      <c r="AD870" s="238"/>
      <c r="AE870" s="238"/>
    </row>
    <row r="871" spans="2:31" x14ac:dyDescent="0.3">
      <c r="B871" s="245" t="s">
        <v>71</v>
      </c>
      <c r="C871" s="245"/>
      <c r="D871" s="245"/>
      <c r="E871" s="123">
        <v>0</v>
      </c>
      <c r="F871" s="124">
        <v>0</v>
      </c>
      <c r="G871" s="123">
        <v>0</v>
      </c>
      <c r="H871" s="124">
        <v>0</v>
      </c>
      <c r="I871" s="123">
        <v>0</v>
      </c>
      <c r="J871" s="124">
        <v>0</v>
      </c>
      <c r="K871" s="123">
        <v>0</v>
      </c>
      <c r="L871" s="124">
        <v>0</v>
      </c>
      <c r="M871" s="123">
        <v>0</v>
      </c>
      <c r="N871" s="124">
        <v>0</v>
      </c>
      <c r="O871" s="123">
        <v>0</v>
      </c>
      <c r="P871" s="124">
        <v>0</v>
      </c>
      <c r="Q871" s="123">
        <v>0</v>
      </c>
      <c r="R871" s="124">
        <v>3.7138333333333327</v>
      </c>
      <c r="S871" s="123">
        <v>9.2503333333333391</v>
      </c>
      <c r="T871" s="124">
        <v>1.8558333333333323</v>
      </c>
      <c r="U871" s="123">
        <v>0</v>
      </c>
      <c r="V871" s="124">
        <v>0</v>
      </c>
      <c r="W871" s="123">
        <v>0</v>
      </c>
      <c r="X871" s="124">
        <v>0</v>
      </c>
      <c r="Y871" s="123">
        <v>0</v>
      </c>
      <c r="Z871" s="124">
        <v>0</v>
      </c>
      <c r="AA871" s="123">
        <v>0</v>
      </c>
      <c r="AB871" s="124">
        <v>0</v>
      </c>
      <c r="AC871" s="238">
        <f t="shared" si="46"/>
        <v>14.820000000000004</v>
      </c>
      <c r="AD871" s="238"/>
      <c r="AE871" s="238"/>
    </row>
    <row r="872" spans="2:31" x14ac:dyDescent="0.3">
      <c r="B872" s="245" t="s">
        <v>72</v>
      </c>
      <c r="C872" s="245"/>
      <c r="D872" s="245"/>
      <c r="E872" s="123">
        <v>0</v>
      </c>
      <c r="F872" s="124">
        <v>0</v>
      </c>
      <c r="G872" s="123">
        <v>0</v>
      </c>
      <c r="H872" s="124">
        <v>0</v>
      </c>
      <c r="I872" s="123">
        <v>0</v>
      </c>
      <c r="J872" s="124">
        <v>0</v>
      </c>
      <c r="K872" s="123">
        <v>0</v>
      </c>
      <c r="L872" s="124">
        <v>0</v>
      </c>
      <c r="M872" s="123">
        <v>0</v>
      </c>
      <c r="N872" s="124">
        <v>0</v>
      </c>
      <c r="O872" s="123">
        <v>0</v>
      </c>
      <c r="P872" s="124">
        <v>0</v>
      </c>
      <c r="Q872" s="123">
        <v>0</v>
      </c>
      <c r="R872" s="124">
        <v>0</v>
      </c>
      <c r="S872" s="123">
        <v>0</v>
      </c>
      <c r="T872" s="124">
        <v>0</v>
      </c>
      <c r="U872" s="123">
        <v>0</v>
      </c>
      <c r="V872" s="124">
        <v>0</v>
      </c>
      <c r="W872" s="123">
        <v>0</v>
      </c>
      <c r="X872" s="124">
        <v>0</v>
      </c>
      <c r="Y872" s="123">
        <v>0</v>
      </c>
      <c r="Z872" s="124">
        <v>0</v>
      </c>
      <c r="AA872" s="123">
        <v>0</v>
      </c>
      <c r="AB872" s="124">
        <v>0</v>
      </c>
      <c r="AC872" s="238">
        <f t="shared" si="46"/>
        <v>0</v>
      </c>
      <c r="AD872" s="238"/>
      <c r="AE872" s="238"/>
    </row>
    <row r="873" spans="2:31" x14ac:dyDescent="0.3">
      <c r="B873" s="245" t="s">
        <v>73</v>
      </c>
      <c r="C873" s="245"/>
      <c r="D873" s="245"/>
      <c r="E873" s="123">
        <v>0</v>
      </c>
      <c r="F873" s="124">
        <v>0</v>
      </c>
      <c r="G873" s="123">
        <v>0</v>
      </c>
      <c r="H873" s="124">
        <v>0</v>
      </c>
      <c r="I873" s="123">
        <v>0</v>
      </c>
      <c r="J873" s="124">
        <v>0</v>
      </c>
      <c r="K873" s="123">
        <v>0</v>
      </c>
      <c r="L873" s="124">
        <v>0</v>
      </c>
      <c r="M873" s="123">
        <v>0</v>
      </c>
      <c r="N873" s="124">
        <v>0</v>
      </c>
      <c r="O873" s="123">
        <v>0</v>
      </c>
      <c r="P873" s="124">
        <v>0</v>
      </c>
      <c r="Q873" s="123">
        <v>0</v>
      </c>
      <c r="R873" s="124">
        <v>1.9814999999999969</v>
      </c>
      <c r="S873" s="123">
        <v>13.248999999999997</v>
      </c>
      <c r="T873" s="124">
        <v>17.980833333333347</v>
      </c>
      <c r="U873" s="123">
        <v>19.826000000000015</v>
      </c>
      <c r="V873" s="124">
        <v>41.818333333333342</v>
      </c>
      <c r="W873" s="123">
        <v>48.098333333333329</v>
      </c>
      <c r="X873" s="124">
        <v>0</v>
      </c>
      <c r="Y873" s="123">
        <v>0</v>
      </c>
      <c r="Z873" s="124">
        <v>0</v>
      </c>
      <c r="AA873" s="123">
        <v>0</v>
      </c>
      <c r="AB873" s="124">
        <v>0</v>
      </c>
      <c r="AC873" s="238">
        <f t="shared" si="46"/>
        <v>142.95400000000004</v>
      </c>
      <c r="AD873" s="238"/>
      <c r="AE873" s="238"/>
    </row>
    <row r="874" spans="2:31" x14ac:dyDescent="0.3">
      <c r="B874" s="245" t="s">
        <v>74</v>
      </c>
      <c r="C874" s="245"/>
      <c r="D874" s="245"/>
      <c r="E874" s="123">
        <v>0</v>
      </c>
      <c r="F874" s="124">
        <v>0</v>
      </c>
      <c r="G874" s="123">
        <v>0</v>
      </c>
      <c r="H874" s="124">
        <v>0</v>
      </c>
      <c r="I874" s="123">
        <v>0</v>
      </c>
      <c r="J874" s="124">
        <v>0</v>
      </c>
      <c r="K874" s="123">
        <v>0</v>
      </c>
      <c r="L874" s="124">
        <v>0</v>
      </c>
      <c r="M874" s="123">
        <v>0</v>
      </c>
      <c r="N874" s="124">
        <v>0</v>
      </c>
      <c r="O874" s="123">
        <v>0</v>
      </c>
      <c r="P874" s="124">
        <v>0</v>
      </c>
      <c r="Q874" s="123">
        <v>0</v>
      </c>
      <c r="R874" s="124">
        <v>3.4275000000000011</v>
      </c>
      <c r="S874" s="123">
        <v>6.9303333333333352</v>
      </c>
      <c r="T874" s="124">
        <v>6.0481666666666651</v>
      </c>
      <c r="U874" s="123">
        <v>4.0801666666666661</v>
      </c>
      <c r="V874" s="124">
        <v>3.369166666666668</v>
      </c>
      <c r="W874" s="123">
        <v>1.5018333333333338</v>
      </c>
      <c r="X874" s="124">
        <v>0</v>
      </c>
      <c r="Y874" s="123">
        <v>0</v>
      </c>
      <c r="Z874" s="124">
        <v>0</v>
      </c>
      <c r="AA874" s="123">
        <v>0</v>
      </c>
      <c r="AB874" s="124">
        <v>0</v>
      </c>
      <c r="AC874" s="238">
        <f t="shared" si="46"/>
        <v>25.357166666666668</v>
      </c>
      <c r="AD874" s="238"/>
      <c r="AE874" s="238"/>
    </row>
    <row r="875" spans="2:31" x14ac:dyDescent="0.3">
      <c r="B875" s="245" t="s">
        <v>75</v>
      </c>
      <c r="C875" s="245"/>
      <c r="D875" s="245"/>
      <c r="E875" s="123">
        <v>0</v>
      </c>
      <c r="F875" s="124">
        <v>0</v>
      </c>
      <c r="G875" s="123">
        <v>0</v>
      </c>
      <c r="H875" s="124">
        <v>0</v>
      </c>
      <c r="I875" s="123">
        <v>0</v>
      </c>
      <c r="J875" s="124">
        <v>0</v>
      </c>
      <c r="K875" s="123">
        <v>0</v>
      </c>
      <c r="L875" s="124">
        <v>0</v>
      </c>
      <c r="M875" s="123">
        <v>0</v>
      </c>
      <c r="N875" s="124">
        <v>0</v>
      </c>
      <c r="O875" s="123">
        <v>0</v>
      </c>
      <c r="P875" s="124">
        <v>0</v>
      </c>
      <c r="Q875" s="123">
        <v>0</v>
      </c>
      <c r="R875" s="124">
        <v>0</v>
      </c>
      <c r="S875" s="123">
        <v>2.3706666666666658</v>
      </c>
      <c r="T875" s="124">
        <v>26.993000000000009</v>
      </c>
      <c r="U875" s="123">
        <v>6.1303333333333265</v>
      </c>
      <c r="V875" s="124">
        <v>1.5615000000000003</v>
      </c>
      <c r="W875" s="123">
        <v>0.77100000000000024</v>
      </c>
      <c r="X875" s="124">
        <v>0</v>
      </c>
      <c r="Y875" s="123">
        <v>0</v>
      </c>
      <c r="Z875" s="124">
        <v>0</v>
      </c>
      <c r="AA875" s="123">
        <v>0</v>
      </c>
      <c r="AB875" s="124">
        <v>0</v>
      </c>
      <c r="AC875" s="238">
        <f t="shared" si="46"/>
        <v>37.826500000000003</v>
      </c>
      <c r="AD875" s="238"/>
      <c r="AE875" s="238"/>
    </row>
    <row r="876" spans="2:31" x14ac:dyDescent="0.3">
      <c r="B876" s="245" t="s">
        <v>76</v>
      </c>
      <c r="C876" s="245"/>
      <c r="D876" s="245"/>
      <c r="E876" s="123">
        <v>0</v>
      </c>
      <c r="F876" s="124">
        <v>0</v>
      </c>
      <c r="G876" s="123">
        <v>0</v>
      </c>
      <c r="H876" s="124">
        <v>0</v>
      </c>
      <c r="I876" s="123">
        <v>0</v>
      </c>
      <c r="J876" s="124">
        <v>0</v>
      </c>
      <c r="K876" s="123">
        <v>0</v>
      </c>
      <c r="L876" s="124">
        <v>0</v>
      </c>
      <c r="M876" s="123">
        <v>0</v>
      </c>
      <c r="N876" s="124">
        <v>0</v>
      </c>
      <c r="O876" s="123">
        <v>0</v>
      </c>
      <c r="P876" s="124">
        <v>0</v>
      </c>
      <c r="Q876" s="123">
        <v>0</v>
      </c>
      <c r="R876" s="124">
        <v>0</v>
      </c>
      <c r="S876" s="123">
        <v>1.5620000000000007</v>
      </c>
      <c r="T876" s="124">
        <v>5.5385</v>
      </c>
      <c r="U876" s="123">
        <v>8.8818333333333399</v>
      </c>
      <c r="V876" s="124">
        <v>9.1721666666666692</v>
      </c>
      <c r="W876" s="123">
        <v>0</v>
      </c>
      <c r="X876" s="124">
        <v>0</v>
      </c>
      <c r="Y876" s="123">
        <v>0</v>
      </c>
      <c r="Z876" s="124">
        <v>0</v>
      </c>
      <c r="AA876" s="123">
        <v>0</v>
      </c>
      <c r="AB876" s="124">
        <v>0</v>
      </c>
      <c r="AC876" s="238">
        <f t="shared" si="46"/>
        <v>25.154500000000009</v>
      </c>
      <c r="AD876" s="238"/>
      <c r="AE876" s="238"/>
    </row>
    <row r="877" spans="2:31" x14ac:dyDescent="0.3">
      <c r="B877" s="245" t="s">
        <v>77</v>
      </c>
      <c r="C877" s="245"/>
      <c r="D877" s="245"/>
      <c r="E877" s="123">
        <v>0</v>
      </c>
      <c r="F877" s="124">
        <v>0</v>
      </c>
      <c r="G877" s="123">
        <v>0</v>
      </c>
      <c r="H877" s="124">
        <v>0</v>
      </c>
      <c r="I877" s="123">
        <v>0</v>
      </c>
      <c r="J877" s="124">
        <v>0</v>
      </c>
      <c r="K877" s="123">
        <v>0</v>
      </c>
      <c r="L877" s="124">
        <v>0</v>
      </c>
      <c r="M877" s="123">
        <v>0</v>
      </c>
      <c r="N877" s="124">
        <v>0</v>
      </c>
      <c r="O877" s="123">
        <v>0</v>
      </c>
      <c r="P877" s="124">
        <v>0</v>
      </c>
      <c r="Q877" s="123">
        <v>0</v>
      </c>
      <c r="R877" s="124">
        <v>0</v>
      </c>
      <c r="S877" s="123">
        <v>0.13166666666666699</v>
      </c>
      <c r="T877" s="124">
        <v>3.3386666666666667</v>
      </c>
      <c r="U877" s="123">
        <v>5.3999999999999916E-2</v>
      </c>
      <c r="V877" s="124">
        <v>0.89166666666666405</v>
      </c>
      <c r="W877" s="123">
        <v>2.5833333333333285E-2</v>
      </c>
      <c r="X877" s="124">
        <v>0</v>
      </c>
      <c r="Y877" s="123">
        <v>0</v>
      </c>
      <c r="Z877" s="124">
        <v>0</v>
      </c>
      <c r="AA877" s="123">
        <v>0</v>
      </c>
      <c r="AB877" s="124">
        <v>0</v>
      </c>
      <c r="AC877" s="238">
        <f t="shared" si="46"/>
        <v>4.4418333333333306</v>
      </c>
      <c r="AD877" s="238"/>
      <c r="AE877" s="238"/>
    </row>
    <row r="878" spans="2:31" x14ac:dyDescent="0.3">
      <c r="B878" s="245" t="s">
        <v>78</v>
      </c>
      <c r="C878" s="245"/>
      <c r="D878" s="245"/>
      <c r="E878" s="123">
        <v>0</v>
      </c>
      <c r="F878" s="124">
        <v>0</v>
      </c>
      <c r="G878" s="123">
        <v>0</v>
      </c>
      <c r="H878" s="124">
        <v>0</v>
      </c>
      <c r="I878" s="123">
        <v>0</v>
      </c>
      <c r="J878" s="124">
        <v>0</v>
      </c>
      <c r="K878" s="123">
        <v>0</v>
      </c>
      <c r="L878" s="124">
        <v>0</v>
      </c>
      <c r="M878" s="123">
        <v>0</v>
      </c>
      <c r="N878" s="124">
        <v>0</v>
      </c>
      <c r="O878" s="123">
        <v>0</v>
      </c>
      <c r="P878" s="124">
        <v>0</v>
      </c>
      <c r="Q878" s="123">
        <v>0</v>
      </c>
      <c r="R878" s="124">
        <v>0</v>
      </c>
      <c r="S878" s="123">
        <v>0</v>
      </c>
      <c r="T878" s="124">
        <v>0</v>
      </c>
      <c r="U878" s="123">
        <v>0</v>
      </c>
      <c r="V878" s="124">
        <v>0</v>
      </c>
      <c r="W878" s="123">
        <v>0</v>
      </c>
      <c r="X878" s="124">
        <v>0</v>
      </c>
      <c r="Y878" s="123">
        <v>0</v>
      </c>
      <c r="Z878" s="124">
        <v>0</v>
      </c>
      <c r="AA878" s="123">
        <v>0</v>
      </c>
      <c r="AB878" s="124">
        <v>0</v>
      </c>
      <c r="AC878" s="238">
        <f t="shared" si="46"/>
        <v>0</v>
      </c>
      <c r="AD878" s="238"/>
      <c r="AE878" s="238"/>
    </row>
    <row r="879" spans="2:31" x14ac:dyDescent="0.3">
      <c r="B879" s="245" t="s">
        <v>79</v>
      </c>
      <c r="C879" s="245"/>
      <c r="D879" s="245"/>
      <c r="E879" s="123">
        <v>0</v>
      </c>
      <c r="F879" s="124">
        <v>0</v>
      </c>
      <c r="G879" s="123">
        <v>0</v>
      </c>
      <c r="H879" s="124">
        <v>0</v>
      </c>
      <c r="I879" s="123">
        <v>0</v>
      </c>
      <c r="J879" s="124">
        <v>0</v>
      </c>
      <c r="K879" s="123">
        <v>0</v>
      </c>
      <c r="L879" s="124">
        <v>0</v>
      </c>
      <c r="M879" s="123">
        <v>0</v>
      </c>
      <c r="N879" s="124">
        <v>0</v>
      </c>
      <c r="O879" s="123">
        <v>0</v>
      </c>
      <c r="P879" s="124">
        <v>0</v>
      </c>
      <c r="Q879" s="123">
        <v>0</v>
      </c>
      <c r="R879" s="124">
        <v>0.36016666666666619</v>
      </c>
      <c r="S879" s="123">
        <v>8.8595000000000024</v>
      </c>
      <c r="T879" s="124">
        <v>36.728666666666662</v>
      </c>
      <c r="U879" s="123">
        <v>21.117499999999996</v>
      </c>
      <c r="V879" s="124">
        <v>0</v>
      </c>
      <c r="W879" s="123">
        <v>0</v>
      </c>
      <c r="X879" s="124">
        <v>0</v>
      </c>
      <c r="Y879" s="123">
        <v>0</v>
      </c>
      <c r="Z879" s="124">
        <v>0</v>
      </c>
      <c r="AA879" s="123">
        <v>0</v>
      </c>
      <c r="AB879" s="124">
        <v>0</v>
      </c>
      <c r="AC879" s="238">
        <f t="shared" si="46"/>
        <v>67.06583333333333</v>
      </c>
      <c r="AD879" s="238"/>
      <c r="AE879" s="238"/>
    </row>
    <row r="880" spans="2:31" x14ac:dyDescent="0.3">
      <c r="B880" s="245" t="s">
        <v>80</v>
      </c>
      <c r="C880" s="245"/>
      <c r="D880" s="245"/>
      <c r="E880" s="123">
        <v>0</v>
      </c>
      <c r="F880" s="124">
        <v>0</v>
      </c>
      <c r="G880" s="123">
        <v>0</v>
      </c>
      <c r="H880" s="124">
        <v>0</v>
      </c>
      <c r="I880" s="123">
        <v>0</v>
      </c>
      <c r="J880" s="124">
        <v>0</v>
      </c>
      <c r="K880" s="123">
        <v>0</v>
      </c>
      <c r="L880" s="124">
        <v>0</v>
      </c>
      <c r="M880" s="123">
        <v>0</v>
      </c>
      <c r="N880" s="124">
        <v>0</v>
      </c>
      <c r="O880" s="123">
        <v>0</v>
      </c>
      <c r="P880" s="124">
        <v>0</v>
      </c>
      <c r="Q880" s="123">
        <v>0</v>
      </c>
      <c r="R880" s="124">
        <v>0</v>
      </c>
      <c r="S880" s="123">
        <v>3.2223333333333328</v>
      </c>
      <c r="T880" s="124">
        <v>6.0295000000000032</v>
      </c>
      <c r="U880" s="123">
        <v>33.515666666666668</v>
      </c>
      <c r="V880" s="124">
        <v>19.225333333333332</v>
      </c>
      <c r="W880" s="123">
        <v>4.9096666666666673</v>
      </c>
      <c r="X880" s="124">
        <v>0</v>
      </c>
      <c r="Y880" s="123">
        <v>0</v>
      </c>
      <c r="Z880" s="124">
        <v>0</v>
      </c>
      <c r="AA880" s="123">
        <v>0</v>
      </c>
      <c r="AB880" s="124">
        <v>0</v>
      </c>
      <c r="AC880" s="238">
        <f t="shared" si="46"/>
        <v>66.902500000000003</v>
      </c>
      <c r="AD880" s="238"/>
      <c r="AE880" s="238"/>
    </row>
    <row r="881" spans="2:31" x14ac:dyDescent="0.3">
      <c r="B881" s="245" t="s">
        <v>93</v>
      </c>
      <c r="C881" s="245"/>
      <c r="D881" s="245"/>
      <c r="E881" s="123">
        <v>0</v>
      </c>
      <c r="F881" s="124">
        <v>0</v>
      </c>
      <c r="G881" s="123">
        <v>0</v>
      </c>
      <c r="H881" s="124">
        <v>0</v>
      </c>
      <c r="I881" s="123">
        <v>0</v>
      </c>
      <c r="J881" s="124">
        <v>0</v>
      </c>
      <c r="K881" s="123">
        <v>0</v>
      </c>
      <c r="L881" s="124">
        <v>0</v>
      </c>
      <c r="M881" s="123">
        <v>0</v>
      </c>
      <c r="N881" s="124">
        <v>0</v>
      </c>
      <c r="O881" s="123">
        <v>0</v>
      </c>
      <c r="P881" s="124">
        <v>0</v>
      </c>
      <c r="Q881" s="123">
        <v>0</v>
      </c>
      <c r="R881" s="124">
        <v>0</v>
      </c>
      <c r="S881" s="123">
        <v>0</v>
      </c>
      <c r="T881" s="124">
        <v>0</v>
      </c>
      <c r="U881" s="123">
        <v>0</v>
      </c>
      <c r="V881" s="124">
        <v>0.17583333333333304</v>
      </c>
      <c r="W881" s="123">
        <v>0</v>
      </c>
      <c r="X881" s="124">
        <v>0.2145</v>
      </c>
      <c r="Y881" s="123">
        <v>0</v>
      </c>
      <c r="Z881" s="124">
        <v>0</v>
      </c>
      <c r="AA881" s="123">
        <v>0</v>
      </c>
      <c r="AB881" s="124">
        <v>0</v>
      </c>
      <c r="AC881" s="238">
        <f>SUM(E881:AB881)</f>
        <v>0.39033333333333303</v>
      </c>
      <c r="AD881" s="238"/>
      <c r="AE881" s="238"/>
    </row>
    <row r="882" spans="2:31" x14ac:dyDescent="0.3">
      <c r="B882" s="14" t="s">
        <v>2</v>
      </c>
      <c r="C882" s="14"/>
      <c r="D882" s="14"/>
      <c r="E882" s="15">
        <f t="shared" ref="E882:AB882" si="47">SUM(E833:E881)</f>
        <v>0</v>
      </c>
      <c r="F882" s="15">
        <f t="shared" si="47"/>
        <v>0</v>
      </c>
      <c r="G882" s="15">
        <f t="shared" si="47"/>
        <v>0</v>
      </c>
      <c r="H882" s="15">
        <f t="shared" si="47"/>
        <v>0</v>
      </c>
      <c r="I882" s="15">
        <f t="shared" si="47"/>
        <v>0</v>
      </c>
      <c r="J882" s="15">
        <f t="shared" si="47"/>
        <v>0</v>
      </c>
      <c r="K882" s="15">
        <f t="shared" si="47"/>
        <v>0</v>
      </c>
      <c r="L882" s="15">
        <f t="shared" si="47"/>
        <v>0</v>
      </c>
      <c r="M882" s="15">
        <f t="shared" si="47"/>
        <v>0</v>
      </c>
      <c r="N882" s="15">
        <f t="shared" si="47"/>
        <v>0</v>
      </c>
      <c r="O882" s="15">
        <f t="shared" si="47"/>
        <v>3.5979999999999981</v>
      </c>
      <c r="P882" s="15">
        <f t="shared" si="47"/>
        <v>16.554333333333329</v>
      </c>
      <c r="Q882" s="15">
        <f t="shared" si="47"/>
        <v>41.349833333333351</v>
      </c>
      <c r="R882" s="15">
        <f t="shared" si="47"/>
        <v>59.387999999999991</v>
      </c>
      <c r="S882" s="15">
        <f t="shared" si="47"/>
        <v>158.7823333333333</v>
      </c>
      <c r="T882" s="15">
        <f t="shared" si="47"/>
        <v>217.09399999999999</v>
      </c>
      <c r="U882" s="15">
        <f t="shared" si="47"/>
        <v>189.02216666666664</v>
      </c>
      <c r="V882" s="15">
        <f t="shared" si="47"/>
        <v>159.2946666666667</v>
      </c>
      <c r="W882" s="15">
        <f t="shared" si="47"/>
        <v>79.679999999999993</v>
      </c>
      <c r="X882" s="15">
        <f t="shared" si="47"/>
        <v>0.74099999999999999</v>
      </c>
      <c r="Y882" s="15">
        <f t="shared" si="47"/>
        <v>0</v>
      </c>
      <c r="Z882" s="15">
        <f t="shared" si="47"/>
        <v>0</v>
      </c>
      <c r="AA882" s="15">
        <f t="shared" si="47"/>
        <v>0</v>
      </c>
      <c r="AB882" s="15">
        <f t="shared" si="47"/>
        <v>0</v>
      </c>
      <c r="AC882" s="249">
        <f>SUM(AC833:AE881)</f>
        <v>925.50433333333353</v>
      </c>
      <c r="AD882" s="249"/>
      <c r="AE882" s="249"/>
    </row>
    <row r="883" spans="2:31" x14ac:dyDescent="0.3">
      <c r="B883" s="16"/>
      <c r="C883" s="17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spans="2:31" x14ac:dyDescent="0.3">
      <c r="B884" s="16"/>
      <c r="C884" s="17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spans="2:31" x14ac:dyDescent="0.3">
      <c r="B885" s="8">
        <f>'Resumen-Mensual'!$U$22</f>
        <v>44578</v>
      </c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125"/>
      <c r="AD885" s="125"/>
      <c r="AE885" s="125"/>
    </row>
    <row r="886" spans="2:31" x14ac:dyDescent="0.3">
      <c r="B886" s="8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125"/>
      <c r="AD886" s="125"/>
      <c r="AE886" s="125"/>
    </row>
    <row r="887" spans="2:31" x14ac:dyDescent="0.3">
      <c r="B887" s="9" t="s">
        <v>81</v>
      </c>
      <c r="C887" s="10"/>
      <c r="D887" s="10"/>
      <c r="E887" s="11">
        <v>1</v>
      </c>
      <c r="F887" s="11">
        <v>2</v>
      </c>
      <c r="G887" s="11">
        <v>3</v>
      </c>
      <c r="H887" s="11">
        <v>4</v>
      </c>
      <c r="I887" s="11">
        <v>5</v>
      </c>
      <c r="J887" s="11">
        <v>6</v>
      </c>
      <c r="K887" s="11">
        <v>7</v>
      </c>
      <c r="L887" s="11">
        <v>8</v>
      </c>
      <c r="M887" s="11">
        <v>9</v>
      </c>
      <c r="N887" s="11">
        <v>10</v>
      </c>
      <c r="O887" s="11">
        <v>11</v>
      </c>
      <c r="P887" s="11">
        <v>12</v>
      </c>
      <c r="Q887" s="11">
        <v>13</v>
      </c>
      <c r="R887" s="11">
        <v>14</v>
      </c>
      <c r="S887" s="11">
        <v>15</v>
      </c>
      <c r="T887" s="11">
        <v>16</v>
      </c>
      <c r="U887" s="11">
        <v>17</v>
      </c>
      <c r="V887" s="11">
        <v>18</v>
      </c>
      <c r="W887" s="11">
        <v>19</v>
      </c>
      <c r="X887" s="11">
        <v>20</v>
      </c>
      <c r="Y887" s="11">
        <v>21</v>
      </c>
      <c r="Z887" s="11">
        <v>22</v>
      </c>
      <c r="AA887" s="11">
        <v>23</v>
      </c>
      <c r="AB887" s="11">
        <v>24</v>
      </c>
      <c r="AC887" s="248" t="s">
        <v>2</v>
      </c>
      <c r="AD887" s="248"/>
      <c r="AE887" s="248"/>
    </row>
    <row r="888" spans="2:31" x14ac:dyDescent="0.3">
      <c r="B888" s="245" t="s">
        <v>37</v>
      </c>
      <c r="C888" s="245"/>
      <c r="D888" s="245"/>
      <c r="E888" s="130">
        <v>0</v>
      </c>
      <c r="F888" s="131">
        <v>0</v>
      </c>
      <c r="G888" s="130">
        <v>0</v>
      </c>
      <c r="H888" s="131">
        <v>0</v>
      </c>
      <c r="I888" s="130">
        <v>0</v>
      </c>
      <c r="J888" s="131">
        <v>0</v>
      </c>
      <c r="K888" s="130">
        <v>0</v>
      </c>
      <c r="L888" s="131">
        <v>0</v>
      </c>
      <c r="M888" s="130">
        <v>0</v>
      </c>
      <c r="N888" s="131">
        <v>0</v>
      </c>
      <c r="O888" s="130">
        <v>0</v>
      </c>
      <c r="P888" s="131">
        <v>0</v>
      </c>
      <c r="Q888" s="130">
        <v>0</v>
      </c>
      <c r="R888" s="131">
        <v>0</v>
      </c>
      <c r="S888" s="130">
        <v>0</v>
      </c>
      <c r="T888" s="131">
        <v>0</v>
      </c>
      <c r="U888" s="130">
        <v>0</v>
      </c>
      <c r="V888" s="131">
        <v>2.4166666666666611E-2</v>
      </c>
      <c r="W888" s="130">
        <v>2.0000000000000018E-3</v>
      </c>
      <c r="X888" s="131">
        <v>0</v>
      </c>
      <c r="Y888" s="130">
        <v>0</v>
      </c>
      <c r="Z888" s="131">
        <v>0</v>
      </c>
      <c r="AA888" s="130">
        <v>0</v>
      </c>
      <c r="AB888" s="131">
        <v>0</v>
      </c>
      <c r="AC888" s="238">
        <f t="shared" ref="AC888:AC920" si="48">SUM(E888:AB888)</f>
        <v>2.6166666666666612E-2</v>
      </c>
      <c r="AD888" s="238"/>
      <c r="AE888" s="238"/>
    </row>
    <row r="889" spans="2:31" x14ac:dyDescent="0.3">
      <c r="B889" s="245" t="s">
        <v>38</v>
      </c>
      <c r="C889" s="245"/>
      <c r="D889" s="245"/>
      <c r="E889" s="130">
        <v>0</v>
      </c>
      <c r="F889" s="131">
        <v>0</v>
      </c>
      <c r="G889" s="130">
        <v>0</v>
      </c>
      <c r="H889" s="131">
        <v>0</v>
      </c>
      <c r="I889" s="130">
        <v>0</v>
      </c>
      <c r="J889" s="131">
        <v>0</v>
      </c>
      <c r="K889" s="130">
        <v>0</v>
      </c>
      <c r="L889" s="131">
        <v>0</v>
      </c>
      <c r="M889" s="130">
        <v>0</v>
      </c>
      <c r="N889" s="131">
        <v>0</v>
      </c>
      <c r="O889" s="130">
        <v>0</v>
      </c>
      <c r="P889" s="131">
        <v>0</v>
      </c>
      <c r="Q889" s="130">
        <v>0</v>
      </c>
      <c r="R889" s="131">
        <v>0</v>
      </c>
      <c r="S889" s="130">
        <v>0</v>
      </c>
      <c r="T889" s="131">
        <v>0</v>
      </c>
      <c r="U889" s="130">
        <v>0</v>
      </c>
      <c r="V889" s="131">
        <v>0</v>
      </c>
      <c r="W889" s="130">
        <v>0</v>
      </c>
      <c r="X889" s="131">
        <v>0</v>
      </c>
      <c r="Y889" s="130">
        <v>0</v>
      </c>
      <c r="Z889" s="131">
        <v>0</v>
      </c>
      <c r="AA889" s="130">
        <v>0</v>
      </c>
      <c r="AB889" s="131">
        <v>0</v>
      </c>
      <c r="AC889" s="238">
        <f t="shared" si="48"/>
        <v>0</v>
      </c>
      <c r="AD889" s="238"/>
      <c r="AE889" s="238"/>
    </row>
    <row r="890" spans="2:31" x14ac:dyDescent="0.3">
      <c r="B890" s="245" t="s">
        <v>39</v>
      </c>
      <c r="C890" s="245"/>
      <c r="D890" s="245"/>
      <c r="E890" s="130">
        <v>0</v>
      </c>
      <c r="F890" s="131">
        <v>0</v>
      </c>
      <c r="G890" s="130">
        <v>0</v>
      </c>
      <c r="H890" s="131">
        <v>0</v>
      </c>
      <c r="I890" s="130">
        <v>0</v>
      </c>
      <c r="J890" s="131">
        <v>0</v>
      </c>
      <c r="K890" s="130">
        <v>0</v>
      </c>
      <c r="L890" s="131">
        <v>0</v>
      </c>
      <c r="M890" s="130">
        <v>0</v>
      </c>
      <c r="N890" s="131">
        <v>0</v>
      </c>
      <c r="O890" s="130">
        <v>0</v>
      </c>
      <c r="P890" s="131">
        <v>0</v>
      </c>
      <c r="Q890" s="130">
        <v>0</v>
      </c>
      <c r="R890" s="131">
        <v>0</v>
      </c>
      <c r="S890" s="130">
        <v>0</v>
      </c>
      <c r="T890" s="131">
        <v>0</v>
      </c>
      <c r="U890" s="130">
        <v>4.6666666666666853E-3</v>
      </c>
      <c r="V890" s="131">
        <v>0.17683333333333343</v>
      </c>
      <c r="W890" s="130">
        <v>0.68733333333333346</v>
      </c>
      <c r="X890" s="131">
        <v>0</v>
      </c>
      <c r="Y890" s="130">
        <v>0</v>
      </c>
      <c r="Z890" s="131">
        <v>0</v>
      </c>
      <c r="AA890" s="130">
        <v>0</v>
      </c>
      <c r="AB890" s="131">
        <v>0</v>
      </c>
      <c r="AC890" s="238">
        <f t="shared" si="48"/>
        <v>0.86883333333333357</v>
      </c>
      <c r="AD890" s="238"/>
      <c r="AE890" s="238"/>
    </row>
    <row r="891" spans="2:31" x14ac:dyDescent="0.3">
      <c r="B891" s="245" t="s">
        <v>40</v>
      </c>
      <c r="C891" s="245"/>
      <c r="D891" s="245"/>
      <c r="E891" s="130">
        <v>0</v>
      </c>
      <c r="F891" s="131">
        <v>0</v>
      </c>
      <c r="G891" s="130">
        <v>0</v>
      </c>
      <c r="H891" s="131">
        <v>0</v>
      </c>
      <c r="I891" s="130">
        <v>0</v>
      </c>
      <c r="J891" s="131">
        <v>0</v>
      </c>
      <c r="K891" s="130">
        <v>0</v>
      </c>
      <c r="L891" s="131">
        <v>0</v>
      </c>
      <c r="M891" s="130">
        <v>0</v>
      </c>
      <c r="N891" s="131">
        <v>0</v>
      </c>
      <c r="O891" s="130">
        <v>0</v>
      </c>
      <c r="P891" s="131">
        <v>0</v>
      </c>
      <c r="Q891" s="130">
        <v>3.8500000000002407E-2</v>
      </c>
      <c r="R891" s="131">
        <v>1.0631666666666708</v>
      </c>
      <c r="S891" s="130">
        <v>2.4639999999999969</v>
      </c>
      <c r="T891" s="131">
        <v>2.1576666666666653</v>
      </c>
      <c r="U891" s="130">
        <v>0.65466666666666573</v>
      </c>
      <c r="V891" s="131">
        <v>0</v>
      </c>
      <c r="W891" s="130">
        <v>0</v>
      </c>
      <c r="X891" s="131">
        <v>0</v>
      </c>
      <c r="Y891" s="130">
        <v>0</v>
      </c>
      <c r="Z891" s="131">
        <v>0</v>
      </c>
      <c r="AA891" s="130">
        <v>0</v>
      </c>
      <c r="AB891" s="131">
        <v>0</v>
      </c>
      <c r="AC891" s="238">
        <f t="shared" si="48"/>
        <v>6.378000000000001</v>
      </c>
      <c r="AD891" s="238"/>
      <c r="AE891" s="238"/>
    </row>
    <row r="892" spans="2:31" x14ac:dyDescent="0.3">
      <c r="B892" s="245" t="s">
        <v>41</v>
      </c>
      <c r="C892" s="245"/>
      <c r="D892" s="245"/>
      <c r="E892" s="130">
        <v>0</v>
      </c>
      <c r="F892" s="131">
        <v>0</v>
      </c>
      <c r="G892" s="130">
        <v>0</v>
      </c>
      <c r="H892" s="131">
        <v>0</v>
      </c>
      <c r="I892" s="130">
        <v>0</v>
      </c>
      <c r="J892" s="131">
        <v>0</v>
      </c>
      <c r="K892" s="130">
        <v>0</v>
      </c>
      <c r="L892" s="131">
        <v>0</v>
      </c>
      <c r="M892" s="130">
        <v>0</v>
      </c>
      <c r="N892" s="131">
        <v>0</v>
      </c>
      <c r="O892" s="130">
        <v>0</v>
      </c>
      <c r="P892" s="131">
        <v>0</v>
      </c>
      <c r="Q892" s="130">
        <v>7.8013333333333286</v>
      </c>
      <c r="R892" s="131">
        <v>10.103499999999997</v>
      </c>
      <c r="S892" s="130">
        <v>0</v>
      </c>
      <c r="T892" s="131">
        <v>8.0583333333333318</v>
      </c>
      <c r="U892" s="130">
        <v>0</v>
      </c>
      <c r="V892" s="131">
        <v>3.1366666666666689</v>
      </c>
      <c r="W892" s="130">
        <v>3.5586666666666673</v>
      </c>
      <c r="X892" s="131">
        <v>0</v>
      </c>
      <c r="Y892" s="130">
        <v>0</v>
      </c>
      <c r="Z892" s="131">
        <v>0</v>
      </c>
      <c r="AA892" s="130">
        <v>0</v>
      </c>
      <c r="AB892" s="131">
        <v>0</v>
      </c>
      <c r="AC892" s="238">
        <f t="shared" si="48"/>
        <v>32.658499999999997</v>
      </c>
      <c r="AD892" s="238"/>
      <c r="AE892" s="238"/>
    </row>
    <row r="893" spans="2:31" x14ac:dyDescent="0.3">
      <c r="B893" s="245" t="s">
        <v>42</v>
      </c>
      <c r="C893" s="245"/>
      <c r="D893" s="245"/>
      <c r="E893" s="130">
        <v>0</v>
      </c>
      <c r="F893" s="131">
        <v>0</v>
      </c>
      <c r="G893" s="130">
        <v>0</v>
      </c>
      <c r="H893" s="131">
        <v>0</v>
      </c>
      <c r="I893" s="130">
        <v>0</v>
      </c>
      <c r="J893" s="131">
        <v>0</v>
      </c>
      <c r="K893" s="130">
        <v>0</v>
      </c>
      <c r="L893" s="131">
        <v>0</v>
      </c>
      <c r="M893" s="130">
        <v>0</v>
      </c>
      <c r="N893" s="131">
        <v>0</v>
      </c>
      <c r="O893" s="130">
        <v>0</v>
      </c>
      <c r="P893" s="131">
        <v>0</v>
      </c>
      <c r="Q893" s="130">
        <v>0</v>
      </c>
      <c r="R893" s="131">
        <v>0</v>
      </c>
      <c r="S893" s="130">
        <v>0</v>
      </c>
      <c r="T893" s="131">
        <v>2.1545000000000001</v>
      </c>
      <c r="U893" s="130">
        <v>0</v>
      </c>
      <c r="V893" s="131">
        <v>0</v>
      </c>
      <c r="W893" s="130">
        <v>0</v>
      </c>
      <c r="X893" s="131">
        <v>0</v>
      </c>
      <c r="Y893" s="130">
        <v>0</v>
      </c>
      <c r="Z893" s="131">
        <v>0</v>
      </c>
      <c r="AA893" s="130">
        <v>0</v>
      </c>
      <c r="AB893" s="131">
        <v>0</v>
      </c>
      <c r="AC893" s="238">
        <f t="shared" si="48"/>
        <v>2.1545000000000001</v>
      </c>
      <c r="AD893" s="238"/>
      <c r="AE893" s="238"/>
    </row>
    <row r="894" spans="2:31" x14ac:dyDescent="0.3">
      <c r="B894" s="245" t="s">
        <v>43</v>
      </c>
      <c r="C894" s="245"/>
      <c r="D894" s="245"/>
      <c r="E894" s="130">
        <v>0</v>
      </c>
      <c r="F894" s="131">
        <v>0</v>
      </c>
      <c r="G894" s="130">
        <v>0</v>
      </c>
      <c r="H894" s="131">
        <v>0</v>
      </c>
      <c r="I894" s="130">
        <v>0</v>
      </c>
      <c r="J894" s="131">
        <v>0</v>
      </c>
      <c r="K894" s="130">
        <v>0</v>
      </c>
      <c r="L894" s="131">
        <v>0</v>
      </c>
      <c r="M894" s="130">
        <v>0</v>
      </c>
      <c r="N894" s="131">
        <v>0</v>
      </c>
      <c r="O894" s="130">
        <v>0</v>
      </c>
      <c r="P894" s="131">
        <v>0</v>
      </c>
      <c r="Q894" s="130">
        <v>6.319666666666679</v>
      </c>
      <c r="R894" s="131">
        <v>6.8546666666666773</v>
      </c>
      <c r="S894" s="130">
        <v>0</v>
      </c>
      <c r="T894" s="131">
        <v>0</v>
      </c>
      <c r="U894" s="130">
        <v>0</v>
      </c>
      <c r="V894" s="131">
        <v>0</v>
      </c>
      <c r="W894" s="130">
        <v>2.3494999999999981</v>
      </c>
      <c r="X894" s="131">
        <v>0</v>
      </c>
      <c r="Y894" s="130">
        <v>0</v>
      </c>
      <c r="Z894" s="131">
        <v>0</v>
      </c>
      <c r="AA894" s="130">
        <v>0</v>
      </c>
      <c r="AB894" s="131">
        <v>0</v>
      </c>
      <c r="AC894" s="238">
        <f t="shared" si="48"/>
        <v>15.523833333333354</v>
      </c>
      <c r="AD894" s="238"/>
      <c r="AE894" s="238"/>
    </row>
    <row r="895" spans="2:31" x14ac:dyDescent="0.3">
      <c r="B895" s="245" t="s">
        <v>44</v>
      </c>
      <c r="C895" s="245"/>
      <c r="D895" s="245"/>
      <c r="E895" s="130">
        <v>0</v>
      </c>
      <c r="F895" s="131">
        <v>0</v>
      </c>
      <c r="G895" s="130">
        <v>0</v>
      </c>
      <c r="H895" s="131">
        <v>0</v>
      </c>
      <c r="I895" s="130">
        <v>0</v>
      </c>
      <c r="J895" s="131">
        <v>0</v>
      </c>
      <c r="K895" s="130">
        <v>0</v>
      </c>
      <c r="L895" s="131">
        <v>0</v>
      </c>
      <c r="M895" s="130">
        <v>0</v>
      </c>
      <c r="N895" s="131">
        <v>0</v>
      </c>
      <c r="O895" s="130">
        <v>0</v>
      </c>
      <c r="P895" s="131">
        <v>0</v>
      </c>
      <c r="Q895" s="130">
        <v>0</v>
      </c>
      <c r="R895" s="131">
        <v>0</v>
      </c>
      <c r="S895" s="130">
        <v>2.0666666666666344E-2</v>
      </c>
      <c r="T895" s="131">
        <v>0</v>
      </c>
      <c r="U895" s="130">
        <v>0</v>
      </c>
      <c r="V895" s="131">
        <v>0</v>
      </c>
      <c r="W895" s="130">
        <v>0</v>
      </c>
      <c r="X895" s="131">
        <v>0</v>
      </c>
      <c r="Y895" s="130">
        <v>0</v>
      </c>
      <c r="Z895" s="131">
        <v>0</v>
      </c>
      <c r="AA895" s="130">
        <v>0</v>
      </c>
      <c r="AB895" s="131">
        <v>0</v>
      </c>
      <c r="AC895" s="238">
        <f t="shared" si="48"/>
        <v>2.0666666666666344E-2</v>
      </c>
      <c r="AD895" s="238"/>
      <c r="AE895" s="238"/>
    </row>
    <row r="896" spans="2:31" x14ac:dyDescent="0.3">
      <c r="B896" s="245" t="s">
        <v>45</v>
      </c>
      <c r="C896" s="245"/>
      <c r="D896" s="245"/>
      <c r="E896" s="130">
        <v>0</v>
      </c>
      <c r="F896" s="131">
        <v>0</v>
      </c>
      <c r="G896" s="130">
        <v>0</v>
      </c>
      <c r="H896" s="131">
        <v>0</v>
      </c>
      <c r="I896" s="130">
        <v>0</v>
      </c>
      <c r="J896" s="131">
        <v>0</v>
      </c>
      <c r="K896" s="130">
        <v>0</v>
      </c>
      <c r="L896" s="131">
        <v>0</v>
      </c>
      <c r="M896" s="130">
        <v>0</v>
      </c>
      <c r="N896" s="131">
        <v>0</v>
      </c>
      <c r="O896" s="130">
        <v>0</v>
      </c>
      <c r="P896" s="131">
        <v>0</v>
      </c>
      <c r="Q896" s="130">
        <v>3.3050000000000019</v>
      </c>
      <c r="R896" s="131">
        <v>5.3228333333333318</v>
      </c>
      <c r="S896" s="130">
        <v>8.7676666666666687</v>
      </c>
      <c r="T896" s="131">
        <v>0</v>
      </c>
      <c r="U896" s="130">
        <v>20.586333333333322</v>
      </c>
      <c r="V896" s="131">
        <v>20.983166666666659</v>
      </c>
      <c r="W896" s="130">
        <v>0</v>
      </c>
      <c r="X896" s="131">
        <v>1.6446666666666656</v>
      </c>
      <c r="Y896" s="130">
        <v>7.1666666666666684E-2</v>
      </c>
      <c r="Z896" s="131">
        <v>0</v>
      </c>
      <c r="AA896" s="130">
        <v>0</v>
      </c>
      <c r="AB896" s="131">
        <v>0</v>
      </c>
      <c r="AC896" s="238">
        <f t="shared" si="48"/>
        <v>60.68133333333332</v>
      </c>
      <c r="AD896" s="238"/>
      <c r="AE896" s="238"/>
    </row>
    <row r="897" spans="2:31" x14ac:dyDescent="0.3">
      <c r="B897" s="245" t="s">
        <v>46</v>
      </c>
      <c r="C897" s="245"/>
      <c r="D897" s="245"/>
      <c r="E897" s="130">
        <v>0</v>
      </c>
      <c r="F897" s="131">
        <v>0</v>
      </c>
      <c r="G897" s="130">
        <v>0</v>
      </c>
      <c r="H897" s="131">
        <v>0</v>
      </c>
      <c r="I897" s="130">
        <v>0</v>
      </c>
      <c r="J897" s="131">
        <v>0</v>
      </c>
      <c r="K897" s="130">
        <v>0</v>
      </c>
      <c r="L897" s="131">
        <v>0</v>
      </c>
      <c r="M897" s="130">
        <v>0</v>
      </c>
      <c r="N897" s="131">
        <v>0</v>
      </c>
      <c r="O897" s="130">
        <v>0</v>
      </c>
      <c r="P897" s="131">
        <v>0</v>
      </c>
      <c r="Q897" s="130">
        <v>0</v>
      </c>
      <c r="R897" s="131">
        <v>0</v>
      </c>
      <c r="S897" s="130">
        <v>0</v>
      </c>
      <c r="T897" s="131">
        <v>0</v>
      </c>
      <c r="U897" s="130">
        <v>0</v>
      </c>
      <c r="V897" s="131">
        <v>3.704666666666669</v>
      </c>
      <c r="W897" s="130">
        <v>0</v>
      </c>
      <c r="X897" s="131">
        <v>1.0616666666666668</v>
      </c>
      <c r="Y897" s="130">
        <v>0.13333333333333339</v>
      </c>
      <c r="Z897" s="131">
        <v>0</v>
      </c>
      <c r="AA897" s="130">
        <v>0</v>
      </c>
      <c r="AB897" s="131">
        <v>0</v>
      </c>
      <c r="AC897" s="238">
        <f t="shared" si="48"/>
        <v>4.8996666666666693</v>
      </c>
      <c r="AD897" s="238"/>
      <c r="AE897" s="238"/>
    </row>
    <row r="898" spans="2:31" x14ac:dyDescent="0.3">
      <c r="B898" s="245" t="s">
        <v>47</v>
      </c>
      <c r="C898" s="245"/>
      <c r="D898" s="245"/>
      <c r="E898" s="130">
        <v>0</v>
      </c>
      <c r="F898" s="131">
        <v>0</v>
      </c>
      <c r="G898" s="130">
        <v>0</v>
      </c>
      <c r="H898" s="131">
        <v>0</v>
      </c>
      <c r="I898" s="130">
        <v>0</v>
      </c>
      <c r="J898" s="131">
        <v>0</v>
      </c>
      <c r="K898" s="130">
        <v>0</v>
      </c>
      <c r="L898" s="131">
        <v>0</v>
      </c>
      <c r="M898" s="130">
        <v>0</v>
      </c>
      <c r="N898" s="131">
        <v>0</v>
      </c>
      <c r="O898" s="130">
        <v>0</v>
      </c>
      <c r="P898" s="131">
        <v>0</v>
      </c>
      <c r="Q898" s="130">
        <v>8.3750000000000036</v>
      </c>
      <c r="R898" s="131">
        <v>12.826666666666659</v>
      </c>
      <c r="S898" s="130">
        <v>0</v>
      </c>
      <c r="T898" s="131">
        <v>22</v>
      </c>
      <c r="U898" s="130">
        <v>21.299999999999976</v>
      </c>
      <c r="V898" s="131">
        <v>14.583499999999985</v>
      </c>
      <c r="W898" s="130">
        <v>2.1374999999999975</v>
      </c>
      <c r="X898" s="131">
        <v>0.26816666666666661</v>
      </c>
      <c r="Y898" s="130">
        <v>6.3333333333333366E-2</v>
      </c>
      <c r="Z898" s="131">
        <v>0</v>
      </c>
      <c r="AA898" s="130">
        <v>0</v>
      </c>
      <c r="AB898" s="131">
        <v>0</v>
      </c>
      <c r="AC898" s="238">
        <f t="shared" si="48"/>
        <v>81.554166666666632</v>
      </c>
      <c r="AD898" s="238"/>
      <c r="AE898" s="238"/>
    </row>
    <row r="899" spans="2:31" x14ac:dyDescent="0.3">
      <c r="B899" s="245" t="s">
        <v>48</v>
      </c>
      <c r="C899" s="245"/>
      <c r="D899" s="245"/>
      <c r="E899" s="130">
        <v>0</v>
      </c>
      <c r="F899" s="131">
        <v>0</v>
      </c>
      <c r="G899" s="130">
        <v>0</v>
      </c>
      <c r="H899" s="131">
        <v>0</v>
      </c>
      <c r="I899" s="130">
        <v>0</v>
      </c>
      <c r="J899" s="131">
        <v>0</v>
      </c>
      <c r="K899" s="130">
        <v>0</v>
      </c>
      <c r="L899" s="131">
        <v>0</v>
      </c>
      <c r="M899" s="130">
        <v>0</v>
      </c>
      <c r="N899" s="131">
        <v>0</v>
      </c>
      <c r="O899" s="130">
        <v>0</v>
      </c>
      <c r="P899" s="131">
        <v>0</v>
      </c>
      <c r="Q899" s="130">
        <v>0</v>
      </c>
      <c r="R899" s="131">
        <v>0</v>
      </c>
      <c r="S899" s="130">
        <v>5.8166666666666672E-2</v>
      </c>
      <c r="T899" s="131">
        <v>0</v>
      </c>
      <c r="U899" s="130">
        <v>4.2018333333333322</v>
      </c>
      <c r="V899" s="131">
        <v>7.8493333333333322</v>
      </c>
      <c r="W899" s="130">
        <v>3.1500000000000035</v>
      </c>
      <c r="X899" s="131">
        <v>0.24850000000000005</v>
      </c>
      <c r="Y899" s="130">
        <v>7.0000000000000021E-2</v>
      </c>
      <c r="Z899" s="131">
        <v>0</v>
      </c>
      <c r="AA899" s="130">
        <v>0</v>
      </c>
      <c r="AB899" s="131">
        <v>0</v>
      </c>
      <c r="AC899" s="238">
        <f t="shared" si="48"/>
        <v>15.577833333333336</v>
      </c>
      <c r="AD899" s="238"/>
      <c r="AE899" s="238"/>
    </row>
    <row r="900" spans="2:31" x14ac:dyDescent="0.3">
      <c r="B900" s="245" t="s">
        <v>49</v>
      </c>
      <c r="C900" s="245"/>
      <c r="D900" s="245"/>
      <c r="E900" s="130">
        <v>0</v>
      </c>
      <c r="F900" s="131">
        <v>0</v>
      </c>
      <c r="G900" s="130">
        <v>0</v>
      </c>
      <c r="H900" s="131">
        <v>0</v>
      </c>
      <c r="I900" s="130">
        <v>0</v>
      </c>
      <c r="J900" s="131">
        <v>0</v>
      </c>
      <c r="K900" s="130">
        <v>0</v>
      </c>
      <c r="L900" s="131">
        <v>0</v>
      </c>
      <c r="M900" s="130">
        <v>0</v>
      </c>
      <c r="N900" s="131">
        <v>0</v>
      </c>
      <c r="O900" s="130">
        <v>0</v>
      </c>
      <c r="P900" s="131">
        <v>0</v>
      </c>
      <c r="Q900" s="130">
        <v>0</v>
      </c>
      <c r="R900" s="131">
        <v>0</v>
      </c>
      <c r="S900" s="130">
        <v>0</v>
      </c>
      <c r="T900" s="131">
        <v>0</v>
      </c>
      <c r="U900" s="130">
        <v>0</v>
      </c>
      <c r="V900" s="131">
        <v>0</v>
      </c>
      <c r="W900" s="130">
        <v>0</v>
      </c>
      <c r="X900" s="131">
        <v>0</v>
      </c>
      <c r="Y900" s="130">
        <v>0</v>
      </c>
      <c r="Z900" s="131">
        <v>0</v>
      </c>
      <c r="AA900" s="130">
        <v>0</v>
      </c>
      <c r="AB900" s="131">
        <v>0</v>
      </c>
      <c r="AC900" s="238">
        <f t="shared" si="48"/>
        <v>0</v>
      </c>
      <c r="AD900" s="238"/>
      <c r="AE900" s="238"/>
    </row>
    <row r="901" spans="2:31" x14ac:dyDescent="0.3">
      <c r="B901" s="245" t="s">
        <v>50</v>
      </c>
      <c r="C901" s="245"/>
      <c r="D901" s="245"/>
      <c r="E901" s="130">
        <v>0</v>
      </c>
      <c r="F901" s="131">
        <v>0</v>
      </c>
      <c r="G901" s="130">
        <v>0</v>
      </c>
      <c r="H901" s="131">
        <v>0</v>
      </c>
      <c r="I901" s="130">
        <v>0</v>
      </c>
      <c r="J901" s="131">
        <v>0</v>
      </c>
      <c r="K901" s="130">
        <v>0</v>
      </c>
      <c r="L901" s="131">
        <v>0</v>
      </c>
      <c r="M901" s="130">
        <v>0</v>
      </c>
      <c r="N901" s="131">
        <v>0</v>
      </c>
      <c r="O901" s="130">
        <v>0</v>
      </c>
      <c r="P901" s="131">
        <v>1.8770000000000033</v>
      </c>
      <c r="Q901" s="130">
        <v>0</v>
      </c>
      <c r="R901" s="131">
        <v>0</v>
      </c>
      <c r="S901" s="130">
        <v>3.7481666666666702</v>
      </c>
      <c r="T901" s="131">
        <v>4.8928333333333294</v>
      </c>
      <c r="U901" s="130">
        <v>3.8294999999999977</v>
      </c>
      <c r="V901" s="131">
        <v>0.89266666666666816</v>
      </c>
      <c r="W901" s="130">
        <v>0</v>
      </c>
      <c r="X901" s="131">
        <v>0</v>
      </c>
      <c r="Y901" s="130">
        <v>0</v>
      </c>
      <c r="Z901" s="131">
        <v>0</v>
      </c>
      <c r="AA901" s="130">
        <v>0</v>
      </c>
      <c r="AB901" s="131">
        <v>0</v>
      </c>
      <c r="AC901" s="238">
        <f t="shared" si="48"/>
        <v>15.240166666666671</v>
      </c>
      <c r="AD901" s="238"/>
      <c r="AE901" s="238"/>
    </row>
    <row r="902" spans="2:31" x14ac:dyDescent="0.3">
      <c r="B902" s="245" t="s">
        <v>97</v>
      </c>
      <c r="C902" s="245"/>
      <c r="D902" s="245"/>
      <c r="E902" s="130">
        <v>0</v>
      </c>
      <c r="F902" s="131">
        <v>0</v>
      </c>
      <c r="G902" s="130">
        <v>0</v>
      </c>
      <c r="H902" s="131">
        <v>0</v>
      </c>
      <c r="I902" s="130">
        <v>0</v>
      </c>
      <c r="J902" s="131">
        <v>0</v>
      </c>
      <c r="K902" s="130">
        <v>0</v>
      </c>
      <c r="L902" s="131">
        <v>0</v>
      </c>
      <c r="M902" s="130">
        <v>0</v>
      </c>
      <c r="N902" s="131">
        <v>0</v>
      </c>
      <c r="O902" s="130">
        <v>0</v>
      </c>
      <c r="P902" s="131">
        <v>0</v>
      </c>
      <c r="Q902" s="130">
        <v>0</v>
      </c>
      <c r="R902" s="131">
        <v>0</v>
      </c>
      <c r="S902" s="130">
        <v>0</v>
      </c>
      <c r="T902" s="131">
        <v>0</v>
      </c>
      <c r="U902" s="130">
        <v>0</v>
      </c>
      <c r="V902" s="131">
        <v>0</v>
      </c>
      <c r="W902" s="130">
        <v>0</v>
      </c>
      <c r="X902" s="131">
        <v>0</v>
      </c>
      <c r="Y902" s="130">
        <v>0</v>
      </c>
      <c r="Z902" s="131">
        <v>0</v>
      </c>
      <c r="AA902" s="130">
        <v>0</v>
      </c>
      <c r="AB902" s="131">
        <v>0</v>
      </c>
      <c r="AC902" s="238">
        <f t="shared" si="48"/>
        <v>0</v>
      </c>
      <c r="AD902" s="238"/>
      <c r="AE902" s="238"/>
    </row>
    <row r="903" spans="2:31" x14ac:dyDescent="0.3">
      <c r="B903" s="245" t="s">
        <v>51</v>
      </c>
      <c r="C903" s="245"/>
      <c r="D903" s="245"/>
      <c r="E903" s="130">
        <v>0</v>
      </c>
      <c r="F903" s="131">
        <v>0</v>
      </c>
      <c r="G903" s="130">
        <v>0</v>
      </c>
      <c r="H903" s="131">
        <v>0</v>
      </c>
      <c r="I903" s="130">
        <v>0</v>
      </c>
      <c r="J903" s="131">
        <v>0</v>
      </c>
      <c r="K903" s="130">
        <v>0</v>
      </c>
      <c r="L903" s="131">
        <v>0</v>
      </c>
      <c r="M903" s="130">
        <v>0</v>
      </c>
      <c r="N903" s="131">
        <v>0</v>
      </c>
      <c r="O903" s="130">
        <v>0</v>
      </c>
      <c r="P903" s="131">
        <v>0</v>
      </c>
      <c r="Q903" s="130">
        <v>2.8691666666666662</v>
      </c>
      <c r="R903" s="131">
        <v>3.0593333333333326</v>
      </c>
      <c r="S903" s="130">
        <v>6.5485000000000007</v>
      </c>
      <c r="T903" s="131">
        <v>6.6056666666666679</v>
      </c>
      <c r="U903" s="130">
        <v>8.4601666666666624</v>
      </c>
      <c r="V903" s="131">
        <v>4.335833333333337</v>
      </c>
      <c r="W903" s="130">
        <v>0</v>
      </c>
      <c r="X903" s="131">
        <v>0</v>
      </c>
      <c r="Y903" s="130">
        <v>0</v>
      </c>
      <c r="Z903" s="131">
        <v>0</v>
      </c>
      <c r="AA903" s="130">
        <v>0</v>
      </c>
      <c r="AB903" s="131">
        <v>0</v>
      </c>
      <c r="AC903" s="238">
        <f t="shared" si="48"/>
        <v>31.878666666666668</v>
      </c>
      <c r="AD903" s="238"/>
      <c r="AE903" s="238"/>
    </row>
    <row r="904" spans="2:31" x14ac:dyDescent="0.3">
      <c r="B904" s="245" t="s">
        <v>52</v>
      </c>
      <c r="C904" s="245"/>
      <c r="D904" s="245"/>
      <c r="E904" s="130">
        <v>0</v>
      </c>
      <c r="F904" s="131">
        <v>0</v>
      </c>
      <c r="G904" s="130">
        <v>0</v>
      </c>
      <c r="H904" s="131">
        <v>0</v>
      </c>
      <c r="I904" s="130">
        <v>0</v>
      </c>
      <c r="J904" s="131">
        <v>0</v>
      </c>
      <c r="K904" s="130">
        <v>0</v>
      </c>
      <c r="L904" s="131">
        <v>0</v>
      </c>
      <c r="M904" s="130">
        <v>0</v>
      </c>
      <c r="N904" s="131">
        <v>0</v>
      </c>
      <c r="O904" s="130">
        <v>0</v>
      </c>
      <c r="P904" s="131">
        <v>0</v>
      </c>
      <c r="Q904" s="130">
        <v>0</v>
      </c>
      <c r="R904" s="131">
        <v>0</v>
      </c>
      <c r="S904" s="130">
        <v>0</v>
      </c>
      <c r="T904" s="131">
        <v>0</v>
      </c>
      <c r="U904" s="130">
        <v>0</v>
      </c>
      <c r="V904" s="131">
        <v>0</v>
      </c>
      <c r="W904" s="130">
        <v>0</v>
      </c>
      <c r="X904" s="131">
        <v>0</v>
      </c>
      <c r="Y904" s="130">
        <v>0</v>
      </c>
      <c r="Z904" s="131">
        <v>0</v>
      </c>
      <c r="AA904" s="130">
        <v>0</v>
      </c>
      <c r="AB904" s="131">
        <v>0</v>
      </c>
      <c r="AC904" s="238">
        <f t="shared" si="48"/>
        <v>0</v>
      </c>
      <c r="AD904" s="238"/>
      <c r="AE904" s="238"/>
    </row>
    <row r="905" spans="2:31" x14ac:dyDescent="0.3">
      <c r="B905" s="245" t="s">
        <v>53</v>
      </c>
      <c r="C905" s="245"/>
      <c r="D905" s="245"/>
      <c r="E905" s="130">
        <v>0</v>
      </c>
      <c r="F905" s="131">
        <v>0</v>
      </c>
      <c r="G905" s="130">
        <v>0</v>
      </c>
      <c r="H905" s="131">
        <v>0</v>
      </c>
      <c r="I905" s="130">
        <v>0</v>
      </c>
      <c r="J905" s="131">
        <v>0</v>
      </c>
      <c r="K905" s="130">
        <v>0</v>
      </c>
      <c r="L905" s="131">
        <v>0</v>
      </c>
      <c r="M905" s="130">
        <v>0</v>
      </c>
      <c r="N905" s="131">
        <v>0</v>
      </c>
      <c r="O905" s="130">
        <v>0</v>
      </c>
      <c r="P905" s="131">
        <v>0</v>
      </c>
      <c r="Q905" s="130">
        <v>0</v>
      </c>
      <c r="R905" s="131">
        <v>0</v>
      </c>
      <c r="S905" s="130">
        <v>0</v>
      </c>
      <c r="T905" s="131">
        <v>0</v>
      </c>
      <c r="U905" s="130">
        <v>0</v>
      </c>
      <c r="V905" s="131">
        <v>0</v>
      </c>
      <c r="W905" s="130">
        <v>0</v>
      </c>
      <c r="X905" s="131">
        <v>0</v>
      </c>
      <c r="Y905" s="130">
        <v>0</v>
      </c>
      <c r="Z905" s="131">
        <v>0</v>
      </c>
      <c r="AA905" s="130">
        <v>0</v>
      </c>
      <c r="AB905" s="131">
        <v>0</v>
      </c>
      <c r="AC905" s="238">
        <f t="shared" si="48"/>
        <v>0</v>
      </c>
      <c r="AD905" s="238"/>
      <c r="AE905" s="238"/>
    </row>
    <row r="906" spans="2:31" x14ac:dyDescent="0.3">
      <c r="B906" s="245" t="s">
        <v>54</v>
      </c>
      <c r="C906" s="245"/>
      <c r="D906" s="245"/>
      <c r="E906" s="130">
        <v>0</v>
      </c>
      <c r="F906" s="131">
        <v>0</v>
      </c>
      <c r="G906" s="130">
        <v>0</v>
      </c>
      <c r="H906" s="131">
        <v>0</v>
      </c>
      <c r="I906" s="130">
        <v>0</v>
      </c>
      <c r="J906" s="131">
        <v>0</v>
      </c>
      <c r="K906" s="130">
        <v>0</v>
      </c>
      <c r="L906" s="131">
        <v>0</v>
      </c>
      <c r="M906" s="130">
        <v>0</v>
      </c>
      <c r="N906" s="131">
        <v>0</v>
      </c>
      <c r="O906" s="130">
        <v>0</v>
      </c>
      <c r="P906" s="131">
        <v>0</v>
      </c>
      <c r="Q906" s="130">
        <v>2.2314999999999983</v>
      </c>
      <c r="R906" s="131">
        <v>0.7858333333333346</v>
      </c>
      <c r="S906" s="130">
        <v>1.5490000000000057</v>
      </c>
      <c r="T906" s="131">
        <v>3.9641666666666726</v>
      </c>
      <c r="U906" s="130">
        <v>18.377333333333329</v>
      </c>
      <c r="V906" s="131">
        <v>15.337</v>
      </c>
      <c r="W906" s="130">
        <v>6.4828333333333328</v>
      </c>
      <c r="X906" s="131">
        <v>0</v>
      </c>
      <c r="Y906" s="130">
        <v>0</v>
      </c>
      <c r="Z906" s="131">
        <v>0</v>
      </c>
      <c r="AA906" s="130">
        <v>0</v>
      </c>
      <c r="AB906" s="131">
        <v>0</v>
      </c>
      <c r="AC906" s="238">
        <f t="shared" si="48"/>
        <v>48.727666666666671</v>
      </c>
      <c r="AD906" s="238"/>
      <c r="AE906" s="238"/>
    </row>
    <row r="907" spans="2:31" x14ac:dyDescent="0.3">
      <c r="B907" s="245" t="s">
        <v>55</v>
      </c>
      <c r="C907" s="245"/>
      <c r="D907" s="245"/>
      <c r="E907" s="130">
        <v>0</v>
      </c>
      <c r="F907" s="131">
        <v>0</v>
      </c>
      <c r="G907" s="130">
        <v>0</v>
      </c>
      <c r="H907" s="131">
        <v>0</v>
      </c>
      <c r="I907" s="130">
        <v>0</v>
      </c>
      <c r="J907" s="131">
        <v>0</v>
      </c>
      <c r="K907" s="130">
        <v>0</v>
      </c>
      <c r="L907" s="131">
        <v>0</v>
      </c>
      <c r="M907" s="130">
        <v>0</v>
      </c>
      <c r="N907" s="131">
        <v>0</v>
      </c>
      <c r="O907" s="130">
        <v>0</v>
      </c>
      <c r="P907" s="131">
        <v>0</v>
      </c>
      <c r="Q907" s="130">
        <v>0</v>
      </c>
      <c r="R907" s="131">
        <v>0</v>
      </c>
      <c r="S907" s="130">
        <v>0.18183333333333446</v>
      </c>
      <c r="T907" s="131">
        <v>0</v>
      </c>
      <c r="U907" s="130">
        <v>0.12799999999999728</v>
      </c>
      <c r="V907" s="131">
        <v>0</v>
      </c>
      <c r="W907" s="130">
        <v>0</v>
      </c>
      <c r="X907" s="131">
        <v>0</v>
      </c>
      <c r="Y907" s="130">
        <v>0</v>
      </c>
      <c r="Z907" s="131">
        <v>0</v>
      </c>
      <c r="AA907" s="130">
        <v>0</v>
      </c>
      <c r="AB907" s="131">
        <v>0</v>
      </c>
      <c r="AC907" s="238">
        <f t="shared" si="48"/>
        <v>0.30983333333333174</v>
      </c>
      <c r="AD907" s="238"/>
      <c r="AE907" s="238"/>
    </row>
    <row r="908" spans="2:31" x14ac:dyDescent="0.3">
      <c r="B908" s="245" t="s">
        <v>56</v>
      </c>
      <c r="C908" s="245"/>
      <c r="D908" s="245"/>
      <c r="E908" s="130">
        <v>0</v>
      </c>
      <c r="F908" s="131">
        <v>0</v>
      </c>
      <c r="G908" s="130">
        <v>0</v>
      </c>
      <c r="H908" s="131">
        <v>0</v>
      </c>
      <c r="I908" s="130">
        <v>0</v>
      </c>
      <c r="J908" s="131">
        <v>0</v>
      </c>
      <c r="K908" s="130">
        <v>0</v>
      </c>
      <c r="L908" s="131">
        <v>0</v>
      </c>
      <c r="M908" s="130">
        <v>0</v>
      </c>
      <c r="N908" s="131">
        <v>0</v>
      </c>
      <c r="O908" s="130">
        <v>0</v>
      </c>
      <c r="P908" s="131">
        <v>0</v>
      </c>
      <c r="Q908" s="130">
        <v>0</v>
      </c>
      <c r="R908" s="131">
        <v>0.5043333333333323</v>
      </c>
      <c r="S908" s="130">
        <v>2.4326666666666639</v>
      </c>
      <c r="T908" s="131">
        <v>2.1329999999999996</v>
      </c>
      <c r="U908" s="130">
        <v>1.6701666666666661</v>
      </c>
      <c r="V908" s="131">
        <v>0.64500000000000002</v>
      </c>
      <c r="W908" s="130">
        <v>1.2999999999999901E-2</v>
      </c>
      <c r="X908" s="131">
        <v>0</v>
      </c>
      <c r="Y908" s="130">
        <v>0</v>
      </c>
      <c r="Z908" s="131">
        <v>0</v>
      </c>
      <c r="AA908" s="130">
        <v>0</v>
      </c>
      <c r="AB908" s="131">
        <v>0</v>
      </c>
      <c r="AC908" s="238">
        <f t="shared" si="48"/>
        <v>7.3981666666666612</v>
      </c>
      <c r="AD908" s="238"/>
      <c r="AE908" s="238"/>
    </row>
    <row r="909" spans="2:31" x14ac:dyDescent="0.3">
      <c r="B909" s="245" t="s">
        <v>94</v>
      </c>
      <c r="C909" s="245"/>
      <c r="D909" s="245"/>
      <c r="E909" s="130">
        <v>0</v>
      </c>
      <c r="F909" s="131">
        <v>0</v>
      </c>
      <c r="G909" s="130">
        <v>0</v>
      </c>
      <c r="H909" s="131">
        <v>0</v>
      </c>
      <c r="I909" s="130">
        <v>0</v>
      </c>
      <c r="J909" s="131">
        <v>0</v>
      </c>
      <c r="K909" s="130">
        <v>0</v>
      </c>
      <c r="L909" s="131">
        <v>0</v>
      </c>
      <c r="M909" s="130">
        <v>0</v>
      </c>
      <c r="N909" s="131">
        <v>0</v>
      </c>
      <c r="O909" s="130">
        <v>0</v>
      </c>
      <c r="P909" s="131">
        <v>0</v>
      </c>
      <c r="Q909" s="130">
        <v>0</v>
      </c>
      <c r="R909" s="131">
        <v>0</v>
      </c>
      <c r="S909" s="130">
        <v>0</v>
      </c>
      <c r="T909" s="131">
        <v>0</v>
      </c>
      <c r="U909" s="130">
        <v>0</v>
      </c>
      <c r="V909" s="131">
        <v>0</v>
      </c>
      <c r="W909" s="130">
        <v>0</v>
      </c>
      <c r="X909" s="131">
        <v>0</v>
      </c>
      <c r="Y909" s="130">
        <v>0</v>
      </c>
      <c r="Z909" s="131">
        <v>0</v>
      </c>
      <c r="AA909" s="130">
        <v>0</v>
      </c>
      <c r="AB909" s="131">
        <v>0</v>
      </c>
      <c r="AC909" s="238">
        <f t="shared" si="48"/>
        <v>0</v>
      </c>
      <c r="AD909" s="238"/>
      <c r="AE909" s="238"/>
    </row>
    <row r="910" spans="2:31" x14ac:dyDescent="0.3">
      <c r="B910" s="245" t="s">
        <v>57</v>
      </c>
      <c r="C910" s="245"/>
      <c r="D910" s="245"/>
      <c r="E910" s="130">
        <v>0</v>
      </c>
      <c r="F910" s="131">
        <v>0</v>
      </c>
      <c r="G910" s="130">
        <v>0</v>
      </c>
      <c r="H910" s="131">
        <v>0</v>
      </c>
      <c r="I910" s="130">
        <v>0</v>
      </c>
      <c r="J910" s="131">
        <v>0</v>
      </c>
      <c r="K910" s="130">
        <v>0</v>
      </c>
      <c r="L910" s="131">
        <v>0</v>
      </c>
      <c r="M910" s="130">
        <v>0</v>
      </c>
      <c r="N910" s="131">
        <v>0</v>
      </c>
      <c r="O910" s="130">
        <v>0</v>
      </c>
      <c r="P910" s="131">
        <v>0</v>
      </c>
      <c r="Q910" s="130">
        <v>0.1445000000000001</v>
      </c>
      <c r="R910" s="131">
        <v>5.1923333333333348</v>
      </c>
      <c r="S910" s="130">
        <v>9.4856666666666722</v>
      </c>
      <c r="T910" s="131">
        <v>9.0881666666666661</v>
      </c>
      <c r="U910" s="130">
        <v>8.7845000000000102</v>
      </c>
      <c r="V910" s="131">
        <v>8.6796666666666695</v>
      </c>
      <c r="W910" s="130">
        <v>5.7831666666666655</v>
      </c>
      <c r="X910" s="131">
        <v>0</v>
      </c>
      <c r="Y910" s="130">
        <v>0</v>
      </c>
      <c r="Z910" s="131">
        <v>0</v>
      </c>
      <c r="AA910" s="130">
        <v>0</v>
      </c>
      <c r="AB910" s="131">
        <v>0</v>
      </c>
      <c r="AC910" s="238">
        <f t="shared" si="48"/>
        <v>47.158000000000015</v>
      </c>
      <c r="AD910" s="238"/>
      <c r="AE910" s="238"/>
    </row>
    <row r="911" spans="2:31" x14ac:dyDescent="0.3">
      <c r="B911" s="245" t="s">
        <v>58</v>
      </c>
      <c r="C911" s="245"/>
      <c r="D911" s="245"/>
      <c r="E911" s="130">
        <v>0</v>
      </c>
      <c r="F911" s="131">
        <v>0</v>
      </c>
      <c r="G911" s="130">
        <v>0</v>
      </c>
      <c r="H911" s="131">
        <v>0</v>
      </c>
      <c r="I911" s="130">
        <v>0</v>
      </c>
      <c r="J911" s="131">
        <v>0</v>
      </c>
      <c r="K911" s="130">
        <v>0</v>
      </c>
      <c r="L911" s="131">
        <v>0</v>
      </c>
      <c r="M911" s="130">
        <v>0</v>
      </c>
      <c r="N911" s="131">
        <v>0</v>
      </c>
      <c r="O911" s="130">
        <v>0</v>
      </c>
      <c r="P911" s="131">
        <v>0</v>
      </c>
      <c r="Q911" s="130">
        <v>0</v>
      </c>
      <c r="R911" s="131">
        <v>11.158000000000003</v>
      </c>
      <c r="S911" s="130">
        <v>5.7731666666666666</v>
      </c>
      <c r="T911" s="131">
        <v>0</v>
      </c>
      <c r="U911" s="130">
        <v>0</v>
      </c>
      <c r="V911" s="131">
        <v>0</v>
      </c>
      <c r="W911" s="130">
        <v>0</v>
      </c>
      <c r="X911" s="131">
        <v>0</v>
      </c>
      <c r="Y911" s="130">
        <v>0</v>
      </c>
      <c r="Z911" s="131">
        <v>0</v>
      </c>
      <c r="AA911" s="130">
        <v>0</v>
      </c>
      <c r="AB911" s="131">
        <v>0</v>
      </c>
      <c r="AC911" s="238">
        <f t="shared" si="48"/>
        <v>16.93116666666667</v>
      </c>
      <c r="AD911" s="238"/>
      <c r="AE911" s="238"/>
    </row>
    <row r="912" spans="2:31" x14ac:dyDescent="0.3">
      <c r="B912" s="245" t="s">
        <v>95</v>
      </c>
      <c r="C912" s="245"/>
      <c r="D912" s="245"/>
      <c r="E912" s="130">
        <v>0</v>
      </c>
      <c r="F912" s="131">
        <v>0</v>
      </c>
      <c r="G912" s="130">
        <v>0</v>
      </c>
      <c r="H912" s="131">
        <v>0</v>
      </c>
      <c r="I912" s="130">
        <v>0</v>
      </c>
      <c r="J912" s="131">
        <v>0</v>
      </c>
      <c r="K912" s="130">
        <v>0</v>
      </c>
      <c r="L912" s="131">
        <v>0</v>
      </c>
      <c r="M912" s="130">
        <v>0</v>
      </c>
      <c r="N912" s="131">
        <v>0</v>
      </c>
      <c r="O912" s="130">
        <v>0</v>
      </c>
      <c r="P912" s="131">
        <v>0</v>
      </c>
      <c r="Q912" s="130">
        <v>0</v>
      </c>
      <c r="R912" s="131">
        <v>0</v>
      </c>
      <c r="S912" s="130">
        <v>0</v>
      </c>
      <c r="T912" s="131">
        <v>0</v>
      </c>
      <c r="U912" s="130">
        <v>0</v>
      </c>
      <c r="V912" s="131">
        <v>0</v>
      </c>
      <c r="W912" s="130">
        <v>0</v>
      </c>
      <c r="X912" s="131">
        <v>0</v>
      </c>
      <c r="Y912" s="130">
        <v>0</v>
      </c>
      <c r="Z912" s="131">
        <v>0</v>
      </c>
      <c r="AA912" s="130">
        <v>0</v>
      </c>
      <c r="AB912" s="131">
        <v>0</v>
      </c>
      <c r="AC912" s="238">
        <f t="shared" si="48"/>
        <v>0</v>
      </c>
      <c r="AD912" s="238"/>
      <c r="AE912" s="238"/>
    </row>
    <row r="913" spans="2:31" x14ac:dyDescent="0.3">
      <c r="B913" s="245" t="s">
        <v>59</v>
      </c>
      <c r="C913" s="245"/>
      <c r="D913" s="245"/>
      <c r="E913" s="130">
        <v>0</v>
      </c>
      <c r="F913" s="131">
        <v>0</v>
      </c>
      <c r="G913" s="130">
        <v>0</v>
      </c>
      <c r="H913" s="131">
        <v>0</v>
      </c>
      <c r="I913" s="130">
        <v>0</v>
      </c>
      <c r="J913" s="131">
        <v>0</v>
      </c>
      <c r="K913" s="130">
        <v>0</v>
      </c>
      <c r="L913" s="131">
        <v>0</v>
      </c>
      <c r="M913" s="130">
        <v>0</v>
      </c>
      <c r="N913" s="131">
        <v>0</v>
      </c>
      <c r="O913" s="130">
        <v>0</v>
      </c>
      <c r="P913" s="131">
        <v>0</v>
      </c>
      <c r="Q913" s="130">
        <v>6.7543333333333324</v>
      </c>
      <c r="R913" s="131">
        <v>9.5861666666666672</v>
      </c>
      <c r="S913" s="130">
        <v>16.018166666666666</v>
      </c>
      <c r="T913" s="131">
        <v>15.624000000000006</v>
      </c>
      <c r="U913" s="130">
        <v>4.2046666666666628</v>
      </c>
      <c r="V913" s="131">
        <v>0</v>
      </c>
      <c r="W913" s="130">
        <v>0</v>
      </c>
      <c r="X913" s="131">
        <v>0</v>
      </c>
      <c r="Y913" s="130">
        <v>0</v>
      </c>
      <c r="Z913" s="131">
        <v>0</v>
      </c>
      <c r="AA913" s="130">
        <v>0</v>
      </c>
      <c r="AB913" s="131">
        <v>0</v>
      </c>
      <c r="AC913" s="238">
        <f t="shared" si="48"/>
        <v>52.187333333333335</v>
      </c>
      <c r="AD913" s="238"/>
      <c r="AE913" s="238"/>
    </row>
    <row r="914" spans="2:31" x14ac:dyDescent="0.3">
      <c r="B914" s="245" t="s">
        <v>60</v>
      </c>
      <c r="C914" s="245"/>
      <c r="D914" s="245"/>
      <c r="E914" s="130">
        <v>0</v>
      </c>
      <c r="F914" s="131">
        <v>0</v>
      </c>
      <c r="G914" s="130">
        <v>0</v>
      </c>
      <c r="H914" s="131">
        <v>0</v>
      </c>
      <c r="I914" s="130">
        <v>0</v>
      </c>
      <c r="J914" s="131">
        <v>0</v>
      </c>
      <c r="K914" s="130">
        <v>0</v>
      </c>
      <c r="L914" s="131">
        <v>0</v>
      </c>
      <c r="M914" s="130">
        <v>0</v>
      </c>
      <c r="N914" s="131">
        <v>0</v>
      </c>
      <c r="O914" s="130">
        <v>0</v>
      </c>
      <c r="P914" s="131">
        <v>0</v>
      </c>
      <c r="Q914" s="130">
        <v>0</v>
      </c>
      <c r="R914" s="131">
        <v>0</v>
      </c>
      <c r="S914" s="130">
        <v>0</v>
      </c>
      <c r="T914" s="131">
        <v>1.137166666666666</v>
      </c>
      <c r="U914" s="130">
        <v>3.1178333333333321</v>
      </c>
      <c r="V914" s="131">
        <v>2.5383333333333349</v>
      </c>
      <c r="W914" s="130">
        <v>4.2499999999999837E-2</v>
      </c>
      <c r="X914" s="131">
        <v>0</v>
      </c>
      <c r="Y914" s="130">
        <v>0</v>
      </c>
      <c r="Z914" s="131">
        <v>0</v>
      </c>
      <c r="AA914" s="130">
        <v>0</v>
      </c>
      <c r="AB914" s="131">
        <v>0</v>
      </c>
      <c r="AC914" s="238">
        <f t="shared" si="48"/>
        <v>6.8358333333333325</v>
      </c>
      <c r="AD914" s="238"/>
      <c r="AE914" s="238"/>
    </row>
    <row r="915" spans="2:31" x14ac:dyDescent="0.3">
      <c r="B915" s="245" t="s">
        <v>61</v>
      </c>
      <c r="C915" s="245"/>
      <c r="D915" s="245"/>
      <c r="E915" s="130">
        <v>0</v>
      </c>
      <c r="F915" s="131">
        <v>0</v>
      </c>
      <c r="G915" s="130">
        <v>0</v>
      </c>
      <c r="H915" s="131">
        <v>0</v>
      </c>
      <c r="I915" s="130">
        <v>0</v>
      </c>
      <c r="J915" s="131">
        <v>0</v>
      </c>
      <c r="K915" s="130">
        <v>0</v>
      </c>
      <c r="L915" s="131">
        <v>0</v>
      </c>
      <c r="M915" s="130">
        <v>0</v>
      </c>
      <c r="N915" s="131">
        <v>0</v>
      </c>
      <c r="O915" s="130">
        <v>0</v>
      </c>
      <c r="P915" s="131">
        <v>0</v>
      </c>
      <c r="Q915" s="130">
        <v>0</v>
      </c>
      <c r="R915" s="131">
        <v>0</v>
      </c>
      <c r="S915" s="130">
        <v>0</v>
      </c>
      <c r="T915" s="131">
        <v>0</v>
      </c>
      <c r="U915" s="130">
        <v>0</v>
      </c>
      <c r="V915" s="131">
        <v>0</v>
      </c>
      <c r="W915" s="130">
        <v>0.38283333333333308</v>
      </c>
      <c r="X915" s="131">
        <v>0</v>
      </c>
      <c r="Y915" s="130">
        <v>0</v>
      </c>
      <c r="Z915" s="131">
        <v>0</v>
      </c>
      <c r="AA915" s="130">
        <v>0</v>
      </c>
      <c r="AB915" s="131">
        <v>0</v>
      </c>
      <c r="AC915" s="238">
        <f t="shared" si="48"/>
        <v>0.38283333333333308</v>
      </c>
      <c r="AD915" s="238"/>
      <c r="AE915" s="238"/>
    </row>
    <row r="916" spans="2:31" x14ac:dyDescent="0.3">
      <c r="B916" s="245" t="s">
        <v>62</v>
      </c>
      <c r="C916" s="245"/>
      <c r="D916" s="245"/>
      <c r="E916" s="130">
        <v>0</v>
      </c>
      <c r="F916" s="131">
        <v>0</v>
      </c>
      <c r="G916" s="130">
        <v>0</v>
      </c>
      <c r="H916" s="131">
        <v>0</v>
      </c>
      <c r="I916" s="130">
        <v>0</v>
      </c>
      <c r="J916" s="131">
        <v>0</v>
      </c>
      <c r="K916" s="130">
        <v>0</v>
      </c>
      <c r="L916" s="131">
        <v>0</v>
      </c>
      <c r="M916" s="130">
        <v>0</v>
      </c>
      <c r="N916" s="131">
        <v>0</v>
      </c>
      <c r="O916" s="130">
        <v>0</v>
      </c>
      <c r="P916" s="131">
        <v>0</v>
      </c>
      <c r="Q916" s="130">
        <v>0</v>
      </c>
      <c r="R916" s="131">
        <v>0</v>
      </c>
      <c r="S916" s="130">
        <v>0</v>
      </c>
      <c r="T916" s="131">
        <v>0</v>
      </c>
      <c r="U916" s="130">
        <v>0</v>
      </c>
      <c r="V916" s="131">
        <v>0</v>
      </c>
      <c r="W916" s="130">
        <v>0</v>
      </c>
      <c r="X916" s="131">
        <v>0</v>
      </c>
      <c r="Y916" s="130">
        <v>0</v>
      </c>
      <c r="Z916" s="131">
        <v>0</v>
      </c>
      <c r="AA916" s="130">
        <v>0</v>
      </c>
      <c r="AB916" s="131">
        <v>0</v>
      </c>
      <c r="AC916" s="238">
        <f t="shared" si="48"/>
        <v>0</v>
      </c>
      <c r="AD916" s="238"/>
      <c r="AE916" s="238"/>
    </row>
    <row r="917" spans="2:31" x14ac:dyDescent="0.3">
      <c r="B917" s="245" t="s">
        <v>63</v>
      </c>
      <c r="C917" s="245"/>
      <c r="D917" s="245"/>
      <c r="E917" s="130">
        <v>0</v>
      </c>
      <c r="F917" s="131">
        <v>0</v>
      </c>
      <c r="G917" s="130">
        <v>0</v>
      </c>
      <c r="H917" s="131">
        <v>0</v>
      </c>
      <c r="I917" s="130">
        <v>0</v>
      </c>
      <c r="J917" s="131">
        <v>0</v>
      </c>
      <c r="K917" s="130">
        <v>0</v>
      </c>
      <c r="L917" s="131">
        <v>0</v>
      </c>
      <c r="M917" s="130">
        <v>0</v>
      </c>
      <c r="N917" s="131">
        <v>0</v>
      </c>
      <c r="O917" s="130">
        <v>0</v>
      </c>
      <c r="P917" s="131">
        <v>0</v>
      </c>
      <c r="Q917" s="130">
        <v>1.5065000000000022</v>
      </c>
      <c r="R917" s="131">
        <v>1.5288333333333313</v>
      </c>
      <c r="S917" s="130">
        <v>4.1863333333333408</v>
      </c>
      <c r="T917" s="131">
        <v>5.3288333333333409</v>
      </c>
      <c r="U917" s="130">
        <v>9.2521666666666693</v>
      </c>
      <c r="V917" s="131">
        <v>12.629666666666679</v>
      </c>
      <c r="W917" s="130">
        <v>4.79049999999999</v>
      </c>
      <c r="X917" s="131">
        <v>0</v>
      </c>
      <c r="Y917" s="130">
        <v>0</v>
      </c>
      <c r="Z917" s="131">
        <v>0</v>
      </c>
      <c r="AA917" s="130">
        <v>0</v>
      </c>
      <c r="AB917" s="131">
        <v>0</v>
      </c>
      <c r="AC917" s="238">
        <f t="shared" si="48"/>
        <v>39.222833333333348</v>
      </c>
      <c r="AD917" s="238"/>
      <c r="AE917" s="238"/>
    </row>
    <row r="918" spans="2:31" x14ac:dyDescent="0.3">
      <c r="B918" s="245" t="s">
        <v>64</v>
      </c>
      <c r="C918" s="245"/>
      <c r="D918" s="245"/>
      <c r="E918" s="130">
        <v>0</v>
      </c>
      <c r="F918" s="131">
        <v>0</v>
      </c>
      <c r="G918" s="130">
        <v>0</v>
      </c>
      <c r="H918" s="131">
        <v>0</v>
      </c>
      <c r="I918" s="130">
        <v>0</v>
      </c>
      <c r="J918" s="131">
        <v>0</v>
      </c>
      <c r="K918" s="130">
        <v>0</v>
      </c>
      <c r="L918" s="131">
        <v>0</v>
      </c>
      <c r="M918" s="130">
        <v>0</v>
      </c>
      <c r="N918" s="131">
        <v>0</v>
      </c>
      <c r="O918" s="130">
        <v>0</v>
      </c>
      <c r="P918" s="131">
        <v>0</v>
      </c>
      <c r="Q918" s="130">
        <v>0</v>
      </c>
      <c r="R918" s="131">
        <v>0</v>
      </c>
      <c r="S918" s="130">
        <v>0.82133333333333369</v>
      </c>
      <c r="T918" s="131">
        <v>0.74000000000000199</v>
      </c>
      <c r="U918" s="130">
        <v>0.68400000000000039</v>
      </c>
      <c r="V918" s="131">
        <v>0.2604999999999999</v>
      </c>
      <c r="W918" s="130">
        <v>1.5673333333333346</v>
      </c>
      <c r="X918" s="131">
        <v>0</v>
      </c>
      <c r="Y918" s="130">
        <v>0</v>
      </c>
      <c r="Z918" s="131">
        <v>0</v>
      </c>
      <c r="AA918" s="130">
        <v>0</v>
      </c>
      <c r="AB918" s="131">
        <v>0</v>
      </c>
      <c r="AC918" s="238">
        <f t="shared" si="48"/>
        <v>4.0731666666666708</v>
      </c>
      <c r="AD918" s="238"/>
      <c r="AE918" s="238"/>
    </row>
    <row r="919" spans="2:31" x14ac:dyDescent="0.3">
      <c r="B919" s="245" t="s">
        <v>96</v>
      </c>
      <c r="C919" s="245"/>
      <c r="D919" s="245"/>
      <c r="E919" s="130">
        <v>0</v>
      </c>
      <c r="F919" s="131">
        <v>0</v>
      </c>
      <c r="G919" s="130">
        <v>0</v>
      </c>
      <c r="H919" s="131">
        <v>0</v>
      </c>
      <c r="I919" s="130">
        <v>0</v>
      </c>
      <c r="J919" s="131">
        <v>0</v>
      </c>
      <c r="K919" s="130">
        <v>0</v>
      </c>
      <c r="L919" s="131">
        <v>0</v>
      </c>
      <c r="M919" s="130">
        <v>0</v>
      </c>
      <c r="N919" s="131">
        <v>0</v>
      </c>
      <c r="O919" s="130">
        <v>0</v>
      </c>
      <c r="P919" s="131">
        <v>0</v>
      </c>
      <c r="Q919" s="130">
        <v>0</v>
      </c>
      <c r="R919" s="131">
        <v>0</v>
      </c>
      <c r="S919" s="130">
        <v>0</v>
      </c>
      <c r="T919" s="131">
        <v>0</v>
      </c>
      <c r="U919" s="130">
        <v>0</v>
      </c>
      <c r="V919" s="131">
        <v>0</v>
      </c>
      <c r="W919" s="130">
        <v>0</v>
      </c>
      <c r="X919" s="131">
        <v>0</v>
      </c>
      <c r="Y919" s="130">
        <v>0</v>
      </c>
      <c r="Z919" s="131">
        <v>0</v>
      </c>
      <c r="AA919" s="130">
        <v>0</v>
      </c>
      <c r="AB919" s="131">
        <v>0</v>
      </c>
      <c r="AC919" s="238">
        <f t="shared" si="48"/>
        <v>0</v>
      </c>
      <c r="AD919" s="238"/>
      <c r="AE919" s="238"/>
    </row>
    <row r="920" spans="2:31" x14ac:dyDescent="0.3">
      <c r="B920" s="245" t="s">
        <v>65</v>
      </c>
      <c r="C920" s="245"/>
      <c r="D920" s="245"/>
      <c r="E920" s="130">
        <v>0</v>
      </c>
      <c r="F920" s="131">
        <v>0</v>
      </c>
      <c r="G920" s="130">
        <v>0</v>
      </c>
      <c r="H920" s="131">
        <v>0</v>
      </c>
      <c r="I920" s="130">
        <v>0</v>
      </c>
      <c r="J920" s="131">
        <v>0</v>
      </c>
      <c r="K920" s="130">
        <v>0</v>
      </c>
      <c r="L920" s="131">
        <v>0</v>
      </c>
      <c r="M920" s="130">
        <v>0</v>
      </c>
      <c r="N920" s="131">
        <v>0</v>
      </c>
      <c r="O920" s="130">
        <v>0</v>
      </c>
      <c r="P920" s="131">
        <v>0</v>
      </c>
      <c r="Q920" s="130">
        <v>0</v>
      </c>
      <c r="R920" s="131">
        <v>0</v>
      </c>
      <c r="S920" s="130">
        <v>0</v>
      </c>
      <c r="T920" s="131">
        <v>0</v>
      </c>
      <c r="U920" s="130">
        <v>1.6666666666669271E-4</v>
      </c>
      <c r="V920" s="131">
        <v>0</v>
      </c>
      <c r="W920" s="130">
        <v>0.71166666666666711</v>
      </c>
      <c r="X920" s="131">
        <v>0</v>
      </c>
      <c r="Y920" s="130">
        <v>0</v>
      </c>
      <c r="Z920" s="131">
        <v>0</v>
      </c>
      <c r="AA920" s="130">
        <v>0</v>
      </c>
      <c r="AB920" s="131">
        <v>0</v>
      </c>
      <c r="AC920" s="238">
        <f t="shared" si="48"/>
        <v>0.71183333333333376</v>
      </c>
      <c r="AD920" s="238"/>
      <c r="AE920" s="238"/>
    </row>
    <row r="921" spans="2:31" x14ac:dyDescent="0.3">
      <c r="B921" s="245" t="s">
        <v>66</v>
      </c>
      <c r="C921" s="245"/>
      <c r="D921" s="245"/>
      <c r="E921" s="130">
        <v>0</v>
      </c>
      <c r="F921" s="131">
        <v>0</v>
      </c>
      <c r="G921" s="130">
        <v>0</v>
      </c>
      <c r="H921" s="131">
        <v>0</v>
      </c>
      <c r="I921" s="130">
        <v>0</v>
      </c>
      <c r="J921" s="131">
        <v>0</v>
      </c>
      <c r="K921" s="130">
        <v>0</v>
      </c>
      <c r="L921" s="131">
        <v>0</v>
      </c>
      <c r="M921" s="130">
        <v>0</v>
      </c>
      <c r="N921" s="131">
        <v>0</v>
      </c>
      <c r="O921" s="130">
        <v>0</v>
      </c>
      <c r="P921" s="131">
        <v>0</v>
      </c>
      <c r="Q921" s="130">
        <v>0.79966666666666619</v>
      </c>
      <c r="R921" s="131">
        <v>5.2116666666666696</v>
      </c>
      <c r="S921" s="130">
        <v>9.3890000000000029</v>
      </c>
      <c r="T921" s="131">
        <v>10.254999999999992</v>
      </c>
      <c r="U921" s="130">
        <v>10.045833333333338</v>
      </c>
      <c r="V921" s="131">
        <v>8.7530000000000019</v>
      </c>
      <c r="W921" s="130">
        <v>2.1985000000000006</v>
      </c>
      <c r="X921" s="131">
        <v>0</v>
      </c>
      <c r="Y921" s="130">
        <v>0</v>
      </c>
      <c r="Z921" s="131">
        <v>0</v>
      </c>
      <c r="AA921" s="130">
        <v>0</v>
      </c>
      <c r="AB921" s="131">
        <v>0</v>
      </c>
      <c r="AC921" s="238">
        <f>SUM(E921:AB921)</f>
        <v>46.652666666666669</v>
      </c>
      <c r="AD921" s="238"/>
      <c r="AE921" s="238"/>
    </row>
    <row r="922" spans="2:31" x14ac:dyDescent="0.3">
      <c r="B922" s="245" t="s">
        <v>67</v>
      </c>
      <c r="C922" s="245"/>
      <c r="D922" s="245"/>
      <c r="E922" s="130">
        <v>0</v>
      </c>
      <c r="F922" s="131">
        <v>0</v>
      </c>
      <c r="G922" s="130">
        <v>0</v>
      </c>
      <c r="H922" s="131">
        <v>0</v>
      </c>
      <c r="I922" s="130">
        <v>0</v>
      </c>
      <c r="J922" s="131">
        <v>0</v>
      </c>
      <c r="K922" s="130">
        <v>0</v>
      </c>
      <c r="L922" s="131">
        <v>0</v>
      </c>
      <c r="M922" s="130">
        <v>0</v>
      </c>
      <c r="N922" s="131">
        <v>0</v>
      </c>
      <c r="O922" s="130">
        <v>0</v>
      </c>
      <c r="P922" s="131">
        <v>0</v>
      </c>
      <c r="Q922" s="130">
        <v>0</v>
      </c>
      <c r="R922" s="131">
        <v>0</v>
      </c>
      <c r="S922" s="130">
        <v>0</v>
      </c>
      <c r="T922" s="131">
        <v>0</v>
      </c>
      <c r="U922" s="130">
        <v>0.22016666666666704</v>
      </c>
      <c r="V922" s="131">
        <v>1.7539999999999989</v>
      </c>
      <c r="W922" s="130">
        <v>0</v>
      </c>
      <c r="X922" s="131">
        <v>0</v>
      </c>
      <c r="Y922" s="130">
        <v>0</v>
      </c>
      <c r="Z922" s="131">
        <v>0</v>
      </c>
      <c r="AA922" s="130">
        <v>0</v>
      </c>
      <c r="AB922" s="131">
        <v>0</v>
      </c>
      <c r="AC922" s="238">
        <f t="shared" ref="AC922:AC935" si="49">SUM(E922:AB922)</f>
        <v>1.974166666666666</v>
      </c>
      <c r="AD922" s="238"/>
      <c r="AE922" s="238"/>
    </row>
    <row r="923" spans="2:31" x14ac:dyDescent="0.3">
      <c r="B923" s="245" t="s">
        <v>68</v>
      </c>
      <c r="C923" s="245"/>
      <c r="D923" s="245"/>
      <c r="E923" s="130">
        <v>0</v>
      </c>
      <c r="F923" s="131">
        <v>0</v>
      </c>
      <c r="G923" s="130">
        <v>0</v>
      </c>
      <c r="H923" s="131">
        <v>0</v>
      </c>
      <c r="I923" s="130">
        <v>0</v>
      </c>
      <c r="J923" s="131">
        <v>0</v>
      </c>
      <c r="K923" s="130">
        <v>0</v>
      </c>
      <c r="L923" s="131">
        <v>0</v>
      </c>
      <c r="M923" s="130">
        <v>0</v>
      </c>
      <c r="N923" s="131">
        <v>0</v>
      </c>
      <c r="O923" s="130">
        <v>0</v>
      </c>
      <c r="P923" s="131">
        <v>0</v>
      </c>
      <c r="Q923" s="130">
        <v>2.5206666666666657</v>
      </c>
      <c r="R923" s="131">
        <v>1.6903333333333324</v>
      </c>
      <c r="S923" s="130">
        <v>3.6851666666666634</v>
      </c>
      <c r="T923" s="131">
        <v>7.2963333333333349</v>
      </c>
      <c r="U923" s="130">
        <v>13.000000000000004</v>
      </c>
      <c r="V923" s="131">
        <v>19.451166666666666</v>
      </c>
      <c r="W923" s="130">
        <v>20.153333333333329</v>
      </c>
      <c r="X923" s="131">
        <v>0.10083333333333334</v>
      </c>
      <c r="Y923" s="130">
        <v>0</v>
      </c>
      <c r="Z923" s="131">
        <v>0</v>
      </c>
      <c r="AA923" s="130">
        <v>0</v>
      </c>
      <c r="AB923" s="131">
        <v>0</v>
      </c>
      <c r="AC923" s="238">
        <f t="shared" si="49"/>
        <v>67.897833333333324</v>
      </c>
      <c r="AD923" s="238"/>
      <c r="AE923" s="238"/>
    </row>
    <row r="924" spans="2:31" x14ac:dyDescent="0.3">
      <c r="B924" s="245" t="s">
        <v>69</v>
      </c>
      <c r="C924" s="245"/>
      <c r="D924" s="245"/>
      <c r="E924" s="130">
        <v>0</v>
      </c>
      <c r="F924" s="131">
        <v>0</v>
      </c>
      <c r="G924" s="130">
        <v>0</v>
      </c>
      <c r="H924" s="131">
        <v>0</v>
      </c>
      <c r="I924" s="130">
        <v>0</v>
      </c>
      <c r="J924" s="131">
        <v>0</v>
      </c>
      <c r="K924" s="130">
        <v>0</v>
      </c>
      <c r="L924" s="131">
        <v>0</v>
      </c>
      <c r="M924" s="130">
        <v>0</v>
      </c>
      <c r="N924" s="131">
        <v>0</v>
      </c>
      <c r="O924" s="130">
        <v>0</v>
      </c>
      <c r="P924" s="131">
        <v>0</v>
      </c>
      <c r="Q924" s="130">
        <v>1.4873333333333327</v>
      </c>
      <c r="R924" s="131">
        <v>0.5006666666666687</v>
      </c>
      <c r="S924" s="130">
        <v>0.15500000000000067</v>
      </c>
      <c r="T924" s="131">
        <v>0</v>
      </c>
      <c r="U924" s="130">
        <v>0</v>
      </c>
      <c r="V924" s="131">
        <v>0</v>
      </c>
      <c r="W924" s="130">
        <v>0</v>
      </c>
      <c r="X924" s="131">
        <v>0</v>
      </c>
      <c r="Y924" s="130">
        <v>0</v>
      </c>
      <c r="Z924" s="131">
        <v>0</v>
      </c>
      <c r="AA924" s="130">
        <v>0</v>
      </c>
      <c r="AB924" s="131">
        <v>0</v>
      </c>
      <c r="AC924" s="238">
        <f t="shared" si="49"/>
        <v>2.143000000000002</v>
      </c>
      <c r="AD924" s="238"/>
      <c r="AE924" s="238"/>
    </row>
    <row r="925" spans="2:31" x14ac:dyDescent="0.3">
      <c r="B925" s="245" t="s">
        <v>70</v>
      </c>
      <c r="C925" s="245"/>
      <c r="D925" s="245"/>
      <c r="E925" s="130">
        <v>0</v>
      </c>
      <c r="F925" s="131">
        <v>0</v>
      </c>
      <c r="G925" s="130">
        <v>0</v>
      </c>
      <c r="H925" s="131">
        <v>0</v>
      </c>
      <c r="I925" s="130">
        <v>0</v>
      </c>
      <c r="J925" s="131">
        <v>0</v>
      </c>
      <c r="K925" s="130">
        <v>0</v>
      </c>
      <c r="L925" s="131">
        <v>0</v>
      </c>
      <c r="M925" s="130">
        <v>0</v>
      </c>
      <c r="N925" s="131">
        <v>0</v>
      </c>
      <c r="O925" s="130">
        <v>0</v>
      </c>
      <c r="P925" s="131">
        <v>0</v>
      </c>
      <c r="Q925" s="130">
        <v>0</v>
      </c>
      <c r="R925" s="131">
        <v>0</v>
      </c>
      <c r="S925" s="130">
        <v>0</v>
      </c>
      <c r="T925" s="131">
        <v>0</v>
      </c>
      <c r="U925" s="130">
        <v>0</v>
      </c>
      <c r="V925" s="131">
        <v>0</v>
      </c>
      <c r="W925" s="130">
        <v>6.639833333333339</v>
      </c>
      <c r="X925" s="131">
        <v>0</v>
      </c>
      <c r="Y925" s="130">
        <v>0</v>
      </c>
      <c r="Z925" s="131">
        <v>0</v>
      </c>
      <c r="AA925" s="130">
        <v>0</v>
      </c>
      <c r="AB925" s="131">
        <v>0</v>
      </c>
      <c r="AC925" s="238">
        <f t="shared" si="49"/>
        <v>6.639833333333339</v>
      </c>
      <c r="AD925" s="238"/>
      <c r="AE925" s="238"/>
    </row>
    <row r="926" spans="2:31" x14ac:dyDescent="0.3">
      <c r="B926" s="245" t="s">
        <v>71</v>
      </c>
      <c r="C926" s="245"/>
      <c r="D926" s="245"/>
      <c r="E926" s="130">
        <v>0</v>
      </c>
      <c r="F926" s="131">
        <v>0</v>
      </c>
      <c r="G926" s="130">
        <v>0</v>
      </c>
      <c r="H926" s="131">
        <v>0</v>
      </c>
      <c r="I926" s="130">
        <v>0</v>
      </c>
      <c r="J926" s="131">
        <v>0</v>
      </c>
      <c r="K926" s="130">
        <v>0</v>
      </c>
      <c r="L926" s="131">
        <v>0</v>
      </c>
      <c r="M926" s="130">
        <v>0</v>
      </c>
      <c r="N926" s="131">
        <v>0</v>
      </c>
      <c r="O926" s="130">
        <v>0</v>
      </c>
      <c r="P926" s="131">
        <v>0</v>
      </c>
      <c r="Q926" s="130">
        <v>0</v>
      </c>
      <c r="R926" s="131">
        <v>0</v>
      </c>
      <c r="S926" s="130">
        <v>0</v>
      </c>
      <c r="T926" s="131">
        <v>0</v>
      </c>
      <c r="U926" s="130">
        <v>0</v>
      </c>
      <c r="V926" s="131">
        <v>0</v>
      </c>
      <c r="W926" s="130">
        <v>0</v>
      </c>
      <c r="X926" s="131">
        <v>0</v>
      </c>
      <c r="Y926" s="130">
        <v>0</v>
      </c>
      <c r="Z926" s="131">
        <v>0</v>
      </c>
      <c r="AA926" s="130">
        <v>0</v>
      </c>
      <c r="AB926" s="131">
        <v>0</v>
      </c>
      <c r="AC926" s="238">
        <f t="shared" si="49"/>
        <v>0</v>
      </c>
      <c r="AD926" s="238"/>
      <c r="AE926" s="238"/>
    </row>
    <row r="927" spans="2:31" x14ac:dyDescent="0.3">
      <c r="B927" s="245" t="s">
        <v>72</v>
      </c>
      <c r="C927" s="245"/>
      <c r="D927" s="245"/>
      <c r="E927" s="130">
        <v>0</v>
      </c>
      <c r="F927" s="131">
        <v>0</v>
      </c>
      <c r="G927" s="130">
        <v>0</v>
      </c>
      <c r="H927" s="131">
        <v>0</v>
      </c>
      <c r="I927" s="130">
        <v>0</v>
      </c>
      <c r="J927" s="131">
        <v>0</v>
      </c>
      <c r="K927" s="130">
        <v>0</v>
      </c>
      <c r="L927" s="131">
        <v>0</v>
      </c>
      <c r="M927" s="130">
        <v>0</v>
      </c>
      <c r="N927" s="131">
        <v>0</v>
      </c>
      <c r="O927" s="130">
        <v>0</v>
      </c>
      <c r="P927" s="131">
        <v>0</v>
      </c>
      <c r="Q927" s="130">
        <v>0</v>
      </c>
      <c r="R927" s="131">
        <v>0</v>
      </c>
      <c r="S927" s="130">
        <v>1.4833333333332987E-2</v>
      </c>
      <c r="T927" s="131">
        <v>0</v>
      </c>
      <c r="U927" s="130">
        <v>1.5281666666666671</v>
      </c>
      <c r="V927" s="131">
        <v>1.6468333333333371</v>
      </c>
      <c r="W927" s="130">
        <v>0</v>
      </c>
      <c r="X927" s="131">
        <v>0</v>
      </c>
      <c r="Y927" s="130">
        <v>0</v>
      </c>
      <c r="Z927" s="131">
        <v>0</v>
      </c>
      <c r="AA927" s="130">
        <v>0</v>
      </c>
      <c r="AB927" s="131">
        <v>0</v>
      </c>
      <c r="AC927" s="238">
        <f t="shared" si="49"/>
        <v>3.1898333333333371</v>
      </c>
      <c r="AD927" s="238"/>
      <c r="AE927" s="238"/>
    </row>
    <row r="928" spans="2:31" x14ac:dyDescent="0.3">
      <c r="B928" s="245" t="s">
        <v>73</v>
      </c>
      <c r="C928" s="245"/>
      <c r="D928" s="245"/>
      <c r="E928" s="130">
        <v>0</v>
      </c>
      <c r="F928" s="131">
        <v>0</v>
      </c>
      <c r="G928" s="130">
        <v>0</v>
      </c>
      <c r="H928" s="131">
        <v>0</v>
      </c>
      <c r="I928" s="130">
        <v>0</v>
      </c>
      <c r="J928" s="131">
        <v>0</v>
      </c>
      <c r="K928" s="130">
        <v>0</v>
      </c>
      <c r="L928" s="131">
        <v>0</v>
      </c>
      <c r="M928" s="130">
        <v>0</v>
      </c>
      <c r="N928" s="131">
        <v>0</v>
      </c>
      <c r="O928" s="130">
        <v>0</v>
      </c>
      <c r="P928" s="131">
        <v>0</v>
      </c>
      <c r="Q928" s="130">
        <v>2.277166666666667</v>
      </c>
      <c r="R928" s="131">
        <v>56.247166666666644</v>
      </c>
      <c r="S928" s="130">
        <v>5.1639999999999988</v>
      </c>
      <c r="T928" s="131">
        <v>4.9395000000000007</v>
      </c>
      <c r="U928" s="130">
        <v>10.008166666666664</v>
      </c>
      <c r="V928" s="131">
        <v>5.8928333333333338</v>
      </c>
      <c r="W928" s="130">
        <v>2.7271666666666667</v>
      </c>
      <c r="X928" s="131">
        <v>0</v>
      </c>
      <c r="Y928" s="130">
        <v>0</v>
      </c>
      <c r="Z928" s="131">
        <v>0</v>
      </c>
      <c r="AA928" s="130">
        <v>0</v>
      </c>
      <c r="AB928" s="131">
        <v>0</v>
      </c>
      <c r="AC928" s="238">
        <f t="shared" si="49"/>
        <v>87.255999999999972</v>
      </c>
      <c r="AD928" s="238"/>
      <c r="AE928" s="238"/>
    </row>
    <row r="929" spans="2:31" x14ac:dyDescent="0.3">
      <c r="B929" s="245" t="s">
        <v>74</v>
      </c>
      <c r="C929" s="245"/>
      <c r="D929" s="245"/>
      <c r="E929" s="130">
        <v>0</v>
      </c>
      <c r="F929" s="131">
        <v>0</v>
      </c>
      <c r="G929" s="130">
        <v>0</v>
      </c>
      <c r="H929" s="131">
        <v>0</v>
      </c>
      <c r="I929" s="130">
        <v>0</v>
      </c>
      <c r="J929" s="131">
        <v>0</v>
      </c>
      <c r="K929" s="130">
        <v>0</v>
      </c>
      <c r="L929" s="131">
        <v>0</v>
      </c>
      <c r="M929" s="130">
        <v>0</v>
      </c>
      <c r="N929" s="131">
        <v>0</v>
      </c>
      <c r="O929" s="130">
        <v>0</v>
      </c>
      <c r="P929" s="131">
        <v>0</v>
      </c>
      <c r="Q929" s="130">
        <v>3.3333333333333277E-2</v>
      </c>
      <c r="R929" s="131">
        <v>0.2185</v>
      </c>
      <c r="S929" s="130">
        <v>1.0654999999999992</v>
      </c>
      <c r="T929" s="131">
        <v>1.5853333333333333</v>
      </c>
      <c r="U929" s="130">
        <v>1.1358333333333337</v>
      </c>
      <c r="V929" s="131">
        <v>1.3199999999999998</v>
      </c>
      <c r="W929" s="130">
        <v>0.95916666666666683</v>
      </c>
      <c r="X929" s="131">
        <v>0</v>
      </c>
      <c r="Y929" s="130">
        <v>0</v>
      </c>
      <c r="Z929" s="131">
        <v>0</v>
      </c>
      <c r="AA929" s="130">
        <v>0</v>
      </c>
      <c r="AB929" s="131">
        <v>0</v>
      </c>
      <c r="AC929" s="238">
        <f t="shared" si="49"/>
        <v>6.3176666666666659</v>
      </c>
      <c r="AD929" s="238"/>
      <c r="AE929" s="238"/>
    </row>
    <row r="930" spans="2:31" x14ac:dyDescent="0.3">
      <c r="B930" s="245" t="s">
        <v>75</v>
      </c>
      <c r="C930" s="245"/>
      <c r="D930" s="245"/>
      <c r="E930" s="130">
        <v>0</v>
      </c>
      <c r="F930" s="131">
        <v>0</v>
      </c>
      <c r="G930" s="130">
        <v>0</v>
      </c>
      <c r="H930" s="131">
        <v>0</v>
      </c>
      <c r="I930" s="130">
        <v>0</v>
      </c>
      <c r="J930" s="131">
        <v>0</v>
      </c>
      <c r="K930" s="130">
        <v>0</v>
      </c>
      <c r="L930" s="131">
        <v>0</v>
      </c>
      <c r="M930" s="130">
        <v>0</v>
      </c>
      <c r="N930" s="131">
        <v>0</v>
      </c>
      <c r="O930" s="130">
        <v>0</v>
      </c>
      <c r="P930" s="131">
        <v>0</v>
      </c>
      <c r="Q930" s="130">
        <v>1.8343333333333338</v>
      </c>
      <c r="R930" s="131">
        <v>7.4581666666666617</v>
      </c>
      <c r="S930" s="130">
        <v>21.998833333333316</v>
      </c>
      <c r="T930" s="131">
        <v>7.3346666666666813</v>
      </c>
      <c r="U930" s="130">
        <v>2.8563333333333287</v>
      </c>
      <c r="V930" s="131">
        <v>0</v>
      </c>
      <c r="W930" s="130">
        <v>7.0346666666666673</v>
      </c>
      <c r="X930" s="131">
        <v>0</v>
      </c>
      <c r="Y930" s="130">
        <v>0</v>
      </c>
      <c r="Z930" s="131">
        <v>0</v>
      </c>
      <c r="AA930" s="130">
        <v>0</v>
      </c>
      <c r="AB930" s="131">
        <v>0</v>
      </c>
      <c r="AC930" s="238">
        <f t="shared" si="49"/>
        <v>48.516999999999989</v>
      </c>
      <c r="AD930" s="238"/>
      <c r="AE930" s="238"/>
    </row>
    <row r="931" spans="2:31" x14ac:dyDescent="0.3">
      <c r="B931" s="245" t="s">
        <v>76</v>
      </c>
      <c r="C931" s="245"/>
      <c r="D931" s="245"/>
      <c r="E931" s="130">
        <v>0</v>
      </c>
      <c r="F931" s="131">
        <v>0</v>
      </c>
      <c r="G931" s="130">
        <v>0</v>
      </c>
      <c r="H931" s="131">
        <v>0</v>
      </c>
      <c r="I931" s="130">
        <v>0</v>
      </c>
      <c r="J931" s="131">
        <v>0</v>
      </c>
      <c r="K931" s="130">
        <v>0</v>
      </c>
      <c r="L931" s="131">
        <v>0</v>
      </c>
      <c r="M931" s="130">
        <v>0</v>
      </c>
      <c r="N931" s="131">
        <v>0</v>
      </c>
      <c r="O931" s="130">
        <v>0</v>
      </c>
      <c r="P931" s="131">
        <v>0</v>
      </c>
      <c r="Q931" s="130">
        <v>0</v>
      </c>
      <c r="R931" s="131">
        <v>0</v>
      </c>
      <c r="S931" s="130">
        <v>0</v>
      </c>
      <c r="T931" s="131">
        <v>0.2505000000000005</v>
      </c>
      <c r="U931" s="130">
        <v>0</v>
      </c>
      <c r="V931" s="131">
        <v>0</v>
      </c>
      <c r="W931" s="130">
        <v>0</v>
      </c>
      <c r="X931" s="131">
        <v>0</v>
      </c>
      <c r="Y931" s="130">
        <v>0</v>
      </c>
      <c r="Z931" s="131">
        <v>0</v>
      </c>
      <c r="AA931" s="130">
        <v>0</v>
      </c>
      <c r="AB931" s="131">
        <v>0</v>
      </c>
      <c r="AC931" s="238">
        <f t="shared" si="49"/>
        <v>0.2505000000000005</v>
      </c>
      <c r="AD931" s="238"/>
      <c r="AE931" s="238"/>
    </row>
    <row r="932" spans="2:31" x14ac:dyDescent="0.3">
      <c r="B932" s="245" t="s">
        <v>77</v>
      </c>
      <c r="C932" s="245"/>
      <c r="D932" s="245"/>
      <c r="E932" s="130">
        <v>0</v>
      </c>
      <c r="F932" s="131">
        <v>0</v>
      </c>
      <c r="G932" s="130">
        <v>0</v>
      </c>
      <c r="H932" s="131">
        <v>0</v>
      </c>
      <c r="I932" s="130">
        <v>0</v>
      </c>
      <c r="J932" s="131">
        <v>0</v>
      </c>
      <c r="K932" s="130">
        <v>0</v>
      </c>
      <c r="L932" s="131">
        <v>0</v>
      </c>
      <c r="M932" s="130">
        <v>0</v>
      </c>
      <c r="N932" s="131">
        <v>0</v>
      </c>
      <c r="O932" s="130">
        <v>0</v>
      </c>
      <c r="P932" s="131">
        <v>0</v>
      </c>
      <c r="Q932" s="130">
        <v>0.47749999999999987</v>
      </c>
      <c r="R932" s="131">
        <v>1.0446666666666671</v>
      </c>
      <c r="S932" s="130">
        <v>4.1418333333333353</v>
      </c>
      <c r="T932" s="131">
        <v>3.9036666666666631</v>
      </c>
      <c r="U932" s="130">
        <v>0</v>
      </c>
      <c r="V932" s="131">
        <v>4.8660000000000023</v>
      </c>
      <c r="W932" s="130">
        <v>2.2350000000000008</v>
      </c>
      <c r="X932" s="131">
        <v>0</v>
      </c>
      <c r="Y932" s="130">
        <v>0</v>
      </c>
      <c r="Z932" s="131">
        <v>0</v>
      </c>
      <c r="AA932" s="130">
        <v>0</v>
      </c>
      <c r="AB932" s="131">
        <v>0</v>
      </c>
      <c r="AC932" s="238">
        <f t="shared" si="49"/>
        <v>16.668666666666667</v>
      </c>
      <c r="AD932" s="238"/>
      <c r="AE932" s="238"/>
    </row>
    <row r="933" spans="2:31" x14ac:dyDescent="0.3">
      <c r="B933" s="245" t="s">
        <v>78</v>
      </c>
      <c r="C933" s="245"/>
      <c r="D933" s="245"/>
      <c r="E933" s="130">
        <v>0</v>
      </c>
      <c r="F933" s="131">
        <v>0</v>
      </c>
      <c r="G933" s="130">
        <v>0</v>
      </c>
      <c r="H933" s="131">
        <v>0</v>
      </c>
      <c r="I933" s="130">
        <v>0</v>
      </c>
      <c r="J933" s="131">
        <v>0</v>
      </c>
      <c r="K933" s="130">
        <v>0</v>
      </c>
      <c r="L933" s="131">
        <v>0</v>
      </c>
      <c r="M933" s="130">
        <v>0</v>
      </c>
      <c r="N933" s="131">
        <v>0</v>
      </c>
      <c r="O933" s="130">
        <v>0</v>
      </c>
      <c r="P933" s="131">
        <v>0</v>
      </c>
      <c r="Q933" s="130">
        <v>0</v>
      </c>
      <c r="R933" s="131">
        <v>6.6784999999999934</v>
      </c>
      <c r="S933" s="130">
        <v>11.230000000000009</v>
      </c>
      <c r="T933" s="131">
        <v>9.2300000000000075</v>
      </c>
      <c r="U933" s="130">
        <v>1.2080000000000004</v>
      </c>
      <c r="V933" s="131">
        <v>0</v>
      </c>
      <c r="W933" s="130">
        <v>0</v>
      </c>
      <c r="X933" s="131">
        <v>0</v>
      </c>
      <c r="Y933" s="130">
        <v>0</v>
      </c>
      <c r="Z933" s="131">
        <v>0</v>
      </c>
      <c r="AA933" s="130">
        <v>0</v>
      </c>
      <c r="AB933" s="131">
        <v>0</v>
      </c>
      <c r="AC933" s="238">
        <f t="shared" si="49"/>
        <v>28.346500000000013</v>
      </c>
      <c r="AD933" s="238"/>
      <c r="AE933" s="238"/>
    </row>
    <row r="934" spans="2:31" x14ac:dyDescent="0.3">
      <c r="B934" s="245" t="s">
        <v>79</v>
      </c>
      <c r="C934" s="245"/>
      <c r="D934" s="245"/>
      <c r="E934" s="130">
        <v>0</v>
      </c>
      <c r="F934" s="131">
        <v>0</v>
      </c>
      <c r="G934" s="130">
        <v>0</v>
      </c>
      <c r="H934" s="131">
        <v>0</v>
      </c>
      <c r="I934" s="130">
        <v>0</v>
      </c>
      <c r="J934" s="131">
        <v>0</v>
      </c>
      <c r="K934" s="130">
        <v>0</v>
      </c>
      <c r="L934" s="131">
        <v>0</v>
      </c>
      <c r="M934" s="130">
        <v>0</v>
      </c>
      <c r="N934" s="131">
        <v>0</v>
      </c>
      <c r="O934" s="130">
        <v>0</v>
      </c>
      <c r="P934" s="131">
        <v>0</v>
      </c>
      <c r="Q934" s="130">
        <v>10.273166666666672</v>
      </c>
      <c r="R934" s="131">
        <v>0</v>
      </c>
      <c r="S934" s="130">
        <v>0</v>
      </c>
      <c r="T934" s="131">
        <v>0</v>
      </c>
      <c r="U934" s="130">
        <v>3.9878333333333331</v>
      </c>
      <c r="V934" s="131">
        <v>1.2798333333333336</v>
      </c>
      <c r="W934" s="130">
        <v>3.4081666666666677</v>
      </c>
      <c r="X934" s="131">
        <v>0</v>
      </c>
      <c r="Y934" s="130">
        <v>0</v>
      </c>
      <c r="Z934" s="131">
        <v>0</v>
      </c>
      <c r="AA934" s="130">
        <v>0</v>
      </c>
      <c r="AB934" s="131">
        <v>0</v>
      </c>
      <c r="AC934" s="238">
        <f t="shared" si="49"/>
        <v>18.949000000000005</v>
      </c>
      <c r="AD934" s="238"/>
      <c r="AE934" s="238"/>
    </row>
    <row r="935" spans="2:31" x14ac:dyDescent="0.3">
      <c r="B935" s="245" t="s">
        <v>80</v>
      </c>
      <c r="C935" s="245"/>
      <c r="D935" s="245"/>
      <c r="E935" s="130">
        <v>0</v>
      </c>
      <c r="F935" s="131">
        <v>0</v>
      </c>
      <c r="G935" s="130">
        <v>0</v>
      </c>
      <c r="H935" s="131">
        <v>0</v>
      </c>
      <c r="I935" s="130">
        <v>0</v>
      </c>
      <c r="J935" s="131">
        <v>0</v>
      </c>
      <c r="K935" s="130">
        <v>0</v>
      </c>
      <c r="L935" s="131">
        <v>0</v>
      </c>
      <c r="M935" s="130">
        <v>0</v>
      </c>
      <c r="N935" s="131">
        <v>0</v>
      </c>
      <c r="O935" s="130">
        <v>0</v>
      </c>
      <c r="P935" s="131">
        <v>0</v>
      </c>
      <c r="Q935" s="130">
        <v>21.251666666666669</v>
      </c>
      <c r="R935" s="131">
        <v>0</v>
      </c>
      <c r="S935" s="130">
        <v>0</v>
      </c>
      <c r="T935" s="131">
        <v>0</v>
      </c>
      <c r="U935" s="130">
        <v>1.2164999999999995</v>
      </c>
      <c r="V935" s="131">
        <v>8.4004999999999992</v>
      </c>
      <c r="W935" s="130">
        <v>25.852333333333331</v>
      </c>
      <c r="X935" s="131">
        <v>7.149999999999998E-2</v>
      </c>
      <c r="Y935" s="130">
        <v>0</v>
      </c>
      <c r="Z935" s="131">
        <v>0</v>
      </c>
      <c r="AA935" s="130">
        <v>0</v>
      </c>
      <c r="AB935" s="131">
        <v>0</v>
      </c>
      <c r="AC935" s="238">
        <f t="shared" si="49"/>
        <v>56.792500000000004</v>
      </c>
      <c r="AD935" s="238"/>
      <c r="AE935" s="238"/>
    </row>
    <row r="936" spans="2:31" x14ac:dyDescent="0.3">
      <c r="B936" s="245" t="s">
        <v>93</v>
      </c>
      <c r="C936" s="245"/>
      <c r="D936" s="245"/>
      <c r="E936" s="130">
        <v>0</v>
      </c>
      <c r="F936" s="131">
        <v>0</v>
      </c>
      <c r="G936" s="130">
        <v>0</v>
      </c>
      <c r="H936" s="131">
        <v>0</v>
      </c>
      <c r="I936" s="130">
        <v>0</v>
      </c>
      <c r="J936" s="131">
        <v>0</v>
      </c>
      <c r="K936" s="130">
        <v>0</v>
      </c>
      <c r="L936" s="131">
        <v>0</v>
      </c>
      <c r="M936" s="130">
        <v>0</v>
      </c>
      <c r="N936" s="131">
        <v>0</v>
      </c>
      <c r="O936" s="130">
        <v>0</v>
      </c>
      <c r="P936" s="131">
        <v>0</v>
      </c>
      <c r="Q936" s="130">
        <v>2.2666666666666599E-2</v>
      </c>
      <c r="R936" s="131">
        <v>0.13583333333333344</v>
      </c>
      <c r="S936" s="130">
        <v>0.45933333333333431</v>
      </c>
      <c r="T936" s="131">
        <v>0.55466666666666609</v>
      </c>
      <c r="U936" s="130">
        <v>1.1536666666666657</v>
      </c>
      <c r="V936" s="131">
        <v>2.96</v>
      </c>
      <c r="W936" s="130">
        <v>0.66099999999999981</v>
      </c>
      <c r="X936" s="131">
        <v>0.27500000000000002</v>
      </c>
      <c r="Y936" s="130">
        <v>0</v>
      </c>
      <c r="Z936" s="131">
        <v>0</v>
      </c>
      <c r="AA936" s="130">
        <v>0</v>
      </c>
      <c r="AB936" s="131">
        <v>0</v>
      </c>
      <c r="AC936" s="238">
        <f>SUM(E936:AB936)</f>
        <v>6.2221666666666664</v>
      </c>
      <c r="AD936" s="238"/>
      <c r="AE936" s="238"/>
    </row>
    <row r="937" spans="2:31" x14ac:dyDescent="0.3">
      <c r="B937" s="14" t="s">
        <v>2</v>
      </c>
      <c r="C937" s="14"/>
      <c r="D937" s="14"/>
      <c r="E937" s="15">
        <f t="shared" ref="E937:AB937" si="50">SUM(E888:E936)</f>
        <v>0</v>
      </c>
      <c r="F937" s="15">
        <f t="shared" si="50"/>
        <v>0</v>
      </c>
      <c r="G937" s="15">
        <f t="shared" si="50"/>
        <v>0</v>
      </c>
      <c r="H937" s="15">
        <f t="shared" si="50"/>
        <v>0</v>
      </c>
      <c r="I937" s="15">
        <f t="shared" si="50"/>
        <v>0</v>
      </c>
      <c r="J937" s="15">
        <f t="shared" si="50"/>
        <v>0</v>
      </c>
      <c r="K937" s="15">
        <f t="shared" si="50"/>
        <v>0</v>
      </c>
      <c r="L937" s="15">
        <f t="shared" si="50"/>
        <v>0</v>
      </c>
      <c r="M937" s="15">
        <f t="shared" si="50"/>
        <v>0</v>
      </c>
      <c r="N937" s="15">
        <f t="shared" si="50"/>
        <v>0</v>
      </c>
      <c r="O937" s="15">
        <f t="shared" si="50"/>
        <v>0</v>
      </c>
      <c r="P937" s="15">
        <f t="shared" si="50"/>
        <v>1.8770000000000033</v>
      </c>
      <c r="Q937" s="15">
        <f t="shared" si="50"/>
        <v>80.323000000000008</v>
      </c>
      <c r="R937" s="15">
        <f t="shared" si="50"/>
        <v>147.17116666666664</v>
      </c>
      <c r="S937" s="15">
        <f t="shared" si="50"/>
        <v>119.35883333333335</v>
      </c>
      <c r="T937" s="15">
        <f t="shared" si="50"/>
        <v>129.23400000000004</v>
      </c>
      <c r="U937" s="15">
        <f t="shared" si="50"/>
        <v>151.61649999999992</v>
      </c>
      <c r="V937" s="15">
        <f t="shared" si="50"/>
        <v>152.1011666666667</v>
      </c>
      <c r="W937" s="15">
        <f t="shared" si="50"/>
        <v>103.52800000000001</v>
      </c>
      <c r="X937" s="15">
        <f t="shared" si="50"/>
        <v>3.6703333333333323</v>
      </c>
      <c r="Y937" s="15">
        <f t="shared" si="50"/>
        <v>0.33833333333333343</v>
      </c>
      <c r="Z937" s="15">
        <f t="shared" si="50"/>
        <v>0</v>
      </c>
      <c r="AA937" s="15">
        <f t="shared" si="50"/>
        <v>0</v>
      </c>
      <c r="AB937" s="15">
        <f t="shared" si="50"/>
        <v>0</v>
      </c>
      <c r="AC937" s="249">
        <f>SUM(AC888:AE936)</f>
        <v>889.21833333333336</v>
      </c>
      <c r="AD937" s="249"/>
      <c r="AE937" s="249"/>
    </row>
    <row r="938" spans="2:31" x14ac:dyDescent="0.3">
      <c r="B938" s="16"/>
      <c r="C938" s="17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spans="2:31" x14ac:dyDescent="0.3">
      <c r="B939" s="16"/>
      <c r="C939" s="17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 spans="2:31" x14ac:dyDescent="0.3">
      <c r="B940" s="8">
        <f>'Resumen-Mensual'!$V$22</f>
        <v>44579</v>
      </c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132"/>
      <c r="AD940" s="132"/>
      <c r="AE940" s="132"/>
    </row>
    <row r="941" spans="2:31" x14ac:dyDescent="0.3">
      <c r="B941" s="8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132"/>
      <c r="AD941" s="132"/>
      <c r="AE941" s="132"/>
    </row>
    <row r="942" spans="2:31" x14ac:dyDescent="0.3">
      <c r="B942" s="9" t="s">
        <v>81</v>
      </c>
      <c r="C942" s="10"/>
      <c r="D942" s="10"/>
      <c r="E942" s="11">
        <v>1</v>
      </c>
      <c r="F942" s="11">
        <v>2</v>
      </c>
      <c r="G942" s="11">
        <v>3</v>
      </c>
      <c r="H942" s="11">
        <v>4</v>
      </c>
      <c r="I942" s="11">
        <v>5</v>
      </c>
      <c r="J942" s="11">
        <v>6</v>
      </c>
      <c r="K942" s="11">
        <v>7</v>
      </c>
      <c r="L942" s="11">
        <v>8</v>
      </c>
      <c r="M942" s="11">
        <v>9</v>
      </c>
      <c r="N942" s="11">
        <v>10</v>
      </c>
      <c r="O942" s="11">
        <v>11</v>
      </c>
      <c r="P942" s="11">
        <v>12</v>
      </c>
      <c r="Q942" s="11">
        <v>13</v>
      </c>
      <c r="R942" s="11">
        <v>14</v>
      </c>
      <c r="S942" s="11">
        <v>15</v>
      </c>
      <c r="T942" s="11">
        <v>16</v>
      </c>
      <c r="U942" s="11">
        <v>17</v>
      </c>
      <c r="V942" s="11">
        <v>18</v>
      </c>
      <c r="W942" s="11">
        <v>19</v>
      </c>
      <c r="X942" s="11">
        <v>20</v>
      </c>
      <c r="Y942" s="11">
        <v>21</v>
      </c>
      <c r="Z942" s="11">
        <v>22</v>
      </c>
      <c r="AA942" s="11">
        <v>23</v>
      </c>
      <c r="AB942" s="11">
        <v>24</v>
      </c>
      <c r="AC942" s="248" t="s">
        <v>2</v>
      </c>
      <c r="AD942" s="248"/>
      <c r="AE942" s="248"/>
    </row>
    <row r="943" spans="2:31" x14ac:dyDescent="0.3">
      <c r="B943" s="245" t="s">
        <v>37</v>
      </c>
      <c r="C943" s="245"/>
      <c r="D943" s="245"/>
      <c r="E943" s="137">
        <v>0</v>
      </c>
      <c r="F943" s="138">
        <v>0</v>
      </c>
      <c r="G943" s="137">
        <v>0</v>
      </c>
      <c r="H943" s="138">
        <v>0</v>
      </c>
      <c r="I943" s="137">
        <v>0</v>
      </c>
      <c r="J943" s="138">
        <v>0</v>
      </c>
      <c r="K943" s="137">
        <v>0</v>
      </c>
      <c r="L943" s="138">
        <v>0</v>
      </c>
      <c r="M943" s="137">
        <v>0</v>
      </c>
      <c r="N943" s="138">
        <v>0</v>
      </c>
      <c r="O943" s="137">
        <v>0</v>
      </c>
      <c r="P943" s="138">
        <v>0</v>
      </c>
      <c r="Q943" s="137">
        <v>0</v>
      </c>
      <c r="R943" s="138">
        <v>0</v>
      </c>
      <c r="S943" s="137">
        <v>0</v>
      </c>
      <c r="T943" s="138">
        <v>0</v>
      </c>
      <c r="U943" s="137">
        <v>0</v>
      </c>
      <c r="V943" s="138">
        <v>0.57250000000000034</v>
      </c>
      <c r="W943" s="137">
        <v>0</v>
      </c>
      <c r="X943" s="138">
        <v>0</v>
      </c>
      <c r="Y943" s="137">
        <v>0</v>
      </c>
      <c r="Z943" s="138">
        <v>0</v>
      </c>
      <c r="AA943" s="137">
        <v>0</v>
      </c>
      <c r="AB943" s="138">
        <v>0</v>
      </c>
      <c r="AC943" s="238">
        <f t="shared" ref="AC943:AC975" si="51">SUM(E943:AB943)</f>
        <v>0.57250000000000034</v>
      </c>
      <c r="AD943" s="238"/>
      <c r="AE943" s="238"/>
    </row>
    <row r="944" spans="2:31" x14ac:dyDescent="0.3">
      <c r="B944" s="245" t="s">
        <v>38</v>
      </c>
      <c r="C944" s="245"/>
      <c r="D944" s="245"/>
      <c r="E944" s="137">
        <v>0</v>
      </c>
      <c r="F944" s="138">
        <v>0</v>
      </c>
      <c r="G944" s="137">
        <v>0</v>
      </c>
      <c r="H944" s="138">
        <v>0</v>
      </c>
      <c r="I944" s="137">
        <v>0</v>
      </c>
      <c r="J944" s="138">
        <v>0</v>
      </c>
      <c r="K944" s="137">
        <v>0</v>
      </c>
      <c r="L944" s="138">
        <v>0</v>
      </c>
      <c r="M944" s="137">
        <v>0</v>
      </c>
      <c r="N944" s="138">
        <v>0</v>
      </c>
      <c r="O944" s="137">
        <v>0</v>
      </c>
      <c r="P944" s="138">
        <v>0</v>
      </c>
      <c r="Q944" s="137">
        <v>0</v>
      </c>
      <c r="R944" s="138">
        <v>0</v>
      </c>
      <c r="S944" s="137">
        <v>0</v>
      </c>
      <c r="T944" s="138">
        <v>0</v>
      </c>
      <c r="U944" s="137">
        <v>0</v>
      </c>
      <c r="V944" s="138">
        <v>0</v>
      </c>
      <c r="W944" s="137">
        <v>0</v>
      </c>
      <c r="X944" s="138">
        <v>0</v>
      </c>
      <c r="Y944" s="137">
        <v>0</v>
      </c>
      <c r="Z944" s="138">
        <v>0</v>
      </c>
      <c r="AA944" s="137">
        <v>0</v>
      </c>
      <c r="AB944" s="138">
        <v>0</v>
      </c>
      <c r="AC944" s="238">
        <f t="shared" si="51"/>
        <v>0</v>
      </c>
      <c r="AD944" s="238"/>
      <c r="AE944" s="238"/>
    </row>
    <row r="945" spans="2:31" x14ac:dyDescent="0.3">
      <c r="B945" s="245" t="s">
        <v>39</v>
      </c>
      <c r="C945" s="245"/>
      <c r="D945" s="245"/>
      <c r="E945" s="137">
        <v>0</v>
      </c>
      <c r="F945" s="138">
        <v>0</v>
      </c>
      <c r="G945" s="137">
        <v>0</v>
      </c>
      <c r="H945" s="138">
        <v>0</v>
      </c>
      <c r="I945" s="137">
        <v>0</v>
      </c>
      <c r="J945" s="138">
        <v>0</v>
      </c>
      <c r="K945" s="137">
        <v>0</v>
      </c>
      <c r="L945" s="138">
        <v>0</v>
      </c>
      <c r="M945" s="137">
        <v>0</v>
      </c>
      <c r="N945" s="138">
        <v>0</v>
      </c>
      <c r="O945" s="137">
        <v>0</v>
      </c>
      <c r="P945" s="138">
        <v>0</v>
      </c>
      <c r="Q945" s="137">
        <v>0</v>
      </c>
      <c r="R945" s="138">
        <v>0</v>
      </c>
      <c r="S945" s="137">
        <v>0</v>
      </c>
      <c r="T945" s="138">
        <v>0</v>
      </c>
      <c r="U945" s="137">
        <v>0</v>
      </c>
      <c r="V945" s="138">
        <v>0</v>
      </c>
      <c r="W945" s="137">
        <v>0</v>
      </c>
      <c r="X945" s="138">
        <v>0</v>
      </c>
      <c r="Y945" s="137">
        <v>0</v>
      </c>
      <c r="Z945" s="138">
        <v>0</v>
      </c>
      <c r="AA945" s="137">
        <v>0</v>
      </c>
      <c r="AB945" s="138">
        <v>0</v>
      </c>
      <c r="AC945" s="238">
        <f t="shared" si="51"/>
        <v>0</v>
      </c>
      <c r="AD945" s="238"/>
      <c r="AE945" s="238"/>
    </row>
    <row r="946" spans="2:31" x14ac:dyDescent="0.3">
      <c r="B946" s="245" t="s">
        <v>40</v>
      </c>
      <c r="C946" s="245"/>
      <c r="D946" s="245"/>
      <c r="E946" s="137">
        <v>0</v>
      </c>
      <c r="F946" s="138">
        <v>0</v>
      </c>
      <c r="G946" s="137">
        <v>0</v>
      </c>
      <c r="H946" s="138">
        <v>0</v>
      </c>
      <c r="I946" s="137">
        <v>0</v>
      </c>
      <c r="J946" s="138">
        <v>0</v>
      </c>
      <c r="K946" s="137">
        <v>0</v>
      </c>
      <c r="L946" s="138">
        <v>0</v>
      </c>
      <c r="M946" s="137">
        <v>0</v>
      </c>
      <c r="N946" s="138">
        <v>0</v>
      </c>
      <c r="O946" s="137">
        <v>0</v>
      </c>
      <c r="P946" s="138">
        <v>0</v>
      </c>
      <c r="Q946" s="137">
        <v>0</v>
      </c>
      <c r="R946" s="138">
        <v>0</v>
      </c>
      <c r="S946" s="137">
        <v>0</v>
      </c>
      <c r="T946" s="138">
        <v>0.31550000000000483</v>
      </c>
      <c r="U946" s="137">
        <v>0</v>
      </c>
      <c r="V946" s="138">
        <v>0</v>
      </c>
      <c r="W946" s="137">
        <v>0</v>
      </c>
      <c r="X946" s="138">
        <v>0</v>
      </c>
      <c r="Y946" s="137">
        <v>0</v>
      </c>
      <c r="Z946" s="138">
        <v>0</v>
      </c>
      <c r="AA946" s="137">
        <v>0</v>
      </c>
      <c r="AB946" s="138">
        <v>0</v>
      </c>
      <c r="AC946" s="238">
        <f t="shared" si="51"/>
        <v>0.31550000000000483</v>
      </c>
      <c r="AD946" s="238"/>
      <c r="AE946" s="238"/>
    </row>
    <row r="947" spans="2:31" x14ac:dyDescent="0.3">
      <c r="B947" s="245" t="s">
        <v>41</v>
      </c>
      <c r="C947" s="245"/>
      <c r="D947" s="245"/>
      <c r="E947" s="137">
        <v>0</v>
      </c>
      <c r="F947" s="138">
        <v>0</v>
      </c>
      <c r="G947" s="137">
        <v>0</v>
      </c>
      <c r="H947" s="138">
        <v>0</v>
      </c>
      <c r="I947" s="137">
        <v>0</v>
      </c>
      <c r="J947" s="138">
        <v>0</v>
      </c>
      <c r="K947" s="137">
        <v>0</v>
      </c>
      <c r="L947" s="138">
        <v>0</v>
      </c>
      <c r="M947" s="137">
        <v>0</v>
      </c>
      <c r="N947" s="138">
        <v>0</v>
      </c>
      <c r="O947" s="137">
        <v>0</v>
      </c>
      <c r="P947" s="138">
        <v>1.1103333333333327</v>
      </c>
      <c r="Q947" s="137">
        <v>4.12</v>
      </c>
      <c r="R947" s="138">
        <v>0</v>
      </c>
      <c r="S947" s="137">
        <v>0</v>
      </c>
      <c r="T947" s="138">
        <v>0</v>
      </c>
      <c r="U947" s="137">
        <v>4.319833333333337</v>
      </c>
      <c r="V947" s="138">
        <v>0</v>
      </c>
      <c r="W947" s="137">
        <v>5.32466666666667</v>
      </c>
      <c r="X947" s="138">
        <v>0</v>
      </c>
      <c r="Y947" s="137">
        <v>0</v>
      </c>
      <c r="Z947" s="138">
        <v>0</v>
      </c>
      <c r="AA947" s="137">
        <v>0</v>
      </c>
      <c r="AB947" s="138">
        <v>0</v>
      </c>
      <c r="AC947" s="238">
        <f t="shared" si="51"/>
        <v>14.874833333333338</v>
      </c>
      <c r="AD947" s="238"/>
      <c r="AE947" s="238"/>
    </row>
    <row r="948" spans="2:31" x14ac:dyDescent="0.3">
      <c r="B948" s="245" t="s">
        <v>42</v>
      </c>
      <c r="C948" s="245"/>
      <c r="D948" s="245"/>
      <c r="E948" s="137">
        <v>0</v>
      </c>
      <c r="F948" s="138">
        <v>0</v>
      </c>
      <c r="G948" s="137">
        <v>0</v>
      </c>
      <c r="H948" s="138">
        <v>0</v>
      </c>
      <c r="I948" s="137">
        <v>0</v>
      </c>
      <c r="J948" s="138">
        <v>0</v>
      </c>
      <c r="K948" s="137">
        <v>0</v>
      </c>
      <c r="L948" s="138">
        <v>0</v>
      </c>
      <c r="M948" s="137">
        <v>0</v>
      </c>
      <c r="N948" s="138">
        <v>0</v>
      </c>
      <c r="O948" s="137">
        <v>0</v>
      </c>
      <c r="P948" s="138">
        <v>0</v>
      </c>
      <c r="Q948" s="137">
        <v>0</v>
      </c>
      <c r="R948" s="138">
        <v>0</v>
      </c>
      <c r="S948" s="137">
        <v>0</v>
      </c>
      <c r="T948" s="138">
        <v>0</v>
      </c>
      <c r="U948" s="137">
        <v>0</v>
      </c>
      <c r="V948" s="138">
        <v>0</v>
      </c>
      <c r="W948" s="137">
        <v>0</v>
      </c>
      <c r="X948" s="138">
        <v>0</v>
      </c>
      <c r="Y948" s="137">
        <v>0</v>
      </c>
      <c r="Z948" s="138">
        <v>0</v>
      </c>
      <c r="AA948" s="137">
        <v>0</v>
      </c>
      <c r="AB948" s="138">
        <v>0</v>
      </c>
      <c r="AC948" s="238">
        <f t="shared" si="51"/>
        <v>0</v>
      </c>
      <c r="AD948" s="238"/>
      <c r="AE948" s="238"/>
    </row>
    <row r="949" spans="2:31" x14ac:dyDescent="0.3">
      <c r="B949" s="245" t="s">
        <v>43</v>
      </c>
      <c r="C949" s="245"/>
      <c r="D949" s="245"/>
      <c r="E949" s="137">
        <v>0</v>
      </c>
      <c r="F949" s="138">
        <v>0</v>
      </c>
      <c r="G949" s="137">
        <v>0</v>
      </c>
      <c r="H949" s="138">
        <v>0</v>
      </c>
      <c r="I949" s="137">
        <v>0</v>
      </c>
      <c r="J949" s="138">
        <v>0</v>
      </c>
      <c r="K949" s="137">
        <v>0</v>
      </c>
      <c r="L949" s="138">
        <v>0</v>
      </c>
      <c r="M949" s="137">
        <v>0</v>
      </c>
      <c r="N949" s="138">
        <v>0</v>
      </c>
      <c r="O949" s="137">
        <v>0</v>
      </c>
      <c r="P949" s="138">
        <v>0.50433333333333297</v>
      </c>
      <c r="Q949" s="137">
        <v>2.7878333333333414</v>
      </c>
      <c r="R949" s="138">
        <v>3.2986666666666773</v>
      </c>
      <c r="S949" s="137">
        <v>0</v>
      </c>
      <c r="T949" s="138">
        <v>0</v>
      </c>
      <c r="U949" s="137">
        <v>1.7321666666666686</v>
      </c>
      <c r="V949" s="138">
        <v>0.94316666666666604</v>
      </c>
      <c r="W949" s="137">
        <v>1.8959999999999999</v>
      </c>
      <c r="X949" s="138">
        <v>0</v>
      </c>
      <c r="Y949" s="137">
        <v>0</v>
      </c>
      <c r="Z949" s="138">
        <v>0</v>
      </c>
      <c r="AA949" s="137">
        <v>0</v>
      </c>
      <c r="AB949" s="138">
        <v>0</v>
      </c>
      <c r="AC949" s="238">
        <f t="shared" si="51"/>
        <v>11.162166666666685</v>
      </c>
      <c r="AD949" s="238"/>
      <c r="AE949" s="238"/>
    </row>
    <row r="950" spans="2:31" x14ac:dyDescent="0.3">
      <c r="B950" s="245" t="s">
        <v>44</v>
      </c>
      <c r="C950" s="245"/>
      <c r="D950" s="245"/>
      <c r="E950" s="137">
        <v>0</v>
      </c>
      <c r="F950" s="138">
        <v>0</v>
      </c>
      <c r="G950" s="137">
        <v>0</v>
      </c>
      <c r="H950" s="138">
        <v>0</v>
      </c>
      <c r="I950" s="137">
        <v>0</v>
      </c>
      <c r="J950" s="138">
        <v>0</v>
      </c>
      <c r="K950" s="137">
        <v>0</v>
      </c>
      <c r="L950" s="138">
        <v>0</v>
      </c>
      <c r="M950" s="137">
        <v>0</v>
      </c>
      <c r="N950" s="138">
        <v>0</v>
      </c>
      <c r="O950" s="137">
        <v>0</v>
      </c>
      <c r="P950" s="138">
        <v>0</v>
      </c>
      <c r="Q950" s="137">
        <v>0</v>
      </c>
      <c r="R950" s="138">
        <v>0</v>
      </c>
      <c r="S950" s="137">
        <v>0</v>
      </c>
      <c r="T950" s="138">
        <v>1.8473333333333295</v>
      </c>
      <c r="U950" s="137">
        <v>0</v>
      </c>
      <c r="V950" s="138">
        <v>0</v>
      </c>
      <c r="W950" s="137">
        <v>0</v>
      </c>
      <c r="X950" s="138">
        <v>0</v>
      </c>
      <c r="Y950" s="137">
        <v>0</v>
      </c>
      <c r="Z950" s="138">
        <v>0</v>
      </c>
      <c r="AA950" s="137">
        <v>0</v>
      </c>
      <c r="AB950" s="138">
        <v>0</v>
      </c>
      <c r="AC950" s="238">
        <f t="shared" si="51"/>
        <v>1.8473333333333295</v>
      </c>
      <c r="AD950" s="238"/>
      <c r="AE950" s="238"/>
    </row>
    <row r="951" spans="2:31" x14ac:dyDescent="0.3">
      <c r="B951" s="245" t="s">
        <v>45</v>
      </c>
      <c r="C951" s="245"/>
      <c r="D951" s="245"/>
      <c r="E951" s="137">
        <v>0</v>
      </c>
      <c r="F951" s="138">
        <v>0</v>
      </c>
      <c r="G951" s="137">
        <v>0</v>
      </c>
      <c r="H951" s="138">
        <v>0</v>
      </c>
      <c r="I951" s="137">
        <v>0</v>
      </c>
      <c r="J951" s="138">
        <v>0</v>
      </c>
      <c r="K951" s="137">
        <v>0</v>
      </c>
      <c r="L951" s="138">
        <v>0</v>
      </c>
      <c r="M951" s="137">
        <v>0</v>
      </c>
      <c r="N951" s="138">
        <v>0</v>
      </c>
      <c r="O951" s="137">
        <v>0</v>
      </c>
      <c r="P951" s="138">
        <v>0</v>
      </c>
      <c r="Q951" s="137">
        <v>7.9416666666666744</v>
      </c>
      <c r="R951" s="138">
        <v>12.870166666666677</v>
      </c>
      <c r="S951" s="137">
        <v>29.544499999999971</v>
      </c>
      <c r="T951" s="138">
        <v>28.950000000000031</v>
      </c>
      <c r="U951" s="137">
        <v>23.824666666666698</v>
      </c>
      <c r="V951" s="138">
        <v>15.903499999999976</v>
      </c>
      <c r="W951" s="137">
        <v>1.849</v>
      </c>
      <c r="X951" s="138">
        <v>1.1666666666666655E-2</v>
      </c>
      <c r="Y951" s="137">
        <v>0</v>
      </c>
      <c r="Z951" s="138">
        <v>0</v>
      </c>
      <c r="AA951" s="137">
        <v>0</v>
      </c>
      <c r="AB951" s="138">
        <v>0</v>
      </c>
      <c r="AC951" s="238">
        <f t="shared" si="51"/>
        <v>120.89516666666671</v>
      </c>
      <c r="AD951" s="238"/>
      <c r="AE951" s="238"/>
    </row>
    <row r="952" spans="2:31" x14ac:dyDescent="0.3">
      <c r="B952" s="245" t="s">
        <v>46</v>
      </c>
      <c r="C952" s="245"/>
      <c r="D952" s="245"/>
      <c r="E952" s="137">
        <v>0</v>
      </c>
      <c r="F952" s="138">
        <v>0</v>
      </c>
      <c r="G952" s="137">
        <v>0</v>
      </c>
      <c r="H952" s="138">
        <v>0</v>
      </c>
      <c r="I952" s="137">
        <v>0</v>
      </c>
      <c r="J952" s="138">
        <v>0</v>
      </c>
      <c r="K952" s="137">
        <v>0</v>
      </c>
      <c r="L952" s="138">
        <v>0</v>
      </c>
      <c r="M952" s="137">
        <v>0</v>
      </c>
      <c r="N952" s="138">
        <v>0</v>
      </c>
      <c r="O952" s="137">
        <v>0</v>
      </c>
      <c r="P952" s="138">
        <v>0</v>
      </c>
      <c r="Q952" s="137">
        <v>7.3273333333333328</v>
      </c>
      <c r="R952" s="138">
        <v>11.140166666666667</v>
      </c>
      <c r="S952" s="137">
        <v>38.537166666666671</v>
      </c>
      <c r="T952" s="138">
        <v>34.502333333333333</v>
      </c>
      <c r="U952" s="137">
        <v>25.757166666666674</v>
      </c>
      <c r="V952" s="138">
        <v>9.8696666666666708</v>
      </c>
      <c r="W952" s="137">
        <v>0</v>
      </c>
      <c r="X952" s="138">
        <v>0</v>
      </c>
      <c r="Y952" s="137">
        <v>0</v>
      </c>
      <c r="Z952" s="138">
        <v>0</v>
      </c>
      <c r="AA952" s="137">
        <v>0</v>
      </c>
      <c r="AB952" s="138">
        <v>0</v>
      </c>
      <c r="AC952" s="238">
        <f t="shared" si="51"/>
        <v>127.13383333333336</v>
      </c>
      <c r="AD952" s="238"/>
      <c r="AE952" s="238"/>
    </row>
    <row r="953" spans="2:31" x14ac:dyDescent="0.3">
      <c r="B953" s="245" t="s">
        <v>47</v>
      </c>
      <c r="C953" s="245"/>
      <c r="D953" s="245"/>
      <c r="E953" s="137">
        <v>0</v>
      </c>
      <c r="F953" s="138">
        <v>0</v>
      </c>
      <c r="G953" s="137">
        <v>0</v>
      </c>
      <c r="H953" s="138">
        <v>0</v>
      </c>
      <c r="I953" s="137">
        <v>0</v>
      </c>
      <c r="J953" s="138">
        <v>0</v>
      </c>
      <c r="K953" s="137">
        <v>0</v>
      </c>
      <c r="L953" s="138">
        <v>0</v>
      </c>
      <c r="M953" s="137">
        <v>0</v>
      </c>
      <c r="N953" s="138">
        <v>0</v>
      </c>
      <c r="O953" s="137">
        <v>0</v>
      </c>
      <c r="P953" s="138">
        <v>0</v>
      </c>
      <c r="Q953" s="137">
        <v>1.4926666666666679</v>
      </c>
      <c r="R953" s="138">
        <v>0</v>
      </c>
      <c r="S953" s="137">
        <v>0</v>
      </c>
      <c r="T953" s="138">
        <v>0</v>
      </c>
      <c r="U953" s="137">
        <v>0</v>
      </c>
      <c r="V953" s="138">
        <v>0</v>
      </c>
      <c r="W953" s="137">
        <v>3.6666666666666634</v>
      </c>
      <c r="X953" s="138">
        <v>0</v>
      </c>
      <c r="Y953" s="137">
        <v>0</v>
      </c>
      <c r="Z953" s="138">
        <v>0</v>
      </c>
      <c r="AA953" s="137">
        <v>0</v>
      </c>
      <c r="AB953" s="138">
        <v>0</v>
      </c>
      <c r="AC953" s="238">
        <f t="shared" si="51"/>
        <v>5.1593333333333309</v>
      </c>
      <c r="AD953" s="238"/>
      <c r="AE953" s="238"/>
    </row>
    <row r="954" spans="2:31" x14ac:dyDescent="0.3">
      <c r="B954" s="245" t="s">
        <v>48</v>
      </c>
      <c r="C954" s="245"/>
      <c r="D954" s="245"/>
      <c r="E954" s="137">
        <v>0</v>
      </c>
      <c r="F954" s="138">
        <v>0</v>
      </c>
      <c r="G954" s="137">
        <v>0</v>
      </c>
      <c r="H954" s="138">
        <v>0</v>
      </c>
      <c r="I954" s="137">
        <v>0</v>
      </c>
      <c r="J954" s="138">
        <v>0</v>
      </c>
      <c r="K954" s="137">
        <v>0</v>
      </c>
      <c r="L954" s="138">
        <v>0</v>
      </c>
      <c r="M954" s="137">
        <v>0</v>
      </c>
      <c r="N954" s="138">
        <v>0</v>
      </c>
      <c r="O954" s="137">
        <v>0</v>
      </c>
      <c r="P954" s="138">
        <v>0</v>
      </c>
      <c r="Q954" s="137">
        <v>0</v>
      </c>
      <c r="R954" s="138">
        <v>0</v>
      </c>
      <c r="S954" s="137">
        <v>0</v>
      </c>
      <c r="T954" s="138">
        <v>0</v>
      </c>
      <c r="U954" s="137">
        <v>0</v>
      </c>
      <c r="V954" s="138">
        <v>0</v>
      </c>
      <c r="W954" s="137">
        <v>0</v>
      </c>
      <c r="X954" s="138">
        <v>0</v>
      </c>
      <c r="Y954" s="137">
        <v>0</v>
      </c>
      <c r="Z954" s="138">
        <v>0</v>
      </c>
      <c r="AA954" s="137">
        <v>0</v>
      </c>
      <c r="AB954" s="138">
        <v>0</v>
      </c>
      <c r="AC954" s="238">
        <f t="shared" si="51"/>
        <v>0</v>
      </c>
      <c r="AD954" s="238"/>
      <c r="AE954" s="238"/>
    </row>
    <row r="955" spans="2:31" x14ac:dyDescent="0.3">
      <c r="B955" s="245" t="s">
        <v>49</v>
      </c>
      <c r="C955" s="245"/>
      <c r="D955" s="245"/>
      <c r="E955" s="137">
        <v>0</v>
      </c>
      <c r="F955" s="138">
        <v>0</v>
      </c>
      <c r="G955" s="137">
        <v>0</v>
      </c>
      <c r="H955" s="138">
        <v>0</v>
      </c>
      <c r="I955" s="137">
        <v>0</v>
      </c>
      <c r="J955" s="138">
        <v>0</v>
      </c>
      <c r="K955" s="137">
        <v>0</v>
      </c>
      <c r="L955" s="138">
        <v>0</v>
      </c>
      <c r="M955" s="137">
        <v>0</v>
      </c>
      <c r="N955" s="138">
        <v>0</v>
      </c>
      <c r="O955" s="137">
        <v>0</v>
      </c>
      <c r="P955" s="138">
        <v>0</v>
      </c>
      <c r="Q955" s="137">
        <v>0</v>
      </c>
      <c r="R955" s="138">
        <v>0</v>
      </c>
      <c r="S955" s="137">
        <v>0</v>
      </c>
      <c r="T955" s="138">
        <v>0</v>
      </c>
      <c r="U955" s="137">
        <v>0</v>
      </c>
      <c r="V955" s="138">
        <v>0</v>
      </c>
      <c r="W955" s="137">
        <v>0</v>
      </c>
      <c r="X955" s="138">
        <v>0</v>
      </c>
      <c r="Y955" s="137">
        <v>0</v>
      </c>
      <c r="Z955" s="138">
        <v>0</v>
      </c>
      <c r="AA955" s="137">
        <v>0</v>
      </c>
      <c r="AB955" s="138">
        <v>0</v>
      </c>
      <c r="AC955" s="238">
        <f t="shared" si="51"/>
        <v>0</v>
      </c>
      <c r="AD955" s="238"/>
      <c r="AE955" s="238"/>
    </row>
    <row r="956" spans="2:31" x14ac:dyDescent="0.3">
      <c r="B956" s="245" t="s">
        <v>50</v>
      </c>
      <c r="C956" s="245"/>
      <c r="D956" s="245"/>
      <c r="E956" s="137">
        <v>0</v>
      </c>
      <c r="F956" s="138">
        <v>0</v>
      </c>
      <c r="G956" s="137">
        <v>0</v>
      </c>
      <c r="H956" s="138">
        <v>0</v>
      </c>
      <c r="I956" s="137">
        <v>0</v>
      </c>
      <c r="J956" s="138">
        <v>0</v>
      </c>
      <c r="K956" s="137">
        <v>0</v>
      </c>
      <c r="L956" s="138">
        <v>0</v>
      </c>
      <c r="M956" s="137">
        <v>0</v>
      </c>
      <c r="N956" s="138">
        <v>0</v>
      </c>
      <c r="O956" s="137">
        <v>0</v>
      </c>
      <c r="P956" s="138">
        <v>0</v>
      </c>
      <c r="Q956" s="137">
        <v>0</v>
      </c>
      <c r="R956" s="138">
        <v>0</v>
      </c>
      <c r="S956" s="137">
        <v>2.2478333333333302</v>
      </c>
      <c r="T956" s="138">
        <v>2.454833333333331</v>
      </c>
      <c r="U956" s="137">
        <v>0</v>
      </c>
      <c r="V956" s="138">
        <v>0</v>
      </c>
      <c r="W956" s="137">
        <v>0</v>
      </c>
      <c r="X956" s="138">
        <v>0</v>
      </c>
      <c r="Y956" s="137">
        <v>0</v>
      </c>
      <c r="Z956" s="138">
        <v>0</v>
      </c>
      <c r="AA956" s="137">
        <v>0</v>
      </c>
      <c r="AB956" s="138">
        <v>0</v>
      </c>
      <c r="AC956" s="238">
        <f t="shared" si="51"/>
        <v>4.7026666666666612</v>
      </c>
      <c r="AD956" s="238"/>
      <c r="AE956" s="238"/>
    </row>
    <row r="957" spans="2:31" x14ac:dyDescent="0.3">
      <c r="B957" s="245" t="s">
        <v>97</v>
      </c>
      <c r="C957" s="245"/>
      <c r="D957" s="245"/>
      <c r="E957" s="137">
        <v>0</v>
      </c>
      <c r="F957" s="138">
        <v>0</v>
      </c>
      <c r="G957" s="137">
        <v>0</v>
      </c>
      <c r="H957" s="138">
        <v>0</v>
      </c>
      <c r="I957" s="137">
        <v>0</v>
      </c>
      <c r="J957" s="138">
        <v>0</v>
      </c>
      <c r="K957" s="137">
        <v>0</v>
      </c>
      <c r="L957" s="138">
        <v>0</v>
      </c>
      <c r="M957" s="137">
        <v>0</v>
      </c>
      <c r="N957" s="138">
        <v>0</v>
      </c>
      <c r="O957" s="137">
        <v>0</v>
      </c>
      <c r="P957" s="138">
        <v>0</v>
      </c>
      <c r="Q957" s="137">
        <v>0</v>
      </c>
      <c r="R957" s="138">
        <v>0</v>
      </c>
      <c r="S957" s="137">
        <v>0</v>
      </c>
      <c r="T957" s="138">
        <v>0</v>
      </c>
      <c r="U957" s="137">
        <v>0</v>
      </c>
      <c r="V957" s="138">
        <v>0</v>
      </c>
      <c r="W957" s="137">
        <v>0</v>
      </c>
      <c r="X957" s="138">
        <v>0</v>
      </c>
      <c r="Y957" s="137">
        <v>0</v>
      </c>
      <c r="Z957" s="138">
        <v>0</v>
      </c>
      <c r="AA957" s="137">
        <v>0</v>
      </c>
      <c r="AB957" s="138">
        <v>0</v>
      </c>
      <c r="AC957" s="238">
        <f t="shared" si="51"/>
        <v>0</v>
      </c>
      <c r="AD957" s="238"/>
      <c r="AE957" s="238"/>
    </row>
    <row r="958" spans="2:31" x14ac:dyDescent="0.3">
      <c r="B958" s="245" t="s">
        <v>51</v>
      </c>
      <c r="C958" s="245"/>
      <c r="D958" s="245"/>
      <c r="E958" s="137">
        <v>0</v>
      </c>
      <c r="F958" s="138">
        <v>0</v>
      </c>
      <c r="G958" s="137">
        <v>0</v>
      </c>
      <c r="H958" s="138">
        <v>0</v>
      </c>
      <c r="I958" s="137">
        <v>0</v>
      </c>
      <c r="J958" s="138">
        <v>0</v>
      </c>
      <c r="K958" s="137">
        <v>0</v>
      </c>
      <c r="L958" s="138">
        <v>0</v>
      </c>
      <c r="M958" s="137">
        <v>0</v>
      </c>
      <c r="N958" s="138">
        <v>0</v>
      </c>
      <c r="O958" s="137">
        <v>0</v>
      </c>
      <c r="P958" s="138">
        <v>0</v>
      </c>
      <c r="Q958" s="137">
        <v>0</v>
      </c>
      <c r="R958" s="138">
        <v>0</v>
      </c>
      <c r="S958" s="137">
        <v>0</v>
      </c>
      <c r="T958" s="138">
        <v>5.1431666666666693</v>
      </c>
      <c r="U958" s="137">
        <v>8.2461666666666691</v>
      </c>
      <c r="V958" s="138">
        <v>1.9556666666666658</v>
      </c>
      <c r="W958" s="137">
        <v>0.17683333333333284</v>
      </c>
      <c r="X958" s="138">
        <v>0</v>
      </c>
      <c r="Y958" s="137">
        <v>0</v>
      </c>
      <c r="Z958" s="138">
        <v>0</v>
      </c>
      <c r="AA958" s="137">
        <v>0</v>
      </c>
      <c r="AB958" s="138">
        <v>0</v>
      </c>
      <c r="AC958" s="238">
        <f t="shared" si="51"/>
        <v>15.521833333333337</v>
      </c>
      <c r="AD958" s="238"/>
      <c r="AE958" s="238"/>
    </row>
    <row r="959" spans="2:31" x14ac:dyDescent="0.3">
      <c r="B959" s="245" t="s">
        <v>52</v>
      </c>
      <c r="C959" s="245"/>
      <c r="D959" s="245"/>
      <c r="E959" s="137">
        <v>0</v>
      </c>
      <c r="F959" s="138">
        <v>0</v>
      </c>
      <c r="G959" s="137">
        <v>0</v>
      </c>
      <c r="H959" s="138">
        <v>0</v>
      </c>
      <c r="I959" s="137">
        <v>0</v>
      </c>
      <c r="J959" s="138">
        <v>0</v>
      </c>
      <c r="K959" s="137">
        <v>0</v>
      </c>
      <c r="L959" s="138">
        <v>0</v>
      </c>
      <c r="M959" s="137">
        <v>0</v>
      </c>
      <c r="N959" s="138">
        <v>0</v>
      </c>
      <c r="O959" s="137">
        <v>0</v>
      </c>
      <c r="P959" s="138">
        <v>0</v>
      </c>
      <c r="Q959" s="137">
        <v>0</v>
      </c>
      <c r="R959" s="138">
        <v>0</v>
      </c>
      <c r="S959" s="137">
        <v>0</v>
      </c>
      <c r="T959" s="138">
        <v>0</v>
      </c>
      <c r="U959" s="137">
        <v>0</v>
      </c>
      <c r="V959" s="138">
        <v>0</v>
      </c>
      <c r="W959" s="137">
        <v>0</v>
      </c>
      <c r="X959" s="138">
        <v>0</v>
      </c>
      <c r="Y959" s="137">
        <v>0</v>
      </c>
      <c r="Z959" s="138">
        <v>0</v>
      </c>
      <c r="AA959" s="137">
        <v>0</v>
      </c>
      <c r="AB959" s="138">
        <v>0</v>
      </c>
      <c r="AC959" s="238">
        <f t="shared" si="51"/>
        <v>0</v>
      </c>
      <c r="AD959" s="238"/>
      <c r="AE959" s="238"/>
    </row>
    <row r="960" spans="2:31" x14ac:dyDescent="0.3">
      <c r="B960" s="245" t="s">
        <v>53</v>
      </c>
      <c r="C960" s="245"/>
      <c r="D960" s="245"/>
      <c r="E960" s="137">
        <v>0</v>
      </c>
      <c r="F960" s="138">
        <v>0</v>
      </c>
      <c r="G960" s="137">
        <v>0</v>
      </c>
      <c r="H960" s="138">
        <v>0</v>
      </c>
      <c r="I960" s="137">
        <v>0</v>
      </c>
      <c r="J960" s="138">
        <v>0</v>
      </c>
      <c r="K960" s="137">
        <v>0</v>
      </c>
      <c r="L960" s="138">
        <v>0</v>
      </c>
      <c r="M960" s="137">
        <v>0</v>
      </c>
      <c r="N960" s="138">
        <v>0</v>
      </c>
      <c r="O960" s="137">
        <v>0</v>
      </c>
      <c r="P960" s="138">
        <v>0</v>
      </c>
      <c r="Q960" s="137">
        <v>0</v>
      </c>
      <c r="R960" s="138">
        <v>0</v>
      </c>
      <c r="S960" s="137">
        <v>0</v>
      </c>
      <c r="T960" s="138">
        <v>0</v>
      </c>
      <c r="U960" s="137">
        <v>0</v>
      </c>
      <c r="V960" s="138">
        <v>0</v>
      </c>
      <c r="W960" s="137">
        <v>0</v>
      </c>
      <c r="X960" s="138">
        <v>0</v>
      </c>
      <c r="Y960" s="137">
        <v>0</v>
      </c>
      <c r="Z960" s="138">
        <v>0</v>
      </c>
      <c r="AA960" s="137">
        <v>0</v>
      </c>
      <c r="AB960" s="138">
        <v>0</v>
      </c>
      <c r="AC960" s="238">
        <f t="shared" si="51"/>
        <v>0</v>
      </c>
      <c r="AD960" s="238"/>
      <c r="AE960" s="238"/>
    </row>
    <row r="961" spans="2:31" x14ac:dyDescent="0.3">
      <c r="B961" s="245" t="s">
        <v>54</v>
      </c>
      <c r="C961" s="245"/>
      <c r="D961" s="245"/>
      <c r="E961" s="137">
        <v>0</v>
      </c>
      <c r="F961" s="138">
        <v>0</v>
      </c>
      <c r="G961" s="137">
        <v>0</v>
      </c>
      <c r="H961" s="138">
        <v>0</v>
      </c>
      <c r="I961" s="137">
        <v>0</v>
      </c>
      <c r="J961" s="138">
        <v>0</v>
      </c>
      <c r="K961" s="137">
        <v>0</v>
      </c>
      <c r="L961" s="138">
        <v>0</v>
      </c>
      <c r="M961" s="137">
        <v>0</v>
      </c>
      <c r="N961" s="138">
        <v>0</v>
      </c>
      <c r="O961" s="137">
        <v>0</v>
      </c>
      <c r="P961" s="138">
        <v>0</v>
      </c>
      <c r="Q961" s="137">
        <v>0</v>
      </c>
      <c r="R961" s="138">
        <v>0</v>
      </c>
      <c r="S961" s="137">
        <v>0</v>
      </c>
      <c r="T961" s="138">
        <v>3.6220000000000008</v>
      </c>
      <c r="U961" s="137">
        <v>2.8889999999999967</v>
      </c>
      <c r="V961" s="138">
        <v>0.46933333333333255</v>
      </c>
      <c r="W961" s="137">
        <v>0.41183333333333372</v>
      </c>
      <c r="X961" s="138">
        <v>0</v>
      </c>
      <c r="Y961" s="137">
        <v>0</v>
      </c>
      <c r="Z961" s="138">
        <v>0</v>
      </c>
      <c r="AA961" s="137">
        <v>0</v>
      </c>
      <c r="AB961" s="138">
        <v>0</v>
      </c>
      <c r="AC961" s="238">
        <f t="shared" si="51"/>
        <v>7.3921666666666637</v>
      </c>
      <c r="AD961" s="238"/>
      <c r="AE961" s="238"/>
    </row>
    <row r="962" spans="2:31" x14ac:dyDescent="0.3">
      <c r="B962" s="245" t="s">
        <v>55</v>
      </c>
      <c r="C962" s="245"/>
      <c r="D962" s="245"/>
      <c r="E962" s="137">
        <v>0</v>
      </c>
      <c r="F962" s="138">
        <v>0</v>
      </c>
      <c r="G962" s="137">
        <v>0</v>
      </c>
      <c r="H962" s="138">
        <v>0</v>
      </c>
      <c r="I962" s="137">
        <v>0</v>
      </c>
      <c r="J962" s="138">
        <v>0</v>
      </c>
      <c r="K962" s="137">
        <v>0</v>
      </c>
      <c r="L962" s="138">
        <v>0</v>
      </c>
      <c r="M962" s="137">
        <v>0</v>
      </c>
      <c r="N962" s="138">
        <v>0</v>
      </c>
      <c r="O962" s="137">
        <v>0</v>
      </c>
      <c r="P962" s="138">
        <v>0</v>
      </c>
      <c r="Q962" s="137">
        <v>0</v>
      </c>
      <c r="R962" s="138">
        <v>0</v>
      </c>
      <c r="S962" s="137">
        <v>0</v>
      </c>
      <c r="T962" s="138">
        <v>0</v>
      </c>
      <c r="U962" s="137">
        <v>0</v>
      </c>
      <c r="V962" s="138">
        <v>0</v>
      </c>
      <c r="W962" s="137">
        <v>0</v>
      </c>
      <c r="X962" s="138">
        <v>0</v>
      </c>
      <c r="Y962" s="137">
        <v>0</v>
      </c>
      <c r="Z962" s="138">
        <v>0</v>
      </c>
      <c r="AA962" s="137">
        <v>0</v>
      </c>
      <c r="AB962" s="138">
        <v>0</v>
      </c>
      <c r="AC962" s="238">
        <f t="shared" si="51"/>
        <v>0</v>
      </c>
      <c r="AD962" s="238"/>
      <c r="AE962" s="238"/>
    </row>
    <row r="963" spans="2:31" x14ac:dyDescent="0.3">
      <c r="B963" s="245" t="s">
        <v>56</v>
      </c>
      <c r="C963" s="245"/>
      <c r="D963" s="245"/>
      <c r="E963" s="137">
        <v>0</v>
      </c>
      <c r="F963" s="138">
        <v>0</v>
      </c>
      <c r="G963" s="137">
        <v>0</v>
      </c>
      <c r="H963" s="138">
        <v>0</v>
      </c>
      <c r="I963" s="137">
        <v>0</v>
      </c>
      <c r="J963" s="138">
        <v>0</v>
      </c>
      <c r="K963" s="137">
        <v>0</v>
      </c>
      <c r="L963" s="138">
        <v>0</v>
      </c>
      <c r="M963" s="137">
        <v>0</v>
      </c>
      <c r="N963" s="138">
        <v>0</v>
      </c>
      <c r="O963" s="137">
        <v>0</v>
      </c>
      <c r="P963" s="138">
        <v>0</v>
      </c>
      <c r="Q963" s="137">
        <v>0</v>
      </c>
      <c r="R963" s="138">
        <v>0</v>
      </c>
      <c r="S963" s="137">
        <v>0</v>
      </c>
      <c r="T963" s="138">
        <v>0.11250000000000084</v>
      </c>
      <c r="U963" s="137">
        <v>2.6666666666667282E-3</v>
      </c>
      <c r="V963" s="138">
        <v>0</v>
      </c>
      <c r="W963" s="137">
        <v>6.6666666666677084E-4</v>
      </c>
      <c r="X963" s="138">
        <v>0</v>
      </c>
      <c r="Y963" s="137">
        <v>0</v>
      </c>
      <c r="Z963" s="138">
        <v>0</v>
      </c>
      <c r="AA963" s="137">
        <v>0</v>
      </c>
      <c r="AB963" s="138">
        <v>0</v>
      </c>
      <c r="AC963" s="238">
        <f t="shared" si="51"/>
        <v>0.11583333333333434</v>
      </c>
      <c r="AD963" s="238"/>
      <c r="AE963" s="238"/>
    </row>
    <row r="964" spans="2:31" x14ac:dyDescent="0.3">
      <c r="B964" s="245" t="s">
        <v>94</v>
      </c>
      <c r="C964" s="245"/>
      <c r="D964" s="245"/>
      <c r="E964" s="137">
        <v>0</v>
      </c>
      <c r="F964" s="138">
        <v>0</v>
      </c>
      <c r="G964" s="137">
        <v>0</v>
      </c>
      <c r="H964" s="138">
        <v>0</v>
      </c>
      <c r="I964" s="137">
        <v>0</v>
      </c>
      <c r="J964" s="138">
        <v>0</v>
      </c>
      <c r="K964" s="137">
        <v>0</v>
      </c>
      <c r="L964" s="138">
        <v>0</v>
      </c>
      <c r="M964" s="137">
        <v>0</v>
      </c>
      <c r="N964" s="138">
        <v>0</v>
      </c>
      <c r="O964" s="137">
        <v>0</v>
      </c>
      <c r="P964" s="138">
        <v>0</v>
      </c>
      <c r="Q964" s="137">
        <v>0</v>
      </c>
      <c r="R964" s="138">
        <v>0</v>
      </c>
      <c r="S964" s="137">
        <v>0</v>
      </c>
      <c r="T964" s="138">
        <v>0</v>
      </c>
      <c r="U964" s="137">
        <v>0</v>
      </c>
      <c r="V964" s="138">
        <v>0</v>
      </c>
      <c r="W964" s="137">
        <v>0</v>
      </c>
      <c r="X964" s="138">
        <v>0</v>
      </c>
      <c r="Y964" s="137">
        <v>0</v>
      </c>
      <c r="Z964" s="138">
        <v>0</v>
      </c>
      <c r="AA964" s="137">
        <v>0</v>
      </c>
      <c r="AB964" s="138">
        <v>0</v>
      </c>
      <c r="AC964" s="238">
        <f t="shared" si="51"/>
        <v>0</v>
      </c>
      <c r="AD964" s="238"/>
      <c r="AE964" s="238"/>
    </row>
    <row r="965" spans="2:31" x14ac:dyDescent="0.3">
      <c r="B965" s="245" t="s">
        <v>57</v>
      </c>
      <c r="C965" s="245"/>
      <c r="D965" s="245"/>
      <c r="E965" s="137">
        <v>0</v>
      </c>
      <c r="F965" s="138">
        <v>0</v>
      </c>
      <c r="G965" s="137">
        <v>0</v>
      </c>
      <c r="H965" s="138">
        <v>0</v>
      </c>
      <c r="I965" s="137">
        <v>0</v>
      </c>
      <c r="J965" s="138">
        <v>0</v>
      </c>
      <c r="K965" s="137">
        <v>0</v>
      </c>
      <c r="L965" s="138">
        <v>0</v>
      </c>
      <c r="M965" s="137">
        <v>0</v>
      </c>
      <c r="N965" s="138">
        <v>0</v>
      </c>
      <c r="O965" s="137">
        <v>0</v>
      </c>
      <c r="P965" s="138">
        <v>0</v>
      </c>
      <c r="Q965" s="137">
        <v>0</v>
      </c>
      <c r="R965" s="138">
        <v>0</v>
      </c>
      <c r="S965" s="137">
        <v>0</v>
      </c>
      <c r="T965" s="138">
        <v>0</v>
      </c>
      <c r="U965" s="137">
        <v>0</v>
      </c>
      <c r="V965" s="138">
        <v>0</v>
      </c>
      <c r="W965" s="137">
        <v>0</v>
      </c>
      <c r="X965" s="138">
        <v>0</v>
      </c>
      <c r="Y965" s="137">
        <v>0</v>
      </c>
      <c r="Z965" s="138">
        <v>0</v>
      </c>
      <c r="AA965" s="137">
        <v>0</v>
      </c>
      <c r="AB965" s="138">
        <v>0</v>
      </c>
      <c r="AC965" s="238">
        <f t="shared" si="51"/>
        <v>0</v>
      </c>
      <c r="AD965" s="238"/>
      <c r="AE965" s="238"/>
    </row>
    <row r="966" spans="2:31" x14ac:dyDescent="0.3">
      <c r="B966" s="245" t="s">
        <v>58</v>
      </c>
      <c r="C966" s="245"/>
      <c r="D966" s="245"/>
      <c r="E966" s="137">
        <v>0</v>
      </c>
      <c r="F966" s="138">
        <v>0</v>
      </c>
      <c r="G966" s="137">
        <v>0</v>
      </c>
      <c r="H966" s="138">
        <v>0</v>
      </c>
      <c r="I966" s="137">
        <v>0</v>
      </c>
      <c r="J966" s="138">
        <v>0</v>
      </c>
      <c r="K966" s="137">
        <v>0</v>
      </c>
      <c r="L966" s="138">
        <v>0</v>
      </c>
      <c r="M966" s="137">
        <v>0</v>
      </c>
      <c r="N966" s="138">
        <v>0</v>
      </c>
      <c r="O966" s="137">
        <v>0</v>
      </c>
      <c r="P966" s="138">
        <v>0</v>
      </c>
      <c r="Q966" s="137">
        <v>0</v>
      </c>
      <c r="R966" s="138">
        <v>0</v>
      </c>
      <c r="S966" s="137">
        <v>0</v>
      </c>
      <c r="T966" s="138">
        <v>0</v>
      </c>
      <c r="U966" s="137">
        <v>0</v>
      </c>
      <c r="V966" s="138">
        <v>0</v>
      </c>
      <c r="W966" s="137">
        <v>0</v>
      </c>
      <c r="X966" s="138">
        <v>0</v>
      </c>
      <c r="Y966" s="137">
        <v>0</v>
      </c>
      <c r="Z966" s="138">
        <v>0</v>
      </c>
      <c r="AA966" s="137">
        <v>0</v>
      </c>
      <c r="AB966" s="138">
        <v>0</v>
      </c>
      <c r="AC966" s="238">
        <f t="shared" si="51"/>
        <v>0</v>
      </c>
      <c r="AD966" s="238"/>
      <c r="AE966" s="238"/>
    </row>
    <row r="967" spans="2:31" x14ac:dyDescent="0.3">
      <c r="B967" s="245" t="s">
        <v>95</v>
      </c>
      <c r="C967" s="245"/>
      <c r="D967" s="245"/>
      <c r="E967" s="137">
        <v>0</v>
      </c>
      <c r="F967" s="138">
        <v>0</v>
      </c>
      <c r="G967" s="137">
        <v>0</v>
      </c>
      <c r="H967" s="138">
        <v>0</v>
      </c>
      <c r="I967" s="137">
        <v>0</v>
      </c>
      <c r="J967" s="138">
        <v>0</v>
      </c>
      <c r="K967" s="137">
        <v>0</v>
      </c>
      <c r="L967" s="138">
        <v>0</v>
      </c>
      <c r="M967" s="137">
        <v>0</v>
      </c>
      <c r="N967" s="138">
        <v>0</v>
      </c>
      <c r="O967" s="137">
        <v>0</v>
      </c>
      <c r="P967" s="138">
        <v>0</v>
      </c>
      <c r="Q967" s="137">
        <v>0</v>
      </c>
      <c r="R967" s="138">
        <v>0</v>
      </c>
      <c r="S967" s="137">
        <v>0</v>
      </c>
      <c r="T967" s="138">
        <v>0</v>
      </c>
      <c r="U967" s="137">
        <v>0</v>
      </c>
      <c r="V967" s="138">
        <v>0</v>
      </c>
      <c r="W967" s="137">
        <v>0</v>
      </c>
      <c r="X967" s="138">
        <v>0</v>
      </c>
      <c r="Y967" s="137">
        <v>0</v>
      </c>
      <c r="Z967" s="138">
        <v>0</v>
      </c>
      <c r="AA967" s="137">
        <v>0</v>
      </c>
      <c r="AB967" s="138">
        <v>0</v>
      </c>
      <c r="AC967" s="238">
        <f t="shared" si="51"/>
        <v>0</v>
      </c>
      <c r="AD967" s="238"/>
      <c r="AE967" s="238"/>
    </row>
    <row r="968" spans="2:31" x14ac:dyDescent="0.3">
      <c r="B968" s="245" t="s">
        <v>59</v>
      </c>
      <c r="C968" s="245"/>
      <c r="D968" s="245"/>
      <c r="E968" s="137">
        <v>0</v>
      </c>
      <c r="F968" s="138">
        <v>0</v>
      </c>
      <c r="G968" s="137">
        <v>0</v>
      </c>
      <c r="H968" s="138">
        <v>0</v>
      </c>
      <c r="I968" s="137">
        <v>0</v>
      </c>
      <c r="J968" s="138">
        <v>0</v>
      </c>
      <c r="K968" s="137">
        <v>0</v>
      </c>
      <c r="L968" s="138">
        <v>0</v>
      </c>
      <c r="M968" s="137">
        <v>0</v>
      </c>
      <c r="N968" s="138">
        <v>12.856166666666663</v>
      </c>
      <c r="O968" s="137">
        <v>23.39316666666668</v>
      </c>
      <c r="P968" s="138">
        <v>23.551999999999989</v>
      </c>
      <c r="Q968" s="137">
        <v>24.459333333333337</v>
      </c>
      <c r="R968" s="138">
        <v>1.2446666666666668</v>
      </c>
      <c r="S968" s="137">
        <v>0</v>
      </c>
      <c r="T968" s="138">
        <v>12.845000000000001</v>
      </c>
      <c r="U968" s="137">
        <v>17.193666666666676</v>
      </c>
      <c r="V968" s="138">
        <v>14.756833333333331</v>
      </c>
      <c r="W968" s="137">
        <v>9.7416666666666689</v>
      </c>
      <c r="X968" s="138">
        <v>0</v>
      </c>
      <c r="Y968" s="137">
        <v>0</v>
      </c>
      <c r="Z968" s="138">
        <v>0</v>
      </c>
      <c r="AA968" s="137">
        <v>0</v>
      </c>
      <c r="AB968" s="138">
        <v>0</v>
      </c>
      <c r="AC968" s="238">
        <f t="shared" si="51"/>
        <v>140.04249999999999</v>
      </c>
      <c r="AD968" s="238"/>
      <c r="AE968" s="238"/>
    </row>
    <row r="969" spans="2:31" x14ac:dyDescent="0.3">
      <c r="B969" s="245" t="s">
        <v>60</v>
      </c>
      <c r="C969" s="245"/>
      <c r="D969" s="245"/>
      <c r="E969" s="137">
        <v>0</v>
      </c>
      <c r="F969" s="138">
        <v>0</v>
      </c>
      <c r="G969" s="137">
        <v>0</v>
      </c>
      <c r="H969" s="138">
        <v>0</v>
      </c>
      <c r="I969" s="137">
        <v>0</v>
      </c>
      <c r="J969" s="138">
        <v>0</v>
      </c>
      <c r="K969" s="137">
        <v>0</v>
      </c>
      <c r="L969" s="138">
        <v>0</v>
      </c>
      <c r="M969" s="137">
        <v>0</v>
      </c>
      <c r="N969" s="138">
        <v>0.12500000000000036</v>
      </c>
      <c r="O969" s="137">
        <v>11.998833333333332</v>
      </c>
      <c r="P969" s="138">
        <v>13.706000000000008</v>
      </c>
      <c r="Q969" s="137">
        <v>15.584666666666667</v>
      </c>
      <c r="R969" s="138">
        <v>0.80033333333333323</v>
      </c>
      <c r="S969" s="137">
        <v>0</v>
      </c>
      <c r="T969" s="138">
        <v>1.0421666666666651</v>
      </c>
      <c r="U969" s="137">
        <v>0.99450000000000327</v>
      </c>
      <c r="V969" s="138">
        <v>0.57250000000000056</v>
      </c>
      <c r="W969" s="137">
        <v>2.566666666666689E-2</v>
      </c>
      <c r="X969" s="138">
        <v>0</v>
      </c>
      <c r="Y969" s="137">
        <v>0</v>
      </c>
      <c r="Z969" s="138">
        <v>0</v>
      </c>
      <c r="AA969" s="137">
        <v>0</v>
      </c>
      <c r="AB969" s="138">
        <v>0</v>
      </c>
      <c r="AC969" s="238">
        <f t="shared" si="51"/>
        <v>44.849666666666671</v>
      </c>
      <c r="AD969" s="238"/>
      <c r="AE969" s="238"/>
    </row>
    <row r="970" spans="2:31" x14ac:dyDescent="0.3">
      <c r="B970" s="245" t="s">
        <v>61</v>
      </c>
      <c r="C970" s="245"/>
      <c r="D970" s="245"/>
      <c r="E970" s="137">
        <v>0</v>
      </c>
      <c r="F970" s="138">
        <v>0</v>
      </c>
      <c r="G970" s="137">
        <v>0</v>
      </c>
      <c r="H970" s="138">
        <v>0</v>
      </c>
      <c r="I970" s="137">
        <v>0</v>
      </c>
      <c r="J970" s="138">
        <v>0</v>
      </c>
      <c r="K970" s="137">
        <v>0</v>
      </c>
      <c r="L970" s="138">
        <v>0</v>
      </c>
      <c r="M970" s="137">
        <v>0</v>
      </c>
      <c r="N970" s="138">
        <v>0</v>
      </c>
      <c r="O970" s="137">
        <v>0</v>
      </c>
      <c r="P970" s="138">
        <v>0.94883333333333941</v>
      </c>
      <c r="Q970" s="137">
        <v>6.4935000000000009</v>
      </c>
      <c r="R970" s="138">
        <v>0.31750000000000045</v>
      </c>
      <c r="S970" s="137">
        <v>0</v>
      </c>
      <c r="T970" s="138">
        <v>0</v>
      </c>
      <c r="U970" s="137">
        <v>0</v>
      </c>
      <c r="V970" s="138">
        <v>0</v>
      </c>
      <c r="W970" s="137">
        <v>0.59516666666666607</v>
      </c>
      <c r="X970" s="138">
        <v>0</v>
      </c>
      <c r="Y970" s="137">
        <v>0</v>
      </c>
      <c r="Z970" s="138">
        <v>0</v>
      </c>
      <c r="AA970" s="137">
        <v>0</v>
      </c>
      <c r="AB970" s="138">
        <v>0</v>
      </c>
      <c r="AC970" s="238">
        <f t="shared" si="51"/>
        <v>8.3550000000000075</v>
      </c>
      <c r="AD970" s="238"/>
      <c r="AE970" s="238"/>
    </row>
    <row r="971" spans="2:31" x14ac:dyDescent="0.3">
      <c r="B971" s="245" t="s">
        <v>62</v>
      </c>
      <c r="C971" s="245"/>
      <c r="D971" s="245"/>
      <c r="E971" s="137">
        <v>0</v>
      </c>
      <c r="F971" s="138">
        <v>0</v>
      </c>
      <c r="G971" s="137">
        <v>0</v>
      </c>
      <c r="H971" s="138">
        <v>0</v>
      </c>
      <c r="I971" s="137">
        <v>0</v>
      </c>
      <c r="J971" s="138">
        <v>0</v>
      </c>
      <c r="K971" s="137">
        <v>0</v>
      </c>
      <c r="L971" s="138">
        <v>0</v>
      </c>
      <c r="M971" s="137">
        <v>0</v>
      </c>
      <c r="N971" s="138">
        <v>0</v>
      </c>
      <c r="O971" s="137">
        <v>0</v>
      </c>
      <c r="P971" s="138">
        <v>0</v>
      </c>
      <c r="Q971" s="137">
        <v>0</v>
      </c>
      <c r="R971" s="138">
        <v>0</v>
      </c>
      <c r="S971" s="137">
        <v>0</v>
      </c>
      <c r="T971" s="138">
        <v>0</v>
      </c>
      <c r="U971" s="137">
        <v>0</v>
      </c>
      <c r="V971" s="138">
        <v>0</v>
      </c>
      <c r="W971" s="137">
        <v>0</v>
      </c>
      <c r="X971" s="138">
        <v>0</v>
      </c>
      <c r="Y971" s="137">
        <v>0</v>
      </c>
      <c r="Z971" s="138">
        <v>0</v>
      </c>
      <c r="AA971" s="137">
        <v>0</v>
      </c>
      <c r="AB971" s="138">
        <v>0</v>
      </c>
      <c r="AC971" s="238">
        <f t="shared" si="51"/>
        <v>0</v>
      </c>
      <c r="AD971" s="238"/>
      <c r="AE971" s="238"/>
    </row>
    <row r="972" spans="2:31" x14ac:dyDescent="0.3">
      <c r="B972" s="245" t="s">
        <v>63</v>
      </c>
      <c r="C972" s="245"/>
      <c r="D972" s="245"/>
      <c r="E972" s="137">
        <v>0</v>
      </c>
      <c r="F972" s="138">
        <v>0</v>
      </c>
      <c r="G972" s="137">
        <v>0</v>
      </c>
      <c r="H972" s="138">
        <v>0</v>
      </c>
      <c r="I972" s="137">
        <v>0</v>
      </c>
      <c r="J972" s="138">
        <v>0</v>
      </c>
      <c r="K972" s="137">
        <v>0</v>
      </c>
      <c r="L972" s="138">
        <v>0</v>
      </c>
      <c r="M972" s="137">
        <v>0</v>
      </c>
      <c r="N972" s="138">
        <v>0</v>
      </c>
      <c r="O972" s="137">
        <v>0</v>
      </c>
      <c r="P972" s="138">
        <v>0</v>
      </c>
      <c r="Q972" s="137">
        <v>0</v>
      </c>
      <c r="R972" s="138">
        <v>0</v>
      </c>
      <c r="S972" s="137">
        <v>0</v>
      </c>
      <c r="T972" s="138">
        <v>0.5643333333333298</v>
      </c>
      <c r="U972" s="137">
        <v>0.69616666666666638</v>
      </c>
      <c r="V972" s="138">
        <v>0.66333333333333822</v>
      </c>
      <c r="W972" s="137">
        <v>2.0601666666666651</v>
      </c>
      <c r="X972" s="138">
        <v>0</v>
      </c>
      <c r="Y972" s="137">
        <v>0</v>
      </c>
      <c r="Z972" s="138">
        <v>0</v>
      </c>
      <c r="AA972" s="137">
        <v>0</v>
      </c>
      <c r="AB972" s="138">
        <v>0</v>
      </c>
      <c r="AC972" s="238">
        <f t="shared" si="51"/>
        <v>3.9839999999999995</v>
      </c>
      <c r="AD972" s="238"/>
      <c r="AE972" s="238"/>
    </row>
    <row r="973" spans="2:31" x14ac:dyDescent="0.3">
      <c r="B973" s="245" t="s">
        <v>64</v>
      </c>
      <c r="C973" s="245"/>
      <c r="D973" s="245"/>
      <c r="E973" s="137">
        <v>0</v>
      </c>
      <c r="F973" s="138">
        <v>0</v>
      </c>
      <c r="G973" s="137">
        <v>0</v>
      </c>
      <c r="H973" s="138">
        <v>0</v>
      </c>
      <c r="I973" s="137">
        <v>0</v>
      </c>
      <c r="J973" s="138">
        <v>0</v>
      </c>
      <c r="K973" s="137">
        <v>0</v>
      </c>
      <c r="L973" s="138">
        <v>0</v>
      </c>
      <c r="M973" s="137">
        <v>0</v>
      </c>
      <c r="N973" s="138">
        <v>0</v>
      </c>
      <c r="O973" s="137">
        <v>0</v>
      </c>
      <c r="P973" s="138">
        <v>0</v>
      </c>
      <c r="Q973" s="137">
        <v>0</v>
      </c>
      <c r="R973" s="138">
        <v>0</v>
      </c>
      <c r="S973" s="137">
        <v>0</v>
      </c>
      <c r="T973" s="138">
        <v>5.0166666666666755E-2</v>
      </c>
      <c r="U973" s="137">
        <v>1.7551666666666657</v>
      </c>
      <c r="V973" s="138">
        <v>1.5344999999999962</v>
      </c>
      <c r="W973" s="137">
        <v>1.8038333333333347</v>
      </c>
      <c r="X973" s="138">
        <v>0</v>
      </c>
      <c r="Y973" s="137">
        <v>0</v>
      </c>
      <c r="Z973" s="138">
        <v>0</v>
      </c>
      <c r="AA973" s="137">
        <v>0</v>
      </c>
      <c r="AB973" s="138">
        <v>0</v>
      </c>
      <c r="AC973" s="238">
        <f t="shared" si="51"/>
        <v>5.1436666666666628</v>
      </c>
      <c r="AD973" s="238"/>
      <c r="AE973" s="238"/>
    </row>
    <row r="974" spans="2:31" x14ac:dyDescent="0.3">
      <c r="B974" s="245" t="s">
        <v>96</v>
      </c>
      <c r="C974" s="245"/>
      <c r="D974" s="245"/>
      <c r="E974" s="137">
        <v>0</v>
      </c>
      <c r="F974" s="138">
        <v>0</v>
      </c>
      <c r="G974" s="137">
        <v>0</v>
      </c>
      <c r="H974" s="138">
        <v>0</v>
      </c>
      <c r="I974" s="137">
        <v>0</v>
      </c>
      <c r="J974" s="138">
        <v>0</v>
      </c>
      <c r="K974" s="137">
        <v>0</v>
      </c>
      <c r="L974" s="138">
        <v>0</v>
      </c>
      <c r="M974" s="137">
        <v>0</v>
      </c>
      <c r="N974" s="138">
        <v>0</v>
      </c>
      <c r="O974" s="137">
        <v>0</v>
      </c>
      <c r="P974" s="138">
        <v>0</v>
      </c>
      <c r="Q974" s="137">
        <v>0</v>
      </c>
      <c r="R974" s="138">
        <v>0</v>
      </c>
      <c r="S974" s="137">
        <v>0</v>
      </c>
      <c r="T974" s="138">
        <v>0</v>
      </c>
      <c r="U974" s="137">
        <v>0</v>
      </c>
      <c r="V974" s="138">
        <v>0</v>
      </c>
      <c r="W974" s="137">
        <v>0</v>
      </c>
      <c r="X974" s="138">
        <v>0</v>
      </c>
      <c r="Y974" s="137">
        <v>0</v>
      </c>
      <c r="Z974" s="138">
        <v>0</v>
      </c>
      <c r="AA974" s="137">
        <v>0</v>
      </c>
      <c r="AB974" s="138">
        <v>0</v>
      </c>
      <c r="AC974" s="238">
        <f t="shared" si="51"/>
        <v>0</v>
      </c>
      <c r="AD974" s="238"/>
      <c r="AE974" s="238"/>
    </row>
    <row r="975" spans="2:31" x14ac:dyDescent="0.3">
      <c r="B975" s="245" t="s">
        <v>65</v>
      </c>
      <c r="C975" s="245"/>
      <c r="D975" s="245"/>
      <c r="E975" s="137">
        <v>0</v>
      </c>
      <c r="F975" s="138">
        <v>0</v>
      </c>
      <c r="G975" s="137">
        <v>0</v>
      </c>
      <c r="H975" s="138">
        <v>0</v>
      </c>
      <c r="I975" s="137">
        <v>0</v>
      </c>
      <c r="J975" s="138">
        <v>0</v>
      </c>
      <c r="K975" s="137">
        <v>0</v>
      </c>
      <c r="L975" s="138">
        <v>0</v>
      </c>
      <c r="M975" s="137">
        <v>0</v>
      </c>
      <c r="N975" s="138">
        <v>0</v>
      </c>
      <c r="O975" s="137">
        <v>0</v>
      </c>
      <c r="P975" s="138">
        <v>0</v>
      </c>
      <c r="Q975" s="137">
        <v>0</v>
      </c>
      <c r="R975" s="138">
        <v>0</v>
      </c>
      <c r="S975" s="137">
        <v>0</v>
      </c>
      <c r="T975" s="138">
        <v>0.93566666666666765</v>
      </c>
      <c r="U975" s="137">
        <v>1.0316666666666681</v>
      </c>
      <c r="V975" s="138">
        <v>7.4833333333333071E-2</v>
      </c>
      <c r="W975" s="137">
        <v>0.83</v>
      </c>
      <c r="X975" s="138">
        <v>0</v>
      </c>
      <c r="Y975" s="137">
        <v>0</v>
      </c>
      <c r="Z975" s="138">
        <v>0</v>
      </c>
      <c r="AA975" s="137">
        <v>0</v>
      </c>
      <c r="AB975" s="138">
        <v>0</v>
      </c>
      <c r="AC975" s="238">
        <f t="shared" si="51"/>
        <v>2.8721666666666685</v>
      </c>
      <c r="AD975" s="238"/>
      <c r="AE975" s="238"/>
    </row>
    <row r="976" spans="2:31" x14ac:dyDescent="0.3">
      <c r="B976" s="245" t="s">
        <v>66</v>
      </c>
      <c r="C976" s="245"/>
      <c r="D976" s="245"/>
      <c r="E976" s="137">
        <v>0</v>
      </c>
      <c r="F976" s="138">
        <v>0</v>
      </c>
      <c r="G976" s="137">
        <v>0</v>
      </c>
      <c r="H976" s="138">
        <v>0</v>
      </c>
      <c r="I976" s="137">
        <v>0</v>
      </c>
      <c r="J976" s="138">
        <v>0</v>
      </c>
      <c r="K976" s="137">
        <v>0</v>
      </c>
      <c r="L976" s="138">
        <v>0</v>
      </c>
      <c r="M976" s="137">
        <v>0</v>
      </c>
      <c r="N976" s="138">
        <v>0</v>
      </c>
      <c r="O976" s="137">
        <v>0</v>
      </c>
      <c r="P976" s="138">
        <v>0</v>
      </c>
      <c r="Q976" s="137">
        <v>0</v>
      </c>
      <c r="R976" s="138">
        <v>0</v>
      </c>
      <c r="S976" s="137">
        <v>0</v>
      </c>
      <c r="T976" s="138">
        <v>2.7203333333333353</v>
      </c>
      <c r="U976" s="137">
        <v>3.2006666666666623</v>
      </c>
      <c r="V976" s="138">
        <v>3.1038333333333328</v>
      </c>
      <c r="W976" s="137">
        <v>2.133</v>
      </c>
      <c r="X976" s="138">
        <v>0</v>
      </c>
      <c r="Y976" s="137">
        <v>0</v>
      </c>
      <c r="Z976" s="138">
        <v>0</v>
      </c>
      <c r="AA976" s="137">
        <v>0</v>
      </c>
      <c r="AB976" s="138">
        <v>0</v>
      </c>
      <c r="AC976" s="238">
        <f>SUM(E976:AB976)</f>
        <v>11.157833333333329</v>
      </c>
      <c r="AD976" s="238"/>
      <c r="AE976" s="238"/>
    </row>
    <row r="977" spans="2:31" x14ac:dyDescent="0.3">
      <c r="B977" s="245" t="s">
        <v>67</v>
      </c>
      <c r="C977" s="245"/>
      <c r="D977" s="245"/>
      <c r="E977" s="137">
        <v>0</v>
      </c>
      <c r="F977" s="138">
        <v>0</v>
      </c>
      <c r="G977" s="137">
        <v>0</v>
      </c>
      <c r="H977" s="138">
        <v>0</v>
      </c>
      <c r="I977" s="137">
        <v>0</v>
      </c>
      <c r="J977" s="138">
        <v>0</v>
      </c>
      <c r="K977" s="137">
        <v>0</v>
      </c>
      <c r="L977" s="138">
        <v>0</v>
      </c>
      <c r="M977" s="137">
        <v>0</v>
      </c>
      <c r="N977" s="138">
        <v>0</v>
      </c>
      <c r="O977" s="137">
        <v>0</v>
      </c>
      <c r="P977" s="138">
        <v>0</v>
      </c>
      <c r="Q977" s="137">
        <v>0</v>
      </c>
      <c r="R977" s="138">
        <v>0</v>
      </c>
      <c r="S977" s="137">
        <v>0</v>
      </c>
      <c r="T977" s="138">
        <v>0.24283333333333409</v>
      </c>
      <c r="U977" s="137">
        <v>1.0340000000000003</v>
      </c>
      <c r="V977" s="138">
        <v>3.0923333333333343</v>
      </c>
      <c r="W977" s="137">
        <v>1.9171666666666674</v>
      </c>
      <c r="X977" s="138">
        <v>0</v>
      </c>
      <c r="Y977" s="137">
        <v>0</v>
      </c>
      <c r="Z977" s="138">
        <v>0</v>
      </c>
      <c r="AA977" s="137">
        <v>0</v>
      </c>
      <c r="AB977" s="138">
        <v>0</v>
      </c>
      <c r="AC977" s="238">
        <f t="shared" ref="AC977:AC990" si="52">SUM(E977:AB977)</f>
        <v>6.286333333333336</v>
      </c>
      <c r="AD977" s="238"/>
      <c r="AE977" s="238"/>
    </row>
    <row r="978" spans="2:31" x14ac:dyDescent="0.3">
      <c r="B978" s="245" t="s">
        <v>68</v>
      </c>
      <c r="C978" s="245"/>
      <c r="D978" s="245"/>
      <c r="E978" s="137">
        <v>0</v>
      </c>
      <c r="F978" s="138">
        <v>0</v>
      </c>
      <c r="G978" s="137">
        <v>0</v>
      </c>
      <c r="H978" s="138">
        <v>0</v>
      </c>
      <c r="I978" s="137">
        <v>0</v>
      </c>
      <c r="J978" s="138">
        <v>0</v>
      </c>
      <c r="K978" s="137">
        <v>0</v>
      </c>
      <c r="L978" s="138">
        <v>0</v>
      </c>
      <c r="M978" s="137">
        <v>0</v>
      </c>
      <c r="N978" s="138">
        <v>0</v>
      </c>
      <c r="O978" s="137">
        <v>0</v>
      </c>
      <c r="P978" s="138">
        <v>0</v>
      </c>
      <c r="Q978" s="137">
        <v>0</v>
      </c>
      <c r="R978" s="138">
        <v>0</v>
      </c>
      <c r="S978" s="137">
        <v>0</v>
      </c>
      <c r="T978" s="138">
        <v>9.3060000000000009</v>
      </c>
      <c r="U978" s="137">
        <v>16.493833333333331</v>
      </c>
      <c r="V978" s="138">
        <v>22.500500000000006</v>
      </c>
      <c r="W978" s="137">
        <v>36.171333333333322</v>
      </c>
      <c r="X978" s="138">
        <v>0.36333333333333334</v>
      </c>
      <c r="Y978" s="137">
        <v>0</v>
      </c>
      <c r="Z978" s="138">
        <v>0</v>
      </c>
      <c r="AA978" s="137">
        <v>0</v>
      </c>
      <c r="AB978" s="138">
        <v>0</v>
      </c>
      <c r="AC978" s="238">
        <f t="shared" si="52"/>
        <v>84.834999999999994</v>
      </c>
      <c r="AD978" s="238"/>
      <c r="AE978" s="238"/>
    </row>
    <row r="979" spans="2:31" x14ac:dyDescent="0.3">
      <c r="B979" s="245" t="s">
        <v>69</v>
      </c>
      <c r="C979" s="245"/>
      <c r="D979" s="245"/>
      <c r="E979" s="137">
        <v>0</v>
      </c>
      <c r="F979" s="138">
        <v>0</v>
      </c>
      <c r="G979" s="137">
        <v>0</v>
      </c>
      <c r="H979" s="138">
        <v>0</v>
      </c>
      <c r="I979" s="137">
        <v>0</v>
      </c>
      <c r="J979" s="138">
        <v>0</v>
      </c>
      <c r="K979" s="137">
        <v>0</v>
      </c>
      <c r="L979" s="138">
        <v>0</v>
      </c>
      <c r="M979" s="137">
        <v>0</v>
      </c>
      <c r="N979" s="138">
        <v>0</v>
      </c>
      <c r="O979" s="137">
        <v>0</v>
      </c>
      <c r="P979" s="138">
        <v>0</v>
      </c>
      <c r="Q979" s="137">
        <v>0</v>
      </c>
      <c r="R979" s="138">
        <v>0</v>
      </c>
      <c r="S979" s="137">
        <v>0</v>
      </c>
      <c r="T979" s="138">
        <v>15.282666666666666</v>
      </c>
      <c r="U979" s="137">
        <v>20.442166666666662</v>
      </c>
      <c r="V979" s="138">
        <v>2.8501666666666665</v>
      </c>
      <c r="W979" s="137">
        <v>4.233333333333332E-2</v>
      </c>
      <c r="X979" s="138">
        <v>0</v>
      </c>
      <c r="Y979" s="137">
        <v>0</v>
      </c>
      <c r="Z979" s="138">
        <v>0</v>
      </c>
      <c r="AA979" s="137">
        <v>0</v>
      </c>
      <c r="AB979" s="138">
        <v>0</v>
      </c>
      <c r="AC979" s="238">
        <f t="shared" si="52"/>
        <v>38.617333333333328</v>
      </c>
      <c r="AD979" s="238"/>
      <c r="AE979" s="238"/>
    </row>
    <row r="980" spans="2:31" x14ac:dyDescent="0.3">
      <c r="B980" s="245" t="s">
        <v>70</v>
      </c>
      <c r="C980" s="245"/>
      <c r="D980" s="245"/>
      <c r="E980" s="137">
        <v>0</v>
      </c>
      <c r="F980" s="138">
        <v>0</v>
      </c>
      <c r="G980" s="137">
        <v>0</v>
      </c>
      <c r="H980" s="138">
        <v>0</v>
      </c>
      <c r="I980" s="137">
        <v>0</v>
      </c>
      <c r="J980" s="138">
        <v>0</v>
      </c>
      <c r="K980" s="137">
        <v>0</v>
      </c>
      <c r="L980" s="138">
        <v>0</v>
      </c>
      <c r="M980" s="137">
        <v>0</v>
      </c>
      <c r="N980" s="138">
        <v>0</v>
      </c>
      <c r="O980" s="137">
        <v>0</v>
      </c>
      <c r="P980" s="138">
        <v>0</v>
      </c>
      <c r="Q980" s="137">
        <v>0</v>
      </c>
      <c r="R980" s="138">
        <v>0</v>
      </c>
      <c r="S980" s="137">
        <v>0</v>
      </c>
      <c r="T980" s="138">
        <v>0</v>
      </c>
      <c r="U980" s="137">
        <v>0</v>
      </c>
      <c r="V980" s="138">
        <v>0</v>
      </c>
      <c r="W980" s="137">
        <v>0</v>
      </c>
      <c r="X980" s="138">
        <v>0</v>
      </c>
      <c r="Y980" s="137">
        <v>0</v>
      </c>
      <c r="Z980" s="138">
        <v>0</v>
      </c>
      <c r="AA980" s="137">
        <v>0</v>
      </c>
      <c r="AB980" s="138">
        <v>0</v>
      </c>
      <c r="AC980" s="238">
        <f t="shared" si="52"/>
        <v>0</v>
      </c>
      <c r="AD980" s="238"/>
      <c r="AE980" s="238"/>
    </row>
    <row r="981" spans="2:31" x14ac:dyDescent="0.3">
      <c r="B981" s="245" t="s">
        <v>71</v>
      </c>
      <c r="C981" s="245"/>
      <c r="D981" s="245"/>
      <c r="E981" s="137">
        <v>0</v>
      </c>
      <c r="F981" s="138">
        <v>0</v>
      </c>
      <c r="G981" s="137">
        <v>0</v>
      </c>
      <c r="H981" s="138">
        <v>0</v>
      </c>
      <c r="I981" s="137">
        <v>0</v>
      </c>
      <c r="J981" s="138">
        <v>0</v>
      </c>
      <c r="K981" s="137">
        <v>0</v>
      </c>
      <c r="L981" s="138">
        <v>0</v>
      </c>
      <c r="M981" s="137">
        <v>0</v>
      </c>
      <c r="N981" s="138">
        <v>0</v>
      </c>
      <c r="O981" s="137">
        <v>0</v>
      </c>
      <c r="P981" s="138">
        <v>0</v>
      </c>
      <c r="Q981" s="137">
        <v>0</v>
      </c>
      <c r="R981" s="138">
        <v>0</v>
      </c>
      <c r="S981" s="137">
        <v>0</v>
      </c>
      <c r="T981" s="138">
        <v>0</v>
      </c>
      <c r="U981" s="137">
        <v>0</v>
      </c>
      <c r="V981" s="138">
        <v>0</v>
      </c>
      <c r="W981" s="137">
        <v>0</v>
      </c>
      <c r="X981" s="138">
        <v>0</v>
      </c>
      <c r="Y981" s="137">
        <v>0</v>
      </c>
      <c r="Z981" s="138">
        <v>0</v>
      </c>
      <c r="AA981" s="137">
        <v>0</v>
      </c>
      <c r="AB981" s="138">
        <v>0</v>
      </c>
      <c r="AC981" s="238">
        <f t="shared" si="52"/>
        <v>0</v>
      </c>
      <c r="AD981" s="238"/>
      <c r="AE981" s="238"/>
    </row>
    <row r="982" spans="2:31" x14ac:dyDescent="0.3">
      <c r="B982" s="245" t="s">
        <v>72</v>
      </c>
      <c r="C982" s="245"/>
      <c r="D982" s="245"/>
      <c r="E982" s="137">
        <v>0</v>
      </c>
      <c r="F982" s="138">
        <v>0</v>
      </c>
      <c r="G982" s="137">
        <v>0</v>
      </c>
      <c r="H982" s="138">
        <v>0</v>
      </c>
      <c r="I982" s="137">
        <v>0</v>
      </c>
      <c r="J982" s="138">
        <v>0</v>
      </c>
      <c r="K982" s="137">
        <v>0</v>
      </c>
      <c r="L982" s="138">
        <v>0</v>
      </c>
      <c r="M982" s="137">
        <v>0</v>
      </c>
      <c r="N982" s="138">
        <v>0</v>
      </c>
      <c r="O982" s="137">
        <v>0</v>
      </c>
      <c r="P982" s="138">
        <v>0</v>
      </c>
      <c r="Q982" s="137">
        <v>0</v>
      </c>
      <c r="R982" s="138">
        <v>0</v>
      </c>
      <c r="S982" s="137">
        <v>0</v>
      </c>
      <c r="T982" s="138">
        <v>0</v>
      </c>
      <c r="U982" s="137">
        <v>0</v>
      </c>
      <c r="V982" s="138">
        <v>0</v>
      </c>
      <c r="W982" s="137">
        <v>2.2499999999999964E-2</v>
      </c>
      <c r="X982" s="138">
        <v>0</v>
      </c>
      <c r="Y982" s="137">
        <v>0</v>
      </c>
      <c r="Z982" s="138">
        <v>0</v>
      </c>
      <c r="AA982" s="137">
        <v>0</v>
      </c>
      <c r="AB982" s="138">
        <v>0</v>
      </c>
      <c r="AC982" s="238">
        <f t="shared" si="52"/>
        <v>2.2499999999999964E-2</v>
      </c>
      <c r="AD982" s="238"/>
      <c r="AE982" s="238"/>
    </row>
    <row r="983" spans="2:31" x14ac:dyDescent="0.3">
      <c r="B983" s="245" t="s">
        <v>73</v>
      </c>
      <c r="C983" s="245"/>
      <c r="D983" s="245"/>
      <c r="E983" s="137">
        <v>0</v>
      </c>
      <c r="F983" s="138">
        <v>0</v>
      </c>
      <c r="G983" s="137">
        <v>0</v>
      </c>
      <c r="H983" s="138">
        <v>0</v>
      </c>
      <c r="I983" s="137">
        <v>0</v>
      </c>
      <c r="J983" s="138">
        <v>0</v>
      </c>
      <c r="K983" s="137">
        <v>0</v>
      </c>
      <c r="L983" s="138">
        <v>0</v>
      </c>
      <c r="M983" s="137">
        <v>0</v>
      </c>
      <c r="N983" s="138">
        <v>0</v>
      </c>
      <c r="O983" s="137">
        <v>0</v>
      </c>
      <c r="P983" s="138">
        <v>0</v>
      </c>
      <c r="Q983" s="137">
        <v>0</v>
      </c>
      <c r="R983" s="138">
        <v>0</v>
      </c>
      <c r="S983" s="137">
        <v>0</v>
      </c>
      <c r="T983" s="138">
        <v>71.367833333333394</v>
      </c>
      <c r="U983" s="137">
        <v>95.089166666666628</v>
      </c>
      <c r="V983" s="138">
        <v>91.771333333333359</v>
      </c>
      <c r="W983" s="137">
        <v>73.208500000000001</v>
      </c>
      <c r="X983" s="138">
        <v>0.54400000000000015</v>
      </c>
      <c r="Y983" s="137">
        <v>0</v>
      </c>
      <c r="Z983" s="138">
        <v>0</v>
      </c>
      <c r="AA983" s="137">
        <v>0</v>
      </c>
      <c r="AB983" s="138">
        <v>0</v>
      </c>
      <c r="AC983" s="238">
        <f t="shared" si="52"/>
        <v>331.98083333333335</v>
      </c>
      <c r="AD983" s="238"/>
      <c r="AE983" s="238"/>
    </row>
    <row r="984" spans="2:31" x14ac:dyDescent="0.3">
      <c r="B984" s="245" t="s">
        <v>74</v>
      </c>
      <c r="C984" s="245"/>
      <c r="D984" s="245"/>
      <c r="E984" s="137">
        <v>0</v>
      </c>
      <c r="F984" s="138">
        <v>0</v>
      </c>
      <c r="G984" s="137">
        <v>0</v>
      </c>
      <c r="H984" s="138">
        <v>0</v>
      </c>
      <c r="I984" s="137">
        <v>0</v>
      </c>
      <c r="J984" s="138">
        <v>0</v>
      </c>
      <c r="K984" s="137">
        <v>0</v>
      </c>
      <c r="L984" s="138">
        <v>0</v>
      </c>
      <c r="M984" s="137">
        <v>0</v>
      </c>
      <c r="N984" s="138">
        <v>0</v>
      </c>
      <c r="O984" s="137">
        <v>0</v>
      </c>
      <c r="P984" s="138">
        <v>0</v>
      </c>
      <c r="Q984" s="137">
        <v>0</v>
      </c>
      <c r="R984" s="138">
        <v>0</v>
      </c>
      <c r="S984" s="137">
        <v>0</v>
      </c>
      <c r="T984" s="138">
        <v>0.61050000000000038</v>
      </c>
      <c r="U984" s="137">
        <v>1.348166666666667</v>
      </c>
      <c r="V984" s="138">
        <v>0.9856666666666668</v>
      </c>
      <c r="W984" s="137">
        <v>1.0468333333333328</v>
      </c>
      <c r="X984" s="138">
        <v>0</v>
      </c>
      <c r="Y984" s="137">
        <v>0</v>
      </c>
      <c r="Z984" s="138">
        <v>0</v>
      </c>
      <c r="AA984" s="137">
        <v>0</v>
      </c>
      <c r="AB984" s="138">
        <v>0</v>
      </c>
      <c r="AC984" s="238">
        <f t="shared" si="52"/>
        <v>3.991166666666667</v>
      </c>
      <c r="AD984" s="238"/>
      <c r="AE984" s="238"/>
    </row>
    <row r="985" spans="2:31" x14ac:dyDescent="0.3">
      <c r="B985" s="245" t="s">
        <v>75</v>
      </c>
      <c r="C985" s="245"/>
      <c r="D985" s="245"/>
      <c r="E985" s="137">
        <v>0</v>
      </c>
      <c r="F985" s="138">
        <v>0</v>
      </c>
      <c r="G985" s="137">
        <v>0</v>
      </c>
      <c r="H985" s="138">
        <v>0</v>
      </c>
      <c r="I985" s="137">
        <v>0</v>
      </c>
      <c r="J985" s="138">
        <v>0</v>
      </c>
      <c r="K985" s="137">
        <v>0</v>
      </c>
      <c r="L985" s="138">
        <v>0</v>
      </c>
      <c r="M985" s="137">
        <v>0</v>
      </c>
      <c r="N985" s="138">
        <v>0</v>
      </c>
      <c r="O985" s="137">
        <v>0</v>
      </c>
      <c r="P985" s="138">
        <v>0</v>
      </c>
      <c r="Q985" s="137">
        <v>0</v>
      </c>
      <c r="R985" s="138">
        <v>0</v>
      </c>
      <c r="S985" s="137">
        <v>0</v>
      </c>
      <c r="T985" s="138">
        <v>5.4833333333332727E-2</v>
      </c>
      <c r="U985" s="137">
        <v>2.1118333333333301</v>
      </c>
      <c r="V985" s="138">
        <v>4.3969999999999967</v>
      </c>
      <c r="W985" s="137">
        <v>6.663166666666668</v>
      </c>
      <c r="X985" s="138">
        <v>0</v>
      </c>
      <c r="Y985" s="137">
        <v>0</v>
      </c>
      <c r="Z985" s="138">
        <v>0</v>
      </c>
      <c r="AA985" s="137">
        <v>0</v>
      </c>
      <c r="AB985" s="138">
        <v>0</v>
      </c>
      <c r="AC985" s="238">
        <f t="shared" si="52"/>
        <v>13.226833333333328</v>
      </c>
      <c r="AD985" s="238"/>
      <c r="AE985" s="238"/>
    </row>
    <row r="986" spans="2:31" x14ac:dyDescent="0.3">
      <c r="B986" s="245" t="s">
        <v>76</v>
      </c>
      <c r="C986" s="245"/>
      <c r="D986" s="245"/>
      <c r="E986" s="137">
        <v>0</v>
      </c>
      <c r="F986" s="138">
        <v>0</v>
      </c>
      <c r="G986" s="137">
        <v>0</v>
      </c>
      <c r="H986" s="138">
        <v>0</v>
      </c>
      <c r="I986" s="137">
        <v>0</v>
      </c>
      <c r="J986" s="138">
        <v>0</v>
      </c>
      <c r="K986" s="137">
        <v>0</v>
      </c>
      <c r="L986" s="138">
        <v>0</v>
      </c>
      <c r="M986" s="137">
        <v>0</v>
      </c>
      <c r="N986" s="138">
        <v>0</v>
      </c>
      <c r="O986" s="137">
        <v>0</v>
      </c>
      <c r="P986" s="138">
        <v>0</v>
      </c>
      <c r="Q986" s="137">
        <v>0</v>
      </c>
      <c r="R986" s="138">
        <v>0</v>
      </c>
      <c r="S986" s="137">
        <v>0</v>
      </c>
      <c r="T986" s="138">
        <v>0</v>
      </c>
      <c r="U986" s="137">
        <v>0</v>
      </c>
      <c r="V986" s="138">
        <v>0</v>
      </c>
      <c r="W986" s="137">
        <v>0</v>
      </c>
      <c r="X986" s="138">
        <v>0</v>
      </c>
      <c r="Y986" s="137">
        <v>0</v>
      </c>
      <c r="Z986" s="138">
        <v>0</v>
      </c>
      <c r="AA986" s="137">
        <v>0</v>
      </c>
      <c r="AB986" s="138">
        <v>0</v>
      </c>
      <c r="AC986" s="238">
        <f t="shared" si="52"/>
        <v>0</v>
      </c>
      <c r="AD986" s="238"/>
      <c r="AE986" s="238"/>
    </row>
    <row r="987" spans="2:31" x14ac:dyDescent="0.3">
      <c r="B987" s="245" t="s">
        <v>77</v>
      </c>
      <c r="C987" s="245"/>
      <c r="D987" s="245"/>
      <c r="E987" s="137">
        <v>0</v>
      </c>
      <c r="F987" s="138">
        <v>0</v>
      </c>
      <c r="G987" s="137">
        <v>0</v>
      </c>
      <c r="H987" s="138">
        <v>0</v>
      </c>
      <c r="I987" s="137">
        <v>0</v>
      </c>
      <c r="J987" s="138">
        <v>0</v>
      </c>
      <c r="K987" s="137">
        <v>0</v>
      </c>
      <c r="L987" s="138">
        <v>0</v>
      </c>
      <c r="M987" s="137">
        <v>0</v>
      </c>
      <c r="N987" s="138">
        <v>0</v>
      </c>
      <c r="O987" s="137">
        <v>0</v>
      </c>
      <c r="P987" s="138">
        <v>0</v>
      </c>
      <c r="Q987" s="137">
        <v>0</v>
      </c>
      <c r="R987" s="138">
        <v>0</v>
      </c>
      <c r="S987" s="137">
        <v>0</v>
      </c>
      <c r="T987" s="138">
        <v>4.6901666666666664</v>
      </c>
      <c r="U987" s="137">
        <v>15.204999999999997</v>
      </c>
      <c r="V987" s="138">
        <v>8.7795000000000005</v>
      </c>
      <c r="W987" s="137">
        <v>1.9931666666666676</v>
      </c>
      <c r="X987" s="138">
        <v>0</v>
      </c>
      <c r="Y987" s="137">
        <v>0</v>
      </c>
      <c r="Z987" s="138">
        <v>0</v>
      </c>
      <c r="AA987" s="137">
        <v>0</v>
      </c>
      <c r="AB987" s="138">
        <v>0</v>
      </c>
      <c r="AC987" s="238">
        <f t="shared" si="52"/>
        <v>30.667833333333327</v>
      </c>
      <c r="AD987" s="238"/>
      <c r="AE987" s="238"/>
    </row>
    <row r="988" spans="2:31" x14ac:dyDescent="0.3">
      <c r="B988" s="245" t="s">
        <v>78</v>
      </c>
      <c r="C988" s="245"/>
      <c r="D988" s="245"/>
      <c r="E988" s="137">
        <v>0</v>
      </c>
      <c r="F988" s="138">
        <v>0</v>
      </c>
      <c r="G988" s="137">
        <v>0</v>
      </c>
      <c r="H988" s="138">
        <v>0</v>
      </c>
      <c r="I988" s="137">
        <v>0</v>
      </c>
      <c r="J988" s="138">
        <v>0</v>
      </c>
      <c r="K988" s="137">
        <v>0</v>
      </c>
      <c r="L988" s="138">
        <v>0</v>
      </c>
      <c r="M988" s="137">
        <v>0</v>
      </c>
      <c r="N988" s="138">
        <v>0</v>
      </c>
      <c r="O988" s="137">
        <v>0</v>
      </c>
      <c r="P988" s="138">
        <v>0</v>
      </c>
      <c r="Q988" s="137">
        <v>0</v>
      </c>
      <c r="R988" s="138">
        <v>0</v>
      </c>
      <c r="S988" s="137">
        <v>0</v>
      </c>
      <c r="T988" s="138">
        <v>7.3724999999999916</v>
      </c>
      <c r="U988" s="137">
        <v>5.1299999999999963</v>
      </c>
      <c r="V988" s="138">
        <v>0</v>
      </c>
      <c r="W988" s="137">
        <v>0</v>
      </c>
      <c r="X988" s="138">
        <v>0</v>
      </c>
      <c r="Y988" s="137">
        <v>0</v>
      </c>
      <c r="Z988" s="138">
        <v>0</v>
      </c>
      <c r="AA988" s="137">
        <v>0</v>
      </c>
      <c r="AB988" s="138">
        <v>0</v>
      </c>
      <c r="AC988" s="238">
        <f t="shared" si="52"/>
        <v>12.502499999999987</v>
      </c>
      <c r="AD988" s="238"/>
      <c r="AE988" s="238"/>
    </row>
    <row r="989" spans="2:31" x14ac:dyDescent="0.3">
      <c r="B989" s="245" t="s">
        <v>79</v>
      </c>
      <c r="C989" s="245"/>
      <c r="D989" s="245"/>
      <c r="E989" s="137">
        <v>0</v>
      </c>
      <c r="F989" s="138">
        <v>0</v>
      </c>
      <c r="G989" s="137">
        <v>0</v>
      </c>
      <c r="H989" s="138">
        <v>0</v>
      </c>
      <c r="I989" s="137">
        <v>0</v>
      </c>
      <c r="J989" s="138">
        <v>0</v>
      </c>
      <c r="K989" s="137">
        <v>0</v>
      </c>
      <c r="L989" s="138">
        <v>0</v>
      </c>
      <c r="M989" s="137">
        <v>0</v>
      </c>
      <c r="N989" s="138">
        <v>0</v>
      </c>
      <c r="O989" s="137">
        <v>0</v>
      </c>
      <c r="P989" s="138">
        <v>0</v>
      </c>
      <c r="Q989" s="137">
        <v>0</v>
      </c>
      <c r="R989" s="138">
        <v>0</v>
      </c>
      <c r="S989" s="137">
        <v>0</v>
      </c>
      <c r="T989" s="138">
        <v>0</v>
      </c>
      <c r="U989" s="137">
        <v>0</v>
      </c>
      <c r="V989" s="138">
        <v>9.0893333333333342</v>
      </c>
      <c r="W989" s="137">
        <v>13.235833333333336</v>
      </c>
      <c r="X989" s="138">
        <v>2.6833333333333324E-2</v>
      </c>
      <c r="Y989" s="137">
        <v>0</v>
      </c>
      <c r="Z989" s="138">
        <v>0</v>
      </c>
      <c r="AA989" s="137">
        <v>0</v>
      </c>
      <c r="AB989" s="138">
        <v>0</v>
      </c>
      <c r="AC989" s="238">
        <f t="shared" si="52"/>
        <v>22.352</v>
      </c>
      <c r="AD989" s="238"/>
      <c r="AE989" s="238"/>
    </row>
    <row r="990" spans="2:31" x14ac:dyDescent="0.3">
      <c r="B990" s="245" t="s">
        <v>80</v>
      </c>
      <c r="C990" s="245"/>
      <c r="D990" s="245"/>
      <c r="E990" s="137">
        <v>0</v>
      </c>
      <c r="F990" s="138">
        <v>0</v>
      </c>
      <c r="G990" s="137">
        <v>0</v>
      </c>
      <c r="H990" s="138">
        <v>0</v>
      </c>
      <c r="I990" s="137">
        <v>0</v>
      </c>
      <c r="J990" s="138">
        <v>0</v>
      </c>
      <c r="K990" s="137">
        <v>0</v>
      </c>
      <c r="L990" s="138">
        <v>0</v>
      </c>
      <c r="M990" s="137">
        <v>0</v>
      </c>
      <c r="N990" s="138">
        <v>0</v>
      </c>
      <c r="O990" s="137">
        <v>0</v>
      </c>
      <c r="P990" s="138">
        <v>0</v>
      </c>
      <c r="Q990" s="137">
        <v>0</v>
      </c>
      <c r="R990" s="138">
        <v>0</v>
      </c>
      <c r="S990" s="137">
        <v>0</v>
      </c>
      <c r="T990" s="138">
        <v>0</v>
      </c>
      <c r="U990" s="137">
        <v>0</v>
      </c>
      <c r="V990" s="138">
        <v>19.12316666666667</v>
      </c>
      <c r="W990" s="137">
        <v>24.680166666666651</v>
      </c>
      <c r="X990" s="138">
        <v>0</v>
      </c>
      <c r="Y990" s="137">
        <v>0</v>
      </c>
      <c r="Z990" s="138">
        <v>0</v>
      </c>
      <c r="AA990" s="137">
        <v>0</v>
      </c>
      <c r="AB990" s="138">
        <v>0</v>
      </c>
      <c r="AC990" s="238">
        <f t="shared" si="52"/>
        <v>43.80333333333332</v>
      </c>
      <c r="AD990" s="238"/>
      <c r="AE990" s="238"/>
    </row>
    <row r="991" spans="2:31" x14ac:dyDescent="0.3">
      <c r="B991" s="245" t="s">
        <v>93</v>
      </c>
      <c r="C991" s="245"/>
      <c r="D991" s="245"/>
      <c r="E991" s="137">
        <v>0</v>
      </c>
      <c r="F991" s="138">
        <v>0</v>
      </c>
      <c r="G991" s="137">
        <v>0</v>
      </c>
      <c r="H991" s="138">
        <v>0</v>
      </c>
      <c r="I991" s="137">
        <v>0</v>
      </c>
      <c r="J991" s="138">
        <v>0</v>
      </c>
      <c r="K991" s="137">
        <v>0</v>
      </c>
      <c r="L991" s="138">
        <v>0</v>
      </c>
      <c r="M991" s="137">
        <v>0</v>
      </c>
      <c r="N991" s="138">
        <v>0</v>
      </c>
      <c r="O991" s="137">
        <v>0</v>
      </c>
      <c r="P991" s="138">
        <v>0</v>
      </c>
      <c r="Q991" s="137">
        <v>0</v>
      </c>
      <c r="R991" s="138">
        <v>0</v>
      </c>
      <c r="S991" s="137">
        <v>0</v>
      </c>
      <c r="T991" s="138">
        <v>0</v>
      </c>
      <c r="U991" s="137">
        <v>0.15100000000000005</v>
      </c>
      <c r="V991" s="138">
        <v>4.3400000000000025</v>
      </c>
      <c r="W991" s="137">
        <v>2.1498333333333353</v>
      </c>
      <c r="X991" s="138">
        <v>0</v>
      </c>
      <c r="Y991" s="137">
        <v>0</v>
      </c>
      <c r="Z991" s="138">
        <v>0</v>
      </c>
      <c r="AA991" s="137">
        <v>0</v>
      </c>
      <c r="AB991" s="138">
        <v>0</v>
      </c>
      <c r="AC991" s="238">
        <f>SUM(E991:AB991)</f>
        <v>6.6408333333333376</v>
      </c>
      <c r="AD991" s="238"/>
      <c r="AE991" s="238"/>
    </row>
    <row r="992" spans="2:31" x14ac:dyDescent="0.3">
      <c r="B992" s="14" t="s">
        <v>2</v>
      </c>
      <c r="C992" s="14"/>
      <c r="D992" s="14"/>
      <c r="E992" s="15">
        <f t="shared" ref="E992:AB992" si="53">SUM(E943:E991)</f>
        <v>0</v>
      </c>
      <c r="F992" s="15">
        <f t="shared" si="53"/>
        <v>0</v>
      </c>
      <c r="G992" s="15">
        <f t="shared" si="53"/>
        <v>0</v>
      </c>
      <c r="H992" s="15">
        <f t="shared" si="53"/>
        <v>0</v>
      </c>
      <c r="I992" s="15">
        <f t="shared" si="53"/>
        <v>0</v>
      </c>
      <c r="J992" s="15">
        <f t="shared" si="53"/>
        <v>0</v>
      </c>
      <c r="K992" s="15">
        <f t="shared" si="53"/>
        <v>0</v>
      </c>
      <c r="L992" s="15">
        <f t="shared" si="53"/>
        <v>0</v>
      </c>
      <c r="M992" s="15">
        <f t="shared" si="53"/>
        <v>0</v>
      </c>
      <c r="N992" s="15">
        <f t="shared" si="53"/>
        <v>12.981166666666663</v>
      </c>
      <c r="O992" s="15">
        <f t="shared" si="53"/>
        <v>35.39200000000001</v>
      </c>
      <c r="P992" s="15">
        <f t="shared" si="53"/>
        <v>39.8215</v>
      </c>
      <c r="Q992" s="15">
        <f t="shared" si="53"/>
        <v>70.207000000000022</v>
      </c>
      <c r="R992" s="15">
        <f t="shared" si="53"/>
        <v>29.67150000000002</v>
      </c>
      <c r="S992" s="15">
        <f t="shared" si="53"/>
        <v>70.329499999999982</v>
      </c>
      <c r="T992" s="15">
        <f t="shared" si="53"/>
        <v>204.03266666666673</v>
      </c>
      <c r="U992" s="15">
        <f t="shared" si="53"/>
        <v>248.64866666666666</v>
      </c>
      <c r="V992" s="15">
        <f t="shared" si="53"/>
        <v>217.3486666666667</v>
      </c>
      <c r="W992" s="15">
        <f t="shared" si="53"/>
        <v>191.64599999999996</v>
      </c>
      <c r="X992" s="15">
        <f t="shared" si="53"/>
        <v>0.94583333333333353</v>
      </c>
      <c r="Y992" s="15">
        <f t="shared" si="53"/>
        <v>0</v>
      </c>
      <c r="Z992" s="15">
        <f t="shared" si="53"/>
        <v>0</v>
      </c>
      <c r="AA992" s="15">
        <f t="shared" si="53"/>
        <v>0</v>
      </c>
      <c r="AB992" s="15">
        <f t="shared" si="53"/>
        <v>0</v>
      </c>
      <c r="AC992" s="249">
        <f>SUM(AC943:AE991)</f>
        <v>1121.0245000000004</v>
      </c>
      <c r="AD992" s="249"/>
      <c r="AE992" s="249"/>
    </row>
    <row r="993" spans="2:31" x14ac:dyDescent="0.3">
      <c r="B993" s="16"/>
      <c r="C993" s="17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 spans="2:31" x14ac:dyDescent="0.3">
      <c r="B994" s="16"/>
      <c r="C994" s="17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 spans="2:31" x14ac:dyDescent="0.3">
      <c r="B995" s="8">
        <f>'Resumen-Mensual'!$W$22</f>
        <v>44580</v>
      </c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139"/>
      <c r="AD995" s="139"/>
      <c r="AE995" s="139"/>
    </row>
    <row r="996" spans="2:31" x14ac:dyDescent="0.3">
      <c r="B996" s="8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139"/>
      <c r="AD996" s="139"/>
      <c r="AE996" s="139"/>
    </row>
    <row r="997" spans="2:31" x14ac:dyDescent="0.3">
      <c r="B997" s="9" t="s">
        <v>81</v>
      </c>
      <c r="C997" s="10"/>
      <c r="D997" s="10"/>
      <c r="E997" s="11">
        <v>1</v>
      </c>
      <c r="F997" s="11">
        <v>2</v>
      </c>
      <c r="G997" s="11">
        <v>3</v>
      </c>
      <c r="H997" s="11">
        <v>4</v>
      </c>
      <c r="I997" s="11">
        <v>5</v>
      </c>
      <c r="J997" s="11">
        <v>6</v>
      </c>
      <c r="K997" s="11">
        <v>7</v>
      </c>
      <c r="L997" s="11">
        <v>8</v>
      </c>
      <c r="M997" s="11">
        <v>9</v>
      </c>
      <c r="N997" s="11">
        <v>10</v>
      </c>
      <c r="O997" s="11">
        <v>11</v>
      </c>
      <c r="P997" s="11">
        <v>12</v>
      </c>
      <c r="Q997" s="11">
        <v>13</v>
      </c>
      <c r="R997" s="11">
        <v>14</v>
      </c>
      <c r="S997" s="11">
        <v>15</v>
      </c>
      <c r="T997" s="11">
        <v>16</v>
      </c>
      <c r="U997" s="11">
        <v>17</v>
      </c>
      <c r="V997" s="11">
        <v>18</v>
      </c>
      <c r="W997" s="11">
        <v>19</v>
      </c>
      <c r="X997" s="11">
        <v>20</v>
      </c>
      <c r="Y997" s="11">
        <v>21</v>
      </c>
      <c r="Z997" s="11">
        <v>22</v>
      </c>
      <c r="AA997" s="11">
        <v>23</v>
      </c>
      <c r="AB997" s="11">
        <v>24</v>
      </c>
      <c r="AC997" s="248" t="s">
        <v>2</v>
      </c>
      <c r="AD997" s="248"/>
      <c r="AE997" s="248"/>
    </row>
    <row r="998" spans="2:31" x14ac:dyDescent="0.3">
      <c r="B998" s="245" t="s">
        <v>37</v>
      </c>
      <c r="C998" s="245"/>
      <c r="D998" s="245"/>
      <c r="E998" s="144">
        <v>0</v>
      </c>
      <c r="F998" s="145">
        <v>0</v>
      </c>
      <c r="G998" s="144">
        <v>0</v>
      </c>
      <c r="H998" s="145">
        <v>0</v>
      </c>
      <c r="I998" s="144">
        <v>0</v>
      </c>
      <c r="J998" s="145">
        <v>0</v>
      </c>
      <c r="K998" s="144">
        <v>0</v>
      </c>
      <c r="L998" s="145">
        <v>0</v>
      </c>
      <c r="M998" s="144">
        <v>0</v>
      </c>
      <c r="N998" s="145">
        <v>0</v>
      </c>
      <c r="O998" s="144">
        <v>0</v>
      </c>
      <c r="P998" s="145">
        <v>0</v>
      </c>
      <c r="Q998" s="144">
        <v>0</v>
      </c>
      <c r="R998" s="145">
        <v>0.23166666666666652</v>
      </c>
      <c r="S998" s="144">
        <v>0.2140000000000003</v>
      </c>
      <c r="T998" s="145">
        <v>0</v>
      </c>
      <c r="U998" s="144">
        <v>0</v>
      </c>
      <c r="V998" s="145">
        <v>0</v>
      </c>
      <c r="W998" s="144">
        <v>0</v>
      </c>
      <c r="X998" s="145">
        <v>0</v>
      </c>
      <c r="Y998" s="144">
        <v>0</v>
      </c>
      <c r="Z998" s="145">
        <v>0</v>
      </c>
      <c r="AA998" s="144">
        <v>0</v>
      </c>
      <c r="AB998" s="145">
        <v>0</v>
      </c>
      <c r="AC998" s="238">
        <f t="shared" ref="AC998:AC1030" si="54">SUM(E998:AB998)</f>
        <v>0.44566666666666682</v>
      </c>
      <c r="AD998" s="238"/>
      <c r="AE998" s="238"/>
    </row>
    <row r="999" spans="2:31" x14ac:dyDescent="0.3">
      <c r="B999" s="245" t="s">
        <v>38</v>
      </c>
      <c r="C999" s="245"/>
      <c r="D999" s="245"/>
      <c r="E999" s="144">
        <v>0</v>
      </c>
      <c r="F999" s="145">
        <v>0</v>
      </c>
      <c r="G999" s="144">
        <v>0</v>
      </c>
      <c r="H999" s="145">
        <v>0</v>
      </c>
      <c r="I999" s="144">
        <v>0</v>
      </c>
      <c r="J999" s="145">
        <v>0</v>
      </c>
      <c r="K999" s="144">
        <v>0</v>
      </c>
      <c r="L999" s="145">
        <v>0</v>
      </c>
      <c r="M999" s="144">
        <v>0</v>
      </c>
      <c r="N999" s="145">
        <v>0</v>
      </c>
      <c r="O999" s="144">
        <v>0</v>
      </c>
      <c r="P999" s="145">
        <v>0</v>
      </c>
      <c r="Q999" s="144">
        <v>0</v>
      </c>
      <c r="R999" s="145">
        <v>0</v>
      </c>
      <c r="S999" s="144">
        <v>0</v>
      </c>
      <c r="T999" s="145">
        <v>0</v>
      </c>
      <c r="U999" s="144">
        <v>0</v>
      </c>
      <c r="V999" s="145">
        <v>0</v>
      </c>
      <c r="W999" s="144">
        <v>0</v>
      </c>
      <c r="X999" s="145">
        <v>0</v>
      </c>
      <c r="Y999" s="144">
        <v>0</v>
      </c>
      <c r="Z999" s="145">
        <v>0</v>
      </c>
      <c r="AA999" s="144">
        <v>0</v>
      </c>
      <c r="AB999" s="145">
        <v>0</v>
      </c>
      <c r="AC999" s="238">
        <f t="shared" si="54"/>
        <v>0</v>
      </c>
      <c r="AD999" s="238"/>
      <c r="AE999" s="238"/>
    </row>
    <row r="1000" spans="2:31" x14ac:dyDescent="0.3">
      <c r="B1000" s="245" t="s">
        <v>39</v>
      </c>
      <c r="C1000" s="245"/>
      <c r="D1000" s="245"/>
      <c r="E1000" s="144">
        <v>0</v>
      </c>
      <c r="F1000" s="145">
        <v>0</v>
      </c>
      <c r="G1000" s="144">
        <v>0</v>
      </c>
      <c r="H1000" s="145">
        <v>0</v>
      </c>
      <c r="I1000" s="144">
        <v>0</v>
      </c>
      <c r="J1000" s="145">
        <v>0</v>
      </c>
      <c r="K1000" s="144">
        <v>0</v>
      </c>
      <c r="L1000" s="145">
        <v>0</v>
      </c>
      <c r="M1000" s="144">
        <v>0</v>
      </c>
      <c r="N1000" s="145">
        <v>0</v>
      </c>
      <c r="O1000" s="144">
        <v>0</v>
      </c>
      <c r="P1000" s="145">
        <v>0</v>
      </c>
      <c r="Q1000" s="144">
        <v>0</v>
      </c>
      <c r="R1000" s="145">
        <v>5.3999999999999995</v>
      </c>
      <c r="S1000" s="144">
        <v>12.899999999999986</v>
      </c>
      <c r="T1000" s="145">
        <v>0</v>
      </c>
      <c r="U1000" s="144">
        <v>0</v>
      </c>
      <c r="V1000" s="145">
        <v>1.5599999999999994</v>
      </c>
      <c r="W1000" s="144">
        <v>0</v>
      </c>
      <c r="X1000" s="145">
        <v>0</v>
      </c>
      <c r="Y1000" s="144">
        <v>0</v>
      </c>
      <c r="Z1000" s="145">
        <v>0</v>
      </c>
      <c r="AA1000" s="144">
        <v>0</v>
      </c>
      <c r="AB1000" s="145">
        <v>0</v>
      </c>
      <c r="AC1000" s="238">
        <f t="shared" si="54"/>
        <v>19.859999999999985</v>
      </c>
      <c r="AD1000" s="238"/>
      <c r="AE1000" s="238"/>
    </row>
    <row r="1001" spans="2:31" x14ac:dyDescent="0.3">
      <c r="B1001" s="245" t="s">
        <v>40</v>
      </c>
      <c r="C1001" s="245"/>
      <c r="D1001" s="245"/>
      <c r="E1001" s="144">
        <v>0</v>
      </c>
      <c r="F1001" s="145">
        <v>0</v>
      </c>
      <c r="G1001" s="144">
        <v>0</v>
      </c>
      <c r="H1001" s="145">
        <v>0</v>
      </c>
      <c r="I1001" s="144">
        <v>0</v>
      </c>
      <c r="J1001" s="145">
        <v>0</v>
      </c>
      <c r="K1001" s="144">
        <v>0</v>
      </c>
      <c r="L1001" s="145">
        <v>0</v>
      </c>
      <c r="M1001" s="144">
        <v>0</v>
      </c>
      <c r="N1001" s="145">
        <v>0</v>
      </c>
      <c r="O1001" s="144">
        <v>0</v>
      </c>
      <c r="P1001" s="145">
        <v>0</v>
      </c>
      <c r="Q1001" s="144">
        <v>0</v>
      </c>
      <c r="R1001" s="145">
        <v>0</v>
      </c>
      <c r="S1001" s="144">
        <v>1.616666666666712E-2</v>
      </c>
      <c r="T1001" s="145">
        <v>9.6666666666668753E-3</v>
      </c>
      <c r="U1001" s="144">
        <v>0</v>
      </c>
      <c r="V1001" s="145">
        <v>0</v>
      </c>
      <c r="W1001" s="144">
        <v>0</v>
      </c>
      <c r="X1001" s="145">
        <v>0</v>
      </c>
      <c r="Y1001" s="144">
        <v>0</v>
      </c>
      <c r="Z1001" s="145">
        <v>0</v>
      </c>
      <c r="AA1001" s="144">
        <v>0</v>
      </c>
      <c r="AB1001" s="145">
        <v>0</v>
      </c>
      <c r="AC1001" s="238">
        <f t="shared" si="54"/>
        <v>2.5833333333333996E-2</v>
      </c>
      <c r="AD1001" s="238"/>
      <c r="AE1001" s="238"/>
    </row>
    <row r="1002" spans="2:31" x14ac:dyDescent="0.3">
      <c r="B1002" s="245" t="s">
        <v>41</v>
      </c>
      <c r="C1002" s="245"/>
      <c r="D1002" s="245"/>
      <c r="E1002" s="144">
        <v>0</v>
      </c>
      <c r="F1002" s="145">
        <v>0</v>
      </c>
      <c r="G1002" s="144">
        <v>0</v>
      </c>
      <c r="H1002" s="145">
        <v>0</v>
      </c>
      <c r="I1002" s="144">
        <v>0</v>
      </c>
      <c r="J1002" s="145">
        <v>0</v>
      </c>
      <c r="K1002" s="144">
        <v>0</v>
      </c>
      <c r="L1002" s="145">
        <v>0</v>
      </c>
      <c r="M1002" s="144">
        <v>0</v>
      </c>
      <c r="N1002" s="145">
        <v>0</v>
      </c>
      <c r="O1002" s="144">
        <v>0</v>
      </c>
      <c r="P1002" s="145">
        <v>4.2296666666666587</v>
      </c>
      <c r="Q1002" s="144">
        <v>7.9225000000000003</v>
      </c>
      <c r="R1002" s="145">
        <v>9.8293333333333326</v>
      </c>
      <c r="S1002" s="144">
        <v>8.8964999999999979</v>
      </c>
      <c r="T1002" s="145">
        <v>7.5208333333333375</v>
      </c>
      <c r="U1002" s="144">
        <v>4.2951666666666659</v>
      </c>
      <c r="V1002" s="145">
        <v>3.9999999999999151E-3</v>
      </c>
      <c r="W1002" s="144">
        <v>0.24049999999999977</v>
      </c>
      <c r="X1002" s="145">
        <v>0</v>
      </c>
      <c r="Y1002" s="144">
        <v>0</v>
      </c>
      <c r="Z1002" s="145">
        <v>0</v>
      </c>
      <c r="AA1002" s="144">
        <v>0</v>
      </c>
      <c r="AB1002" s="145">
        <v>0</v>
      </c>
      <c r="AC1002" s="238">
        <f t="shared" si="54"/>
        <v>42.938499999999983</v>
      </c>
      <c r="AD1002" s="238"/>
      <c r="AE1002" s="238"/>
    </row>
    <row r="1003" spans="2:31" x14ac:dyDescent="0.3">
      <c r="B1003" s="245" t="s">
        <v>42</v>
      </c>
      <c r="C1003" s="245"/>
      <c r="D1003" s="245"/>
      <c r="E1003" s="144">
        <v>0</v>
      </c>
      <c r="F1003" s="145">
        <v>0</v>
      </c>
      <c r="G1003" s="144">
        <v>0</v>
      </c>
      <c r="H1003" s="145">
        <v>0</v>
      </c>
      <c r="I1003" s="144">
        <v>0</v>
      </c>
      <c r="J1003" s="145">
        <v>0</v>
      </c>
      <c r="K1003" s="144">
        <v>0</v>
      </c>
      <c r="L1003" s="145">
        <v>0</v>
      </c>
      <c r="M1003" s="144">
        <v>0</v>
      </c>
      <c r="N1003" s="145">
        <v>0</v>
      </c>
      <c r="O1003" s="144">
        <v>0</v>
      </c>
      <c r="P1003" s="145">
        <v>0</v>
      </c>
      <c r="Q1003" s="144">
        <v>0</v>
      </c>
      <c r="R1003" s="145">
        <v>0</v>
      </c>
      <c r="S1003" s="144">
        <v>0</v>
      </c>
      <c r="T1003" s="145">
        <v>0</v>
      </c>
      <c r="U1003" s="144">
        <v>0</v>
      </c>
      <c r="V1003" s="145">
        <v>0</v>
      </c>
      <c r="W1003" s="144">
        <v>0</v>
      </c>
      <c r="X1003" s="145">
        <v>0</v>
      </c>
      <c r="Y1003" s="144">
        <v>0</v>
      </c>
      <c r="Z1003" s="145">
        <v>0</v>
      </c>
      <c r="AA1003" s="144">
        <v>0</v>
      </c>
      <c r="AB1003" s="145">
        <v>0</v>
      </c>
      <c r="AC1003" s="238">
        <f t="shared" si="54"/>
        <v>0</v>
      </c>
      <c r="AD1003" s="238"/>
      <c r="AE1003" s="238"/>
    </row>
    <row r="1004" spans="2:31" x14ac:dyDescent="0.3">
      <c r="B1004" s="245" t="s">
        <v>43</v>
      </c>
      <c r="C1004" s="245"/>
      <c r="D1004" s="245"/>
      <c r="E1004" s="144">
        <v>0</v>
      </c>
      <c r="F1004" s="145">
        <v>0</v>
      </c>
      <c r="G1004" s="144">
        <v>0</v>
      </c>
      <c r="H1004" s="145">
        <v>0</v>
      </c>
      <c r="I1004" s="144">
        <v>0</v>
      </c>
      <c r="J1004" s="145">
        <v>0</v>
      </c>
      <c r="K1004" s="144">
        <v>0</v>
      </c>
      <c r="L1004" s="145">
        <v>0</v>
      </c>
      <c r="M1004" s="144">
        <v>0</v>
      </c>
      <c r="N1004" s="145">
        <v>0</v>
      </c>
      <c r="O1004" s="144">
        <v>0</v>
      </c>
      <c r="P1004" s="145">
        <v>0</v>
      </c>
      <c r="Q1004" s="144">
        <v>0</v>
      </c>
      <c r="R1004" s="145">
        <v>0</v>
      </c>
      <c r="S1004" s="144">
        <v>4.6100000000000074</v>
      </c>
      <c r="T1004" s="145">
        <v>0</v>
      </c>
      <c r="U1004" s="144">
        <v>2.5200000000000102</v>
      </c>
      <c r="V1004" s="145">
        <v>0</v>
      </c>
      <c r="W1004" s="144">
        <v>1.6649999999999985</v>
      </c>
      <c r="X1004" s="145">
        <v>0</v>
      </c>
      <c r="Y1004" s="144">
        <v>0</v>
      </c>
      <c r="Z1004" s="145">
        <v>0</v>
      </c>
      <c r="AA1004" s="144">
        <v>0</v>
      </c>
      <c r="AB1004" s="145">
        <v>0</v>
      </c>
      <c r="AC1004" s="238">
        <f t="shared" si="54"/>
        <v>8.7950000000000159</v>
      </c>
      <c r="AD1004" s="238"/>
      <c r="AE1004" s="238"/>
    </row>
    <row r="1005" spans="2:31" x14ac:dyDescent="0.3">
      <c r="B1005" s="245" t="s">
        <v>44</v>
      </c>
      <c r="C1005" s="245"/>
      <c r="D1005" s="245"/>
      <c r="E1005" s="144">
        <v>0</v>
      </c>
      <c r="F1005" s="145">
        <v>0</v>
      </c>
      <c r="G1005" s="144">
        <v>0</v>
      </c>
      <c r="H1005" s="145">
        <v>0</v>
      </c>
      <c r="I1005" s="144">
        <v>0</v>
      </c>
      <c r="J1005" s="145">
        <v>0</v>
      </c>
      <c r="K1005" s="144">
        <v>0</v>
      </c>
      <c r="L1005" s="145">
        <v>0</v>
      </c>
      <c r="M1005" s="144">
        <v>0</v>
      </c>
      <c r="N1005" s="145">
        <v>0</v>
      </c>
      <c r="O1005" s="144">
        <v>0</v>
      </c>
      <c r="P1005" s="145">
        <v>0</v>
      </c>
      <c r="Q1005" s="144">
        <v>0</v>
      </c>
      <c r="R1005" s="145">
        <v>0</v>
      </c>
      <c r="S1005" s="144">
        <v>0</v>
      </c>
      <c r="T1005" s="145">
        <v>0</v>
      </c>
      <c r="U1005" s="144">
        <v>0</v>
      </c>
      <c r="V1005" s="145">
        <v>0</v>
      </c>
      <c r="W1005" s="144">
        <v>0</v>
      </c>
      <c r="X1005" s="145">
        <v>0</v>
      </c>
      <c r="Y1005" s="144">
        <v>0</v>
      </c>
      <c r="Z1005" s="145">
        <v>0</v>
      </c>
      <c r="AA1005" s="144">
        <v>0</v>
      </c>
      <c r="AB1005" s="145">
        <v>0</v>
      </c>
      <c r="AC1005" s="238">
        <f t="shared" si="54"/>
        <v>0</v>
      </c>
      <c r="AD1005" s="238"/>
      <c r="AE1005" s="238"/>
    </row>
    <row r="1006" spans="2:31" x14ac:dyDescent="0.3">
      <c r="B1006" s="245" t="s">
        <v>45</v>
      </c>
      <c r="C1006" s="245"/>
      <c r="D1006" s="245"/>
      <c r="E1006" s="144">
        <v>0</v>
      </c>
      <c r="F1006" s="145">
        <v>0</v>
      </c>
      <c r="G1006" s="144">
        <v>0</v>
      </c>
      <c r="H1006" s="145">
        <v>0</v>
      </c>
      <c r="I1006" s="144">
        <v>0</v>
      </c>
      <c r="J1006" s="145">
        <v>0</v>
      </c>
      <c r="K1006" s="144">
        <v>0</v>
      </c>
      <c r="L1006" s="145">
        <v>0</v>
      </c>
      <c r="M1006" s="144">
        <v>0</v>
      </c>
      <c r="N1006" s="145">
        <v>0</v>
      </c>
      <c r="O1006" s="144">
        <v>0</v>
      </c>
      <c r="P1006" s="145">
        <v>0</v>
      </c>
      <c r="Q1006" s="144">
        <v>0</v>
      </c>
      <c r="R1006" s="145">
        <v>2.2666666666666183E-2</v>
      </c>
      <c r="S1006" s="144">
        <v>7.8816666666666695</v>
      </c>
      <c r="T1006" s="145">
        <v>19.298666666666655</v>
      </c>
      <c r="U1006" s="144">
        <v>0</v>
      </c>
      <c r="V1006" s="145">
        <v>2.8700000000000019</v>
      </c>
      <c r="W1006" s="144">
        <v>1.8856666666666664</v>
      </c>
      <c r="X1006" s="145">
        <v>1.9220000000000006</v>
      </c>
      <c r="Y1006" s="144">
        <v>0</v>
      </c>
      <c r="Z1006" s="145">
        <v>0</v>
      </c>
      <c r="AA1006" s="144">
        <v>0</v>
      </c>
      <c r="AB1006" s="145">
        <v>0</v>
      </c>
      <c r="AC1006" s="238">
        <f t="shared" si="54"/>
        <v>33.880666666666656</v>
      </c>
      <c r="AD1006" s="238"/>
      <c r="AE1006" s="238"/>
    </row>
    <row r="1007" spans="2:31" x14ac:dyDescent="0.3">
      <c r="B1007" s="245" t="s">
        <v>46</v>
      </c>
      <c r="C1007" s="245"/>
      <c r="D1007" s="245"/>
      <c r="E1007" s="144">
        <v>0</v>
      </c>
      <c r="F1007" s="145">
        <v>0</v>
      </c>
      <c r="G1007" s="144">
        <v>0</v>
      </c>
      <c r="H1007" s="145">
        <v>0</v>
      </c>
      <c r="I1007" s="144">
        <v>0</v>
      </c>
      <c r="J1007" s="145">
        <v>0</v>
      </c>
      <c r="K1007" s="144">
        <v>0</v>
      </c>
      <c r="L1007" s="145">
        <v>0</v>
      </c>
      <c r="M1007" s="144">
        <v>0</v>
      </c>
      <c r="N1007" s="145">
        <v>0</v>
      </c>
      <c r="O1007" s="144">
        <v>0</v>
      </c>
      <c r="P1007" s="145">
        <v>0</v>
      </c>
      <c r="Q1007" s="144">
        <v>0</v>
      </c>
      <c r="R1007" s="145">
        <v>0</v>
      </c>
      <c r="S1007" s="144">
        <v>17.316666666666659</v>
      </c>
      <c r="T1007" s="145">
        <v>34.751000000000012</v>
      </c>
      <c r="U1007" s="144">
        <v>0</v>
      </c>
      <c r="V1007" s="145">
        <v>0</v>
      </c>
      <c r="W1007" s="144">
        <v>0</v>
      </c>
      <c r="X1007" s="145">
        <v>0.60233333333333328</v>
      </c>
      <c r="Y1007" s="144">
        <v>0</v>
      </c>
      <c r="Z1007" s="145">
        <v>0</v>
      </c>
      <c r="AA1007" s="144">
        <v>0</v>
      </c>
      <c r="AB1007" s="145">
        <v>0</v>
      </c>
      <c r="AC1007" s="238">
        <f t="shared" si="54"/>
        <v>52.67</v>
      </c>
      <c r="AD1007" s="238"/>
      <c r="AE1007" s="238"/>
    </row>
    <row r="1008" spans="2:31" x14ac:dyDescent="0.3">
      <c r="B1008" s="245" t="s">
        <v>47</v>
      </c>
      <c r="C1008" s="245"/>
      <c r="D1008" s="245"/>
      <c r="E1008" s="144">
        <v>0</v>
      </c>
      <c r="F1008" s="145">
        <v>0</v>
      </c>
      <c r="G1008" s="144">
        <v>0</v>
      </c>
      <c r="H1008" s="145">
        <v>0</v>
      </c>
      <c r="I1008" s="144">
        <v>0</v>
      </c>
      <c r="J1008" s="145">
        <v>0</v>
      </c>
      <c r="K1008" s="144">
        <v>0</v>
      </c>
      <c r="L1008" s="145">
        <v>0</v>
      </c>
      <c r="M1008" s="144">
        <v>0</v>
      </c>
      <c r="N1008" s="145">
        <v>0</v>
      </c>
      <c r="O1008" s="144">
        <v>0</v>
      </c>
      <c r="P1008" s="145">
        <v>0</v>
      </c>
      <c r="Q1008" s="144">
        <v>0</v>
      </c>
      <c r="R1008" s="145">
        <v>0</v>
      </c>
      <c r="S1008" s="144">
        <v>4.8376666666666672</v>
      </c>
      <c r="T1008" s="145">
        <v>8.4920000000000098</v>
      </c>
      <c r="U1008" s="144">
        <v>8.7599999999999945</v>
      </c>
      <c r="V1008" s="145">
        <v>7.0600000000000023</v>
      </c>
      <c r="W1008" s="144">
        <v>1.048999999999999</v>
      </c>
      <c r="X1008" s="145">
        <v>0.24299999999999997</v>
      </c>
      <c r="Y1008" s="144">
        <v>0</v>
      </c>
      <c r="Z1008" s="145">
        <v>0</v>
      </c>
      <c r="AA1008" s="144">
        <v>0</v>
      </c>
      <c r="AB1008" s="145">
        <v>0</v>
      </c>
      <c r="AC1008" s="238">
        <f t="shared" si="54"/>
        <v>30.441666666666674</v>
      </c>
      <c r="AD1008" s="238"/>
      <c r="AE1008" s="238"/>
    </row>
    <row r="1009" spans="2:31" x14ac:dyDescent="0.3">
      <c r="B1009" s="245" t="s">
        <v>48</v>
      </c>
      <c r="C1009" s="245"/>
      <c r="D1009" s="245"/>
      <c r="E1009" s="144">
        <v>0</v>
      </c>
      <c r="F1009" s="145">
        <v>0</v>
      </c>
      <c r="G1009" s="144">
        <v>0</v>
      </c>
      <c r="H1009" s="145">
        <v>0</v>
      </c>
      <c r="I1009" s="144">
        <v>0</v>
      </c>
      <c r="J1009" s="145">
        <v>0</v>
      </c>
      <c r="K1009" s="144">
        <v>0</v>
      </c>
      <c r="L1009" s="145">
        <v>0</v>
      </c>
      <c r="M1009" s="144">
        <v>0</v>
      </c>
      <c r="N1009" s="145">
        <v>0</v>
      </c>
      <c r="O1009" s="144">
        <v>0</v>
      </c>
      <c r="P1009" s="145">
        <v>0</v>
      </c>
      <c r="Q1009" s="144">
        <v>0</v>
      </c>
      <c r="R1009" s="145">
        <v>0</v>
      </c>
      <c r="S1009" s="144">
        <v>4.6096666666666701</v>
      </c>
      <c r="T1009" s="145">
        <v>7.7108333333333388</v>
      </c>
      <c r="U1009" s="144">
        <v>7.7400000000000064</v>
      </c>
      <c r="V1009" s="145">
        <v>6.5400000000000054</v>
      </c>
      <c r="W1009" s="144">
        <v>1.5298333333333345</v>
      </c>
      <c r="X1009" s="145">
        <v>0.18649999999999992</v>
      </c>
      <c r="Y1009" s="144">
        <v>0</v>
      </c>
      <c r="Z1009" s="145">
        <v>0</v>
      </c>
      <c r="AA1009" s="144">
        <v>0</v>
      </c>
      <c r="AB1009" s="145">
        <v>0</v>
      </c>
      <c r="AC1009" s="238">
        <f t="shared" si="54"/>
        <v>28.316833333333356</v>
      </c>
      <c r="AD1009" s="238"/>
      <c r="AE1009" s="238"/>
    </row>
    <row r="1010" spans="2:31" x14ac:dyDescent="0.3">
      <c r="B1010" s="245" t="s">
        <v>49</v>
      </c>
      <c r="C1010" s="245"/>
      <c r="D1010" s="245"/>
      <c r="E1010" s="144">
        <v>0</v>
      </c>
      <c r="F1010" s="145">
        <v>0</v>
      </c>
      <c r="G1010" s="144">
        <v>0</v>
      </c>
      <c r="H1010" s="145">
        <v>0</v>
      </c>
      <c r="I1010" s="144">
        <v>0</v>
      </c>
      <c r="J1010" s="145">
        <v>0</v>
      </c>
      <c r="K1010" s="144">
        <v>0</v>
      </c>
      <c r="L1010" s="145">
        <v>0</v>
      </c>
      <c r="M1010" s="144">
        <v>0</v>
      </c>
      <c r="N1010" s="145">
        <v>0</v>
      </c>
      <c r="O1010" s="144">
        <v>0</v>
      </c>
      <c r="P1010" s="145">
        <v>0</v>
      </c>
      <c r="Q1010" s="144">
        <v>0</v>
      </c>
      <c r="R1010" s="145">
        <v>0</v>
      </c>
      <c r="S1010" s="144">
        <v>0</v>
      </c>
      <c r="T1010" s="145">
        <v>0</v>
      </c>
      <c r="U1010" s="144">
        <v>0</v>
      </c>
      <c r="V1010" s="145">
        <v>0</v>
      </c>
      <c r="W1010" s="144">
        <v>9.6000000000000121</v>
      </c>
      <c r="X1010" s="145">
        <v>6.5000000000000002E-2</v>
      </c>
      <c r="Y1010" s="144">
        <v>0</v>
      </c>
      <c r="Z1010" s="145">
        <v>0</v>
      </c>
      <c r="AA1010" s="144">
        <v>0</v>
      </c>
      <c r="AB1010" s="145">
        <v>0</v>
      </c>
      <c r="AC1010" s="238">
        <f t="shared" si="54"/>
        <v>9.6650000000000116</v>
      </c>
      <c r="AD1010" s="238"/>
      <c r="AE1010" s="238"/>
    </row>
    <row r="1011" spans="2:31" x14ac:dyDescent="0.3">
      <c r="B1011" s="245" t="s">
        <v>50</v>
      </c>
      <c r="C1011" s="245"/>
      <c r="D1011" s="245"/>
      <c r="E1011" s="144">
        <v>0</v>
      </c>
      <c r="F1011" s="145">
        <v>0</v>
      </c>
      <c r="G1011" s="144">
        <v>0</v>
      </c>
      <c r="H1011" s="145">
        <v>0</v>
      </c>
      <c r="I1011" s="144">
        <v>0</v>
      </c>
      <c r="J1011" s="145">
        <v>0</v>
      </c>
      <c r="K1011" s="144">
        <v>0</v>
      </c>
      <c r="L1011" s="145">
        <v>0</v>
      </c>
      <c r="M1011" s="144">
        <v>0</v>
      </c>
      <c r="N1011" s="145">
        <v>0</v>
      </c>
      <c r="O1011" s="144">
        <v>2.1499999999999984E-2</v>
      </c>
      <c r="P1011" s="145">
        <v>1.7524999999999968</v>
      </c>
      <c r="Q1011" s="144">
        <v>2.2233333333333349</v>
      </c>
      <c r="R1011" s="145">
        <v>1.9453333333333309</v>
      </c>
      <c r="S1011" s="144">
        <v>0</v>
      </c>
      <c r="T1011" s="145">
        <v>2.4246666666666621</v>
      </c>
      <c r="U1011" s="144">
        <v>0</v>
      </c>
      <c r="V1011" s="145">
        <v>0</v>
      </c>
      <c r="W1011" s="144">
        <v>0</v>
      </c>
      <c r="X1011" s="145">
        <v>0</v>
      </c>
      <c r="Y1011" s="144">
        <v>0</v>
      </c>
      <c r="Z1011" s="145">
        <v>0</v>
      </c>
      <c r="AA1011" s="144">
        <v>0</v>
      </c>
      <c r="AB1011" s="145">
        <v>0</v>
      </c>
      <c r="AC1011" s="238">
        <f t="shared" si="54"/>
        <v>8.367333333333324</v>
      </c>
      <c r="AD1011" s="238"/>
      <c r="AE1011" s="238"/>
    </row>
    <row r="1012" spans="2:31" x14ac:dyDescent="0.3">
      <c r="B1012" s="245" t="s">
        <v>97</v>
      </c>
      <c r="C1012" s="245"/>
      <c r="D1012" s="245"/>
      <c r="E1012" s="144">
        <v>0</v>
      </c>
      <c r="F1012" s="145">
        <v>0</v>
      </c>
      <c r="G1012" s="144">
        <v>0</v>
      </c>
      <c r="H1012" s="145">
        <v>0</v>
      </c>
      <c r="I1012" s="144">
        <v>0</v>
      </c>
      <c r="J1012" s="145">
        <v>0</v>
      </c>
      <c r="K1012" s="144">
        <v>0</v>
      </c>
      <c r="L1012" s="145">
        <v>0</v>
      </c>
      <c r="M1012" s="144">
        <v>0</v>
      </c>
      <c r="N1012" s="145">
        <v>0</v>
      </c>
      <c r="O1012" s="144">
        <v>0</v>
      </c>
      <c r="P1012" s="145">
        <v>0</v>
      </c>
      <c r="Q1012" s="144">
        <v>0</v>
      </c>
      <c r="R1012" s="145">
        <v>0</v>
      </c>
      <c r="S1012" s="144">
        <v>0</v>
      </c>
      <c r="T1012" s="145">
        <v>0</v>
      </c>
      <c r="U1012" s="144">
        <v>0</v>
      </c>
      <c r="V1012" s="145">
        <v>0</v>
      </c>
      <c r="W1012" s="144">
        <v>0</v>
      </c>
      <c r="X1012" s="145">
        <v>0</v>
      </c>
      <c r="Y1012" s="144">
        <v>0</v>
      </c>
      <c r="Z1012" s="145">
        <v>0</v>
      </c>
      <c r="AA1012" s="144">
        <v>0</v>
      </c>
      <c r="AB1012" s="145">
        <v>0</v>
      </c>
      <c r="AC1012" s="238">
        <f t="shared" si="54"/>
        <v>0</v>
      </c>
      <c r="AD1012" s="238"/>
      <c r="AE1012" s="238"/>
    </row>
    <row r="1013" spans="2:31" x14ac:dyDescent="0.3">
      <c r="B1013" s="245" t="s">
        <v>51</v>
      </c>
      <c r="C1013" s="245"/>
      <c r="D1013" s="245"/>
      <c r="E1013" s="144">
        <v>0</v>
      </c>
      <c r="F1013" s="145">
        <v>0</v>
      </c>
      <c r="G1013" s="144">
        <v>0</v>
      </c>
      <c r="H1013" s="145">
        <v>0</v>
      </c>
      <c r="I1013" s="144">
        <v>0</v>
      </c>
      <c r="J1013" s="145">
        <v>0</v>
      </c>
      <c r="K1013" s="144">
        <v>0</v>
      </c>
      <c r="L1013" s="145">
        <v>0</v>
      </c>
      <c r="M1013" s="144">
        <v>0</v>
      </c>
      <c r="N1013" s="145">
        <v>0</v>
      </c>
      <c r="O1013" s="144">
        <v>0</v>
      </c>
      <c r="P1013" s="145">
        <v>0</v>
      </c>
      <c r="Q1013" s="144">
        <v>0</v>
      </c>
      <c r="R1013" s="145">
        <v>14.3695</v>
      </c>
      <c r="S1013" s="144">
        <v>36.354833333333332</v>
      </c>
      <c r="T1013" s="145">
        <v>24.304833333333324</v>
      </c>
      <c r="U1013" s="144">
        <v>8.3860000000000028</v>
      </c>
      <c r="V1013" s="145">
        <v>3.7060000000000026</v>
      </c>
      <c r="W1013" s="144">
        <v>0.41466666666666685</v>
      </c>
      <c r="X1013" s="145">
        <v>0</v>
      </c>
      <c r="Y1013" s="144">
        <v>0</v>
      </c>
      <c r="Z1013" s="145">
        <v>0</v>
      </c>
      <c r="AA1013" s="144">
        <v>0</v>
      </c>
      <c r="AB1013" s="145">
        <v>0</v>
      </c>
      <c r="AC1013" s="238">
        <f t="shared" si="54"/>
        <v>87.535833333333329</v>
      </c>
      <c r="AD1013" s="238"/>
      <c r="AE1013" s="238"/>
    </row>
    <row r="1014" spans="2:31" x14ac:dyDescent="0.3">
      <c r="B1014" s="245" t="s">
        <v>52</v>
      </c>
      <c r="C1014" s="245"/>
      <c r="D1014" s="245"/>
      <c r="E1014" s="144">
        <v>0</v>
      </c>
      <c r="F1014" s="145">
        <v>0</v>
      </c>
      <c r="G1014" s="144">
        <v>0</v>
      </c>
      <c r="H1014" s="145">
        <v>0</v>
      </c>
      <c r="I1014" s="144">
        <v>0</v>
      </c>
      <c r="J1014" s="145">
        <v>0</v>
      </c>
      <c r="K1014" s="144">
        <v>0</v>
      </c>
      <c r="L1014" s="145">
        <v>0</v>
      </c>
      <c r="M1014" s="144">
        <v>0</v>
      </c>
      <c r="N1014" s="145">
        <v>0</v>
      </c>
      <c r="O1014" s="144">
        <v>0</v>
      </c>
      <c r="P1014" s="145">
        <v>0</v>
      </c>
      <c r="Q1014" s="144">
        <v>0</v>
      </c>
      <c r="R1014" s="145">
        <v>0</v>
      </c>
      <c r="S1014" s="144">
        <v>0</v>
      </c>
      <c r="T1014" s="145">
        <v>0</v>
      </c>
      <c r="U1014" s="144">
        <v>0</v>
      </c>
      <c r="V1014" s="145">
        <v>0</v>
      </c>
      <c r="W1014" s="144">
        <v>0</v>
      </c>
      <c r="X1014" s="145">
        <v>0</v>
      </c>
      <c r="Y1014" s="144">
        <v>0</v>
      </c>
      <c r="Z1014" s="145">
        <v>0</v>
      </c>
      <c r="AA1014" s="144">
        <v>0</v>
      </c>
      <c r="AB1014" s="145">
        <v>0</v>
      </c>
      <c r="AC1014" s="238">
        <f t="shared" si="54"/>
        <v>0</v>
      </c>
      <c r="AD1014" s="238"/>
      <c r="AE1014" s="238"/>
    </row>
    <row r="1015" spans="2:31" x14ac:dyDescent="0.3">
      <c r="B1015" s="245" t="s">
        <v>53</v>
      </c>
      <c r="C1015" s="245"/>
      <c r="D1015" s="245"/>
      <c r="E1015" s="144">
        <v>0</v>
      </c>
      <c r="F1015" s="145">
        <v>0</v>
      </c>
      <c r="G1015" s="144">
        <v>0</v>
      </c>
      <c r="H1015" s="145">
        <v>0</v>
      </c>
      <c r="I1015" s="144">
        <v>0</v>
      </c>
      <c r="J1015" s="145">
        <v>0</v>
      </c>
      <c r="K1015" s="144">
        <v>0</v>
      </c>
      <c r="L1015" s="145">
        <v>0</v>
      </c>
      <c r="M1015" s="144">
        <v>0</v>
      </c>
      <c r="N1015" s="145">
        <v>0</v>
      </c>
      <c r="O1015" s="144">
        <v>0</v>
      </c>
      <c r="P1015" s="145">
        <v>0</v>
      </c>
      <c r="Q1015" s="144">
        <v>0</v>
      </c>
      <c r="R1015" s="145">
        <v>0</v>
      </c>
      <c r="S1015" s="144">
        <v>0</v>
      </c>
      <c r="T1015" s="145">
        <v>0</v>
      </c>
      <c r="U1015" s="144">
        <v>0</v>
      </c>
      <c r="V1015" s="145">
        <v>0</v>
      </c>
      <c r="W1015" s="144">
        <v>0</v>
      </c>
      <c r="X1015" s="145">
        <v>0</v>
      </c>
      <c r="Y1015" s="144">
        <v>0</v>
      </c>
      <c r="Z1015" s="145">
        <v>0</v>
      </c>
      <c r="AA1015" s="144">
        <v>0</v>
      </c>
      <c r="AB1015" s="145">
        <v>0</v>
      </c>
      <c r="AC1015" s="238">
        <f t="shared" si="54"/>
        <v>0</v>
      </c>
      <c r="AD1015" s="238"/>
      <c r="AE1015" s="238"/>
    </row>
    <row r="1016" spans="2:31" x14ac:dyDescent="0.3">
      <c r="B1016" s="245" t="s">
        <v>54</v>
      </c>
      <c r="C1016" s="245"/>
      <c r="D1016" s="245"/>
      <c r="E1016" s="144">
        <v>0</v>
      </c>
      <c r="F1016" s="145">
        <v>0</v>
      </c>
      <c r="G1016" s="144">
        <v>0</v>
      </c>
      <c r="H1016" s="145">
        <v>0</v>
      </c>
      <c r="I1016" s="144">
        <v>0</v>
      </c>
      <c r="J1016" s="145">
        <v>0</v>
      </c>
      <c r="K1016" s="144">
        <v>0</v>
      </c>
      <c r="L1016" s="145">
        <v>0</v>
      </c>
      <c r="M1016" s="144">
        <v>0</v>
      </c>
      <c r="N1016" s="145">
        <v>0</v>
      </c>
      <c r="O1016" s="144">
        <v>0</v>
      </c>
      <c r="P1016" s="145">
        <v>0</v>
      </c>
      <c r="Q1016" s="144">
        <v>0</v>
      </c>
      <c r="R1016" s="145">
        <v>0.45900000000000246</v>
      </c>
      <c r="S1016" s="144">
        <v>2.5163333333333386</v>
      </c>
      <c r="T1016" s="145">
        <v>1.8041666666666663</v>
      </c>
      <c r="U1016" s="144">
        <v>1.0391666666666721</v>
      </c>
      <c r="V1016" s="145">
        <v>5.9333333333333606E-2</v>
      </c>
      <c r="W1016" s="144">
        <v>0.66700000000000093</v>
      </c>
      <c r="X1016" s="145">
        <v>0</v>
      </c>
      <c r="Y1016" s="144">
        <v>0</v>
      </c>
      <c r="Z1016" s="145">
        <v>0</v>
      </c>
      <c r="AA1016" s="144">
        <v>0</v>
      </c>
      <c r="AB1016" s="145">
        <v>0</v>
      </c>
      <c r="AC1016" s="238">
        <f t="shared" si="54"/>
        <v>6.5450000000000141</v>
      </c>
      <c r="AD1016" s="238"/>
      <c r="AE1016" s="238"/>
    </row>
    <row r="1017" spans="2:31" x14ac:dyDescent="0.3">
      <c r="B1017" s="245" t="s">
        <v>55</v>
      </c>
      <c r="C1017" s="245"/>
      <c r="D1017" s="245"/>
      <c r="E1017" s="144">
        <v>0</v>
      </c>
      <c r="F1017" s="145">
        <v>0</v>
      </c>
      <c r="G1017" s="144">
        <v>0</v>
      </c>
      <c r="H1017" s="145">
        <v>0</v>
      </c>
      <c r="I1017" s="144">
        <v>0</v>
      </c>
      <c r="J1017" s="145">
        <v>0</v>
      </c>
      <c r="K1017" s="144">
        <v>0</v>
      </c>
      <c r="L1017" s="145">
        <v>0</v>
      </c>
      <c r="M1017" s="144">
        <v>0</v>
      </c>
      <c r="N1017" s="145">
        <v>0</v>
      </c>
      <c r="O1017" s="144">
        <v>0</v>
      </c>
      <c r="P1017" s="145">
        <v>0</v>
      </c>
      <c r="Q1017" s="144">
        <v>0</v>
      </c>
      <c r="R1017" s="145">
        <v>0</v>
      </c>
      <c r="S1017" s="144">
        <v>0</v>
      </c>
      <c r="T1017" s="145">
        <v>0</v>
      </c>
      <c r="U1017" s="144">
        <v>0</v>
      </c>
      <c r="V1017" s="145">
        <v>0</v>
      </c>
      <c r="W1017" s="144">
        <v>0</v>
      </c>
      <c r="X1017" s="145">
        <v>0</v>
      </c>
      <c r="Y1017" s="144">
        <v>0</v>
      </c>
      <c r="Z1017" s="145">
        <v>0</v>
      </c>
      <c r="AA1017" s="144">
        <v>0</v>
      </c>
      <c r="AB1017" s="145">
        <v>0</v>
      </c>
      <c r="AC1017" s="238">
        <f t="shared" si="54"/>
        <v>0</v>
      </c>
      <c r="AD1017" s="238"/>
      <c r="AE1017" s="238"/>
    </row>
    <row r="1018" spans="2:31" x14ac:dyDescent="0.3">
      <c r="B1018" s="245" t="s">
        <v>56</v>
      </c>
      <c r="C1018" s="245"/>
      <c r="D1018" s="245"/>
      <c r="E1018" s="144">
        <v>0</v>
      </c>
      <c r="F1018" s="145">
        <v>0</v>
      </c>
      <c r="G1018" s="144">
        <v>0</v>
      </c>
      <c r="H1018" s="145">
        <v>0</v>
      </c>
      <c r="I1018" s="144">
        <v>0</v>
      </c>
      <c r="J1018" s="145">
        <v>0</v>
      </c>
      <c r="K1018" s="144">
        <v>0</v>
      </c>
      <c r="L1018" s="145">
        <v>0</v>
      </c>
      <c r="M1018" s="144">
        <v>0</v>
      </c>
      <c r="N1018" s="145">
        <v>0</v>
      </c>
      <c r="O1018" s="144">
        <v>0</v>
      </c>
      <c r="P1018" s="145">
        <v>0</v>
      </c>
      <c r="Q1018" s="144">
        <v>0</v>
      </c>
      <c r="R1018" s="145">
        <v>0</v>
      </c>
      <c r="S1018" s="144">
        <v>0</v>
      </c>
      <c r="T1018" s="145">
        <v>0</v>
      </c>
      <c r="U1018" s="144">
        <v>0</v>
      </c>
      <c r="V1018" s="145">
        <v>0</v>
      </c>
      <c r="W1018" s="144">
        <v>0</v>
      </c>
      <c r="X1018" s="145">
        <v>0</v>
      </c>
      <c r="Y1018" s="144">
        <v>0</v>
      </c>
      <c r="Z1018" s="145">
        <v>0</v>
      </c>
      <c r="AA1018" s="144">
        <v>0</v>
      </c>
      <c r="AB1018" s="145">
        <v>0</v>
      </c>
      <c r="AC1018" s="238">
        <f t="shared" si="54"/>
        <v>0</v>
      </c>
      <c r="AD1018" s="238"/>
      <c r="AE1018" s="238"/>
    </row>
    <row r="1019" spans="2:31" x14ac:dyDescent="0.3">
      <c r="B1019" s="245" t="s">
        <v>94</v>
      </c>
      <c r="C1019" s="245"/>
      <c r="D1019" s="245"/>
      <c r="E1019" s="144">
        <v>0</v>
      </c>
      <c r="F1019" s="145">
        <v>0</v>
      </c>
      <c r="G1019" s="144">
        <v>0</v>
      </c>
      <c r="H1019" s="145">
        <v>0</v>
      </c>
      <c r="I1019" s="144">
        <v>0</v>
      </c>
      <c r="J1019" s="145">
        <v>0</v>
      </c>
      <c r="K1019" s="144">
        <v>0</v>
      </c>
      <c r="L1019" s="145">
        <v>0</v>
      </c>
      <c r="M1019" s="144">
        <v>0</v>
      </c>
      <c r="N1019" s="145">
        <v>0</v>
      </c>
      <c r="O1019" s="144">
        <v>0</v>
      </c>
      <c r="P1019" s="145">
        <v>0</v>
      </c>
      <c r="Q1019" s="144">
        <v>0</v>
      </c>
      <c r="R1019" s="145">
        <v>0</v>
      </c>
      <c r="S1019" s="144">
        <v>0</v>
      </c>
      <c r="T1019" s="145">
        <v>0</v>
      </c>
      <c r="U1019" s="144">
        <v>0</v>
      </c>
      <c r="V1019" s="145">
        <v>0</v>
      </c>
      <c r="W1019" s="144">
        <v>0</v>
      </c>
      <c r="X1019" s="145">
        <v>0</v>
      </c>
      <c r="Y1019" s="144">
        <v>0</v>
      </c>
      <c r="Z1019" s="145">
        <v>0</v>
      </c>
      <c r="AA1019" s="144">
        <v>0</v>
      </c>
      <c r="AB1019" s="145">
        <v>0</v>
      </c>
      <c r="AC1019" s="238">
        <f t="shared" si="54"/>
        <v>0</v>
      </c>
      <c r="AD1019" s="238"/>
      <c r="AE1019" s="238"/>
    </row>
    <row r="1020" spans="2:31" x14ac:dyDescent="0.3">
      <c r="B1020" s="245" t="s">
        <v>57</v>
      </c>
      <c r="C1020" s="245"/>
      <c r="D1020" s="245"/>
      <c r="E1020" s="144">
        <v>0</v>
      </c>
      <c r="F1020" s="145">
        <v>0</v>
      </c>
      <c r="G1020" s="144">
        <v>0</v>
      </c>
      <c r="H1020" s="145">
        <v>0</v>
      </c>
      <c r="I1020" s="144">
        <v>0</v>
      </c>
      <c r="J1020" s="145">
        <v>0</v>
      </c>
      <c r="K1020" s="144">
        <v>0</v>
      </c>
      <c r="L1020" s="145">
        <v>0</v>
      </c>
      <c r="M1020" s="144">
        <v>0</v>
      </c>
      <c r="N1020" s="145">
        <v>0</v>
      </c>
      <c r="O1020" s="144">
        <v>0</v>
      </c>
      <c r="P1020" s="145">
        <v>0</v>
      </c>
      <c r="Q1020" s="144">
        <v>0</v>
      </c>
      <c r="R1020" s="145">
        <v>0.17916666666666689</v>
      </c>
      <c r="S1020" s="144">
        <v>0.90866666666666496</v>
      </c>
      <c r="T1020" s="145">
        <v>0.36599999999999872</v>
      </c>
      <c r="U1020" s="144">
        <v>0</v>
      </c>
      <c r="V1020" s="145">
        <v>0</v>
      </c>
      <c r="W1020" s="144">
        <v>0</v>
      </c>
      <c r="X1020" s="145">
        <v>0</v>
      </c>
      <c r="Y1020" s="144">
        <v>0</v>
      </c>
      <c r="Z1020" s="145">
        <v>0</v>
      </c>
      <c r="AA1020" s="144">
        <v>0</v>
      </c>
      <c r="AB1020" s="145">
        <v>0</v>
      </c>
      <c r="AC1020" s="238">
        <f t="shared" si="54"/>
        <v>1.4538333333333306</v>
      </c>
      <c r="AD1020" s="238"/>
      <c r="AE1020" s="238"/>
    </row>
    <row r="1021" spans="2:31" x14ac:dyDescent="0.3">
      <c r="B1021" s="245" t="s">
        <v>58</v>
      </c>
      <c r="C1021" s="245"/>
      <c r="D1021" s="245"/>
      <c r="E1021" s="144">
        <v>0</v>
      </c>
      <c r="F1021" s="145">
        <v>0</v>
      </c>
      <c r="G1021" s="144">
        <v>0</v>
      </c>
      <c r="H1021" s="145">
        <v>0</v>
      </c>
      <c r="I1021" s="144">
        <v>0</v>
      </c>
      <c r="J1021" s="145">
        <v>0</v>
      </c>
      <c r="K1021" s="144">
        <v>0</v>
      </c>
      <c r="L1021" s="145">
        <v>0</v>
      </c>
      <c r="M1021" s="144">
        <v>0</v>
      </c>
      <c r="N1021" s="145">
        <v>0</v>
      </c>
      <c r="O1021" s="144">
        <v>0</v>
      </c>
      <c r="P1021" s="145">
        <v>0</v>
      </c>
      <c r="Q1021" s="144">
        <v>0</v>
      </c>
      <c r="R1021" s="145">
        <v>0</v>
      </c>
      <c r="S1021" s="144">
        <v>0</v>
      </c>
      <c r="T1021" s="145">
        <v>0</v>
      </c>
      <c r="U1021" s="144">
        <v>0</v>
      </c>
      <c r="V1021" s="145">
        <v>0</v>
      </c>
      <c r="W1021" s="144">
        <v>0</v>
      </c>
      <c r="X1021" s="145">
        <v>0</v>
      </c>
      <c r="Y1021" s="144">
        <v>0</v>
      </c>
      <c r="Z1021" s="145">
        <v>0</v>
      </c>
      <c r="AA1021" s="144">
        <v>0</v>
      </c>
      <c r="AB1021" s="145">
        <v>0</v>
      </c>
      <c r="AC1021" s="238">
        <f t="shared" si="54"/>
        <v>0</v>
      </c>
      <c r="AD1021" s="238"/>
      <c r="AE1021" s="238"/>
    </row>
    <row r="1022" spans="2:31" x14ac:dyDescent="0.3">
      <c r="B1022" s="245" t="s">
        <v>95</v>
      </c>
      <c r="C1022" s="245"/>
      <c r="D1022" s="245"/>
      <c r="E1022" s="144">
        <v>0</v>
      </c>
      <c r="F1022" s="145">
        <v>0</v>
      </c>
      <c r="G1022" s="144">
        <v>0</v>
      </c>
      <c r="H1022" s="145">
        <v>0</v>
      </c>
      <c r="I1022" s="144">
        <v>0</v>
      </c>
      <c r="J1022" s="145">
        <v>0</v>
      </c>
      <c r="K1022" s="144">
        <v>0</v>
      </c>
      <c r="L1022" s="145">
        <v>0</v>
      </c>
      <c r="M1022" s="144">
        <v>0</v>
      </c>
      <c r="N1022" s="145">
        <v>0</v>
      </c>
      <c r="O1022" s="144">
        <v>0</v>
      </c>
      <c r="P1022" s="145">
        <v>0</v>
      </c>
      <c r="Q1022" s="144">
        <v>0</v>
      </c>
      <c r="R1022" s="145">
        <v>0</v>
      </c>
      <c r="S1022" s="144">
        <v>0</v>
      </c>
      <c r="T1022" s="145">
        <v>0</v>
      </c>
      <c r="U1022" s="144">
        <v>0</v>
      </c>
      <c r="V1022" s="145">
        <v>0</v>
      </c>
      <c r="W1022" s="144">
        <v>0</v>
      </c>
      <c r="X1022" s="145">
        <v>0</v>
      </c>
      <c r="Y1022" s="144">
        <v>0</v>
      </c>
      <c r="Z1022" s="145">
        <v>0</v>
      </c>
      <c r="AA1022" s="144">
        <v>0</v>
      </c>
      <c r="AB1022" s="145">
        <v>0</v>
      </c>
      <c r="AC1022" s="238">
        <f t="shared" si="54"/>
        <v>0</v>
      </c>
      <c r="AD1022" s="238"/>
      <c r="AE1022" s="238"/>
    </row>
    <row r="1023" spans="2:31" x14ac:dyDescent="0.3">
      <c r="B1023" s="245" t="s">
        <v>59</v>
      </c>
      <c r="C1023" s="245"/>
      <c r="D1023" s="245"/>
      <c r="E1023" s="144">
        <v>0</v>
      </c>
      <c r="F1023" s="145">
        <v>0</v>
      </c>
      <c r="G1023" s="144">
        <v>0</v>
      </c>
      <c r="H1023" s="145">
        <v>0</v>
      </c>
      <c r="I1023" s="144">
        <v>0</v>
      </c>
      <c r="J1023" s="145">
        <v>0</v>
      </c>
      <c r="K1023" s="144">
        <v>0</v>
      </c>
      <c r="L1023" s="145">
        <v>0</v>
      </c>
      <c r="M1023" s="144">
        <v>0</v>
      </c>
      <c r="N1023" s="145">
        <v>0</v>
      </c>
      <c r="O1023" s="144">
        <v>0</v>
      </c>
      <c r="P1023" s="145">
        <v>0</v>
      </c>
      <c r="Q1023" s="144">
        <v>0</v>
      </c>
      <c r="R1023" s="145">
        <v>14.800666666666674</v>
      </c>
      <c r="S1023" s="144">
        <v>18.886833333333325</v>
      </c>
      <c r="T1023" s="145">
        <v>18.479166666666671</v>
      </c>
      <c r="U1023" s="144">
        <v>17.888666666666662</v>
      </c>
      <c r="V1023" s="145">
        <v>16.842999999999996</v>
      </c>
      <c r="W1023" s="144">
        <v>11.030666666666669</v>
      </c>
      <c r="X1023" s="145">
        <v>0</v>
      </c>
      <c r="Y1023" s="144">
        <v>0</v>
      </c>
      <c r="Z1023" s="145">
        <v>0</v>
      </c>
      <c r="AA1023" s="144">
        <v>0</v>
      </c>
      <c r="AB1023" s="145">
        <v>0</v>
      </c>
      <c r="AC1023" s="238">
        <f t="shared" si="54"/>
        <v>97.929000000000002</v>
      </c>
      <c r="AD1023" s="238"/>
      <c r="AE1023" s="238"/>
    </row>
    <row r="1024" spans="2:31" x14ac:dyDescent="0.3">
      <c r="B1024" s="245" t="s">
        <v>60</v>
      </c>
      <c r="C1024" s="245"/>
      <c r="D1024" s="245"/>
      <c r="E1024" s="144">
        <v>0</v>
      </c>
      <c r="F1024" s="145">
        <v>0</v>
      </c>
      <c r="G1024" s="144">
        <v>0</v>
      </c>
      <c r="H1024" s="145">
        <v>0</v>
      </c>
      <c r="I1024" s="144">
        <v>0</v>
      </c>
      <c r="J1024" s="145">
        <v>0</v>
      </c>
      <c r="K1024" s="144">
        <v>0</v>
      </c>
      <c r="L1024" s="145">
        <v>0</v>
      </c>
      <c r="M1024" s="144">
        <v>0</v>
      </c>
      <c r="N1024" s="145">
        <v>0</v>
      </c>
      <c r="O1024" s="144">
        <v>0</v>
      </c>
      <c r="P1024" s="145">
        <v>0</v>
      </c>
      <c r="Q1024" s="144">
        <v>0</v>
      </c>
      <c r="R1024" s="145">
        <v>0.57566666666666344</v>
      </c>
      <c r="S1024" s="144">
        <v>1.1000000000000085</v>
      </c>
      <c r="T1024" s="145">
        <v>1.1000000000000085</v>
      </c>
      <c r="U1024" s="144">
        <v>0.30633333333333695</v>
      </c>
      <c r="V1024" s="145">
        <v>0.1836666666666672</v>
      </c>
      <c r="W1024" s="144">
        <v>5.1666666666667048E-3</v>
      </c>
      <c r="X1024" s="145">
        <v>0</v>
      </c>
      <c r="Y1024" s="144">
        <v>0</v>
      </c>
      <c r="Z1024" s="145">
        <v>0</v>
      </c>
      <c r="AA1024" s="144">
        <v>0</v>
      </c>
      <c r="AB1024" s="145">
        <v>0</v>
      </c>
      <c r="AC1024" s="238">
        <f t="shared" si="54"/>
        <v>3.2708333333333512</v>
      </c>
      <c r="AD1024" s="238"/>
      <c r="AE1024" s="238"/>
    </row>
    <row r="1025" spans="2:31" x14ac:dyDescent="0.3">
      <c r="B1025" s="245" t="s">
        <v>61</v>
      </c>
      <c r="C1025" s="245"/>
      <c r="D1025" s="245"/>
      <c r="E1025" s="144">
        <v>0</v>
      </c>
      <c r="F1025" s="145">
        <v>0</v>
      </c>
      <c r="G1025" s="144">
        <v>0</v>
      </c>
      <c r="H1025" s="145">
        <v>0</v>
      </c>
      <c r="I1025" s="144">
        <v>0</v>
      </c>
      <c r="J1025" s="145">
        <v>0</v>
      </c>
      <c r="K1025" s="144">
        <v>0</v>
      </c>
      <c r="L1025" s="145">
        <v>0</v>
      </c>
      <c r="M1025" s="144">
        <v>0</v>
      </c>
      <c r="N1025" s="145">
        <v>0</v>
      </c>
      <c r="O1025" s="144">
        <v>0</v>
      </c>
      <c r="P1025" s="145">
        <v>0</v>
      </c>
      <c r="Q1025" s="144">
        <v>0</v>
      </c>
      <c r="R1025" s="145">
        <v>0</v>
      </c>
      <c r="S1025" s="144">
        <v>0</v>
      </c>
      <c r="T1025" s="145">
        <v>0</v>
      </c>
      <c r="U1025" s="144">
        <v>0</v>
      </c>
      <c r="V1025" s="145">
        <v>0</v>
      </c>
      <c r="W1025" s="144">
        <v>0.8406666666666659</v>
      </c>
      <c r="X1025" s="145">
        <v>0</v>
      </c>
      <c r="Y1025" s="144">
        <v>0</v>
      </c>
      <c r="Z1025" s="145">
        <v>0</v>
      </c>
      <c r="AA1025" s="144">
        <v>0</v>
      </c>
      <c r="AB1025" s="145">
        <v>0</v>
      </c>
      <c r="AC1025" s="238">
        <f t="shared" si="54"/>
        <v>0.8406666666666659</v>
      </c>
      <c r="AD1025" s="238"/>
      <c r="AE1025" s="238"/>
    </row>
    <row r="1026" spans="2:31" x14ac:dyDescent="0.3">
      <c r="B1026" s="245" t="s">
        <v>62</v>
      </c>
      <c r="C1026" s="245"/>
      <c r="D1026" s="245"/>
      <c r="E1026" s="144">
        <v>0</v>
      </c>
      <c r="F1026" s="145">
        <v>0</v>
      </c>
      <c r="G1026" s="144">
        <v>0</v>
      </c>
      <c r="H1026" s="145">
        <v>0</v>
      </c>
      <c r="I1026" s="144">
        <v>0</v>
      </c>
      <c r="J1026" s="145">
        <v>0</v>
      </c>
      <c r="K1026" s="144">
        <v>0</v>
      </c>
      <c r="L1026" s="145">
        <v>0</v>
      </c>
      <c r="M1026" s="144">
        <v>0</v>
      </c>
      <c r="N1026" s="145">
        <v>0</v>
      </c>
      <c r="O1026" s="144">
        <v>0</v>
      </c>
      <c r="P1026" s="145">
        <v>0</v>
      </c>
      <c r="Q1026" s="144">
        <v>0</v>
      </c>
      <c r="R1026" s="145">
        <v>0</v>
      </c>
      <c r="S1026" s="144">
        <v>0</v>
      </c>
      <c r="T1026" s="145">
        <v>0</v>
      </c>
      <c r="U1026" s="144">
        <v>0</v>
      </c>
      <c r="V1026" s="145">
        <v>0</v>
      </c>
      <c r="W1026" s="144">
        <v>0</v>
      </c>
      <c r="X1026" s="145">
        <v>0</v>
      </c>
      <c r="Y1026" s="144">
        <v>0</v>
      </c>
      <c r="Z1026" s="145">
        <v>0</v>
      </c>
      <c r="AA1026" s="144">
        <v>0</v>
      </c>
      <c r="AB1026" s="145">
        <v>0</v>
      </c>
      <c r="AC1026" s="238">
        <f t="shared" si="54"/>
        <v>0</v>
      </c>
      <c r="AD1026" s="238"/>
      <c r="AE1026" s="238"/>
    </row>
    <row r="1027" spans="2:31" x14ac:dyDescent="0.3">
      <c r="B1027" s="245" t="s">
        <v>63</v>
      </c>
      <c r="C1027" s="245"/>
      <c r="D1027" s="245"/>
      <c r="E1027" s="144">
        <v>0</v>
      </c>
      <c r="F1027" s="145">
        <v>0</v>
      </c>
      <c r="G1027" s="144">
        <v>0</v>
      </c>
      <c r="H1027" s="145">
        <v>0</v>
      </c>
      <c r="I1027" s="144">
        <v>0</v>
      </c>
      <c r="J1027" s="145">
        <v>0</v>
      </c>
      <c r="K1027" s="144">
        <v>0</v>
      </c>
      <c r="L1027" s="145">
        <v>0</v>
      </c>
      <c r="M1027" s="144">
        <v>0</v>
      </c>
      <c r="N1027" s="145">
        <v>0</v>
      </c>
      <c r="O1027" s="144">
        <v>0</v>
      </c>
      <c r="P1027" s="145">
        <v>0</v>
      </c>
      <c r="Q1027" s="144">
        <v>0</v>
      </c>
      <c r="R1027" s="145">
        <v>0</v>
      </c>
      <c r="S1027" s="144">
        <v>0</v>
      </c>
      <c r="T1027" s="145">
        <v>0</v>
      </c>
      <c r="U1027" s="144">
        <v>0</v>
      </c>
      <c r="V1027" s="145">
        <v>0</v>
      </c>
      <c r="W1027" s="144">
        <v>1.9463333333333319</v>
      </c>
      <c r="X1027" s="145">
        <v>0</v>
      </c>
      <c r="Y1027" s="144">
        <v>0</v>
      </c>
      <c r="Z1027" s="145">
        <v>0</v>
      </c>
      <c r="AA1027" s="144">
        <v>0</v>
      </c>
      <c r="AB1027" s="145">
        <v>0</v>
      </c>
      <c r="AC1027" s="238">
        <f t="shared" si="54"/>
        <v>1.9463333333333319</v>
      </c>
      <c r="AD1027" s="238"/>
      <c r="AE1027" s="238"/>
    </row>
    <row r="1028" spans="2:31" x14ac:dyDescent="0.3">
      <c r="B1028" s="245" t="s">
        <v>64</v>
      </c>
      <c r="C1028" s="245"/>
      <c r="D1028" s="245"/>
      <c r="E1028" s="144">
        <v>0</v>
      </c>
      <c r="F1028" s="145">
        <v>0</v>
      </c>
      <c r="G1028" s="144">
        <v>0</v>
      </c>
      <c r="H1028" s="145">
        <v>0</v>
      </c>
      <c r="I1028" s="144">
        <v>0</v>
      </c>
      <c r="J1028" s="145">
        <v>0</v>
      </c>
      <c r="K1028" s="144">
        <v>0</v>
      </c>
      <c r="L1028" s="145">
        <v>0</v>
      </c>
      <c r="M1028" s="144">
        <v>0</v>
      </c>
      <c r="N1028" s="145">
        <v>0</v>
      </c>
      <c r="O1028" s="144">
        <v>0</v>
      </c>
      <c r="P1028" s="145">
        <v>0</v>
      </c>
      <c r="Q1028" s="144">
        <v>0</v>
      </c>
      <c r="R1028" s="145">
        <v>0</v>
      </c>
      <c r="S1028" s="144">
        <v>0</v>
      </c>
      <c r="T1028" s="145">
        <v>0</v>
      </c>
      <c r="U1028" s="144">
        <v>0.7514999999999985</v>
      </c>
      <c r="V1028" s="145">
        <v>0.92666666666666686</v>
      </c>
      <c r="W1028" s="144">
        <v>1.8231666666666684</v>
      </c>
      <c r="X1028" s="145">
        <v>0</v>
      </c>
      <c r="Y1028" s="144">
        <v>0</v>
      </c>
      <c r="Z1028" s="145">
        <v>0</v>
      </c>
      <c r="AA1028" s="144">
        <v>0</v>
      </c>
      <c r="AB1028" s="145">
        <v>0</v>
      </c>
      <c r="AC1028" s="238">
        <f t="shared" si="54"/>
        <v>3.5013333333333341</v>
      </c>
      <c r="AD1028" s="238"/>
      <c r="AE1028" s="238"/>
    </row>
    <row r="1029" spans="2:31" x14ac:dyDescent="0.3">
      <c r="B1029" s="245" t="s">
        <v>96</v>
      </c>
      <c r="C1029" s="245"/>
      <c r="D1029" s="245"/>
      <c r="E1029" s="144">
        <v>0</v>
      </c>
      <c r="F1029" s="145">
        <v>0</v>
      </c>
      <c r="G1029" s="144">
        <v>0</v>
      </c>
      <c r="H1029" s="145">
        <v>0</v>
      </c>
      <c r="I1029" s="144">
        <v>0</v>
      </c>
      <c r="J1029" s="145">
        <v>0</v>
      </c>
      <c r="K1029" s="144">
        <v>0</v>
      </c>
      <c r="L1029" s="145">
        <v>0</v>
      </c>
      <c r="M1029" s="144">
        <v>0</v>
      </c>
      <c r="N1029" s="145">
        <v>0</v>
      </c>
      <c r="O1029" s="144">
        <v>0</v>
      </c>
      <c r="P1029" s="145">
        <v>0</v>
      </c>
      <c r="Q1029" s="144">
        <v>0</v>
      </c>
      <c r="R1029" s="145">
        <v>0</v>
      </c>
      <c r="S1029" s="144">
        <v>0</v>
      </c>
      <c r="T1029" s="145">
        <v>0</v>
      </c>
      <c r="U1029" s="144">
        <v>0</v>
      </c>
      <c r="V1029" s="145">
        <v>0</v>
      </c>
      <c r="W1029" s="144">
        <v>0</v>
      </c>
      <c r="X1029" s="145">
        <v>0</v>
      </c>
      <c r="Y1029" s="144">
        <v>0</v>
      </c>
      <c r="Z1029" s="145">
        <v>0</v>
      </c>
      <c r="AA1029" s="144">
        <v>0</v>
      </c>
      <c r="AB1029" s="145">
        <v>0</v>
      </c>
      <c r="AC1029" s="238">
        <f t="shared" si="54"/>
        <v>0</v>
      </c>
      <c r="AD1029" s="238"/>
      <c r="AE1029" s="238"/>
    </row>
    <row r="1030" spans="2:31" x14ac:dyDescent="0.3">
      <c r="B1030" s="245" t="s">
        <v>65</v>
      </c>
      <c r="C1030" s="245"/>
      <c r="D1030" s="245"/>
      <c r="E1030" s="144">
        <v>0</v>
      </c>
      <c r="F1030" s="145">
        <v>0</v>
      </c>
      <c r="G1030" s="144">
        <v>0</v>
      </c>
      <c r="H1030" s="145">
        <v>0</v>
      </c>
      <c r="I1030" s="144">
        <v>0</v>
      </c>
      <c r="J1030" s="145">
        <v>0</v>
      </c>
      <c r="K1030" s="144">
        <v>0</v>
      </c>
      <c r="L1030" s="145">
        <v>0</v>
      </c>
      <c r="M1030" s="144">
        <v>0</v>
      </c>
      <c r="N1030" s="145">
        <v>0</v>
      </c>
      <c r="O1030" s="144">
        <v>0</v>
      </c>
      <c r="P1030" s="145">
        <v>0</v>
      </c>
      <c r="Q1030" s="144">
        <v>0</v>
      </c>
      <c r="R1030" s="145">
        <v>7.7499999999998667E-2</v>
      </c>
      <c r="S1030" s="144">
        <v>0.27683333333332999</v>
      </c>
      <c r="T1030" s="145">
        <v>6.6666666666667616E-3</v>
      </c>
      <c r="U1030" s="144">
        <v>0</v>
      </c>
      <c r="V1030" s="145">
        <v>1.0500000000000101E-2</v>
      </c>
      <c r="W1030" s="144">
        <v>1.0070000000000003</v>
      </c>
      <c r="X1030" s="145">
        <v>0</v>
      </c>
      <c r="Y1030" s="144">
        <v>0</v>
      </c>
      <c r="Z1030" s="145">
        <v>0</v>
      </c>
      <c r="AA1030" s="144">
        <v>0</v>
      </c>
      <c r="AB1030" s="145">
        <v>0</v>
      </c>
      <c r="AC1030" s="238">
        <f t="shared" si="54"/>
        <v>1.3784999999999958</v>
      </c>
      <c r="AD1030" s="238"/>
      <c r="AE1030" s="238"/>
    </row>
    <row r="1031" spans="2:31" x14ac:dyDescent="0.3">
      <c r="B1031" s="245" t="s">
        <v>66</v>
      </c>
      <c r="C1031" s="245"/>
      <c r="D1031" s="245"/>
      <c r="E1031" s="144">
        <v>0</v>
      </c>
      <c r="F1031" s="145">
        <v>0</v>
      </c>
      <c r="G1031" s="144">
        <v>0</v>
      </c>
      <c r="H1031" s="145">
        <v>0</v>
      </c>
      <c r="I1031" s="144">
        <v>0</v>
      </c>
      <c r="J1031" s="145">
        <v>0</v>
      </c>
      <c r="K1031" s="144">
        <v>0</v>
      </c>
      <c r="L1031" s="145">
        <v>0</v>
      </c>
      <c r="M1031" s="144">
        <v>0</v>
      </c>
      <c r="N1031" s="145">
        <v>0</v>
      </c>
      <c r="O1031" s="144">
        <v>0</v>
      </c>
      <c r="P1031" s="145">
        <v>0</v>
      </c>
      <c r="Q1031" s="144">
        <v>0</v>
      </c>
      <c r="R1031" s="145">
        <v>3.547333333333333</v>
      </c>
      <c r="S1031" s="144">
        <v>11.465999999999998</v>
      </c>
      <c r="T1031" s="145">
        <v>11.346500000000004</v>
      </c>
      <c r="U1031" s="144">
        <v>10.502833333333326</v>
      </c>
      <c r="V1031" s="145">
        <v>2.2561666666666667</v>
      </c>
      <c r="W1031" s="144">
        <v>1.056166666666668</v>
      </c>
      <c r="X1031" s="145">
        <v>0</v>
      </c>
      <c r="Y1031" s="144">
        <v>0</v>
      </c>
      <c r="Z1031" s="145">
        <v>0</v>
      </c>
      <c r="AA1031" s="144">
        <v>0</v>
      </c>
      <c r="AB1031" s="145">
        <v>0</v>
      </c>
      <c r="AC1031" s="238">
        <f>SUM(E1031:AB1031)</f>
        <v>40.174999999999997</v>
      </c>
      <c r="AD1031" s="238"/>
      <c r="AE1031" s="238"/>
    </row>
    <row r="1032" spans="2:31" x14ac:dyDescent="0.3">
      <c r="B1032" s="245" t="s">
        <v>67</v>
      </c>
      <c r="C1032" s="245"/>
      <c r="D1032" s="245"/>
      <c r="E1032" s="144">
        <v>0</v>
      </c>
      <c r="F1032" s="145">
        <v>0</v>
      </c>
      <c r="G1032" s="144">
        <v>0</v>
      </c>
      <c r="H1032" s="145">
        <v>0</v>
      </c>
      <c r="I1032" s="144">
        <v>0</v>
      </c>
      <c r="J1032" s="145">
        <v>0</v>
      </c>
      <c r="K1032" s="144">
        <v>0</v>
      </c>
      <c r="L1032" s="145">
        <v>0</v>
      </c>
      <c r="M1032" s="144">
        <v>0</v>
      </c>
      <c r="N1032" s="145">
        <v>0</v>
      </c>
      <c r="O1032" s="144">
        <v>0</v>
      </c>
      <c r="P1032" s="145">
        <v>0</v>
      </c>
      <c r="Q1032" s="144">
        <v>0</v>
      </c>
      <c r="R1032" s="145">
        <v>0</v>
      </c>
      <c r="S1032" s="144">
        <v>0</v>
      </c>
      <c r="T1032" s="145">
        <v>0</v>
      </c>
      <c r="U1032" s="144">
        <v>0.58616666666666617</v>
      </c>
      <c r="V1032" s="145">
        <v>1.2810000000000001</v>
      </c>
      <c r="W1032" s="144">
        <v>1.952333333333333</v>
      </c>
      <c r="X1032" s="145">
        <v>0</v>
      </c>
      <c r="Y1032" s="144">
        <v>0</v>
      </c>
      <c r="Z1032" s="145">
        <v>0</v>
      </c>
      <c r="AA1032" s="144">
        <v>0</v>
      </c>
      <c r="AB1032" s="145">
        <v>0</v>
      </c>
      <c r="AC1032" s="238">
        <f t="shared" ref="AC1032:AC1045" si="55">SUM(E1032:AB1032)</f>
        <v>3.8194999999999997</v>
      </c>
      <c r="AD1032" s="238"/>
      <c r="AE1032" s="238"/>
    </row>
    <row r="1033" spans="2:31" x14ac:dyDescent="0.3">
      <c r="B1033" s="245" t="s">
        <v>68</v>
      </c>
      <c r="C1033" s="245"/>
      <c r="D1033" s="245"/>
      <c r="E1033" s="144">
        <v>0</v>
      </c>
      <c r="F1033" s="145">
        <v>0</v>
      </c>
      <c r="G1033" s="144">
        <v>0</v>
      </c>
      <c r="H1033" s="145">
        <v>0</v>
      </c>
      <c r="I1033" s="144">
        <v>0</v>
      </c>
      <c r="J1033" s="145">
        <v>0</v>
      </c>
      <c r="K1033" s="144">
        <v>0</v>
      </c>
      <c r="L1033" s="145">
        <v>0</v>
      </c>
      <c r="M1033" s="144">
        <v>0</v>
      </c>
      <c r="N1033" s="145">
        <v>0</v>
      </c>
      <c r="O1033" s="144">
        <v>0</v>
      </c>
      <c r="P1033" s="145">
        <v>0</v>
      </c>
      <c r="Q1033" s="144">
        <v>0</v>
      </c>
      <c r="R1033" s="145">
        <v>23.839999999999993</v>
      </c>
      <c r="S1033" s="144">
        <v>59.099999999999937</v>
      </c>
      <c r="T1033" s="145">
        <v>57.800000000000054</v>
      </c>
      <c r="U1033" s="144">
        <v>55.800000000000054</v>
      </c>
      <c r="V1033" s="145">
        <v>22.923333333333339</v>
      </c>
      <c r="W1033" s="144">
        <v>42.800000000000018</v>
      </c>
      <c r="X1033" s="145">
        <v>0.36666666666666664</v>
      </c>
      <c r="Y1033" s="144">
        <v>0</v>
      </c>
      <c r="Z1033" s="145">
        <v>0</v>
      </c>
      <c r="AA1033" s="144">
        <v>0</v>
      </c>
      <c r="AB1033" s="145">
        <v>0</v>
      </c>
      <c r="AC1033" s="238">
        <f t="shared" si="55"/>
        <v>262.63000000000005</v>
      </c>
      <c r="AD1033" s="238"/>
      <c r="AE1033" s="238"/>
    </row>
    <row r="1034" spans="2:31" x14ac:dyDescent="0.3">
      <c r="B1034" s="245" t="s">
        <v>69</v>
      </c>
      <c r="C1034" s="245"/>
      <c r="D1034" s="245"/>
      <c r="E1034" s="144">
        <v>0</v>
      </c>
      <c r="F1034" s="145">
        <v>0</v>
      </c>
      <c r="G1034" s="144">
        <v>0</v>
      </c>
      <c r="H1034" s="145">
        <v>0</v>
      </c>
      <c r="I1034" s="144">
        <v>0</v>
      </c>
      <c r="J1034" s="145">
        <v>0</v>
      </c>
      <c r="K1034" s="144">
        <v>0</v>
      </c>
      <c r="L1034" s="145">
        <v>0</v>
      </c>
      <c r="M1034" s="144">
        <v>0</v>
      </c>
      <c r="N1034" s="145">
        <v>0</v>
      </c>
      <c r="O1034" s="144">
        <v>0</v>
      </c>
      <c r="P1034" s="145">
        <v>0</v>
      </c>
      <c r="Q1034" s="144">
        <v>0</v>
      </c>
      <c r="R1034" s="145">
        <v>0</v>
      </c>
      <c r="S1034" s="144">
        <v>0</v>
      </c>
      <c r="T1034" s="145">
        <v>0</v>
      </c>
      <c r="U1034" s="144">
        <v>0</v>
      </c>
      <c r="V1034" s="145">
        <v>0</v>
      </c>
      <c r="W1034" s="144">
        <v>0.79416666666666624</v>
      </c>
      <c r="X1034" s="145">
        <v>0</v>
      </c>
      <c r="Y1034" s="144">
        <v>0</v>
      </c>
      <c r="Z1034" s="145">
        <v>0</v>
      </c>
      <c r="AA1034" s="144">
        <v>0</v>
      </c>
      <c r="AB1034" s="145">
        <v>0</v>
      </c>
      <c r="AC1034" s="238">
        <f t="shared" si="55"/>
        <v>0.79416666666666624</v>
      </c>
      <c r="AD1034" s="238"/>
      <c r="AE1034" s="238"/>
    </row>
    <row r="1035" spans="2:31" x14ac:dyDescent="0.3">
      <c r="B1035" s="245" t="s">
        <v>70</v>
      </c>
      <c r="C1035" s="245"/>
      <c r="D1035" s="245"/>
      <c r="E1035" s="144">
        <v>0</v>
      </c>
      <c r="F1035" s="145">
        <v>0</v>
      </c>
      <c r="G1035" s="144">
        <v>0</v>
      </c>
      <c r="H1035" s="145">
        <v>0</v>
      </c>
      <c r="I1035" s="144">
        <v>0</v>
      </c>
      <c r="J1035" s="145">
        <v>0</v>
      </c>
      <c r="K1035" s="144">
        <v>0</v>
      </c>
      <c r="L1035" s="145">
        <v>0</v>
      </c>
      <c r="M1035" s="144">
        <v>0</v>
      </c>
      <c r="N1035" s="145">
        <v>0</v>
      </c>
      <c r="O1035" s="144">
        <v>0</v>
      </c>
      <c r="P1035" s="145">
        <v>0</v>
      </c>
      <c r="Q1035" s="144">
        <v>0</v>
      </c>
      <c r="R1035" s="145">
        <v>0</v>
      </c>
      <c r="S1035" s="144">
        <v>0</v>
      </c>
      <c r="T1035" s="145">
        <v>0</v>
      </c>
      <c r="U1035" s="144">
        <v>0</v>
      </c>
      <c r="V1035" s="145">
        <v>0</v>
      </c>
      <c r="W1035" s="144">
        <v>0</v>
      </c>
      <c r="X1035" s="145">
        <v>0</v>
      </c>
      <c r="Y1035" s="144">
        <v>0</v>
      </c>
      <c r="Z1035" s="145">
        <v>0</v>
      </c>
      <c r="AA1035" s="144">
        <v>0</v>
      </c>
      <c r="AB1035" s="145">
        <v>0</v>
      </c>
      <c r="AC1035" s="238">
        <f t="shared" si="55"/>
        <v>0</v>
      </c>
      <c r="AD1035" s="238"/>
      <c r="AE1035" s="238"/>
    </row>
    <row r="1036" spans="2:31" x14ac:dyDescent="0.3">
      <c r="B1036" s="245" t="s">
        <v>71</v>
      </c>
      <c r="C1036" s="245"/>
      <c r="D1036" s="245"/>
      <c r="E1036" s="144">
        <v>0</v>
      </c>
      <c r="F1036" s="145">
        <v>0</v>
      </c>
      <c r="G1036" s="144">
        <v>0</v>
      </c>
      <c r="H1036" s="145">
        <v>0</v>
      </c>
      <c r="I1036" s="144">
        <v>0</v>
      </c>
      <c r="J1036" s="145">
        <v>0</v>
      </c>
      <c r="K1036" s="144">
        <v>0</v>
      </c>
      <c r="L1036" s="145">
        <v>0</v>
      </c>
      <c r="M1036" s="144">
        <v>0</v>
      </c>
      <c r="N1036" s="145">
        <v>0</v>
      </c>
      <c r="O1036" s="144">
        <v>0</v>
      </c>
      <c r="P1036" s="145">
        <v>0</v>
      </c>
      <c r="Q1036" s="144">
        <v>0</v>
      </c>
      <c r="R1036" s="145">
        <v>0</v>
      </c>
      <c r="S1036" s="144">
        <v>0</v>
      </c>
      <c r="T1036" s="145">
        <v>0</v>
      </c>
      <c r="U1036" s="144">
        <v>0</v>
      </c>
      <c r="V1036" s="145">
        <v>0</v>
      </c>
      <c r="W1036" s="144">
        <v>0</v>
      </c>
      <c r="X1036" s="145">
        <v>0</v>
      </c>
      <c r="Y1036" s="144">
        <v>0</v>
      </c>
      <c r="Z1036" s="145">
        <v>0</v>
      </c>
      <c r="AA1036" s="144">
        <v>0</v>
      </c>
      <c r="AB1036" s="145">
        <v>0</v>
      </c>
      <c r="AC1036" s="238">
        <f t="shared" si="55"/>
        <v>0</v>
      </c>
      <c r="AD1036" s="238"/>
      <c r="AE1036" s="238"/>
    </row>
    <row r="1037" spans="2:31" x14ac:dyDescent="0.3">
      <c r="B1037" s="245" t="s">
        <v>72</v>
      </c>
      <c r="C1037" s="245"/>
      <c r="D1037" s="245"/>
      <c r="E1037" s="144">
        <v>0</v>
      </c>
      <c r="F1037" s="145">
        <v>0</v>
      </c>
      <c r="G1037" s="144">
        <v>0</v>
      </c>
      <c r="H1037" s="145">
        <v>0</v>
      </c>
      <c r="I1037" s="144">
        <v>0</v>
      </c>
      <c r="J1037" s="145">
        <v>0</v>
      </c>
      <c r="K1037" s="144">
        <v>0</v>
      </c>
      <c r="L1037" s="145">
        <v>0</v>
      </c>
      <c r="M1037" s="144">
        <v>0</v>
      </c>
      <c r="N1037" s="145">
        <v>0</v>
      </c>
      <c r="O1037" s="144">
        <v>0</v>
      </c>
      <c r="P1037" s="145">
        <v>0</v>
      </c>
      <c r="Q1037" s="144">
        <v>0</v>
      </c>
      <c r="R1037" s="145">
        <v>0</v>
      </c>
      <c r="S1037" s="144">
        <v>0</v>
      </c>
      <c r="T1037" s="145">
        <v>0</v>
      </c>
      <c r="U1037" s="144">
        <v>0</v>
      </c>
      <c r="V1037" s="145">
        <v>0</v>
      </c>
      <c r="W1037" s="144">
        <v>2.2999999999999982E-2</v>
      </c>
      <c r="X1037" s="145">
        <v>0</v>
      </c>
      <c r="Y1037" s="144">
        <v>0</v>
      </c>
      <c r="Z1037" s="145">
        <v>0</v>
      </c>
      <c r="AA1037" s="144">
        <v>0</v>
      </c>
      <c r="AB1037" s="145">
        <v>0</v>
      </c>
      <c r="AC1037" s="238">
        <f t="shared" si="55"/>
        <v>2.2999999999999982E-2</v>
      </c>
      <c r="AD1037" s="238"/>
      <c r="AE1037" s="238"/>
    </row>
    <row r="1038" spans="2:31" x14ac:dyDescent="0.3">
      <c r="B1038" s="245" t="s">
        <v>73</v>
      </c>
      <c r="C1038" s="245"/>
      <c r="D1038" s="245"/>
      <c r="E1038" s="144">
        <v>0</v>
      </c>
      <c r="F1038" s="145">
        <v>0</v>
      </c>
      <c r="G1038" s="144">
        <v>0</v>
      </c>
      <c r="H1038" s="145">
        <v>0</v>
      </c>
      <c r="I1038" s="144">
        <v>0</v>
      </c>
      <c r="J1038" s="145">
        <v>0</v>
      </c>
      <c r="K1038" s="144">
        <v>0</v>
      </c>
      <c r="L1038" s="145">
        <v>0</v>
      </c>
      <c r="M1038" s="144">
        <v>0</v>
      </c>
      <c r="N1038" s="145">
        <v>0</v>
      </c>
      <c r="O1038" s="144">
        <v>0</v>
      </c>
      <c r="P1038" s="145">
        <v>0</v>
      </c>
      <c r="Q1038" s="144">
        <v>0</v>
      </c>
      <c r="R1038" s="145">
        <v>0</v>
      </c>
      <c r="S1038" s="144">
        <v>0</v>
      </c>
      <c r="T1038" s="145">
        <v>1.000000000000038E-3</v>
      </c>
      <c r="U1038" s="144">
        <v>2.9713333333333281</v>
      </c>
      <c r="V1038" s="145">
        <v>0.10033333333333351</v>
      </c>
      <c r="W1038" s="144">
        <v>1.512833333333335</v>
      </c>
      <c r="X1038" s="145">
        <v>0</v>
      </c>
      <c r="Y1038" s="144">
        <v>0</v>
      </c>
      <c r="Z1038" s="145">
        <v>0</v>
      </c>
      <c r="AA1038" s="144">
        <v>0</v>
      </c>
      <c r="AB1038" s="145">
        <v>0</v>
      </c>
      <c r="AC1038" s="238">
        <f t="shared" si="55"/>
        <v>4.5854999999999961</v>
      </c>
      <c r="AD1038" s="238"/>
      <c r="AE1038" s="238"/>
    </row>
    <row r="1039" spans="2:31" x14ac:dyDescent="0.3">
      <c r="B1039" s="245" t="s">
        <v>74</v>
      </c>
      <c r="C1039" s="245"/>
      <c r="D1039" s="245"/>
      <c r="E1039" s="144">
        <v>0</v>
      </c>
      <c r="F1039" s="145">
        <v>0</v>
      </c>
      <c r="G1039" s="144">
        <v>0</v>
      </c>
      <c r="H1039" s="145">
        <v>0</v>
      </c>
      <c r="I1039" s="144">
        <v>0</v>
      </c>
      <c r="J1039" s="145">
        <v>0</v>
      </c>
      <c r="K1039" s="144">
        <v>0</v>
      </c>
      <c r="L1039" s="145">
        <v>0</v>
      </c>
      <c r="M1039" s="144">
        <v>0</v>
      </c>
      <c r="N1039" s="145">
        <v>0</v>
      </c>
      <c r="O1039" s="144">
        <v>0</v>
      </c>
      <c r="P1039" s="145">
        <v>0</v>
      </c>
      <c r="Q1039" s="144">
        <v>0</v>
      </c>
      <c r="R1039" s="145">
        <v>0.55499999999999994</v>
      </c>
      <c r="S1039" s="144">
        <v>2.253333333333333</v>
      </c>
      <c r="T1039" s="145">
        <v>0.51333333333333331</v>
      </c>
      <c r="U1039" s="144">
        <v>0.87</v>
      </c>
      <c r="V1039" s="145">
        <v>0.10333333333333314</v>
      </c>
      <c r="W1039" s="144">
        <v>1.0243333333333338</v>
      </c>
      <c r="X1039" s="145">
        <v>0</v>
      </c>
      <c r="Y1039" s="144">
        <v>0</v>
      </c>
      <c r="Z1039" s="145">
        <v>0</v>
      </c>
      <c r="AA1039" s="144">
        <v>0</v>
      </c>
      <c r="AB1039" s="145">
        <v>0</v>
      </c>
      <c r="AC1039" s="238">
        <f t="shared" si="55"/>
        <v>5.3193333333333328</v>
      </c>
      <c r="AD1039" s="238"/>
      <c r="AE1039" s="238"/>
    </row>
    <row r="1040" spans="2:31" x14ac:dyDescent="0.3">
      <c r="B1040" s="245" t="s">
        <v>75</v>
      </c>
      <c r="C1040" s="245"/>
      <c r="D1040" s="245"/>
      <c r="E1040" s="144">
        <v>0</v>
      </c>
      <c r="F1040" s="145">
        <v>0</v>
      </c>
      <c r="G1040" s="144">
        <v>0</v>
      </c>
      <c r="H1040" s="145">
        <v>0</v>
      </c>
      <c r="I1040" s="144">
        <v>0</v>
      </c>
      <c r="J1040" s="145">
        <v>0</v>
      </c>
      <c r="K1040" s="144">
        <v>0</v>
      </c>
      <c r="L1040" s="145">
        <v>0</v>
      </c>
      <c r="M1040" s="144">
        <v>0</v>
      </c>
      <c r="N1040" s="145">
        <v>0</v>
      </c>
      <c r="O1040" s="144">
        <v>0</v>
      </c>
      <c r="P1040" s="145">
        <v>0</v>
      </c>
      <c r="Q1040" s="144">
        <v>0</v>
      </c>
      <c r="R1040" s="145">
        <v>0</v>
      </c>
      <c r="S1040" s="144">
        <v>0</v>
      </c>
      <c r="T1040" s="145">
        <v>0.29066666666666519</v>
      </c>
      <c r="U1040" s="144">
        <v>2.9041666666666641</v>
      </c>
      <c r="V1040" s="145">
        <v>4.2369999999999983</v>
      </c>
      <c r="W1040" s="144">
        <v>7.2881666666666689</v>
      </c>
      <c r="X1040" s="145">
        <v>0</v>
      </c>
      <c r="Y1040" s="144">
        <v>0</v>
      </c>
      <c r="Z1040" s="145">
        <v>0</v>
      </c>
      <c r="AA1040" s="144">
        <v>0</v>
      </c>
      <c r="AB1040" s="145">
        <v>0</v>
      </c>
      <c r="AC1040" s="238">
        <f t="shared" si="55"/>
        <v>14.719999999999997</v>
      </c>
      <c r="AD1040" s="238"/>
      <c r="AE1040" s="238"/>
    </row>
    <row r="1041" spans="2:31" x14ac:dyDescent="0.3">
      <c r="B1041" s="245" t="s">
        <v>76</v>
      </c>
      <c r="C1041" s="245"/>
      <c r="D1041" s="245"/>
      <c r="E1041" s="144">
        <v>0</v>
      </c>
      <c r="F1041" s="145">
        <v>0</v>
      </c>
      <c r="G1041" s="144">
        <v>0</v>
      </c>
      <c r="H1041" s="145">
        <v>0</v>
      </c>
      <c r="I1041" s="144">
        <v>0</v>
      </c>
      <c r="J1041" s="145">
        <v>0</v>
      </c>
      <c r="K1041" s="144">
        <v>0</v>
      </c>
      <c r="L1041" s="145">
        <v>0</v>
      </c>
      <c r="M1041" s="144">
        <v>0</v>
      </c>
      <c r="N1041" s="145">
        <v>0</v>
      </c>
      <c r="O1041" s="144">
        <v>0</v>
      </c>
      <c r="P1041" s="145">
        <v>0</v>
      </c>
      <c r="Q1041" s="144">
        <v>0</v>
      </c>
      <c r="R1041" s="145">
        <v>0</v>
      </c>
      <c r="S1041" s="144">
        <v>0</v>
      </c>
      <c r="T1041" s="145">
        <v>0</v>
      </c>
      <c r="U1041" s="144">
        <v>0</v>
      </c>
      <c r="V1041" s="145">
        <v>0</v>
      </c>
      <c r="W1041" s="144">
        <v>0</v>
      </c>
      <c r="X1041" s="145">
        <v>0</v>
      </c>
      <c r="Y1041" s="144">
        <v>0</v>
      </c>
      <c r="Z1041" s="145">
        <v>0</v>
      </c>
      <c r="AA1041" s="144">
        <v>0</v>
      </c>
      <c r="AB1041" s="145">
        <v>0</v>
      </c>
      <c r="AC1041" s="238">
        <f t="shared" si="55"/>
        <v>0</v>
      </c>
      <c r="AD1041" s="238"/>
      <c r="AE1041" s="238"/>
    </row>
    <row r="1042" spans="2:31" x14ac:dyDescent="0.3">
      <c r="B1042" s="245" t="s">
        <v>77</v>
      </c>
      <c r="C1042" s="245"/>
      <c r="D1042" s="245"/>
      <c r="E1042" s="144">
        <v>0</v>
      </c>
      <c r="F1042" s="145">
        <v>0</v>
      </c>
      <c r="G1042" s="144">
        <v>0</v>
      </c>
      <c r="H1042" s="145">
        <v>0</v>
      </c>
      <c r="I1042" s="144">
        <v>0</v>
      </c>
      <c r="J1042" s="145">
        <v>0</v>
      </c>
      <c r="K1042" s="144">
        <v>0</v>
      </c>
      <c r="L1042" s="145">
        <v>0</v>
      </c>
      <c r="M1042" s="144">
        <v>0</v>
      </c>
      <c r="N1042" s="145">
        <v>0</v>
      </c>
      <c r="O1042" s="144">
        <v>0</v>
      </c>
      <c r="P1042" s="145">
        <v>0</v>
      </c>
      <c r="Q1042" s="144">
        <v>0</v>
      </c>
      <c r="R1042" s="145">
        <v>0.17033333333333378</v>
      </c>
      <c r="S1042" s="144">
        <v>0.71649999999999303</v>
      </c>
      <c r="T1042" s="145">
        <v>0.37333333333333957</v>
      </c>
      <c r="U1042" s="144">
        <v>0</v>
      </c>
      <c r="V1042" s="145">
        <v>0.47150000000000153</v>
      </c>
      <c r="W1042" s="144">
        <v>2.8215000000000017</v>
      </c>
      <c r="X1042" s="145">
        <v>0</v>
      </c>
      <c r="Y1042" s="144">
        <v>0</v>
      </c>
      <c r="Z1042" s="145">
        <v>0</v>
      </c>
      <c r="AA1042" s="144">
        <v>0</v>
      </c>
      <c r="AB1042" s="145">
        <v>0</v>
      </c>
      <c r="AC1042" s="238">
        <f t="shared" si="55"/>
        <v>4.5531666666666695</v>
      </c>
      <c r="AD1042" s="238"/>
      <c r="AE1042" s="238"/>
    </row>
    <row r="1043" spans="2:31" x14ac:dyDescent="0.3">
      <c r="B1043" s="245" t="s">
        <v>78</v>
      </c>
      <c r="C1043" s="245"/>
      <c r="D1043" s="245"/>
      <c r="E1043" s="144">
        <v>0</v>
      </c>
      <c r="F1043" s="145">
        <v>0</v>
      </c>
      <c r="G1043" s="144">
        <v>0</v>
      </c>
      <c r="H1043" s="145">
        <v>0</v>
      </c>
      <c r="I1043" s="144">
        <v>0</v>
      </c>
      <c r="J1043" s="145">
        <v>0</v>
      </c>
      <c r="K1043" s="144">
        <v>0</v>
      </c>
      <c r="L1043" s="145">
        <v>0</v>
      </c>
      <c r="M1043" s="144">
        <v>0</v>
      </c>
      <c r="N1043" s="145">
        <v>0</v>
      </c>
      <c r="O1043" s="144">
        <v>0</v>
      </c>
      <c r="P1043" s="145">
        <v>0</v>
      </c>
      <c r="Q1043" s="144">
        <v>0</v>
      </c>
      <c r="R1043" s="145">
        <v>4.2120000000000006</v>
      </c>
      <c r="S1043" s="144">
        <v>11.129999999999997</v>
      </c>
      <c r="T1043" s="145">
        <v>9.4300000000000015</v>
      </c>
      <c r="U1043" s="144">
        <v>4.8299999999999903</v>
      </c>
      <c r="V1043" s="145">
        <v>0</v>
      </c>
      <c r="W1043" s="144">
        <v>0</v>
      </c>
      <c r="X1043" s="145">
        <v>0</v>
      </c>
      <c r="Y1043" s="144">
        <v>0</v>
      </c>
      <c r="Z1043" s="145">
        <v>0</v>
      </c>
      <c r="AA1043" s="144">
        <v>0</v>
      </c>
      <c r="AB1043" s="145">
        <v>0</v>
      </c>
      <c r="AC1043" s="238">
        <f t="shared" si="55"/>
        <v>29.60199999999999</v>
      </c>
      <c r="AD1043" s="238"/>
      <c r="AE1043" s="238"/>
    </row>
    <row r="1044" spans="2:31" x14ac:dyDescent="0.3">
      <c r="B1044" s="245" t="s">
        <v>79</v>
      </c>
      <c r="C1044" s="245"/>
      <c r="D1044" s="245"/>
      <c r="E1044" s="144">
        <v>0</v>
      </c>
      <c r="F1044" s="145">
        <v>0</v>
      </c>
      <c r="G1044" s="144">
        <v>0</v>
      </c>
      <c r="H1044" s="145">
        <v>0</v>
      </c>
      <c r="I1044" s="144">
        <v>0</v>
      </c>
      <c r="J1044" s="145">
        <v>0</v>
      </c>
      <c r="K1044" s="144">
        <v>0</v>
      </c>
      <c r="L1044" s="145">
        <v>0</v>
      </c>
      <c r="M1044" s="144">
        <v>0</v>
      </c>
      <c r="N1044" s="145">
        <v>0</v>
      </c>
      <c r="O1044" s="144">
        <v>0</v>
      </c>
      <c r="P1044" s="145">
        <v>0</v>
      </c>
      <c r="Q1044" s="144">
        <v>0</v>
      </c>
      <c r="R1044" s="145">
        <v>0</v>
      </c>
      <c r="S1044" s="144">
        <v>0</v>
      </c>
      <c r="T1044" s="145">
        <v>0</v>
      </c>
      <c r="U1044" s="144">
        <v>0</v>
      </c>
      <c r="V1044" s="145">
        <v>8.8938333333333333</v>
      </c>
      <c r="W1044" s="144">
        <v>38.445666666666668</v>
      </c>
      <c r="X1044" s="145">
        <v>0.29899999999999999</v>
      </c>
      <c r="Y1044" s="144">
        <v>0</v>
      </c>
      <c r="Z1044" s="145">
        <v>0</v>
      </c>
      <c r="AA1044" s="144">
        <v>0</v>
      </c>
      <c r="AB1044" s="145">
        <v>0</v>
      </c>
      <c r="AC1044" s="238">
        <f t="shared" si="55"/>
        <v>47.638500000000001</v>
      </c>
      <c r="AD1044" s="238"/>
      <c r="AE1044" s="238"/>
    </row>
    <row r="1045" spans="2:31" x14ac:dyDescent="0.3">
      <c r="B1045" s="245" t="s">
        <v>80</v>
      </c>
      <c r="C1045" s="245"/>
      <c r="D1045" s="245"/>
      <c r="E1045" s="144">
        <v>0</v>
      </c>
      <c r="F1045" s="145">
        <v>0</v>
      </c>
      <c r="G1045" s="144">
        <v>0</v>
      </c>
      <c r="H1045" s="145">
        <v>0</v>
      </c>
      <c r="I1045" s="144">
        <v>0</v>
      </c>
      <c r="J1045" s="145">
        <v>0</v>
      </c>
      <c r="K1045" s="144">
        <v>0</v>
      </c>
      <c r="L1045" s="145">
        <v>0</v>
      </c>
      <c r="M1045" s="144">
        <v>0</v>
      </c>
      <c r="N1045" s="145">
        <v>0</v>
      </c>
      <c r="O1045" s="144">
        <v>0</v>
      </c>
      <c r="P1045" s="145">
        <v>0</v>
      </c>
      <c r="Q1045" s="144">
        <v>0</v>
      </c>
      <c r="R1045" s="145">
        <v>0</v>
      </c>
      <c r="S1045" s="144">
        <v>0</v>
      </c>
      <c r="T1045" s="145">
        <v>0</v>
      </c>
      <c r="U1045" s="144">
        <v>0</v>
      </c>
      <c r="V1045" s="145">
        <v>0.28950000000000126</v>
      </c>
      <c r="W1045" s="144">
        <v>0.29000000000000009</v>
      </c>
      <c r="X1045" s="145">
        <v>0</v>
      </c>
      <c r="Y1045" s="144">
        <v>0</v>
      </c>
      <c r="Z1045" s="145">
        <v>0</v>
      </c>
      <c r="AA1045" s="144">
        <v>0</v>
      </c>
      <c r="AB1045" s="145">
        <v>0</v>
      </c>
      <c r="AC1045" s="238">
        <f t="shared" si="55"/>
        <v>0.57950000000000135</v>
      </c>
      <c r="AD1045" s="238"/>
      <c r="AE1045" s="238"/>
    </row>
    <row r="1046" spans="2:31" x14ac:dyDescent="0.3">
      <c r="B1046" s="245" t="s">
        <v>93</v>
      </c>
      <c r="C1046" s="245"/>
      <c r="D1046" s="245"/>
      <c r="E1046" s="144">
        <v>0</v>
      </c>
      <c r="F1046" s="145">
        <v>0</v>
      </c>
      <c r="G1046" s="144">
        <v>0</v>
      </c>
      <c r="H1046" s="145">
        <v>0</v>
      </c>
      <c r="I1046" s="144">
        <v>0</v>
      </c>
      <c r="J1046" s="145">
        <v>0</v>
      </c>
      <c r="K1046" s="144">
        <v>0</v>
      </c>
      <c r="L1046" s="145">
        <v>0</v>
      </c>
      <c r="M1046" s="144">
        <v>0</v>
      </c>
      <c r="N1046" s="145">
        <v>0</v>
      </c>
      <c r="O1046" s="144">
        <v>0</v>
      </c>
      <c r="P1046" s="145">
        <v>0</v>
      </c>
      <c r="Q1046" s="144">
        <v>0</v>
      </c>
      <c r="R1046" s="145">
        <v>0</v>
      </c>
      <c r="S1046" s="144">
        <v>0</v>
      </c>
      <c r="T1046" s="145">
        <v>2.0331666666666681</v>
      </c>
      <c r="U1046" s="144">
        <v>3.1419999999999955</v>
      </c>
      <c r="V1046" s="145">
        <v>2.6399999999999979</v>
      </c>
      <c r="W1046" s="144">
        <v>0.15600000000000014</v>
      </c>
      <c r="X1046" s="145">
        <v>7.3333333333333334E-2</v>
      </c>
      <c r="Y1046" s="144">
        <v>0</v>
      </c>
      <c r="Z1046" s="145">
        <v>0</v>
      </c>
      <c r="AA1046" s="144">
        <v>0</v>
      </c>
      <c r="AB1046" s="145">
        <v>0</v>
      </c>
      <c r="AC1046" s="238">
        <f>SUM(E1046:AB1046)</f>
        <v>8.0444999999999958</v>
      </c>
      <c r="AD1046" s="238"/>
      <c r="AE1046" s="238"/>
    </row>
    <row r="1047" spans="2:31" x14ac:dyDescent="0.3">
      <c r="B1047" s="14" t="s">
        <v>2</v>
      </c>
      <c r="C1047" s="14"/>
      <c r="D1047" s="14"/>
      <c r="E1047" s="15">
        <f t="shared" ref="E1047:AB1047" si="56">SUM(E998:E1046)</f>
        <v>0</v>
      </c>
      <c r="F1047" s="15">
        <f t="shared" si="56"/>
        <v>0</v>
      </c>
      <c r="G1047" s="15">
        <f t="shared" si="56"/>
        <v>0</v>
      </c>
      <c r="H1047" s="15">
        <f t="shared" si="56"/>
        <v>0</v>
      </c>
      <c r="I1047" s="15">
        <f t="shared" si="56"/>
        <v>0</v>
      </c>
      <c r="J1047" s="15">
        <f t="shared" si="56"/>
        <v>0</v>
      </c>
      <c r="K1047" s="15">
        <f t="shared" si="56"/>
        <v>0</v>
      </c>
      <c r="L1047" s="15">
        <f t="shared" si="56"/>
        <v>0</v>
      </c>
      <c r="M1047" s="15">
        <f t="shared" si="56"/>
        <v>0</v>
      </c>
      <c r="N1047" s="15">
        <f t="shared" si="56"/>
        <v>0</v>
      </c>
      <c r="O1047" s="15">
        <f t="shared" si="56"/>
        <v>2.1499999999999984E-2</v>
      </c>
      <c r="P1047" s="15">
        <f t="shared" si="56"/>
        <v>5.9821666666666555</v>
      </c>
      <c r="Q1047" s="15">
        <f t="shared" si="56"/>
        <v>10.145833333333336</v>
      </c>
      <c r="R1047" s="15">
        <f t="shared" si="56"/>
        <v>80.215166666666676</v>
      </c>
      <c r="S1047" s="15">
        <f t="shared" si="56"/>
        <v>205.99166666666656</v>
      </c>
      <c r="T1047" s="15">
        <f t="shared" si="56"/>
        <v>208.05650000000006</v>
      </c>
      <c r="U1047" s="15">
        <f t="shared" si="56"/>
        <v>133.29333333333341</v>
      </c>
      <c r="V1047" s="15">
        <f t="shared" si="56"/>
        <v>82.95916666666669</v>
      </c>
      <c r="W1047" s="15">
        <f t="shared" si="56"/>
        <v>131.86883333333336</v>
      </c>
      <c r="X1047" s="15">
        <f t="shared" si="56"/>
        <v>3.7578333333333336</v>
      </c>
      <c r="Y1047" s="15">
        <f t="shared" si="56"/>
        <v>0</v>
      </c>
      <c r="Z1047" s="15">
        <f t="shared" si="56"/>
        <v>0</v>
      </c>
      <c r="AA1047" s="15">
        <f t="shared" si="56"/>
        <v>0</v>
      </c>
      <c r="AB1047" s="15">
        <f t="shared" si="56"/>
        <v>0</v>
      </c>
      <c r="AC1047" s="249">
        <f>SUM(AC998:AE1046)</f>
        <v>862.29200000000026</v>
      </c>
      <c r="AD1047" s="249"/>
      <c r="AE1047" s="249"/>
    </row>
    <row r="1048" spans="2:31" x14ac:dyDescent="0.3">
      <c r="B1048" s="16"/>
      <c r="C1048" s="17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  <c r="AA1048" s="18"/>
    </row>
    <row r="1049" spans="2:31" x14ac:dyDescent="0.3">
      <c r="B1049" s="16"/>
      <c r="C1049" s="17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  <c r="AA1049" s="18"/>
    </row>
    <row r="1050" spans="2:31" x14ac:dyDescent="0.3">
      <c r="B1050" s="8">
        <f>'Resumen-Mensual'!$X$22</f>
        <v>44581</v>
      </c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146"/>
      <c r="AD1050" s="146"/>
      <c r="AE1050" s="146"/>
    </row>
    <row r="1051" spans="2:31" x14ac:dyDescent="0.3">
      <c r="B1051" s="8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146"/>
      <c r="AD1051" s="146"/>
      <c r="AE1051" s="146"/>
    </row>
    <row r="1052" spans="2:31" x14ac:dyDescent="0.3">
      <c r="B1052" s="9" t="s">
        <v>81</v>
      </c>
      <c r="C1052" s="10"/>
      <c r="D1052" s="10"/>
      <c r="E1052" s="11">
        <v>1</v>
      </c>
      <c r="F1052" s="11">
        <v>2</v>
      </c>
      <c r="G1052" s="11">
        <v>3</v>
      </c>
      <c r="H1052" s="11">
        <v>4</v>
      </c>
      <c r="I1052" s="11">
        <v>5</v>
      </c>
      <c r="J1052" s="11">
        <v>6</v>
      </c>
      <c r="K1052" s="11">
        <v>7</v>
      </c>
      <c r="L1052" s="11">
        <v>8</v>
      </c>
      <c r="M1052" s="11">
        <v>9</v>
      </c>
      <c r="N1052" s="11">
        <v>10</v>
      </c>
      <c r="O1052" s="11">
        <v>11</v>
      </c>
      <c r="P1052" s="11">
        <v>12</v>
      </c>
      <c r="Q1052" s="11">
        <v>13</v>
      </c>
      <c r="R1052" s="11">
        <v>14</v>
      </c>
      <c r="S1052" s="11">
        <v>15</v>
      </c>
      <c r="T1052" s="11">
        <v>16</v>
      </c>
      <c r="U1052" s="11">
        <v>17</v>
      </c>
      <c r="V1052" s="11">
        <v>18</v>
      </c>
      <c r="W1052" s="11">
        <v>19</v>
      </c>
      <c r="X1052" s="11">
        <v>20</v>
      </c>
      <c r="Y1052" s="11">
        <v>21</v>
      </c>
      <c r="Z1052" s="11">
        <v>22</v>
      </c>
      <c r="AA1052" s="11">
        <v>23</v>
      </c>
      <c r="AB1052" s="11">
        <v>24</v>
      </c>
      <c r="AC1052" s="248" t="s">
        <v>2</v>
      </c>
      <c r="AD1052" s="248"/>
      <c r="AE1052" s="248"/>
    </row>
    <row r="1053" spans="2:31" x14ac:dyDescent="0.3">
      <c r="B1053" s="245" t="s">
        <v>37</v>
      </c>
      <c r="C1053" s="245"/>
      <c r="D1053" s="245"/>
      <c r="E1053" s="151">
        <v>0</v>
      </c>
      <c r="F1053" s="152">
        <v>0</v>
      </c>
      <c r="G1053" s="151">
        <v>0</v>
      </c>
      <c r="H1053" s="152">
        <v>0</v>
      </c>
      <c r="I1053" s="151">
        <v>0</v>
      </c>
      <c r="J1053" s="152">
        <v>0</v>
      </c>
      <c r="K1053" s="151">
        <v>0</v>
      </c>
      <c r="L1053" s="152">
        <v>0</v>
      </c>
      <c r="M1053" s="151">
        <v>0</v>
      </c>
      <c r="N1053" s="152">
        <v>0</v>
      </c>
      <c r="O1053" s="151">
        <v>0</v>
      </c>
      <c r="P1053" s="152">
        <v>0</v>
      </c>
      <c r="Q1053" s="151">
        <v>0</v>
      </c>
      <c r="R1053" s="152">
        <v>0</v>
      </c>
      <c r="S1053" s="151">
        <v>0</v>
      </c>
      <c r="T1053" s="152">
        <v>0</v>
      </c>
      <c r="U1053" s="151">
        <v>0</v>
      </c>
      <c r="V1053" s="152">
        <v>0</v>
      </c>
      <c r="W1053" s="151">
        <v>0</v>
      </c>
      <c r="X1053" s="152">
        <v>0</v>
      </c>
      <c r="Y1053" s="151">
        <v>0</v>
      </c>
      <c r="Z1053" s="152">
        <v>0</v>
      </c>
      <c r="AA1053" s="151">
        <v>0</v>
      </c>
      <c r="AB1053" s="152">
        <v>0</v>
      </c>
      <c r="AC1053" s="238">
        <f t="shared" ref="AC1053:AC1085" si="57">SUM(E1053:AB1053)</f>
        <v>0</v>
      </c>
      <c r="AD1053" s="238"/>
      <c r="AE1053" s="238"/>
    </row>
    <row r="1054" spans="2:31" x14ac:dyDescent="0.3">
      <c r="B1054" s="245" t="s">
        <v>38</v>
      </c>
      <c r="C1054" s="245"/>
      <c r="D1054" s="245"/>
      <c r="E1054" s="151">
        <v>0</v>
      </c>
      <c r="F1054" s="152">
        <v>0</v>
      </c>
      <c r="G1054" s="151">
        <v>0</v>
      </c>
      <c r="H1054" s="152">
        <v>0</v>
      </c>
      <c r="I1054" s="151">
        <v>0</v>
      </c>
      <c r="J1054" s="152">
        <v>0</v>
      </c>
      <c r="K1054" s="151">
        <v>0</v>
      </c>
      <c r="L1054" s="152">
        <v>0</v>
      </c>
      <c r="M1054" s="151">
        <v>0</v>
      </c>
      <c r="N1054" s="152">
        <v>0</v>
      </c>
      <c r="O1054" s="151">
        <v>0</v>
      </c>
      <c r="P1054" s="152">
        <v>0</v>
      </c>
      <c r="Q1054" s="151">
        <v>0</v>
      </c>
      <c r="R1054" s="152">
        <v>0</v>
      </c>
      <c r="S1054" s="151">
        <v>0</v>
      </c>
      <c r="T1054" s="152">
        <v>0</v>
      </c>
      <c r="U1054" s="151">
        <v>0</v>
      </c>
      <c r="V1054" s="152">
        <v>0</v>
      </c>
      <c r="W1054" s="151">
        <v>0</v>
      </c>
      <c r="X1054" s="152">
        <v>0</v>
      </c>
      <c r="Y1054" s="151">
        <v>0</v>
      </c>
      <c r="Z1054" s="152">
        <v>0</v>
      </c>
      <c r="AA1054" s="151">
        <v>0</v>
      </c>
      <c r="AB1054" s="152">
        <v>0</v>
      </c>
      <c r="AC1054" s="238">
        <f t="shared" si="57"/>
        <v>0</v>
      </c>
      <c r="AD1054" s="238"/>
      <c r="AE1054" s="238"/>
    </row>
    <row r="1055" spans="2:31" x14ac:dyDescent="0.3">
      <c r="B1055" s="245" t="s">
        <v>39</v>
      </c>
      <c r="C1055" s="245"/>
      <c r="D1055" s="245"/>
      <c r="E1055" s="151">
        <v>0</v>
      </c>
      <c r="F1055" s="152">
        <v>0</v>
      </c>
      <c r="G1055" s="151">
        <v>0</v>
      </c>
      <c r="H1055" s="152">
        <v>0</v>
      </c>
      <c r="I1055" s="151">
        <v>0</v>
      </c>
      <c r="J1055" s="152">
        <v>0</v>
      </c>
      <c r="K1055" s="151">
        <v>0</v>
      </c>
      <c r="L1055" s="152">
        <v>0</v>
      </c>
      <c r="M1055" s="151">
        <v>0</v>
      </c>
      <c r="N1055" s="152">
        <v>0</v>
      </c>
      <c r="O1055" s="151">
        <v>1.3000000000000003</v>
      </c>
      <c r="P1055" s="152">
        <v>9.3000000000000043</v>
      </c>
      <c r="Q1055" s="151">
        <v>0</v>
      </c>
      <c r="R1055" s="152">
        <v>12.600000000000014</v>
      </c>
      <c r="S1055" s="151">
        <v>2.8818333333333328</v>
      </c>
      <c r="T1055" s="152">
        <v>0</v>
      </c>
      <c r="U1055" s="151">
        <v>9.6833333333333341E-2</v>
      </c>
      <c r="V1055" s="152">
        <v>0.30400000000000016</v>
      </c>
      <c r="W1055" s="151">
        <v>1.0166666666666642E-2</v>
      </c>
      <c r="X1055" s="152">
        <v>0</v>
      </c>
      <c r="Y1055" s="151">
        <v>0</v>
      </c>
      <c r="Z1055" s="152">
        <v>0</v>
      </c>
      <c r="AA1055" s="151">
        <v>0</v>
      </c>
      <c r="AB1055" s="152">
        <v>0</v>
      </c>
      <c r="AC1055" s="238">
        <f t="shared" si="57"/>
        <v>26.492833333333348</v>
      </c>
      <c r="AD1055" s="238"/>
      <c r="AE1055" s="238"/>
    </row>
    <row r="1056" spans="2:31" x14ac:dyDescent="0.3">
      <c r="B1056" s="245" t="s">
        <v>40</v>
      </c>
      <c r="C1056" s="245"/>
      <c r="D1056" s="245"/>
      <c r="E1056" s="151">
        <v>0</v>
      </c>
      <c r="F1056" s="152">
        <v>0</v>
      </c>
      <c r="G1056" s="151">
        <v>0</v>
      </c>
      <c r="H1056" s="152">
        <v>0</v>
      </c>
      <c r="I1056" s="151">
        <v>0</v>
      </c>
      <c r="J1056" s="152">
        <v>0</v>
      </c>
      <c r="K1056" s="151">
        <v>0</v>
      </c>
      <c r="L1056" s="152">
        <v>0</v>
      </c>
      <c r="M1056" s="151">
        <v>0</v>
      </c>
      <c r="N1056" s="152">
        <v>0</v>
      </c>
      <c r="O1056" s="151">
        <v>0</v>
      </c>
      <c r="P1056" s="152">
        <v>0</v>
      </c>
      <c r="Q1056" s="151">
        <v>1.0379999999999987</v>
      </c>
      <c r="R1056" s="152">
        <v>3.2191666666666605</v>
      </c>
      <c r="S1056" s="151">
        <v>2.405000000000006</v>
      </c>
      <c r="T1056" s="152">
        <v>2.6066666666666682</v>
      </c>
      <c r="U1056" s="151">
        <v>0</v>
      </c>
      <c r="V1056" s="152">
        <v>0</v>
      </c>
      <c r="W1056" s="151">
        <v>0</v>
      </c>
      <c r="X1056" s="152">
        <v>0</v>
      </c>
      <c r="Y1056" s="151">
        <v>0</v>
      </c>
      <c r="Z1056" s="152">
        <v>0</v>
      </c>
      <c r="AA1056" s="151">
        <v>0</v>
      </c>
      <c r="AB1056" s="152">
        <v>0</v>
      </c>
      <c r="AC1056" s="238">
        <f t="shared" si="57"/>
        <v>9.2688333333333333</v>
      </c>
      <c r="AD1056" s="238"/>
      <c r="AE1056" s="238"/>
    </row>
    <row r="1057" spans="2:31" x14ac:dyDescent="0.3">
      <c r="B1057" s="245" t="s">
        <v>41</v>
      </c>
      <c r="C1057" s="245"/>
      <c r="D1057" s="245"/>
      <c r="E1057" s="151">
        <v>0</v>
      </c>
      <c r="F1057" s="152">
        <v>0</v>
      </c>
      <c r="G1057" s="151">
        <v>0</v>
      </c>
      <c r="H1057" s="152">
        <v>0</v>
      </c>
      <c r="I1057" s="151">
        <v>0</v>
      </c>
      <c r="J1057" s="152">
        <v>0</v>
      </c>
      <c r="K1057" s="151">
        <v>0</v>
      </c>
      <c r="L1057" s="152">
        <v>0</v>
      </c>
      <c r="M1057" s="151">
        <v>0</v>
      </c>
      <c r="N1057" s="152">
        <v>0</v>
      </c>
      <c r="O1057" s="151">
        <v>0</v>
      </c>
      <c r="P1057" s="152">
        <v>0</v>
      </c>
      <c r="Q1057" s="151">
        <v>0</v>
      </c>
      <c r="R1057" s="152">
        <v>0</v>
      </c>
      <c r="S1057" s="151">
        <v>0</v>
      </c>
      <c r="T1057" s="152">
        <v>0</v>
      </c>
      <c r="U1057" s="151">
        <v>0</v>
      </c>
      <c r="V1057" s="152">
        <v>3.6000000000000005</v>
      </c>
      <c r="W1057" s="151">
        <v>0</v>
      </c>
      <c r="X1057" s="152">
        <v>0</v>
      </c>
      <c r="Y1057" s="151">
        <v>0</v>
      </c>
      <c r="Z1057" s="152">
        <v>0</v>
      </c>
      <c r="AA1057" s="151">
        <v>0</v>
      </c>
      <c r="AB1057" s="152">
        <v>0</v>
      </c>
      <c r="AC1057" s="238">
        <f t="shared" si="57"/>
        <v>3.6000000000000005</v>
      </c>
      <c r="AD1057" s="238"/>
      <c r="AE1057" s="238"/>
    </row>
    <row r="1058" spans="2:31" x14ac:dyDescent="0.3">
      <c r="B1058" s="245" t="s">
        <v>42</v>
      </c>
      <c r="C1058" s="245"/>
      <c r="D1058" s="245"/>
      <c r="E1058" s="151">
        <v>0</v>
      </c>
      <c r="F1058" s="152">
        <v>0</v>
      </c>
      <c r="G1058" s="151">
        <v>0</v>
      </c>
      <c r="H1058" s="152">
        <v>0</v>
      </c>
      <c r="I1058" s="151">
        <v>0</v>
      </c>
      <c r="J1058" s="152">
        <v>0</v>
      </c>
      <c r="K1058" s="151">
        <v>0</v>
      </c>
      <c r="L1058" s="152">
        <v>0</v>
      </c>
      <c r="M1058" s="151">
        <v>0</v>
      </c>
      <c r="N1058" s="152">
        <v>0</v>
      </c>
      <c r="O1058" s="151">
        <v>0</v>
      </c>
      <c r="P1058" s="152">
        <v>0</v>
      </c>
      <c r="Q1058" s="151">
        <v>0</v>
      </c>
      <c r="R1058" s="152">
        <v>0</v>
      </c>
      <c r="S1058" s="151">
        <v>0</v>
      </c>
      <c r="T1058" s="152">
        <v>0</v>
      </c>
      <c r="U1058" s="151">
        <v>0</v>
      </c>
      <c r="V1058" s="152">
        <v>0</v>
      </c>
      <c r="W1058" s="151">
        <v>2.0243333333333338</v>
      </c>
      <c r="X1058" s="152">
        <v>0</v>
      </c>
      <c r="Y1058" s="151">
        <v>0</v>
      </c>
      <c r="Z1058" s="152">
        <v>0</v>
      </c>
      <c r="AA1058" s="151">
        <v>0</v>
      </c>
      <c r="AB1058" s="152">
        <v>0</v>
      </c>
      <c r="AC1058" s="238">
        <f t="shared" si="57"/>
        <v>2.0243333333333338</v>
      </c>
      <c r="AD1058" s="238"/>
      <c r="AE1058" s="238"/>
    </row>
    <row r="1059" spans="2:31" x14ac:dyDescent="0.3">
      <c r="B1059" s="245" t="s">
        <v>43</v>
      </c>
      <c r="C1059" s="245"/>
      <c r="D1059" s="245"/>
      <c r="E1059" s="151">
        <v>0</v>
      </c>
      <c r="F1059" s="152">
        <v>0</v>
      </c>
      <c r="G1059" s="151">
        <v>0</v>
      </c>
      <c r="H1059" s="152">
        <v>0</v>
      </c>
      <c r="I1059" s="151">
        <v>0</v>
      </c>
      <c r="J1059" s="152">
        <v>0</v>
      </c>
      <c r="K1059" s="151">
        <v>0</v>
      </c>
      <c r="L1059" s="152">
        <v>0</v>
      </c>
      <c r="M1059" s="151">
        <v>0</v>
      </c>
      <c r="N1059" s="152">
        <v>0</v>
      </c>
      <c r="O1059" s="151">
        <v>0</v>
      </c>
      <c r="P1059" s="152">
        <v>0</v>
      </c>
      <c r="Q1059" s="151">
        <v>0</v>
      </c>
      <c r="R1059" s="152">
        <v>0</v>
      </c>
      <c r="S1059" s="151">
        <v>0</v>
      </c>
      <c r="T1059" s="152">
        <v>0</v>
      </c>
      <c r="U1059" s="151">
        <v>0</v>
      </c>
      <c r="V1059" s="152">
        <v>0</v>
      </c>
      <c r="W1059" s="151">
        <v>4.8333333333333188E-3</v>
      </c>
      <c r="X1059" s="152">
        <v>0</v>
      </c>
      <c r="Y1059" s="151">
        <v>0</v>
      </c>
      <c r="Z1059" s="152">
        <v>0</v>
      </c>
      <c r="AA1059" s="151">
        <v>0</v>
      </c>
      <c r="AB1059" s="152">
        <v>0</v>
      </c>
      <c r="AC1059" s="238">
        <f t="shared" si="57"/>
        <v>4.8333333333333188E-3</v>
      </c>
      <c r="AD1059" s="238"/>
      <c r="AE1059" s="238"/>
    </row>
    <row r="1060" spans="2:31" x14ac:dyDescent="0.3">
      <c r="B1060" s="245" t="s">
        <v>44</v>
      </c>
      <c r="C1060" s="245"/>
      <c r="D1060" s="245"/>
      <c r="E1060" s="151">
        <v>0</v>
      </c>
      <c r="F1060" s="152">
        <v>0</v>
      </c>
      <c r="G1060" s="151">
        <v>0</v>
      </c>
      <c r="H1060" s="152">
        <v>0</v>
      </c>
      <c r="I1060" s="151">
        <v>0</v>
      </c>
      <c r="J1060" s="152">
        <v>0</v>
      </c>
      <c r="K1060" s="151">
        <v>0</v>
      </c>
      <c r="L1060" s="152">
        <v>0</v>
      </c>
      <c r="M1060" s="151">
        <v>0</v>
      </c>
      <c r="N1060" s="152">
        <v>0</v>
      </c>
      <c r="O1060" s="151">
        <v>0</v>
      </c>
      <c r="P1060" s="152">
        <v>0</v>
      </c>
      <c r="Q1060" s="151">
        <v>0</v>
      </c>
      <c r="R1060" s="152">
        <v>0</v>
      </c>
      <c r="S1060" s="151">
        <v>0</v>
      </c>
      <c r="T1060" s="152">
        <v>0</v>
      </c>
      <c r="U1060" s="151">
        <v>0</v>
      </c>
      <c r="V1060" s="152">
        <v>3.3535000000000008</v>
      </c>
      <c r="W1060" s="151">
        <v>3.9339999999999997</v>
      </c>
      <c r="X1060" s="152">
        <v>0</v>
      </c>
      <c r="Y1060" s="151">
        <v>0</v>
      </c>
      <c r="Z1060" s="152">
        <v>0</v>
      </c>
      <c r="AA1060" s="151">
        <v>0</v>
      </c>
      <c r="AB1060" s="152">
        <v>0</v>
      </c>
      <c r="AC1060" s="238">
        <f t="shared" si="57"/>
        <v>7.2875000000000005</v>
      </c>
      <c r="AD1060" s="238"/>
      <c r="AE1060" s="238"/>
    </row>
    <row r="1061" spans="2:31" x14ac:dyDescent="0.3">
      <c r="B1061" s="245" t="s">
        <v>45</v>
      </c>
      <c r="C1061" s="245"/>
      <c r="D1061" s="245"/>
      <c r="E1061" s="151">
        <v>0</v>
      </c>
      <c r="F1061" s="152">
        <v>0</v>
      </c>
      <c r="G1061" s="151">
        <v>0</v>
      </c>
      <c r="H1061" s="152">
        <v>0</v>
      </c>
      <c r="I1061" s="151">
        <v>0</v>
      </c>
      <c r="J1061" s="152">
        <v>0</v>
      </c>
      <c r="K1061" s="151">
        <v>0</v>
      </c>
      <c r="L1061" s="152">
        <v>0</v>
      </c>
      <c r="M1061" s="151">
        <v>0</v>
      </c>
      <c r="N1061" s="152">
        <v>0</v>
      </c>
      <c r="O1061" s="151">
        <v>0.26833333333333337</v>
      </c>
      <c r="P1061" s="152">
        <v>3.7569999999999975</v>
      </c>
      <c r="Q1061" s="151">
        <v>0</v>
      </c>
      <c r="R1061" s="152">
        <v>2.6521666666666661</v>
      </c>
      <c r="S1061" s="151">
        <v>0</v>
      </c>
      <c r="T1061" s="152">
        <v>0</v>
      </c>
      <c r="U1061" s="151">
        <v>0</v>
      </c>
      <c r="V1061" s="152">
        <v>3.948833333333329</v>
      </c>
      <c r="W1061" s="151">
        <v>2.5194999999999999</v>
      </c>
      <c r="X1061" s="152">
        <v>0</v>
      </c>
      <c r="Y1061" s="151">
        <v>0</v>
      </c>
      <c r="Z1061" s="152">
        <v>0</v>
      </c>
      <c r="AA1061" s="151">
        <v>0</v>
      </c>
      <c r="AB1061" s="152">
        <v>0</v>
      </c>
      <c r="AC1061" s="238">
        <f t="shared" si="57"/>
        <v>13.145833333333325</v>
      </c>
      <c r="AD1061" s="238"/>
      <c r="AE1061" s="238"/>
    </row>
    <row r="1062" spans="2:31" x14ac:dyDescent="0.3">
      <c r="B1062" s="245" t="s">
        <v>46</v>
      </c>
      <c r="C1062" s="245"/>
      <c r="D1062" s="245"/>
      <c r="E1062" s="151">
        <v>0</v>
      </c>
      <c r="F1062" s="152">
        <v>0</v>
      </c>
      <c r="G1062" s="151">
        <v>0</v>
      </c>
      <c r="H1062" s="152">
        <v>0</v>
      </c>
      <c r="I1062" s="151">
        <v>0</v>
      </c>
      <c r="J1062" s="152">
        <v>0</v>
      </c>
      <c r="K1062" s="151">
        <v>0</v>
      </c>
      <c r="L1062" s="152">
        <v>0</v>
      </c>
      <c r="M1062" s="151">
        <v>0</v>
      </c>
      <c r="N1062" s="152">
        <v>0</v>
      </c>
      <c r="O1062" s="151">
        <v>0</v>
      </c>
      <c r="P1062" s="152">
        <v>0</v>
      </c>
      <c r="Q1062" s="151">
        <v>0</v>
      </c>
      <c r="R1062" s="152">
        <v>5.2511666666666654</v>
      </c>
      <c r="S1062" s="151">
        <v>28.210166666666648</v>
      </c>
      <c r="T1062" s="152">
        <v>22.651000000000014</v>
      </c>
      <c r="U1062" s="151">
        <v>29.034666666666681</v>
      </c>
      <c r="V1062" s="152">
        <v>0</v>
      </c>
      <c r="W1062" s="151">
        <v>1.1196666666666666</v>
      </c>
      <c r="X1062" s="152">
        <v>0</v>
      </c>
      <c r="Y1062" s="151">
        <v>0</v>
      </c>
      <c r="Z1062" s="152">
        <v>0</v>
      </c>
      <c r="AA1062" s="151">
        <v>0</v>
      </c>
      <c r="AB1062" s="152">
        <v>0</v>
      </c>
      <c r="AC1062" s="238">
        <f t="shared" si="57"/>
        <v>86.266666666666666</v>
      </c>
      <c r="AD1062" s="238"/>
      <c r="AE1062" s="238"/>
    </row>
    <row r="1063" spans="2:31" x14ac:dyDescent="0.3">
      <c r="B1063" s="245" t="s">
        <v>47</v>
      </c>
      <c r="C1063" s="245"/>
      <c r="D1063" s="245"/>
      <c r="E1063" s="151">
        <v>0</v>
      </c>
      <c r="F1063" s="152">
        <v>0</v>
      </c>
      <c r="G1063" s="151">
        <v>0</v>
      </c>
      <c r="H1063" s="152">
        <v>0</v>
      </c>
      <c r="I1063" s="151">
        <v>0</v>
      </c>
      <c r="J1063" s="152">
        <v>0</v>
      </c>
      <c r="K1063" s="151">
        <v>0</v>
      </c>
      <c r="L1063" s="152">
        <v>0</v>
      </c>
      <c r="M1063" s="151">
        <v>0</v>
      </c>
      <c r="N1063" s="152">
        <v>0</v>
      </c>
      <c r="O1063" s="151">
        <v>0</v>
      </c>
      <c r="P1063" s="152">
        <v>0</v>
      </c>
      <c r="Q1063" s="151">
        <v>0</v>
      </c>
      <c r="R1063" s="152">
        <v>0.11150000000000038</v>
      </c>
      <c r="S1063" s="151">
        <v>3.3621666666666687</v>
      </c>
      <c r="T1063" s="152">
        <v>0</v>
      </c>
      <c r="U1063" s="151">
        <v>4.4436666666666644</v>
      </c>
      <c r="V1063" s="152">
        <v>4.4524999999999979</v>
      </c>
      <c r="W1063" s="151">
        <v>0.85283333333333255</v>
      </c>
      <c r="X1063" s="152">
        <v>0</v>
      </c>
      <c r="Y1063" s="151">
        <v>0</v>
      </c>
      <c r="Z1063" s="152">
        <v>0</v>
      </c>
      <c r="AA1063" s="151">
        <v>0</v>
      </c>
      <c r="AB1063" s="152">
        <v>0</v>
      </c>
      <c r="AC1063" s="238">
        <f t="shared" si="57"/>
        <v>13.222666666666665</v>
      </c>
      <c r="AD1063" s="238"/>
      <c r="AE1063" s="238"/>
    </row>
    <row r="1064" spans="2:31" x14ac:dyDescent="0.3">
      <c r="B1064" s="245" t="s">
        <v>48</v>
      </c>
      <c r="C1064" s="245"/>
      <c r="D1064" s="245"/>
      <c r="E1064" s="151">
        <v>0</v>
      </c>
      <c r="F1064" s="152">
        <v>0</v>
      </c>
      <c r="G1064" s="151">
        <v>0</v>
      </c>
      <c r="H1064" s="152">
        <v>0</v>
      </c>
      <c r="I1064" s="151">
        <v>0</v>
      </c>
      <c r="J1064" s="152">
        <v>0</v>
      </c>
      <c r="K1064" s="151">
        <v>0</v>
      </c>
      <c r="L1064" s="152">
        <v>0</v>
      </c>
      <c r="M1064" s="151">
        <v>0</v>
      </c>
      <c r="N1064" s="152">
        <v>0</v>
      </c>
      <c r="O1064" s="151">
        <v>0</v>
      </c>
      <c r="P1064" s="152">
        <v>0</v>
      </c>
      <c r="Q1064" s="151">
        <v>0</v>
      </c>
      <c r="R1064" s="152">
        <v>0.14199999999999999</v>
      </c>
      <c r="S1064" s="151">
        <v>3.3730000000000038</v>
      </c>
      <c r="T1064" s="152">
        <v>0</v>
      </c>
      <c r="U1064" s="151">
        <v>4.4035000000000064</v>
      </c>
      <c r="V1064" s="152">
        <v>4.4333333333333353</v>
      </c>
      <c r="W1064" s="151">
        <v>1.3748333333333329</v>
      </c>
      <c r="X1064" s="152">
        <v>0</v>
      </c>
      <c r="Y1064" s="151">
        <v>0</v>
      </c>
      <c r="Z1064" s="152">
        <v>0</v>
      </c>
      <c r="AA1064" s="151">
        <v>0</v>
      </c>
      <c r="AB1064" s="152">
        <v>0</v>
      </c>
      <c r="AC1064" s="238">
        <f t="shared" si="57"/>
        <v>13.726666666666679</v>
      </c>
      <c r="AD1064" s="238"/>
      <c r="AE1064" s="238"/>
    </row>
    <row r="1065" spans="2:31" x14ac:dyDescent="0.3">
      <c r="B1065" s="245" t="s">
        <v>49</v>
      </c>
      <c r="C1065" s="245"/>
      <c r="D1065" s="245"/>
      <c r="E1065" s="151">
        <v>0</v>
      </c>
      <c r="F1065" s="152">
        <v>0</v>
      </c>
      <c r="G1065" s="151">
        <v>0</v>
      </c>
      <c r="H1065" s="152">
        <v>0</v>
      </c>
      <c r="I1065" s="151">
        <v>0</v>
      </c>
      <c r="J1065" s="152">
        <v>0</v>
      </c>
      <c r="K1065" s="151">
        <v>0</v>
      </c>
      <c r="L1065" s="152">
        <v>0</v>
      </c>
      <c r="M1065" s="151">
        <v>0</v>
      </c>
      <c r="N1065" s="152">
        <v>0</v>
      </c>
      <c r="O1065" s="151">
        <v>0</v>
      </c>
      <c r="P1065" s="152">
        <v>0</v>
      </c>
      <c r="Q1065" s="151">
        <v>0</v>
      </c>
      <c r="R1065" s="152">
        <v>0</v>
      </c>
      <c r="S1065" s="151">
        <v>0</v>
      </c>
      <c r="T1065" s="152">
        <v>0</v>
      </c>
      <c r="U1065" s="151">
        <v>0</v>
      </c>
      <c r="V1065" s="152">
        <v>0</v>
      </c>
      <c r="W1065" s="151">
        <v>8.2500000000000018E-2</v>
      </c>
      <c r="X1065" s="152">
        <v>0</v>
      </c>
      <c r="Y1065" s="151">
        <v>0</v>
      </c>
      <c r="Z1065" s="152">
        <v>0</v>
      </c>
      <c r="AA1065" s="151">
        <v>0</v>
      </c>
      <c r="AB1065" s="152">
        <v>0</v>
      </c>
      <c r="AC1065" s="238">
        <f t="shared" si="57"/>
        <v>8.2500000000000018E-2</v>
      </c>
      <c r="AD1065" s="238"/>
      <c r="AE1065" s="238"/>
    </row>
    <row r="1066" spans="2:31" x14ac:dyDescent="0.3">
      <c r="B1066" s="245" t="s">
        <v>50</v>
      </c>
      <c r="C1066" s="245"/>
      <c r="D1066" s="245"/>
      <c r="E1066" s="151">
        <v>0</v>
      </c>
      <c r="F1066" s="152">
        <v>0</v>
      </c>
      <c r="G1066" s="151">
        <v>0</v>
      </c>
      <c r="H1066" s="152">
        <v>0</v>
      </c>
      <c r="I1066" s="151">
        <v>0</v>
      </c>
      <c r="J1066" s="152">
        <v>0</v>
      </c>
      <c r="K1066" s="151">
        <v>0</v>
      </c>
      <c r="L1066" s="152">
        <v>0</v>
      </c>
      <c r="M1066" s="151">
        <v>0</v>
      </c>
      <c r="N1066" s="152">
        <v>0</v>
      </c>
      <c r="O1066" s="151">
        <v>0</v>
      </c>
      <c r="P1066" s="152">
        <v>0</v>
      </c>
      <c r="Q1066" s="151">
        <v>0</v>
      </c>
      <c r="R1066" s="152">
        <v>0</v>
      </c>
      <c r="S1066" s="151">
        <v>0</v>
      </c>
      <c r="T1066" s="152">
        <v>0</v>
      </c>
      <c r="U1066" s="151">
        <v>0</v>
      </c>
      <c r="V1066" s="152">
        <v>0</v>
      </c>
      <c r="W1066" s="151">
        <v>0</v>
      </c>
      <c r="X1066" s="152">
        <v>0</v>
      </c>
      <c r="Y1066" s="151">
        <v>0</v>
      </c>
      <c r="Z1066" s="152">
        <v>0</v>
      </c>
      <c r="AA1066" s="151">
        <v>0</v>
      </c>
      <c r="AB1066" s="152">
        <v>0</v>
      </c>
      <c r="AC1066" s="238">
        <f t="shared" si="57"/>
        <v>0</v>
      </c>
      <c r="AD1066" s="238"/>
      <c r="AE1066" s="238"/>
    </row>
    <row r="1067" spans="2:31" x14ac:dyDescent="0.3">
      <c r="B1067" s="245" t="s">
        <v>97</v>
      </c>
      <c r="C1067" s="245"/>
      <c r="D1067" s="245"/>
      <c r="E1067" s="151">
        <v>0</v>
      </c>
      <c r="F1067" s="152">
        <v>0</v>
      </c>
      <c r="G1067" s="151">
        <v>0</v>
      </c>
      <c r="H1067" s="152">
        <v>0</v>
      </c>
      <c r="I1067" s="151">
        <v>0</v>
      </c>
      <c r="J1067" s="152">
        <v>0</v>
      </c>
      <c r="K1067" s="151">
        <v>0</v>
      </c>
      <c r="L1067" s="152">
        <v>0</v>
      </c>
      <c r="M1067" s="151">
        <v>0</v>
      </c>
      <c r="N1067" s="152">
        <v>0</v>
      </c>
      <c r="O1067" s="151">
        <v>0</v>
      </c>
      <c r="P1067" s="152">
        <v>0</v>
      </c>
      <c r="Q1067" s="151">
        <v>0</v>
      </c>
      <c r="R1067" s="152">
        <v>0</v>
      </c>
      <c r="S1067" s="151">
        <v>0</v>
      </c>
      <c r="T1067" s="152">
        <v>0</v>
      </c>
      <c r="U1067" s="151">
        <v>0</v>
      </c>
      <c r="V1067" s="152">
        <v>0</v>
      </c>
      <c r="W1067" s="151">
        <v>0</v>
      </c>
      <c r="X1067" s="152">
        <v>0</v>
      </c>
      <c r="Y1067" s="151">
        <v>0</v>
      </c>
      <c r="Z1067" s="152">
        <v>0</v>
      </c>
      <c r="AA1067" s="151">
        <v>0</v>
      </c>
      <c r="AB1067" s="152">
        <v>0</v>
      </c>
      <c r="AC1067" s="238">
        <f t="shared" si="57"/>
        <v>0</v>
      </c>
      <c r="AD1067" s="238"/>
      <c r="AE1067" s="238"/>
    </row>
    <row r="1068" spans="2:31" x14ac:dyDescent="0.3">
      <c r="B1068" s="245" t="s">
        <v>51</v>
      </c>
      <c r="C1068" s="245"/>
      <c r="D1068" s="245"/>
      <c r="E1068" s="151">
        <v>0</v>
      </c>
      <c r="F1068" s="152">
        <v>0</v>
      </c>
      <c r="G1068" s="151">
        <v>0</v>
      </c>
      <c r="H1068" s="152">
        <v>0</v>
      </c>
      <c r="I1068" s="151">
        <v>0</v>
      </c>
      <c r="J1068" s="152">
        <v>0</v>
      </c>
      <c r="K1068" s="151">
        <v>0</v>
      </c>
      <c r="L1068" s="152">
        <v>0</v>
      </c>
      <c r="M1068" s="151">
        <v>0</v>
      </c>
      <c r="N1068" s="152">
        <v>0</v>
      </c>
      <c r="O1068" s="151">
        <v>0</v>
      </c>
      <c r="P1068" s="152">
        <v>1.6218333333333346</v>
      </c>
      <c r="Q1068" s="151">
        <v>5.5675000000000017</v>
      </c>
      <c r="R1068" s="152">
        <v>31.602333333333331</v>
      </c>
      <c r="S1068" s="151">
        <v>39.649166666666673</v>
      </c>
      <c r="T1068" s="152">
        <v>20.448333333333327</v>
      </c>
      <c r="U1068" s="151">
        <v>6.5840000000000032</v>
      </c>
      <c r="V1068" s="152">
        <v>0.10616666666666839</v>
      </c>
      <c r="W1068" s="151">
        <v>0</v>
      </c>
      <c r="X1068" s="152">
        <v>0</v>
      </c>
      <c r="Y1068" s="151">
        <v>0</v>
      </c>
      <c r="Z1068" s="152">
        <v>0</v>
      </c>
      <c r="AA1068" s="151">
        <v>0</v>
      </c>
      <c r="AB1068" s="152">
        <v>0</v>
      </c>
      <c r="AC1068" s="238">
        <f t="shared" si="57"/>
        <v>105.57933333333332</v>
      </c>
      <c r="AD1068" s="238"/>
      <c r="AE1068" s="238"/>
    </row>
    <row r="1069" spans="2:31" x14ac:dyDescent="0.3">
      <c r="B1069" s="245" t="s">
        <v>52</v>
      </c>
      <c r="C1069" s="245"/>
      <c r="D1069" s="245"/>
      <c r="E1069" s="151">
        <v>0</v>
      </c>
      <c r="F1069" s="152">
        <v>0</v>
      </c>
      <c r="G1069" s="151">
        <v>0</v>
      </c>
      <c r="H1069" s="152">
        <v>0</v>
      </c>
      <c r="I1069" s="151">
        <v>0</v>
      </c>
      <c r="J1069" s="152">
        <v>0</v>
      </c>
      <c r="K1069" s="151">
        <v>0</v>
      </c>
      <c r="L1069" s="152">
        <v>0</v>
      </c>
      <c r="M1069" s="151">
        <v>0</v>
      </c>
      <c r="N1069" s="152">
        <v>0</v>
      </c>
      <c r="O1069" s="151">
        <v>0</v>
      </c>
      <c r="P1069" s="152">
        <v>0</v>
      </c>
      <c r="Q1069" s="151">
        <v>0</v>
      </c>
      <c r="R1069" s="152">
        <v>0</v>
      </c>
      <c r="S1069" s="151">
        <v>0</v>
      </c>
      <c r="T1069" s="152">
        <v>0</v>
      </c>
      <c r="U1069" s="151">
        <v>0</v>
      </c>
      <c r="V1069" s="152">
        <v>0</v>
      </c>
      <c r="W1069" s="151">
        <v>0</v>
      </c>
      <c r="X1069" s="152">
        <v>0</v>
      </c>
      <c r="Y1069" s="151">
        <v>0</v>
      </c>
      <c r="Z1069" s="152">
        <v>0</v>
      </c>
      <c r="AA1069" s="151">
        <v>0</v>
      </c>
      <c r="AB1069" s="152">
        <v>0</v>
      </c>
      <c r="AC1069" s="238">
        <f t="shared" si="57"/>
        <v>0</v>
      </c>
      <c r="AD1069" s="238"/>
      <c r="AE1069" s="238"/>
    </row>
    <row r="1070" spans="2:31" x14ac:dyDescent="0.3">
      <c r="B1070" s="245" t="s">
        <v>53</v>
      </c>
      <c r="C1070" s="245"/>
      <c r="D1070" s="245"/>
      <c r="E1070" s="151">
        <v>0</v>
      </c>
      <c r="F1070" s="152">
        <v>0</v>
      </c>
      <c r="G1070" s="151">
        <v>0</v>
      </c>
      <c r="H1070" s="152">
        <v>0</v>
      </c>
      <c r="I1070" s="151">
        <v>0</v>
      </c>
      <c r="J1070" s="152">
        <v>0</v>
      </c>
      <c r="K1070" s="151">
        <v>0</v>
      </c>
      <c r="L1070" s="152">
        <v>0</v>
      </c>
      <c r="M1070" s="151">
        <v>0</v>
      </c>
      <c r="N1070" s="152">
        <v>0</v>
      </c>
      <c r="O1070" s="151">
        <v>0</v>
      </c>
      <c r="P1070" s="152">
        <v>2.2131666666666665</v>
      </c>
      <c r="Q1070" s="151">
        <v>20.544499999999996</v>
      </c>
      <c r="R1070" s="152">
        <v>17.543166666666661</v>
      </c>
      <c r="S1070" s="151">
        <v>11.351833333333333</v>
      </c>
      <c r="T1070" s="152">
        <v>1.5103333333333333</v>
      </c>
      <c r="U1070" s="151">
        <v>0</v>
      </c>
      <c r="V1070" s="152">
        <v>0</v>
      </c>
      <c r="W1070" s="151">
        <v>0</v>
      </c>
      <c r="X1070" s="152">
        <v>0</v>
      </c>
      <c r="Y1070" s="151">
        <v>0</v>
      </c>
      <c r="Z1070" s="152">
        <v>0</v>
      </c>
      <c r="AA1070" s="151">
        <v>0</v>
      </c>
      <c r="AB1070" s="152">
        <v>0</v>
      </c>
      <c r="AC1070" s="238">
        <f t="shared" si="57"/>
        <v>53.16299999999999</v>
      </c>
      <c r="AD1070" s="238"/>
      <c r="AE1070" s="238"/>
    </row>
    <row r="1071" spans="2:31" x14ac:dyDescent="0.3">
      <c r="B1071" s="245" t="s">
        <v>54</v>
      </c>
      <c r="C1071" s="245"/>
      <c r="D1071" s="245"/>
      <c r="E1071" s="151">
        <v>0</v>
      </c>
      <c r="F1071" s="152">
        <v>0</v>
      </c>
      <c r="G1071" s="151">
        <v>0</v>
      </c>
      <c r="H1071" s="152">
        <v>0</v>
      </c>
      <c r="I1071" s="151">
        <v>0</v>
      </c>
      <c r="J1071" s="152">
        <v>0</v>
      </c>
      <c r="K1071" s="151">
        <v>0</v>
      </c>
      <c r="L1071" s="152">
        <v>0</v>
      </c>
      <c r="M1071" s="151">
        <v>0</v>
      </c>
      <c r="N1071" s="152">
        <v>0</v>
      </c>
      <c r="O1071" s="151">
        <v>0.16766666666666694</v>
      </c>
      <c r="P1071" s="152">
        <v>11.216166666666668</v>
      </c>
      <c r="Q1071" s="151">
        <v>5.7470000000000008</v>
      </c>
      <c r="R1071" s="152">
        <v>0.78083333333333582</v>
      </c>
      <c r="S1071" s="151">
        <v>0.72649999999999482</v>
      </c>
      <c r="T1071" s="152">
        <v>2.6221666666666668</v>
      </c>
      <c r="U1071" s="151">
        <v>2.9629999999999965</v>
      </c>
      <c r="V1071" s="152">
        <v>0</v>
      </c>
      <c r="W1071" s="151">
        <v>0</v>
      </c>
      <c r="X1071" s="152">
        <v>0</v>
      </c>
      <c r="Y1071" s="151">
        <v>0</v>
      </c>
      <c r="Z1071" s="152">
        <v>0</v>
      </c>
      <c r="AA1071" s="151">
        <v>0</v>
      </c>
      <c r="AB1071" s="152">
        <v>0</v>
      </c>
      <c r="AC1071" s="238">
        <f t="shared" si="57"/>
        <v>24.223333333333333</v>
      </c>
      <c r="AD1071" s="238"/>
      <c r="AE1071" s="238"/>
    </row>
    <row r="1072" spans="2:31" x14ac:dyDescent="0.3">
      <c r="B1072" s="245" t="s">
        <v>55</v>
      </c>
      <c r="C1072" s="245"/>
      <c r="D1072" s="245"/>
      <c r="E1072" s="151">
        <v>0</v>
      </c>
      <c r="F1072" s="152">
        <v>0</v>
      </c>
      <c r="G1072" s="151">
        <v>0</v>
      </c>
      <c r="H1072" s="152">
        <v>0</v>
      </c>
      <c r="I1072" s="151">
        <v>0</v>
      </c>
      <c r="J1072" s="152">
        <v>0</v>
      </c>
      <c r="K1072" s="151">
        <v>0</v>
      </c>
      <c r="L1072" s="152">
        <v>0</v>
      </c>
      <c r="M1072" s="151">
        <v>0</v>
      </c>
      <c r="N1072" s="152">
        <v>0</v>
      </c>
      <c r="O1072" s="151">
        <v>0</v>
      </c>
      <c r="P1072" s="152">
        <v>0</v>
      </c>
      <c r="Q1072" s="151">
        <v>5.714666666666667</v>
      </c>
      <c r="R1072" s="152">
        <v>0.15049999999999977</v>
      </c>
      <c r="S1072" s="151">
        <v>2.483333333333301E-2</v>
      </c>
      <c r="T1072" s="152">
        <v>0</v>
      </c>
      <c r="U1072" s="151">
        <v>10.813666666666666</v>
      </c>
      <c r="V1072" s="152">
        <v>0</v>
      </c>
      <c r="W1072" s="151">
        <v>0</v>
      </c>
      <c r="X1072" s="152">
        <v>0</v>
      </c>
      <c r="Y1072" s="151">
        <v>0</v>
      </c>
      <c r="Z1072" s="152">
        <v>0</v>
      </c>
      <c r="AA1072" s="151">
        <v>0</v>
      </c>
      <c r="AB1072" s="152">
        <v>0</v>
      </c>
      <c r="AC1072" s="238">
        <f t="shared" si="57"/>
        <v>16.703666666666667</v>
      </c>
      <c r="AD1072" s="238"/>
      <c r="AE1072" s="238"/>
    </row>
    <row r="1073" spans="2:31" x14ac:dyDescent="0.3">
      <c r="B1073" s="245" t="s">
        <v>56</v>
      </c>
      <c r="C1073" s="245"/>
      <c r="D1073" s="245"/>
      <c r="E1073" s="151">
        <v>0</v>
      </c>
      <c r="F1073" s="152">
        <v>0</v>
      </c>
      <c r="G1073" s="151">
        <v>0</v>
      </c>
      <c r="H1073" s="152">
        <v>0</v>
      </c>
      <c r="I1073" s="151">
        <v>0</v>
      </c>
      <c r="J1073" s="152">
        <v>0</v>
      </c>
      <c r="K1073" s="151">
        <v>0</v>
      </c>
      <c r="L1073" s="152">
        <v>0</v>
      </c>
      <c r="M1073" s="151">
        <v>0</v>
      </c>
      <c r="N1073" s="152">
        <v>0</v>
      </c>
      <c r="O1073" s="151">
        <v>1.3333333333333404E-2</v>
      </c>
      <c r="P1073" s="152">
        <v>3.283333333333343E-2</v>
      </c>
      <c r="Q1073" s="151">
        <v>0</v>
      </c>
      <c r="R1073" s="152">
        <v>0.32000000000000289</v>
      </c>
      <c r="S1073" s="151">
        <v>1.2185000000000015</v>
      </c>
      <c r="T1073" s="152">
        <v>2.6875000000000027</v>
      </c>
      <c r="U1073" s="151">
        <v>1.2890000000000037</v>
      </c>
      <c r="V1073" s="152">
        <v>0.1959999999999989</v>
      </c>
      <c r="W1073" s="151">
        <v>0</v>
      </c>
      <c r="X1073" s="152">
        <v>0</v>
      </c>
      <c r="Y1073" s="151">
        <v>0</v>
      </c>
      <c r="Z1073" s="152">
        <v>0</v>
      </c>
      <c r="AA1073" s="151">
        <v>0</v>
      </c>
      <c r="AB1073" s="152">
        <v>0</v>
      </c>
      <c r="AC1073" s="238">
        <f t="shared" si="57"/>
        <v>5.7571666666666763</v>
      </c>
      <c r="AD1073" s="238"/>
      <c r="AE1073" s="238"/>
    </row>
    <row r="1074" spans="2:31" x14ac:dyDescent="0.3">
      <c r="B1074" s="245" t="s">
        <v>94</v>
      </c>
      <c r="C1074" s="245"/>
      <c r="D1074" s="245"/>
      <c r="E1074" s="151">
        <v>0</v>
      </c>
      <c r="F1074" s="152">
        <v>0</v>
      </c>
      <c r="G1074" s="151">
        <v>0</v>
      </c>
      <c r="H1074" s="152">
        <v>0</v>
      </c>
      <c r="I1074" s="151">
        <v>0</v>
      </c>
      <c r="J1074" s="152">
        <v>0</v>
      </c>
      <c r="K1074" s="151">
        <v>0</v>
      </c>
      <c r="L1074" s="152">
        <v>0</v>
      </c>
      <c r="M1074" s="151">
        <v>0</v>
      </c>
      <c r="N1074" s="152">
        <v>0</v>
      </c>
      <c r="O1074" s="151">
        <v>0</v>
      </c>
      <c r="P1074" s="152">
        <v>0</v>
      </c>
      <c r="Q1074" s="151">
        <v>0</v>
      </c>
      <c r="R1074" s="152">
        <v>0</v>
      </c>
      <c r="S1074" s="151">
        <v>0</v>
      </c>
      <c r="T1074" s="152">
        <v>0</v>
      </c>
      <c r="U1074" s="151">
        <v>0</v>
      </c>
      <c r="V1074" s="152">
        <v>0</v>
      </c>
      <c r="W1074" s="151">
        <v>0</v>
      </c>
      <c r="X1074" s="152">
        <v>0</v>
      </c>
      <c r="Y1074" s="151">
        <v>0</v>
      </c>
      <c r="Z1074" s="152">
        <v>0</v>
      </c>
      <c r="AA1074" s="151">
        <v>0</v>
      </c>
      <c r="AB1074" s="152">
        <v>0</v>
      </c>
      <c r="AC1074" s="238">
        <f t="shared" si="57"/>
        <v>0</v>
      </c>
      <c r="AD1074" s="238"/>
      <c r="AE1074" s="238"/>
    </row>
    <row r="1075" spans="2:31" x14ac:dyDescent="0.3">
      <c r="B1075" s="245" t="s">
        <v>57</v>
      </c>
      <c r="C1075" s="245"/>
      <c r="D1075" s="245"/>
      <c r="E1075" s="151">
        <v>0</v>
      </c>
      <c r="F1075" s="152">
        <v>0</v>
      </c>
      <c r="G1075" s="151">
        <v>0</v>
      </c>
      <c r="H1075" s="152">
        <v>0</v>
      </c>
      <c r="I1075" s="151">
        <v>0</v>
      </c>
      <c r="J1075" s="152">
        <v>0</v>
      </c>
      <c r="K1075" s="151">
        <v>0</v>
      </c>
      <c r="L1075" s="152">
        <v>0</v>
      </c>
      <c r="M1075" s="151">
        <v>0</v>
      </c>
      <c r="N1075" s="152">
        <v>0</v>
      </c>
      <c r="O1075" s="151">
        <v>3.7000000000000102E-2</v>
      </c>
      <c r="P1075" s="152">
        <v>0.2329999999999996</v>
      </c>
      <c r="Q1075" s="151">
        <v>0.74466666666666614</v>
      </c>
      <c r="R1075" s="152">
        <v>1.2163333333333335</v>
      </c>
      <c r="S1075" s="151">
        <v>1.123833333333335</v>
      </c>
      <c r="T1075" s="152">
        <v>0.91699999999999804</v>
      </c>
      <c r="U1075" s="151">
        <v>0.51000000000000156</v>
      </c>
      <c r="V1075" s="152">
        <v>2.5000000000003908E-3</v>
      </c>
      <c r="W1075" s="151">
        <v>0</v>
      </c>
      <c r="X1075" s="152">
        <v>0</v>
      </c>
      <c r="Y1075" s="151">
        <v>0</v>
      </c>
      <c r="Z1075" s="152">
        <v>0</v>
      </c>
      <c r="AA1075" s="151">
        <v>0</v>
      </c>
      <c r="AB1075" s="152">
        <v>0</v>
      </c>
      <c r="AC1075" s="238">
        <f t="shared" si="57"/>
        <v>4.7843333333333344</v>
      </c>
      <c r="AD1075" s="238"/>
      <c r="AE1075" s="238"/>
    </row>
    <row r="1076" spans="2:31" x14ac:dyDescent="0.3">
      <c r="B1076" s="245" t="s">
        <v>58</v>
      </c>
      <c r="C1076" s="245"/>
      <c r="D1076" s="245"/>
      <c r="E1076" s="151">
        <v>0</v>
      </c>
      <c r="F1076" s="152">
        <v>0</v>
      </c>
      <c r="G1076" s="151">
        <v>0</v>
      </c>
      <c r="H1076" s="152">
        <v>0</v>
      </c>
      <c r="I1076" s="151">
        <v>0</v>
      </c>
      <c r="J1076" s="152">
        <v>0</v>
      </c>
      <c r="K1076" s="151">
        <v>0</v>
      </c>
      <c r="L1076" s="152">
        <v>0</v>
      </c>
      <c r="M1076" s="151">
        <v>0</v>
      </c>
      <c r="N1076" s="152">
        <v>0</v>
      </c>
      <c r="O1076" s="151">
        <v>2.5000000000000001E-2</v>
      </c>
      <c r="P1076" s="152">
        <v>1.6666666666666904E-3</v>
      </c>
      <c r="Q1076" s="151">
        <v>0</v>
      </c>
      <c r="R1076" s="152">
        <v>2.2121666666666666</v>
      </c>
      <c r="S1076" s="151">
        <v>0</v>
      </c>
      <c r="T1076" s="152">
        <v>0</v>
      </c>
      <c r="U1076" s="151">
        <v>0</v>
      </c>
      <c r="V1076" s="152">
        <v>0</v>
      </c>
      <c r="W1076" s="151">
        <v>0</v>
      </c>
      <c r="X1076" s="152">
        <v>0</v>
      </c>
      <c r="Y1076" s="151">
        <v>0</v>
      </c>
      <c r="Z1076" s="152">
        <v>0</v>
      </c>
      <c r="AA1076" s="151">
        <v>0</v>
      </c>
      <c r="AB1076" s="152">
        <v>0</v>
      </c>
      <c r="AC1076" s="238">
        <f t="shared" si="57"/>
        <v>2.2388333333333335</v>
      </c>
      <c r="AD1076" s="238"/>
      <c r="AE1076" s="238"/>
    </row>
    <row r="1077" spans="2:31" x14ac:dyDescent="0.3">
      <c r="B1077" s="245" t="s">
        <v>95</v>
      </c>
      <c r="C1077" s="245"/>
      <c r="D1077" s="245"/>
      <c r="E1077" s="151">
        <v>0</v>
      </c>
      <c r="F1077" s="152">
        <v>0</v>
      </c>
      <c r="G1077" s="151">
        <v>0</v>
      </c>
      <c r="H1077" s="152">
        <v>0</v>
      </c>
      <c r="I1077" s="151">
        <v>0</v>
      </c>
      <c r="J1077" s="152">
        <v>0</v>
      </c>
      <c r="K1077" s="151">
        <v>0</v>
      </c>
      <c r="L1077" s="152">
        <v>0</v>
      </c>
      <c r="M1077" s="151">
        <v>0</v>
      </c>
      <c r="N1077" s="152">
        <v>0</v>
      </c>
      <c r="O1077" s="151">
        <v>0</v>
      </c>
      <c r="P1077" s="152">
        <v>0</v>
      </c>
      <c r="Q1077" s="151">
        <v>0</v>
      </c>
      <c r="R1077" s="152">
        <v>0</v>
      </c>
      <c r="S1077" s="151">
        <v>0</v>
      </c>
      <c r="T1077" s="152">
        <v>0</v>
      </c>
      <c r="U1077" s="151">
        <v>0</v>
      </c>
      <c r="V1077" s="152">
        <v>0</v>
      </c>
      <c r="W1077" s="151">
        <v>0</v>
      </c>
      <c r="X1077" s="152">
        <v>0</v>
      </c>
      <c r="Y1077" s="151">
        <v>0</v>
      </c>
      <c r="Z1077" s="152">
        <v>0</v>
      </c>
      <c r="AA1077" s="151">
        <v>0</v>
      </c>
      <c r="AB1077" s="152">
        <v>0</v>
      </c>
      <c r="AC1077" s="238">
        <f t="shared" si="57"/>
        <v>0</v>
      </c>
      <c r="AD1077" s="238"/>
      <c r="AE1077" s="238"/>
    </row>
    <row r="1078" spans="2:31" x14ac:dyDescent="0.3">
      <c r="B1078" s="245" t="s">
        <v>59</v>
      </c>
      <c r="C1078" s="245"/>
      <c r="D1078" s="245"/>
      <c r="E1078" s="151">
        <v>0</v>
      </c>
      <c r="F1078" s="152">
        <v>0</v>
      </c>
      <c r="G1078" s="151">
        <v>0</v>
      </c>
      <c r="H1078" s="152">
        <v>0</v>
      </c>
      <c r="I1078" s="151">
        <v>0</v>
      </c>
      <c r="J1078" s="152">
        <v>0</v>
      </c>
      <c r="K1078" s="151">
        <v>0</v>
      </c>
      <c r="L1078" s="152">
        <v>0</v>
      </c>
      <c r="M1078" s="151">
        <v>0</v>
      </c>
      <c r="N1078" s="152">
        <v>0</v>
      </c>
      <c r="O1078" s="151">
        <v>4.1928333333333345</v>
      </c>
      <c r="P1078" s="152">
        <v>17.058000000000003</v>
      </c>
      <c r="Q1078" s="151">
        <v>17.392333333333337</v>
      </c>
      <c r="R1078" s="152">
        <v>16.894999999999996</v>
      </c>
      <c r="S1078" s="151">
        <v>18.688000000000002</v>
      </c>
      <c r="T1078" s="152">
        <v>16.121499999999994</v>
      </c>
      <c r="U1078" s="151">
        <v>15.816500000000014</v>
      </c>
      <c r="V1078" s="152">
        <v>14.146166666666664</v>
      </c>
      <c r="W1078" s="151">
        <v>7.3669999999999991</v>
      </c>
      <c r="X1078" s="152">
        <v>0</v>
      </c>
      <c r="Y1078" s="151">
        <v>0</v>
      </c>
      <c r="Z1078" s="152">
        <v>0</v>
      </c>
      <c r="AA1078" s="151">
        <v>0</v>
      </c>
      <c r="AB1078" s="152">
        <v>0</v>
      </c>
      <c r="AC1078" s="238">
        <f t="shared" si="57"/>
        <v>127.67733333333335</v>
      </c>
      <c r="AD1078" s="238"/>
      <c r="AE1078" s="238"/>
    </row>
    <row r="1079" spans="2:31" x14ac:dyDescent="0.3">
      <c r="B1079" s="245" t="s">
        <v>60</v>
      </c>
      <c r="C1079" s="245"/>
      <c r="D1079" s="245"/>
      <c r="E1079" s="151">
        <v>0</v>
      </c>
      <c r="F1079" s="152">
        <v>0</v>
      </c>
      <c r="G1079" s="151">
        <v>0</v>
      </c>
      <c r="H1079" s="152">
        <v>0</v>
      </c>
      <c r="I1079" s="151">
        <v>0</v>
      </c>
      <c r="J1079" s="152">
        <v>0</v>
      </c>
      <c r="K1079" s="151">
        <v>0</v>
      </c>
      <c r="L1079" s="152">
        <v>0</v>
      </c>
      <c r="M1079" s="151">
        <v>0</v>
      </c>
      <c r="N1079" s="152">
        <v>0</v>
      </c>
      <c r="O1079" s="151">
        <v>0</v>
      </c>
      <c r="P1079" s="152">
        <v>0.73516666666666708</v>
      </c>
      <c r="Q1079" s="151">
        <v>1.4149999999999971</v>
      </c>
      <c r="R1079" s="152">
        <v>3.443666666666668</v>
      </c>
      <c r="S1079" s="151">
        <v>3.5</v>
      </c>
      <c r="T1079" s="152">
        <v>3.4000000000000057</v>
      </c>
      <c r="U1079" s="151">
        <v>2.5048333333333335</v>
      </c>
      <c r="V1079" s="152">
        <v>0.84433333333333316</v>
      </c>
      <c r="W1079" s="151">
        <v>0</v>
      </c>
      <c r="X1079" s="152">
        <v>0</v>
      </c>
      <c r="Y1079" s="151">
        <v>0</v>
      </c>
      <c r="Z1079" s="152">
        <v>0</v>
      </c>
      <c r="AA1079" s="151">
        <v>0</v>
      </c>
      <c r="AB1079" s="152">
        <v>0</v>
      </c>
      <c r="AC1079" s="238">
        <f t="shared" si="57"/>
        <v>15.843000000000005</v>
      </c>
      <c r="AD1079" s="238"/>
      <c r="AE1079" s="238"/>
    </row>
    <row r="1080" spans="2:31" x14ac:dyDescent="0.3">
      <c r="B1080" s="245" t="s">
        <v>61</v>
      </c>
      <c r="C1080" s="245"/>
      <c r="D1080" s="245"/>
      <c r="E1080" s="151">
        <v>0</v>
      </c>
      <c r="F1080" s="152">
        <v>0</v>
      </c>
      <c r="G1080" s="151">
        <v>0</v>
      </c>
      <c r="H1080" s="152">
        <v>0</v>
      </c>
      <c r="I1080" s="151">
        <v>0</v>
      </c>
      <c r="J1080" s="152">
        <v>0</v>
      </c>
      <c r="K1080" s="151">
        <v>0</v>
      </c>
      <c r="L1080" s="152">
        <v>0</v>
      </c>
      <c r="M1080" s="151">
        <v>0</v>
      </c>
      <c r="N1080" s="152">
        <v>0</v>
      </c>
      <c r="O1080" s="151">
        <v>0</v>
      </c>
      <c r="P1080" s="152">
        <v>0</v>
      </c>
      <c r="Q1080" s="151">
        <v>0</v>
      </c>
      <c r="R1080" s="152">
        <v>0</v>
      </c>
      <c r="S1080" s="151">
        <v>0</v>
      </c>
      <c r="T1080" s="152">
        <v>0</v>
      </c>
      <c r="U1080" s="151">
        <v>0</v>
      </c>
      <c r="V1080" s="152">
        <v>0</v>
      </c>
      <c r="W1080" s="151">
        <v>0</v>
      </c>
      <c r="X1080" s="152">
        <v>0</v>
      </c>
      <c r="Y1080" s="151">
        <v>0</v>
      </c>
      <c r="Z1080" s="152">
        <v>0</v>
      </c>
      <c r="AA1080" s="151">
        <v>0</v>
      </c>
      <c r="AB1080" s="152">
        <v>0</v>
      </c>
      <c r="AC1080" s="238">
        <f t="shared" si="57"/>
        <v>0</v>
      </c>
      <c r="AD1080" s="238"/>
      <c r="AE1080" s="238"/>
    </row>
    <row r="1081" spans="2:31" x14ac:dyDescent="0.3">
      <c r="B1081" s="245" t="s">
        <v>62</v>
      </c>
      <c r="C1081" s="245"/>
      <c r="D1081" s="245"/>
      <c r="E1081" s="151">
        <v>0</v>
      </c>
      <c r="F1081" s="152">
        <v>0</v>
      </c>
      <c r="G1081" s="151">
        <v>0</v>
      </c>
      <c r="H1081" s="152">
        <v>0</v>
      </c>
      <c r="I1081" s="151">
        <v>0</v>
      </c>
      <c r="J1081" s="152">
        <v>0</v>
      </c>
      <c r="K1081" s="151">
        <v>0</v>
      </c>
      <c r="L1081" s="152">
        <v>0</v>
      </c>
      <c r="M1081" s="151">
        <v>0</v>
      </c>
      <c r="N1081" s="152">
        <v>0</v>
      </c>
      <c r="O1081" s="151">
        <v>0</v>
      </c>
      <c r="P1081" s="152">
        <v>0</v>
      </c>
      <c r="Q1081" s="151">
        <v>0</v>
      </c>
      <c r="R1081" s="152">
        <v>0</v>
      </c>
      <c r="S1081" s="151">
        <v>0</v>
      </c>
      <c r="T1081" s="152">
        <v>0</v>
      </c>
      <c r="U1081" s="151">
        <v>0</v>
      </c>
      <c r="V1081" s="152">
        <v>0</v>
      </c>
      <c r="W1081" s="151">
        <v>0</v>
      </c>
      <c r="X1081" s="152">
        <v>0</v>
      </c>
      <c r="Y1081" s="151">
        <v>0</v>
      </c>
      <c r="Z1081" s="152">
        <v>0</v>
      </c>
      <c r="AA1081" s="151">
        <v>0</v>
      </c>
      <c r="AB1081" s="152">
        <v>0</v>
      </c>
      <c r="AC1081" s="238">
        <f t="shared" si="57"/>
        <v>0</v>
      </c>
      <c r="AD1081" s="238"/>
      <c r="AE1081" s="238"/>
    </row>
    <row r="1082" spans="2:31" x14ac:dyDescent="0.3">
      <c r="B1082" s="245" t="s">
        <v>63</v>
      </c>
      <c r="C1082" s="245"/>
      <c r="D1082" s="245"/>
      <c r="E1082" s="151">
        <v>0</v>
      </c>
      <c r="F1082" s="152">
        <v>0</v>
      </c>
      <c r="G1082" s="151">
        <v>0</v>
      </c>
      <c r="H1082" s="152">
        <v>0</v>
      </c>
      <c r="I1082" s="151">
        <v>0</v>
      </c>
      <c r="J1082" s="152">
        <v>0</v>
      </c>
      <c r="K1082" s="151">
        <v>0</v>
      </c>
      <c r="L1082" s="152">
        <v>0</v>
      </c>
      <c r="M1082" s="151">
        <v>0</v>
      </c>
      <c r="N1082" s="152">
        <v>0</v>
      </c>
      <c r="O1082" s="151">
        <v>6.6666666666658136E-3</v>
      </c>
      <c r="P1082" s="152">
        <v>0.20316666666666663</v>
      </c>
      <c r="Q1082" s="151">
        <v>1.0831666666666697</v>
      </c>
      <c r="R1082" s="152">
        <v>0</v>
      </c>
      <c r="S1082" s="151">
        <v>0.26033333333334524</v>
      </c>
      <c r="T1082" s="152">
        <v>0.8638333333333279</v>
      </c>
      <c r="U1082" s="151">
        <v>0.72783333333333411</v>
      </c>
      <c r="V1082" s="152">
        <v>0.56283333333333729</v>
      </c>
      <c r="W1082" s="151">
        <v>0.93266666666666631</v>
      </c>
      <c r="X1082" s="152">
        <v>0</v>
      </c>
      <c r="Y1082" s="151">
        <v>0</v>
      </c>
      <c r="Z1082" s="152">
        <v>0</v>
      </c>
      <c r="AA1082" s="151">
        <v>0</v>
      </c>
      <c r="AB1082" s="152">
        <v>0</v>
      </c>
      <c r="AC1082" s="238">
        <f t="shared" si="57"/>
        <v>4.6405000000000136</v>
      </c>
      <c r="AD1082" s="238"/>
      <c r="AE1082" s="238"/>
    </row>
    <row r="1083" spans="2:31" x14ac:dyDescent="0.3">
      <c r="B1083" s="245" t="s">
        <v>64</v>
      </c>
      <c r="C1083" s="245"/>
      <c r="D1083" s="245"/>
      <c r="E1083" s="151">
        <v>0</v>
      </c>
      <c r="F1083" s="152">
        <v>0</v>
      </c>
      <c r="G1083" s="151">
        <v>0</v>
      </c>
      <c r="H1083" s="152">
        <v>0</v>
      </c>
      <c r="I1083" s="151">
        <v>0</v>
      </c>
      <c r="J1083" s="152">
        <v>0</v>
      </c>
      <c r="K1083" s="151">
        <v>0</v>
      </c>
      <c r="L1083" s="152">
        <v>0</v>
      </c>
      <c r="M1083" s="151">
        <v>0</v>
      </c>
      <c r="N1083" s="152">
        <v>0</v>
      </c>
      <c r="O1083" s="151">
        <v>0</v>
      </c>
      <c r="P1083" s="152">
        <v>0</v>
      </c>
      <c r="Q1083" s="151">
        <v>0</v>
      </c>
      <c r="R1083" s="152">
        <v>0.21966666666666523</v>
      </c>
      <c r="S1083" s="151">
        <v>0</v>
      </c>
      <c r="T1083" s="152">
        <v>0</v>
      </c>
      <c r="U1083" s="151">
        <v>0</v>
      </c>
      <c r="V1083" s="152">
        <v>0</v>
      </c>
      <c r="W1083" s="151">
        <v>0.2751666666666665</v>
      </c>
      <c r="X1083" s="152">
        <v>0</v>
      </c>
      <c r="Y1083" s="151">
        <v>0</v>
      </c>
      <c r="Z1083" s="152">
        <v>0</v>
      </c>
      <c r="AA1083" s="151">
        <v>0</v>
      </c>
      <c r="AB1083" s="152">
        <v>0</v>
      </c>
      <c r="AC1083" s="238">
        <f t="shared" si="57"/>
        <v>0.49483333333333174</v>
      </c>
      <c r="AD1083" s="238"/>
      <c r="AE1083" s="238"/>
    </row>
    <row r="1084" spans="2:31" x14ac:dyDescent="0.3">
      <c r="B1084" s="245" t="s">
        <v>96</v>
      </c>
      <c r="C1084" s="245"/>
      <c r="D1084" s="245"/>
      <c r="E1084" s="151">
        <v>0</v>
      </c>
      <c r="F1084" s="152">
        <v>0</v>
      </c>
      <c r="G1084" s="151">
        <v>0</v>
      </c>
      <c r="H1084" s="152">
        <v>0</v>
      </c>
      <c r="I1084" s="151">
        <v>0</v>
      </c>
      <c r="J1084" s="152">
        <v>0</v>
      </c>
      <c r="K1084" s="151">
        <v>0</v>
      </c>
      <c r="L1084" s="152">
        <v>0</v>
      </c>
      <c r="M1084" s="151">
        <v>0</v>
      </c>
      <c r="N1084" s="152">
        <v>0</v>
      </c>
      <c r="O1084" s="151">
        <v>0</v>
      </c>
      <c r="P1084" s="152">
        <v>0</v>
      </c>
      <c r="Q1084" s="151">
        <v>0</v>
      </c>
      <c r="R1084" s="152">
        <v>0</v>
      </c>
      <c r="S1084" s="151">
        <v>0</v>
      </c>
      <c r="T1084" s="152">
        <v>0</v>
      </c>
      <c r="U1084" s="151">
        <v>0</v>
      </c>
      <c r="V1084" s="152">
        <v>0</v>
      </c>
      <c r="W1084" s="151">
        <v>0</v>
      </c>
      <c r="X1084" s="152">
        <v>0</v>
      </c>
      <c r="Y1084" s="151">
        <v>0</v>
      </c>
      <c r="Z1084" s="152">
        <v>0</v>
      </c>
      <c r="AA1084" s="151">
        <v>0</v>
      </c>
      <c r="AB1084" s="152">
        <v>0</v>
      </c>
      <c r="AC1084" s="238">
        <f t="shared" si="57"/>
        <v>0</v>
      </c>
      <c r="AD1084" s="238"/>
      <c r="AE1084" s="238"/>
    </row>
    <row r="1085" spans="2:31" x14ac:dyDescent="0.3">
      <c r="B1085" s="245" t="s">
        <v>65</v>
      </c>
      <c r="C1085" s="245"/>
      <c r="D1085" s="245"/>
      <c r="E1085" s="151">
        <v>0</v>
      </c>
      <c r="F1085" s="152">
        <v>0</v>
      </c>
      <c r="G1085" s="151">
        <v>0</v>
      </c>
      <c r="H1085" s="152">
        <v>0</v>
      </c>
      <c r="I1085" s="151">
        <v>0</v>
      </c>
      <c r="J1085" s="152">
        <v>0</v>
      </c>
      <c r="K1085" s="151">
        <v>0</v>
      </c>
      <c r="L1085" s="152">
        <v>0</v>
      </c>
      <c r="M1085" s="151">
        <v>0</v>
      </c>
      <c r="N1085" s="152">
        <v>0</v>
      </c>
      <c r="O1085" s="151">
        <v>0</v>
      </c>
      <c r="P1085" s="152">
        <v>0</v>
      </c>
      <c r="Q1085" s="151">
        <v>5.8500000000001266E-2</v>
      </c>
      <c r="R1085" s="152">
        <v>0.31166666666666504</v>
      </c>
      <c r="S1085" s="151">
        <v>0.28049999999999714</v>
      </c>
      <c r="T1085" s="152">
        <v>0</v>
      </c>
      <c r="U1085" s="151">
        <v>0</v>
      </c>
      <c r="V1085" s="152">
        <v>0</v>
      </c>
      <c r="W1085" s="151">
        <v>0.67716666666666647</v>
      </c>
      <c r="X1085" s="152">
        <v>0</v>
      </c>
      <c r="Y1085" s="151">
        <v>0</v>
      </c>
      <c r="Z1085" s="152">
        <v>0</v>
      </c>
      <c r="AA1085" s="151">
        <v>0</v>
      </c>
      <c r="AB1085" s="152">
        <v>0</v>
      </c>
      <c r="AC1085" s="238">
        <f t="shared" si="57"/>
        <v>1.3278333333333299</v>
      </c>
      <c r="AD1085" s="238"/>
      <c r="AE1085" s="238"/>
    </row>
    <row r="1086" spans="2:31" x14ac:dyDescent="0.3">
      <c r="B1086" s="245" t="s">
        <v>66</v>
      </c>
      <c r="C1086" s="245"/>
      <c r="D1086" s="245"/>
      <c r="E1086" s="151">
        <v>0</v>
      </c>
      <c r="F1086" s="152">
        <v>0</v>
      </c>
      <c r="G1086" s="151">
        <v>0</v>
      </c>
      <c r="H1086" s="152">
        <v>0</v>
      </c>
      <c r="I1086" s="151">
        <v>0</v>
      </c>
      <c r="J1086" s="152">
        <v>0</v>
      </c>
      <c r="K1086" s="151">
        <v>0</v>
      </c>
      <c r="L1086" s="152">
        <v>0</v>
      </c>
      <c r="M1086" s="151">
        <v>0</v>
      </c>
      <c r="N1086" s="152">
        <v>0</v>
      </c>
      <c r="O1086" s="151">
        <v>0.45483333333333414</v>
      </c>
      <c r="P1086" s="152">
        <v>2.72983333333333</v>
      </c>
      <c r="Q1086" s="151">
        <v>3.3178333333333323</v>
      </c>
      <c r="R1086" s="152">
        <v>4.8106666666666653</v>
      </c>
      <c r="S1086" s="151">
        <v>3.6311666666666698</v>
      </c>
      <c r="T1086" s="152">
        <v>4.0539999999999994</v>
      </c>
      <c r="U1086" s="151">
        <v>2.8058333333333336</v>
      </c>
      <c r="V1086" s="152">
        <v>0.39450000000000107</v>
      </c>
      <c r="W1086" s="151">
        <v>0.35399999999999993</v>
      </c>
      <c r="X1086" s="152">
        <v>0</v>
      </c>
      <c r="Y1086" s="151">
        <v>0</v>
      </c>
      <c r="Z1086" s="152">
        <v>0</v>
      </c>
      <c r="AA1086" s="151">
        <v>0</v>
      </c>
      <c r="AB1086" s="152">
        <v>0</v>
      </c>
      <c r="AC1086" s="238">
        <f>SUM(E1086:AB1086)</f>
        <v>22.55266666666666</v>
      </c>
      <c r="AD1086" s="238"/>
      <c r="AE1086" s="238"/>
    </row>
    <row r="1087" spans="2:31" x14ac:dyDescent="0.3">
      <c r="B1087" s="245" t="s">
        <v>67</v>
      </c>
      <c r="C1087" s="245"/>
      <c r="D1087" s="245"/>
      <c r="E1087" s="151">
        <v>0</v>
      </c>
      <c r="F1087" s="152">
        <v>0</v>
      </c>
      <c r="G1087" s="151">
        <v>0</v>
      </c>
      <c r="H1087" s="152">
        <v>0</v>
      </c>
      <c r="I1087" s="151">
        <v>0</v>
      </c>
      <c r="J1087" s="152">
        <v>0</v>
      </c>
      <c r="K1087" s="151">
        <v>0</v>
      </c>
      <c r="L1087" s="152">
        <v>0</v>
      </c>
      <c r="M1087" s="151">
        <v>0</v>
      </c>
      <c r="N1087" s="152">
        <v>0</v>
      </c>
      <c r="O1087" s="151">
        <v>7.9166666666666663E-2</v>
      </c>
      <c r="P1087" s="152">
        <v>1.9890000000000003</v>
      </c>
      <c r="Q1087" s="151">
        <v>1.0533333333333326</v>
      </c>
      <c r="R1087" s="152">
        <v>2.5514999999999999</v>
      </c>
      <c r="S1087" s="151">
        <v>2.7031666666666672</v>
      </c>
      <c r="T1087" s="152">
        <v>0.81150000000000011</v>
      </c>
      <c r="U1087" s="151">
        <v>0.48066666666666713</v>
      </c>
      <c r="V1087" s="152">
        <v>2.3541666666666665</v>
      </c>
      <c r="W1087" s="151">
        <v>1.7631666666666663</v>
      </c>
      <c r="X1087" s="152">
        <v>0</v>
      </c>
      <c r="Y1087" s="151">
        <v>0</v>
      </c>
      <c r="Z1087" s="152">
        <v>0</v>
      </c>
      <c r="AA1087" s="151">
        <v>0</v>
      </c>
      <c r="AB1087" s="152">
        <v>0</v>
      </c>
      <c r="AC1087" s="238">
        <f t="shared" ref="AC1087:AC1100" si="58">SUM(E1087:AB1087)</f>
        <v>13.785666666666668</v>
      </c>
      <c r="AD1087" s="238"/>
      <c r="AE1087" s="238"/>
    </row>
    <row r="1088" spans="2:31" x14ac:dyDescent="0.3">
      <c r="B1088" s="245" t="s">
        <v>68</v>
      </c>
      <c r="C1088" s="245"/>
      <c r="D1088" s="245"/>
      <c r="E1088" s="151">
        <v>0</v>
      </c>
      <c r="F1088" s="152">
        <v>0</v>
      </c>
      <c r="G1088" s="151">
        <v>0</v>
      </c>
      <c r="H1088" s="152">
        <v>0</v>
      </c>
      <c r="I1088" s="151">
        <v>0</v>
      </c>
      <c r="J1088" s="152">
        <v>0</v>
      </c>
      <c r="K1088" s="151">
        <v>0</v>
      </c>
      <c r="L1088" s="152">
        <v>0</v>
      </c>
      <c r="M1088" s="151">
        <v>0</v>
      </c>
      <c r="N1088" s="152">
        <v>0</v>
      </c>
      <c r="O1088" s="151">
        <v>15</v>
      </c>
      <c r="P1088" s="152">
        <v>62.900000000000063</v>
      </c>
      <c r="Q1088" s="151">
        <v>63.5</v>
      </c>
      <c r="R1088" s="152">
        <v>63</v>
      </c>
      <c r="S1088" s="151">
        <v>62.800000000000068</v>
      </c>
      <c r="T1088" s="152">
        <v>62</v>
      </c>
      <c r="U1088" s="151">
        <v>60.400000000000063</v>
      </c>
      <c r="V1088" s="152">
        <v>56.800000000000054</v>
      </c>
      <c r="W1088" s="151">
        <v>45.099999999999952</v>
      </c>
      <c r="X1088" s="152">
        <v>4.1800000000000015</v>
      </c>
      <c r="Y1088" s="151">
        <v>0</v>
      </c>
      <c r="Z1088" s="152">
        <v>0</v>
      </c>
      <c r="AA1088" s="151">
        <v>0</v>
      </c>
      <c r="AB1088" s="152">
        <v>0</v>
      </c>
      <c r="AC1088" s="238">
        <f t="shared" si="58"/>
        <v>495.68000000000029</v>
      </c>
      <c r="AD1088" s="238"/>
      <c r="AE1088" s="238"/>
    </row>
    <row r="1089" spans="2:31" x14ac:dyDescent="0.3">
      <c r="B1089" s="245" t="s">
        <v>69</v>
      </c>
      <c r="C1089" s="245"/>
      <c r="D1089" s="245"/>
      <c r="E1089" s="151">
        <v>0</v>
      </c>
      <c r="F1089" s="152">
        <v>0</v>
      </c>
      <c r="G1089" s="151">
        <v>0</v>
      </c>
      <c r="H1089" s="152">
        <v>0</v>
      </c>
      <c r="I1089" s="151">
        <v>0</v>
      </c>
      <c r="J1089" s="152">
        <v>0</v>
      </c>
      <c r="K1089" s="151">
        <v>0</v>
      </c>
      <c r="L1089" s="152">
        <v>0</v>
      </c>
      <c r="M1089" s="151">
        <v>0</v>
      </c>
      <c r="N1089" s="152">
        <v>0</v>
      </c>
      <c r="O1089" s="151">
        <v>0.35350000000000059</v>
      </c>
      <c r="P1089" s="152">
        <v>3.8703333333333281</v>
      </c>
      <c r="Q1089" s="151">
        <v>4.3379999999999983</v>
      </c>
      <c r="R1089" s="152">
        <v>7.2976666666666716</v>
      </c>
      <c r="S1089" s="151">
        <v>6.8351666666666739</v>
      </c>
      <c r="T1089" s="152">
        <v>6.0104999999999968</v>
      </c>
      <c r="U1089" s="151">
        <v>2.7635000000000058</v>
      </c>
      <c r="V1089" s="152">
        <v>10.091833333333339</v>
      </c>
      <c r="W1089" s="151">
        <v>0.56633333333333302</v>
      </c>
      <c r="X1089" s="152">
        <v>0</v>
      </c>
      <c r="Y1089" s="151">
        <v>0</v>
      </c>
      <c r="Z1089" s="152">
        <v>0</v>
      </c>
      <c r="AA1089" s="151">
        <v>0</v>
      </c>
      <c r="AB1089" s="152">
        <v>0</v>
      </c>
      <c r="AC1089" s="238">
        <f t="shared" si="58"/>
        <v>42.126833333333352</v>
      </c>
      <c r="AD1089" s="238"/>
      <c r="AE1089" s="238"/>
    </row>
    <row r="1090" spans="2:31" x14ac:dyDescent="0.3">
      <c r="B1090" s="245" t="s">
        <v>70</v>
      </c>
      <c r="C1090" s="245"/>
      <c r="D1090" s="245"/>
      <c r="E1090" s="151">
        <v>0</v>
      </c>
      <c r="F1090" s="152">
        <v>0</v>
      </c>
      <c r="G1090" s="151">
        <v>0</v>
      </c>
      <c r="H1090" s="152">
        <v>0</v>
      </c>
      <c r="I1090" s="151">
        <v>0</v>
      </c>
      <c r="J1090" s="152">
        <v>0</v>
      </c>
      <c r="K1090" s="151">
        <v>0</v>
      </c>
      <c r="L1090" s="152">
        <v>0</v>
      </c>
      <c r="M1090" s="151">
        <v>0</v>
      </c>
      <c r="N1090" s="152">
        <v>0</v>
      </c>
      <c r="O1090" s="151">
        <v>0</v>
      </c>
      <c r="P1090" s="152">
        <v>0</v>
      </c>
      <c r="Q1090" s="151">
        <v>0</v>
      </c>
      <c r="R1090" s="152">
        <v>0</v>
      </c>
      <c r="S1090" s="151">
        <v>0</v>
      </c>
      <c r="T1090" s="152">
        <v>0</v>
      </c>
      <c r="U1090" s="151">
        <v>0</v>
      </c>
      <c r="V1090" s="152">
        <v>0</v>
      </c>
      <c r="W1090" s="151">
        <v>0</v>
      </c>
      <c r="X1090" s="152">
        <v>0</v>
      </c>
      <c r="Y1090" s="151">
        <v>0</v>
      </c>
      <c r="Z1090" s="152">
        <v>0</v>
      </c>
      <c r="AA1090" s="151">
        <v>0</v>
      </c>
      <c r="AB1090" s="152">
        <v>0</v>
      </c>
      <c r="AC1090" s="238">
        <f t="shared" si="58"/>
        <v>0</v>
      </c>
      <c r="AD1090" s="238"/>
      <c r="AE1090" s="238"/>
    </row>
    <row r="1091" spans="2:31" x14ac:dyDescent="0.3">
      <c r="B1091" s="245" t="s">
        <v>71</v>
      </c>
      <c r="C1091" s="245"/>
      <c r="D1091" s="245"/>
      <c r="E1091" s="151">
        <v>0</v>
      </c>
      <c r="F1091" s="152">
        <v>0</v>
      </c>
      <c r="G1091" s="151">
        <v>0</v>
      </c>
      <c r="H1091" s="152">
        <v>0</v>
      </c>
      <c r="I1091" s="151">
        <v>0</v>
      </c>
      <c r="J1091" s="152">
        <v>0</v>
      </c>
      <c r="K1091" s="151">
        <v>0</v>
      </c>
      <c r="L1091" s="152">
        <v>0</v>
      </c>
      <c r="M1091" s="151">
        <v>0</v>
      </c>
      <c r="N1091" s="152">
        <v>0</v>
      </c>
      <c r="O1091" s="151">
        <v>0</v>
      </c>
      <c r="P1091" s="152">
        <v>0</v>
      </c>
      <c r="Q1091" s="151">
        <v>0</v>
      </c>
      <c r="R1091" s="152">
        <v>0</v>
      </c>
      <c r="S1091" s="151">
        <v>0</v>
      </c>
      <c r="T1091" s="152">
        <v>0</v>
      </c>
      <c r="U1091" s="151">
        <v>0</v>
      </c>
      <c r="V1091" s="152">
        <v>0</v>
      </c>
      <c r="W1091" s="151">
        <v>0</v>
      </c>
      <c r="X1091" s="152">
        <v>0</v>
      </c>
      <c r="Y1091" s="151">
        <v>0</v>
      </c>
      <c r="Z1091" s="152">
        <v>0</v>
      </c>
      <c r="AA1091" s="151">
        <v>0</v>
      </c>
      <c r="AB1091" s="152">
        <v>0</v>
      </c>
      <c r="AC1091" s="238">
        <f t="shared" si="58"/>
        <v>0</v>
      </c>
      <c r="AD1091" s="238"/>
      <c r="AE1091" s="238"/>
    </row>
    <row r="1092" spans="2:31" x14ac:dyDescent="0.3">
      <c r="B1092" s="245" t="s">
        <v>72</v>
      </c>
      <c r="C1092" s="245"/>
      <c r="D1092" s="245"/>
      <c r="E1092" s="151">
        <v>0</v>
      </c>
      <c r="F1092" s="152">
        <v>0</v>
      </c>
      <c r="G1092" s="151">
        <v>0</v>
      </c>
      <c r="H1092" s="152">
        <v>0</v>
      </c>
      <c r="I1092" s="151">
        <v>0</v>
      </c>
      <c r="J1092" s="152">
        <v>0</v>
      </c>
      <c r="K1092" s="151">
        <v>0</v>
      </c>
      <c r="L1092" s="152">
        <v>0</v>
      </c>
      <c r="M1092" s="151">
        <v>0</v>
      </c>
      <c r="N1092" s="152">
        <v>0</v>
      </c>
      <c r="O1092" s="151">
        <v>0</v>
      </c>
      <c r="P1092" s="152">
        <v>0</v>
      </c>
      <c r="Q1092" s="151">
        <v>0</v>
      </c>
      <c r="R1092" s="152">
        <v>0.17166666666666711</v>
      </c>
      <c r="S1092" s="151">
        <v>9.3499999999995614E-2</v>
      </c>
      <c r="T1092" s="152">
        <v>0.28000000000000114</v>
      </c>
      <c r="U1092" s="151">
        <v>0</v>
      </c>
      <c r="V1092" s="152">
        <v>0</v>
      </c>
      <c r="W1092" s="151">
        <v>6.8333333333333354E-3</v>
      </c>
      <c r="X1092" s="152">
        <v>0</v>
      </c>
      <c r="Y1092" s="151">
        <v>0</v>
      </c>
      <c r="Z1092" s="152">
        <v>0</v>
      </c>
      <c r="AA1092" s="151">
        <v>0</v>
      </c>
      <c r="AB1092" s="152">
        <v>0</v>
      </c>
      <c r="AC1092" s="238">
        <f t="shared" si="58"/>
        <v>0.55199999999999727</v>
      </c>
      <c r="AD1092" s="238"/>
      <c r="AE1092" s="238"/>
    </row>
    <row r="1093" spans="2:31" x14ac:dyDescent="0.3">
      <c r="B1093" s="245" t="s">
        <v>73</v>
      </c>
      <c r="C1093" s="245"/>
      <c r="D1093" s="245"/>
      <c r="E1093" s="151">
        <v>0</v>
      </c>
      <c r="F1093" s="152">
        <v>0</v>
      </c>
      <c r="G1093" s="151">
        <v>0</v>
      </c>
      <c r="H1093" s="152">
        <v>0</v>
      </c>
      <c r="I1093" s="151">
        <v>0</v>
      </c>
      <c r="J1093" s="152">
        <v>0</v>
      </c>
      <c r="K1093" s="151">
        <v>0</v>
      </c>
      <c r="L1093" s="152">
        <v>0</v>
      </c>
      <c r="M1093" s="151">
        <v>0</v>
      </c>
      <c r="N1093" s="152">
        <v>0</v>
      </c>
      <c r="O1093" s="151">
        <v>0.32116666666666732</v>
      </c>
      <c r="P1093" s="152">
        <v>7.1056666666666599</v>
      </c>
      <c r="Q1093" s="151">
        <v>9.0549999999999997</v>
      </c>
      <c r="R1093" s="152">
        <v>2.6909999999999994</v>
      </c>
      <c r="S1093" s="151">
        <v>3.0379999999999985</v>
      </c>
      <c r="T1093" s="152">
        <v>3.2601666666666689</v>
      </c>
      <c r="U1093" s="151">
        <v>3.6686666666666663</v>
      </c>
      <c r="V1093" s="152">
        <v>3.5881666666666736</v>
      </c>
      <c r="W1093" s="151">
        <v>6.0458333333333334</v>
      </c>
      <c r="X1093" s="152">
        <v>0</v>
      </c>
      <c r="Y1093" s="151">
        <v>0</v>
      </c>
      <c r="Z1093" s="152">
        <v>0</v>
      </c>
      <c r="AA1093" s="151">
        <v>0</v>
      </c>
      <c r="AB1093" s="152">
        <v>0</v>
      </c>
      <c r="AC1093" s="238">
        <f t="shared" si="58"/>
        <v>38.773666666666671</v>
      </c>
      <c r="AD1093" s="238"/>
      <c r="AE1093" s="238"/>
    </row>
    <row r="1094" spans="2:31" x14ac:dyDescent="0.3">
      <c r="B1094" s="245" t="s">
        <v>74</v>
      </c>
      <c r="C1094" s="245"/>
      <c r="D1094" s="245"/>
      <c r="E1094" s="151">
        <v>0</v>
      </c>
      <c r="F1094" s="152">
        <v>0</v>
      </c>
      <c r="G1094" s="151">
        <v>0</v>
      </c>
      <c r="H1094" s="152">
        <v>0</v>
      </c>
      <c r="I1094" s="151">
        <v>0</v>
      </c>
      <c r="J1094" s="152">
        <v>0</v>
      </c>
      <c r="K1094" s="151">
        <v>0</v>
      </c>
      <c r="L1094" s="152">
        <v>0</v>
      </c>
      <c r="M1094" s="151">
        <v>0</v>
      </c>
      <c r="N1094" s="152">
        <v>0</v>
      </c>
      <c r="O1094" s="151">
        <v>0</v>
      </c>
      <c r="P1094" s="152">
        <v>2.8061666666666678</v>
      </c>
      <c r="Q1094" s="151">
        <v>1.0933333333333333</v>
      </c>
      <c r="R1094" s="152">
        <v>0.57666666666666666</v>
      </c>
      <c r="S1094" s="151">
        <v>1.6811666666666665</v>
      </c>
      <c r="T1094" s="152">
        <v>0.98683333333333334</v>
      </c>
      <c r="U1094" s="151">
        <v>0.69500000000000006</v>
      </c>
      <c r="V1094" s="152">
        <v>0.50900000000000023</v>
      </c>
      <c r="W1094" s="151">
        <v>0.94866666666666666</v>
      </c>
      <c r="X1094" s="152">
        <v>4.8333333333333188E-3</v>
      </c>
      <c r="Y1094" s="151">
        <v>0</v>
      </c>
      <c r="Z1094" s="152">
        <v>0</v>
      </c>
      <c r="AA1094" s="151">
        <v>0</v>
      </c>
      <c r="AB1094" s="152">
        <v>0</v>
      </c>
      <c r="AC1094" s="238">
        <f t="shared" si="58"/>
        <v>9.3016666666666676</v>
      </c>
      <c r="AD1094" s="238"/>
      <c r="AE1094" s="238"/>
    </row>
    <row r="1095" spans="2:31" x14ac:dyDescent="0.3">
      <c r="B1095" s="245" t="s">
        <v>75</v>
      </c>
      <c r="C1095" s="245"/>
      <c r="D1095" s="245"/>
      <c r="E1095" s="151">
        <v>0</v>
      </c>
      <c r="F1095" s="152">
        <v>0</v>
      </c>
      <c r="G1095" s="151">
        <v>0</v>
      </c>
      <c r="H1095" s="152">
        <v>0</v>
      </c>
      <c r="I1095" s="151">
        <v>0</v>
      </c>
      <c r="J1095" s="152">
        <v>0</v>
      </c>
      <c r="K1095" s="151">
        <v>0</v>
      </c>
      <c r="L1095" s="152">
        <v>0</v>
      </c>
      <c r="M1095" s="151">
        <v>0</v>
      </c>
      <c r="N1095" s="152">
        <v>0</v>
      </c>
      <c r="O1095" s="151">
        <v>0</v>
      </c>
      <c r="P1095" s="152">
        <v>10.867333333333331</v>
      </c>
      <c r="Q1095" s="151">
        <v>2.1436666666666668</v>
      </c>
      <c r="R1095" s="152">
        <v>3.056666666666668</v>
      </c>
      <c r="S1095" s="151">
        <v>6.3723333333333398</v>
      </c>
      <c r="T1095" s="152">
        <v>1.9499999999999792E-2</v>
      </c>
      <c r="U1095" s="151">
        <v>1.3204999999999989</v>
      </c>
      <c r="V1095" s="152">
        <v>3.4674999999999989</v>
      </c>
      <c r="W1095" s="151">
        <v>6.0723333333333347</v>
      </c>
      <c r="X1095" s="152">
        <v>0</v>
      </c>
      <c r="Y1095" s="151">
        <v>0</v>
      </c>
      <c r="Z1095" s="152">
        <v>0</v>
      </c>
      <c r="AA1095" s="151">
        <v>0</v>
      </c>
      <c r="AB1095" s="152">
        <v>0</v>
      </c>
      <c r="AC1095" s="238">
        <f t="shared" si="58"/>
        <v>33.319833333333335</v>
      </c>
      <c r="AD1095" s="238"/>
      <c r="AE1095" s="238"/>
    </row>
    <row r="1096" spans="2:31" x14ac:dyDescent="0.3">
      <c r="B1096" s="245" t="s">
        <v>76</v>
      </c>
      <c r="C1096" s="245"/>
      <c r="D1096" s="245"/>
      <c r="E1096" s="151">
        <v>0</v>
      </c>
      <c r="F1096" s="152">
        <v>0</v>
      </c>
      <c r="G1096" s="151">
        <v>0</v>
      </c>
      <c r="H1096" s="152">
        <v>0</v>
      </c>
      <c r="I1096" s="151">
        <v>0</v>
      </c>
      <c r="J1096" s="152">
        <v>0</v>
      </c>
      <c r="K1096" s="151">
        <v>0</v>
      </c>
      <c r="L1096" s="152">
        <v>0</v>
      </c>
      <c r="M1096" s="151">
        <v>0</v>
      </c>
      <c r="N1096" s="152">
        <v>0</v>
      </c>
      <c r="O1096" s="151">
        <v>0</v>
      </c>
      <c r="P1096" s="152">
        <v>0</v>
      </c>
      <c r="Q1096" s="151">
        <v>0</v>
      </c>
      <c r="R1096" s="152">
        <v>0</v>
      </c>
      <c r="S1096" s="151">
        <v>0</v>
      </c>
      <c r="T1096" s="152">
        <v>0</v>
      </c>
      <c r="U1096" s="151">
        <v>0</v>
      </c>
      <c r="V1096" s="152">
        <v>0</v>
      </c>
      <c r="W1096" s="151">
        <v>0</v>
      </c>
      <c r="X1096" s="152">
        <v>0</v>
      </c>
      <c r="Y1096" s="151">
        <v>0</v>
      </c>
      <c r="Z1096" s="152">
        <v>0</v>
      </c>
      <c r="AA1096" s="151">
        <v>0</v>
      </c>
      <c r="AB1096" s="152">
        <v>0</v>
      </c>
      <c r="AC1096" s="238">
        <f t="shared" si="58"/>
        <v>0</v>
      </c>
      <c r="AD1096" s="238"/>
      <c r="AE1096" s="238"/>
    </row>
    <row r="1097" spans="2:31" x14ac:dyDescent="0.3">
      <c r="B1097" s="245" t="s">
        <v>77</v>
      </c>
      <c r="C1097" s="245"/>
      <c r="D1097" s="245"/>
      <c r="E1097" s="151">
        <v>0</v>
      </c>
      <c r="F1097" s="152">
        <v>0</v>
      </c>
      <c r="G1097" s="151">
        <v>0</v>
      </c>
      <c r="H1097" s="152">
        <v>0</v>
      </c>
      <c r="I1097" s="151">
        <v>0</v>
      </c>
      <c r="J1097" s="152">
        <v>0</v>
      </c>
      <c r="K1097" s="151">
        <v>0</v>
      </c>
      <c r="L1097" s="152">
        <v>0</v>
      </c>
      <c r="M1097" s="151">
        <v>0</v>
      </c>
      <c r="N1097" s="152">
        <v>0</v>
      </c>
      <c r="O1097" s="151">
        <v>0.65583333333333182</v>
      </c>
      <c r="P1097" s="152">
        <v>3.9763333333333315</v>
      </c>
      <c r="Q1097" s="151">
        <v>2.286833333333337</v>
      </c>
      <c r="R1097" s="152">
        <v>4.8971666666666529</v>
      </c>
      <c r="S1097" s="151">
        <v>4.8881666666666614</v>
      </c>
      <c r="T1097" s="152">
        <v>4.878999999999996</v>
      </c>
      <c r="U1097" s="151">
        <v>4.4699999999999989</v>
      </c>
      <c r="V1097" s="152">
        <v>0.66999999999999937</v>
      </c>
      <c r="W1097" s="151">
        <v>2.0549999999999997</v>
      </c>
      <c r="X1097" s="152">
        <v>0</v>
      </c>
      <c r="Y1097" s="151">
        <v>0</v>
      </c>
      <c r="Z1097" s="152">
        <v>0</v>
      </c>
      <c r="AA1097" s="151">
        <v>0</v>
      </c>
      <c r="AB1097" s="152">
        <v>0</v>
      </c>
      <c r="AC1097" s="238">
        <f t="shared" si="58"/>
        <v>28.778333333333311</v>
      </c>
      <c r="AD1097" s="238"/>
      <c r="AE1097" s="238"/>
    </row>
    <row r="1098" spans="2:31" x14ac:dyDescent="0.3">
      <c r="B1098" s="245" t="s">
        <v>78</v>
      </c>
      <c r="C1098" s="245"/>
      <c r="D1098" s="245"/>
      <c r="E1098" s="151">
        <v>0</v>
      </c>
      <c r="F1098" s="152">
        <v>0</v>
      </c>
      <c r="G1098" s="151">
        <v>0</v>
      </c>
      <c r="H1098" s="152">
        <v>0</v>
      </c>
      <c r="I1098" s="151">
        <v>0</v>
      </c>
      <c r="J1098" s="152">
        <v>0</v>
      </c>
      <c r="K1098" s="151">
        <v>0</v>
      </c>
      <c r="L1098" s="152">
        <v>0</v>
      </c>
      <c r="M1098" s="151">
        <v>0</v>
      </c>
      <c r="N1098" s="152">
        <v>0</v>
      </c>
      <c r="O1098" s="151">
        <v>0</v>
      </c>
      <c r="P1098" s="152">
        <v>0</v>
      </c>
      <c r="Q1098" s="151">
        <v>0</v>
      </c>
      <c r="R1098" s="152">
        <v>0</v>
      </c>
      <c r="S1098" s="151">
        <v>0</v>
      </c>
      <c r="T1098" s="152">
        <v>0</v>
      </c>
      <c r="U1098" s="151">
        <v>0</v>
      </c>
      <c r="V1098" s="152">
        <v>0</v>
      </c>
      <c r="W1098" s="151">
        <v>0</v>
      </c>
      <c r="X1098" s="152">
        <v>0</v>
      </c>
      <c r="Y1098" s="151">
        <v>0</v>
      </c>
      <c r="Z1098" s="152">
        <v>0</v>
      </c>
      <c r="AA1098" s="151">
        <v>0</v>
      </c>
      <c r="AB1098" s="152">
        <v>0</v>
      </c>
      <c r="AC1098" s="238">
        <f t="shared" si="58"/>
        <v>0</v>
      </c>
      <c r="AD1098" s="238"/>
      <c r="AE1098" s="238"/>
    </row>
    <row r="1099" spans="2:31" x14ac:dyDescent="0.3">
      <c r="B1099" s="245" t="s">
        <v>79</v>
      </c>
      <c r="C1099" s="245"/>
      <c r="D1099" s="245"/>
      <c r="E1099" s="151">
        <v>0</v>
      </c>
      <c r="F1099" s="152">
        <v>0</v>
      </c>
      <c r="G1099" s="151">
        <v>0</v>
      </c>
      <c r="H1099" s="152">
        <v>0</v>
      </c>
      <c r="I1099" s="151">
        <v>0</v>
      </c>
      <c r="J1099" s="152">
        <v>0</v>
      </c>
      <c r="K1099" s="151">
        <v>0</v>
      </c>
      <c r="L1099" s="152">
        <v>0</v>
      </c>
      <c r="M1099" s="151">
        <v>0</v>
      </c>
      <c r="N1099" s="152">
        <v>0</v>
      </c>
      <c r="O1099" s="151">
        <v>2.9210000000000012</v>
      </c>
      <c r="P1099" s="152">
        <v>18.007500000000007</v>
      </c>
      <c r="Q1099" s="151">
        <v>11.848833333333333</v>
      </c>
      <c r="R1099" s="152">
        <v>0.67199999999999915</v>
      </c>
      <c r="S1099" s="151">
        <v>2.9039999999999977</v>
      </c>
      <c r="T1099" s="152">
        <v>6.9508333333333372</v>
      </c>
      <c r="U1099" s="151">
        <v>17.73650000000001</v>
      </c>
      <c r="V1099" s="152">
        <v>32.253166666666665</v>
      </c>
      <c r="W1099" s="151">
        <v>56.453999999999994</v>
      </c>
      <c r="X1099" s="152">
        <v>3.7929999999999997</v>
      </c>
      <c r="Y1099" s="151">
        <v>0</v>
      </c>
      <c r="Z1099" s="152">
        <v>0</v>
      </c>
      <c r="AA1099" s="151">
        <v>0</v>
      </c>
      <c r="AB1099" s="152">
        <v>0</v>
      </c>
      <c r="AC1099" s="238">
        <f t="shared" si="58"/>
        <v>153.54083333333335</v>
      </c>
      <c r="AD1099" s="238"/>
      <c r="AE1099" s="238"/>
    </row>
    <row r="1100" spans="2:31" x14ac:dyDescent="0.3">
      <c r="B1100" s="245" t="s">
        <v>80</v>
      </c>
      <c r="C1100" s="245"/>
      <c r="D1100" s="245"/>
      <c r="E1100" s="151">
        <v>0</v>
      </c>
      <c r="F1100" s="152">
        <v>0</v>
      </c>
      <c r="G1100" s="151">
        <v>0</v>
      </c>
      <c r="H1100" s="152">
        <v>0</v>
      </c>
      <c r="I1100" s="151">
        <v>0</v>
      </c>
      <c r="J1100" s="152">
        <v>0</v>
      </c>
      <c r="K1100" s="151">
        <v>0</v>
      </c>
      <c r="L1100" s="152">
        <v>0</v>
      </c>
      <c r="M1100" s="151">
        <v>0</v>
      </c>
      <c r="N1100" s="152">
        <v>0</v>
      </c>
      <c r="O1100" s="151">
        <v>0</v>
      </c>
      <c r="P1100" s="152">
        <v>4.3883333333333328</v>
      </c>
      <c r="Q1100" s="151">
        <v>1.2398333333333338</v>
      </c>
      <c r="R1100" s="152">
        <v>5.158166666666669</v>
      </c>
      <c r="S1100" s="151">
        <v>6.096666666666664</v>
      </c>
      <c r="T1100" s="152">
        <v>5.1100000000000074</v>
      </c>
      <c r="U1100" s="151">
        <v>4.4000000000000021</v>
      </c>
      <c r="V1100" s="152">
        <v>1.9383333333333426</v>
      </c>
      <c r="W1100" s="151">
        <v>5.2545000000000028</v>
      </c>
      <c r="X1100" s="152">
        <v>0</v>
      </c>
      <c r="Y1100" s="151">
        <v>0</v>
      </c>
      <c r="Z1100" s="152">
        <v>0</v>
      </c>
      <c r="AA1100" s="151">
        <v>0</v>
      </c>
      <c r="AB1100" s="152">
        <v>0</v>
      </c>
      <c r="AC1100" s="238">
        <f t="shared" si="58"/>
        <v>33.585833333333355</v>
      </c>
      <c r="AD1100" s="238"/>
      <c r="AE1100" s="238"/>
    </row>
    <row r="1101" spans="2:31" x14ac:dyDescent="0.3">
      <c r="B1101" s="245" t="s">
        <v>93</v>
      </c>
      <c r="C1101" s="245"/>
      <c r="D1101" s="245"/>
      <c r="E1101" s="151">
        <v>0</v>
      </c>
      <c r="F1101" s="152">
        <v>0</v>
      </c>
      <c r="G1101" s="151">
        <v>0</v>
      </c>
      <c r="H1101" s="152">
        <v>0</v>
      </c>
      <c r="I1101" s="151">
        <v>0</v>
      </c>
      <c r="J1101" s="152">
        <v>0</v>
      </c>
      <c r="K1101" s="151">
        <v>0</v>
      </c>
      <c r="L1101" s="152">
        <v>0</v>
      </c>
      <c r="M1101" s="151">
        <v>0</v>
      </c>
      <c r="N1101" s="152">
        <v>0</v>
      </c>
      <c r="O1101" s="151">
        <v>0</v>
      </c>
      <c r="P1101" s="152">
        <v>0</v>
      </c>
      <c r="Q1101" s="151">
        <v>0</v>
      </c>
      <c r="R1101" s="152">
        <v>0</v>
      </c>
      <c r="S1101" s="151">
        <v>0</v>
      </c>
      <c r="T1101" s="152">
        <v>0</v>
      </c>
      <c r="U1101" s="151">
        <v>0</v>
      </c>
      <c r="V1101" s="152">
        <v>0</v>
      </c>
      <c r="W1101" s="151">
        <v>8.9000000000000024E-2</v>
      </c>
      <c r="X1101" s="152">
        <v>0</v>
      </c>
      <c r="Y1101" s="151">
        <v>0</v>
      </c>
      <c r="Z1101" s="152">
        <v>0</v>
      </c>
      <c r="AA1101" s="151">
        <v>0</v>
      </c>
      <c r="AB1101" s="152">
        <v>0</v>
      </c>
      <c r="AC1101" s="238">
        <f>SUM(E1101:AB1101)</f>
        <v>8.9000000000000024E-2</v>
      </c>
      <c r="AD1101" s="238"/>
      <c r="AE1101" s="238"/>
    </row>
    <row r="1102" spans="2:31" x14ac:dyDescent="0.3">
      <c r="B1102" s="14" t="s">
        <v>2</v>
      </c>
      <c r="C1102" s="14"/>
      <c r="D1102" s="14"/>
      <c r="E1102" s="15">
        <f t="shared" ref="E1102:AB1102" si="59">SUM(E1053:E1101)</f>
        <v>0</v>
      </c>
      <c r="F1102" s="15">
        <f t="shared" si="59"/>
        <v>0</v>
      </c>
      <c r="G1102" s="15">
        <f t="shared" si="59"/>
        <v>0</v>
      </c>
      <c r="H1102" s="15">
        <f t="shared" si="59"/>
        <v>0</v>
      </c>
      <c r="I1102" s="15">
        <f t="shared" si="59"/>
        <v>0</v>
      </c>
      <c r="J1102" s="15">
        <f t="shared" si="59"/>
        <v>0</v>
      </c>
      <c r="K1102" s="15">
        <f t="shared" si="59"/>
        <v>0</v>
      </c>
      <c r="L1102" s="15">
        <f t="shared" si="59"/>
        <v>0</v>
      </c>
      <c r="M1102" s="15">
        <f t="shared" si="59"/>
        <v>0</v>
      </c>
      <c r="N1102" s="15">
        <f t="shared" si="59"/>
        <v>0</v>
      </c>
      <c r="O1102" s="15">
        <f t="shared" si="59"/>
        <v>25.796333333333337</v>
      </c>
      <c r="P1102" s="15">
        <f t="shared" si="59"/>
        <v>165.01250000000005</v>
      </c>
      <c r="Q1102" s="15">
        <f t="shared" si="59"/>
        <v>159.18200000000002</v>
      </c>
      <c r="R1102" s="15">
        <f t="shared" si="59"/>
        <v>193.55449999999999</v>
      </c>
      <c r="S1102" s="15">
        <f t="shared" si="59"/>
        <v>218.0990000000001</v>
      </c>
      <c r="T1102" s="15">
        <f t="shared" si="59"/>
        <v>168.19066666666669</v>
      </c>
      <c r="U1102" s="15">
        <f t="shared" si="59"/>
        <v>177.92816666666678</v>
      </c>
      <c r="V1102" s="15">
        <f t="shared" si="59"/>
        <v>148.01683333333341</v>
      </c>
      <c r="W1102" s="15">
        <f t="shared" si="59"/>
        <v>145.8843333333333</v>
      </c>
      <c r="X1102" s="15">
        <f t="shared" si="59"/>
        <v>7.9778333333333347</v>
      </c>
      <c r="Y1102" s="15">
        <f t="shared" si="59"/>
        <v>0</v>
      </c>
      <c r="Z1102" s="15">
        <f t="shared" si="59"/>
        <v>0</v>
      </c>
      <c r="AA1102" s="15">
        <f t="shared" si="59"/>
        <v>0</v>
      </c>
      <c r="AB1102" s="15">
        <f t="shared" si="59"/>
        <v>0</v>
      </c>
      <c r="AC1102" s="249">
        <f>SUM(AC1053:AE1101)</f>
        <v>1409.6421666666668</v>
      </c>
      <c r="AD1102" s="249"/>
      <c r="AE1102" s="249"/>
    </row>
    <row r="1103" spans="2:31" x14ac:dyDescent="0.3">
      <c r="B1103" s="16"/>
      <c r="C1103" s="17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  <c r="AA1103" s="18"/>
    </row>
    <row r="1104" spans="2:31" x14ac:dyDescent="0.3">
      <c r="B1104" s="16"/>
      <c r="C1104" s="17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  <c r="AA1104" s="18"/>
    </row>
    <row r="1105" spans="2:31" x14ac:dyDescent="0.3">
      <c r="B1105" s="8">
        <f>'Resumen-Mensual'!$Y$22</f>
        <v>44582</v>
      </c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153"/>
      <c r="AD1105" s="153"/>
      <c r="AE1105" s="153"/>
    </row>
    <row r="1106" spans="2:31" x14ac:dyDescent="0.3">
      <c r="B1106" s="8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153"/>
      <c r="AD1106" s="153"/>
      <c r="AE1106" s="153"/>
    </row>
    <row r="1107" spans="2:31" x14ac:dyDescent="0.3">
      <c r="B1107" s="9" t="s">
        <v>81</v>
      </c>
      <c r="C1107" s="10"/>
      <c r="D1107" s="10"/>
      <c r="E1107" s="11">
        <v>1</v>
      </c>
      <c r="F1107" s="11">
        <v>2</v>
      </c>
      <c r="G1107" s="11">
        <v>3</v>
      </c>
      <c r="H1107" s="11">
        <v>4</v>
      </c>
      <c r="I1107" s="11">
        <v>5</v>
      </c>
      <c r="J1107" s="11">
        <v>6</v>
      </c>
      <c r="K1107" s="11">
        <v>7</v>
      </c>
      <c r="L1107" s="11">
        <v>8</v>
      </c>
      <c r="M1107" s="11">
        <v>9</v>
      </c>
      <c r="N1107" s="11">
        <v>10</v>
      </c>
      <c r="O1107" s="11">
        <v>11</v>
      </c>
      <c r="P1107" s="11">
        <v>12</v>
      </c>
      <c r="Q1107" s="11">
        <v>13</v>
      </c>
      <c r="R1107" s="11">
        <v>14</v>
      </c>
      <c r="S1107" s="11">
        <v>15</v>
      </c>
      <c r="T1107" s="11">
        <v>16</v>
      </c>
      <c r="U1107" s="11">
        <v>17</v>
      </c>
      <c r="V1107" s="11">
        <v>18</v>
      </c>
      <c r="W1107" s="11">
        <v>19</v>
      </c>
      <c r="X1107" s="11">
        <v>20</v>
      </c>
      <c r="Y1107" s="11">
        <v>21</v>
      </c>
      <c r="Z1107" s="11">
        <v>22</v>
      </c>
      <c r="AA1107" s="11">
        <v>23</v>
      </c>
      <c r="AB1107" s="11">
        <v>24</v>
      </c>
      <c r="AC1107" s="248" t="s">
        <v>2</v>
      </c>
      <c r="AD1107" s="248"/>
      <c r="AE1107" s="248"/>
    </row>
    <row r="1108" spans="2:31" x14ac:dyDescent="0.3">
      <c r="B1108" s="245" t="s">
        <v>37</v>
      </c>
      <c r="C1108" s="245"/>
      <c r="D1108" s="245"/>
      <c r="E1108" s="158">
        <v>0</v>
      </c>
      <c r="F1108" s="159">
        <v>0</v>
      </c>
      <c r="G1108" s="158">
        <v>0</v>
      </c>
      <c r="H1108" s="159">
        <v>0</v>
      </c>
      <c r="I1108" s="158">
        <v>0</v>
      </c>
      <c r="J1108" s="159">
        <v>0</v>
      </c>
      <c r="K1108" s="158">
        <v>0</v>
      </c>
      <c r="L1108" s="159">
        <v>0</v>
      </c>
      <c r="M1108" s="158">
        <v>0</v>
      </c>
      <c r="N1108" s="159">
        <v>0</v>
      </c>
      <c r="O1108" s="158">
        <v>0</v>
      </c>
      <c r="P1108" s="159">
        <v>0</v>
      </c>
      <c r="Q1108" s="158">
        <v>0</v>
      </c>
      <c r="R1108" s="159">
        <v>0</v>
      </c>
      <c r="S1108" s="158">
        <v>0</v>
      </c>
      <c r="T1108" s="159">
        <v>0</v>
      </c>
      <c r="U1108" s="158">
        <v>0</v>
      </c>
      <c r="V1108" s="159">
        <v>0</v>
      </c>
      <c r="W1108" s="158">
        <v>0</v>
      </c>
      <c r="X1108" s="159">
        <v>0</v>
      </c>
      <c r="Y1108" s="158">
        <v>0</v>
      </c>
      <c r="Z1108" s="159">
        <v>0</v>
      </c>
      <c r="AA1108" s="158">
        <v>0</v>
      </c>
      <c r="AB1108" s="159">
        <v>0</v>
      </c>
      <c r="AC1108" s="238">
        <f t="shared" ref="AC1108:AC1140" si="60">SUM(E1108:AB1108)</f>
        <v>0</v>
      </c>
      <c r="AD1108" s="238"/>
      <c r="AE1108" s="238"/>
    </row>
    <row r="1109" spans="2:31" x14ac:dyDescent="0.3">
      <c r="B1109" s="245" t="s">
        <v>38</v>
      </c>
      <c r="C1109" s="245"/>
      <c r="D1109" s="245"/>
      <c r="E1109" s="158">
        <v>0</v>
      </c>
      <c r="F1109" s="159">
        <v>0</v>
      </c>
      <c r="G1109" s="158">
        <v>0</v>
      </c>
      <c r="H1109" s="159">
        <v>0</v>
      </c>
      <c r="I1109" s="158">
        <v>0</v>
      </c>
      <c r="J1109" s="159">
        <v>0</v>
      </c>
      <c r="K1109" s="158">
        <v>0</v>
      </c>
      <c r="L1109" s="159">
        <v>0</v>
      </c>
      <c r="M1109" s="158">
        <v>0</v>
      </c>
      <c r="N1109" s="159">
        <v>0</v>
      </c>
      <c r="O1109" s="158">
        <v>0</v>
      </c>
      <c r="P1109" s="159">
        <v>0</v>
      </c>
      <c r="Q1109" s="158">
        <v>0</v>
      </c>
      <c r="R1109" s="159">
        <v>0</v>
      </c>
      <c r="S1109" s="158">
        <v>0</v>
      </c>
      <c r="T1109" s="159">
        <v>0</v>
      </c>
      <c r="U1109" s="158">
        <v>0</v>
      </c>
      <c r="V1109" s="159">
        <v>0</v>
      </c>
      <c r="W1109" s="158">
        <v>0</v>
      </c>
      <c r="X1109" s="159">
        <v>0</v>
      </c>
      <c r="Y1109" s="158">
        <v>0</v>
      </c>
      <c r="Z1109" s="159">
        <v>0</v>
      </c>
      <c r="AA1109" s="158">
        <v>0</v>
      </c>
      <c r="AB1109" s="159">
        <v>0</v>
      </c>
      <c r="AC1109" s="238">
        <f t="shared" si="60"/>
        <v>0</v>
      </c>
      <c r="AD1109" s="238"/>
      <c r="AE1109" s="238"/>
    </row>
    <row r="1110" spans="2:31" x14ac:dyDescent="0.3">
      <c r="B1110" s="245" t="s">
        <v>39</v>
      </c>
      <c r="C1110" s="245"/>
      <c r="D1110" s="245"/>
      <c r="E1110" s="158">
        <v>0</v>
      </c>
      <c r="F1110" s="159">
        <v>0</v>
      </c>
      <c r="G1110" s="158">
        <v>0</v>
      </c>
      <c r="H1110" s="159">
        <v>0</v>
      </c>
      <c r="I1110" s="158">
        <v>0</v>
      </c>
      <c r="J1110" s="159">
        <v>0</v>
      </c>
      <c r="K1110" s="158">
        <v>0</v>
      </c>
      <c r="L1110" s="159">
        <v>0</v>
      </c>
      <c r="M1110" s="158">
        <v>0</v>
      </c>
      <c r="N1110" s="159">
        <v>0</v>
      </c>
      <c r="O1110" s="158">
        <v>0</v>
      </c>
      <c r="P1110" s="159">
        <v>0</v>
      </c>
      <c r="Q1110" s="158">
        <v>0</v>
      </c>
      <c r="R1110" s="159">
        <v>0</v>
      </c>
      <c r="S1110" s="158">
        <v>0</v>
      </c>
      <c r="T1110" s="159">
        <v>0</v>
      </c>
      <c r="U1110" s="158">
        <v>0</v>
      </c>
      <c r="V1110" s="159">
        <v>0</v>
      </c>
      <c r="W1110" s="158">
        <v>0</v>
      </c>
      <c r="X1110" s="159">
        <v>0</v>
      </c>
      <c r="Y1110" s="158">
        <v>0</v>
      </c>
      <c r="Z1110" s="159">
        <v>0</v>
      </c>
      <c r="AA1110" s="158">
        <v>0</v>
      </c>
      <c r="AB1110" s="159">
        <v>0</v>
      </c>
      <c r="AC1110" s="238">
        <f t="shared" si="60"/>
        <v>0</v>
      </c>
      <c r="AD1110" s="238"/>
      <c r="AE1110" s="238"/>
    </row>
    <row r="1111" spans="2:31" x14ac:dyDescent="0.3">
      <c r="B1111" s="245" t="s">
        <v>40</v>
      </c>
      <c r="C1111" s="245"/>
      <c r="D1111" s="245"/>
      <c r="E1111" s="158">
        <v>0</v>
      </c>
      <c r="F1111" s="159">
        <v>0</v>
      </c>
      <c r="G1111" s="158">
        <v>0</v>
      </c>
      <c r="H1111" s="159">
        <v>0</v>
      </c>
      <c r="I1111" s="158">
        <v>0</v>
      </c>
      <c r="J1111" s="159">
        <v>0</v>
      </c>
      <c r="K1111" s="158">
        <v>0</v>
      </c>
      <c r="L1111" s="159">
        <v>0</v>
      </c>
      <c r="M1111" s="158">
        <v>0</v>
      </c>
      <c r="N1111" s="159">
        <v>0</v>
      </c>
      <c r="O1111" s="158">
        <v>0</v>
      </c>
      <c r="P1111" s="159">
        <v>0</v>
      </c>
      <c r="Q1111" s="158">
        <v>0</v>
      </c>
      <c r="R1111" s="159">
        <v>0</v>
      </c>
      <c r="S1111" s="158">
        <v>0</v>
      </c>
      <c r="T1111" s="159">
        <v>0</v>
      </c>
      <c r="U1111" s="158">
        <v>0</v>
      </c>
      <c r="V1111" s="159">
        <v>0</v>
      </c>
      <c r="W1111" s="158">
        <v>0</v>
      </c>
      <c r="X1111" s="159">
        <v>0</v>
      </c>
      <c r="Y1111" s="158">
        <v>0</v>
      </c>
      <c r="Z1111" s="159">
        <v>0</v>
      </c>
      <c r="AA1111" s="158">
        <v>0</v>
      </c>
      <c r="AB1111" s="159">
        <v>0</v>
      </c>
      <c r="AC1111" s="238">
        <f t="shared" si="60"/>
        <v>0</v>
      </c>
      <c r="AD1111" s="238"/>
      <c r="AE1111" s="238"/>
    </row>
    <row r="1112" spans="2:31" x14ac:dyDescent="0.3">
      <c r="B1112" s="245" t="s">
        <v>41</v>
      </c>
      <c r="C1112" s="245"/>
      <c r="D1112" s="245"/>
      <c r="E1112" s="158">
        <v>0</v>
      </c>
      <c r="F1112" s="159">
        <v>0</v>
      </c>
      <c r="G1112" s="158">
        <v>0</v>
      </c>
      <c r="H1112" s="159">
        <v>0</v>
      </c>
      <c r="I1112" s="158">
        <v>0</v>
      </c>
      <c r="J1112" s="159">
        <v>0</v>
      </c>
      <c r="K1112" s="158">
        <v>0</v>
      </c>
      <c r="L1112" s="159">
        <v>0</v>
      </c>
      <c r="M1112" s="158">
        <v>0</v>
      </c>
      <c r="N1112" s="159">
        <v>0</v>
      </c>
      <c r="O1112" s="158">
        <v>0</v>
      </c>
      <c r="P1112" s="159">
        <v>0</v>
      </c>
      <c r="Q1112" s="158">
        <v>12.556666666666665</v>
      </c>
      <c r="R1112" s="159">
        <v>12.462999999999996</v>
      </c>
      <c r="S1112" s="158">
        <v>9.6464999999999925</v>
      </c>
      <c r="T1112" s="159">
        <v>0</v>
      </c>
      <c r="U1112" s="158">
        <v>5.126666666666666</v>
      </c>
      <c r="V1112" s="159">
        <v>15.738666666666671</v>
      </c>
      <c r="W1112" s="158">
        <v>0.47100000000000031</v>
      </c>
      <c r="X1112" s="159">
        <v>0</v>
      </c>
      <c r="Y1112" s="158">
        <v>0</v>
      </c>
      <c r="Z1112" s="159">
        <v>0</v>
      </c>
      <c r="AA1112" s="158">
        <v>0</v>
      </c>
      <c r="AB1112" s="159">
        <v>0</v>
      </c>
      <c r="AC1112" s="238">
        <f t="shared" si="60"/>
        <v>56.002499999999998</v>
      </c>
      <c r="AD1112" s="238"/>
      <c r="AE1112" s="238"/>
    </row>
    <row r="1113" spans="2:31" x14ac:dyDescent="0.3">
      <c r="B1113" s="245" t="s">
        <v>42</v>
      </c>
      <c r="C1113" s="245"/>
      <c r="D1113" s="245"/>
      <c r="E1113" s="158">
        <v>0</v>
      </c>
      <c r="F1113" s="159">
        <v>0</v>
      </c>
      <c r="G1113" s="158">
        <v>0</v>
      </c>
      <c r="H1113" s="159">
        <v>0</v>
      </c>
      <c r="I1113" s="158">
        <v>0</v>
      </c>
      <c r="J1113" s="159">
        <v>0</v>
      </c>
      <c r="K1113" s="158">
        <v>0</v>
      </c>
      <c r="L1113" s="159">
        <v>0</v>
      </c>
      <c r="M1113" s="158">
        <v>0</v>
      </c>
      <c r="N1113" s="159">
        <v>0</v>
      </c>
      <c r="O1113" s="158">
        <v>0</v>
      </c>
      <c r="P1113" s="159">
        <v>0</v>
      </c>
      <c r="Q1113" s="158">
        <v>0</v>
      </c>
      <c r="R1113" s="159">
        <v>0</v>
      </c>
      <c r="S1113" s="158">
        <v>0</v>
      </c>
      <c r="T1113" s="159">
        <v>0</v>
      </c>
      <c r="U1113" s="158">
        <v>0</v>
      </c>
      <c r="V1113" s="159">
        <v>0</v>
      </c>
      <c r="W1113" s="158">
        <v>3.4166666666666741E-2</v>
      </c>
      <c r="X1113" s="159">
        <v>0</v>
      </c>
      <c r="Y1113" s="158">
        <v>0</v>
      </c>
      <c r="Z1113" s="159">
        <v>0</v>
      </c>
      <c r="AA1113" s="158">
        <v>0</v>
      </c>
      <c r="AB1113" s="159">
        <v>0</v>
      </c>
      <c r="AC1113" s="238">
        <f t="shared" si="60"/>
        <v>3.4166666666666741E-2</v>
      </c>
      <c r="AD1113" s="238"/>
      <c r="AE1113" s="238"/>
    </row>
    <row r="1114" spans="2:31" x14ac:dyDescent="0.3">
      <c r="B1114" s="245" t="s">
        <v>43</v>
      </c>
      <c r="C1114" s="245"/>
      <c r="D1114" s="245"/>
      <c r="E1114" s="158">
        <v>0</v>
      </c>
      <c r="F1114" s="159">
        <v>0</v>
      </c>
      <c r="G1114" s="158">
        <v>0</v>
      </c>
      <c r="H1114" s="159">
        <v>0</v>
      </c>
      <c r="I1114" s="158">
        <v>0</v>
      </c>
      <c r="J1114" s="159">
        <v>0</v>
      </c>
      <c r="K1114" s="158">
        <v>0</v>
      </c>
      <c r="L1114" s="159">
        <v>0</v>
      </c>
      <c r="M1114" s="158">
        <v>0</v>
      </c>
      <c r="N1114" s="159">
        <v>0</v>
      </c>
      <c r="O1114" s="158">
        <v>0</v>
      </c>
      <c r="P1114" s="159">
        <v>0.53850000000000053</v>
      </c>
      <c r="Q1114" s="158">
        <v>11.68199999999999</v>
      </c>
      <c r="R1114" s="159">
        <v>12.366500000000004</v>
      </c>
      <c r="S1114" s="158">
        <v>13.153499999999983</v>
      </c>
      <c r="T1114" s="159">
        <v>12.838000000000024</v>
      </c>
      <c r="U1114" s="158">
        <v>10.824499999999981</v>
      </c>
      <c r="V1114" s="159">
        <v>3.9028333333333358</v>
      </c>
      <c r="W1114" s="158">
        <v>2.4129999999999994</v>
      </c>
      <c r="X1114" s="159">
        <v>0</v>
      </c>
      <c r="Y1114" s="158">
        <v>0</v>
      </c>
      <c r="Z1114" s="159">
        <v>0</v>
      </c>
      <c r="AA1114" s="158">
        <v>0</v>
      </c>
      <c r="AB1114" s="159">
        <v>0</v>
      </c>
      <c r="AC1114" s="238">
        <f t="shared" si="60"/>
        <v>67.718833333333322</v>
      </c>
      <c r="AD1114" s="238"/>
      <c r="AE1114" s="238"/>
    </row>
    <row r="1115" spans="2:31" x14ac:dyDescent="0.3">
      <c r="B1115" s="245" t="s">
        <v>44</v>
      </c>
      <c r="C1115" s="245"/>
      <c r="D1115" s="245"/>
      <c r="E1115" s="158">
        <v>0</v>
      </c>
      <c r="F1115" s="159">
        <v>0</v>
      </c>
      <c r="G1115" s="158">
        <v>0</v>
      </c>
      <c r="H1115" s="159">
        <v>0</v>
      </c>
      <c r="I1115" s="158">
        <v>0</v>
      </c>
      <c r="J1115" s="159">
        <v>0</v>
      </c>
      <c r="K1115" s="158">
        <v>0</v>
      </c>
      <c r="L1115" s="159">
        <v>0</v>
      </c>
      <c r="M1115" s="158">
        <v>0</v>
      </c>
      <c r="N1115" s="159">
        <v>0</v>
      </c>
      <c r="O1115" s="158">
        <v>0</v>
      </c>
      <c r="P1115" s="159">
        <v>0</v>
      </c>
      <c r="Q1115" s="158">
        <v>0</v>
      </c>
      <c r="R1115" s="159">
        <v>0</v>
      </c>
      <c r="S1115" s="158">
        <v>0</v>
      </c>
      <c r="T1115" s="159">
        <v>0</v>
      </c>
      <c r="U1115" s="158">
        <v>0</v>
      </c>
      <c r="V1115" s="159">
        <v>0</v>
      </c>
      <c r="W1115" s="158">
        <v>0</v>
      </c>
      <c r="X1115" s="159">
        <v>0</v>
      </c>
      <c r="Y1115" s="158">
        <v>0</v>
      </c>
      <c r="Z1115" s="159">
        <v>0</v>
      </c>
      <c r="AA1115" s="158">
        <v>0</v>
      </c>
      <c r="AB1115" s="159">
        <v>0</v>
      </c>
      <c r="AC1115" s="238">
        <f t="shared" si="60"/>
        <v>0</v>
      </c>
      <c r="AD1115" s="238"/>
      <c r="AE1115" s="238"/>
    </row>
    <row r="1116" spans="2:31" x14ac:dyDescent="0.3">
      <c r="B1116" s="245" t="s">
        <v>45</v>
      </c>
      <c r="C1116" s="245"/>
      <c r="D1116" s="245"/>
      <c r="E1116" s="158">
        <v>0</v>
      </c>
      <c r="F1116" s="159">
        <v>0</v>
      </c>
      <c r="G1116" s="158">
        <v>0</v>
      </c>
      <c r="H1116" s="159">
        <v>0</v>
      </c>
      <c r="I1116" s="158">
        <v>0</v>
      </c>
      <c r="J1116" s="159">
        <v>0</v>
      </c>
      <c r="K1116" s="158">
        <v>0</v>
      </c>
      <c r="L1116" s="159">
        <v>0</v>
      </c>
      <c r="M1116" s="158">
        <v>0</v>
      </c>
      <c r="N1116" s="159">
        <v>0</v>
      </c>
      <c r="O1116" s="158">
        <v>0</v>
      </c>
      <c r="P1116" s="159">
        <v>0</v>
      </c>
      <c r="Q1116" s="158">
        <v>4.0894999999999957</v>
      </c>
      <c r="R1116" s="159">
        <v>6.1491666666666696</v>
      </c>
      <c r="S1116" s="158">
        <v>0</v>
      </c>
      <c r="T1116" s="159">
        <v>7.4221666666666666</v>
      </c>
      <c r="U1116" s="158">
        <v>3.0399999999999947</v>
      </c>
      <c r="V1116" s="159">
        <v>2.9399999999999977</v>
      </c>
      <c r="W1116" s="158">
        <v>1.8169999999999999</v>
      </c>
      <c r="X1116" s="159">
        <v>0.17583333333333342</v>
      </c>
      <c r="Y1116" s="158">
        <v>0</v>
      </c>
      <c r="Z1116" s="159">
        <v>0</v>
      </c>
      <c r="AA1116" s="158">
        <v>0</v>
      </c>
      <c r="AB1116" s="159">
        <v>0</v>
      </c>
      <c r="AC1116" s="238">
        <f t="shared" si="60"/>
        <v>25.633666666666659</v>
      </c>
      <c r="AD1116" s="238"/>
      <c r="AE1116" s="238"/>
    </row>
    <row r="1117" spans="2:31" x14ac:dyDescent="0.3">
      <c r="B1117" s="245" t="s">
        <v>46</v>
      </c>
      <c r="C1117" s="245"/>
      <c r="D1117" s="245"/>
      <c r="E1117" s="158">
        <v>0</v>
      </c>
      <c r="F1117" s="159">
        <v>0</v>
      </c>
      <c r="G1117" s="158">
        <v>0</v>
      </c>
      <c r="H1117" s="159">
        <v>0</v>
      </c>
      <c r="I1117" s="158">
        <v>0</v>
      </c>
      <c r="J1117" s="159">
        <v>0</v>
      </c>
      <c r="K1117" s="158">
        <v>0</v>
      </c>
      <c r="L1117" s="159">
        <v>0</v>
      </c>
      <c r="M1117" s="158">
        <v>0</v>
      </c>
      <c r="N1117" s="159">
        <v>0</v>
      </c>
      <c r="O1117" s="158">
        <v>0</v>
      </c>
      <c r="P1117" s="159">
        <v>0</v>
      </c>
      <c r="Q1117" s="158">
        <v>14.618833333333338</v>
      </c>
      <c r="R1117" s="159">
        <v>0</v>
      </c>
      <c r="S1117" s="158">
        <v>17.341000000000005</v>
      </c>
      <c r="T1117" s="159">
        <v>14.740166666666665</v>
      </c>
      <c r="U1117" s="158">
        <v>28.224666666666678</v>
      </c>
      <c r="V1117" s="159">
        <v>0</v>
      </c>
      <c r="W1117" s="158">
        <v>0</v>
      </c>
      <c r="X1117" s="159">
        <v>0</v>
      </c>
      <c r="Y1117" s="158">
        <v>0</v>
      </c>
      <c r="Z1117" s="159">
        <v>0</v>
      </c>
      <c r="AA1117" s="158">
        <v>0</v>
      </c>
      <c r="AB1117" s="159">
        <v>0</v>
      </c>
      <c r="AC1117" s="238">
        <f t="shared" si="60"/>
        <v>74.924666666666695</v>
      </c>
      <c r="AD1117" s="238"/>
      <c r="AE1117" s="238"/>
    </row>
    <row r="1118" spans="2:31" x14ac:dyDescent="0.3">
      <c r="B1118" s="245" t="s">
        <v>47</v>
      </c>
      <c r="C1118" s="245"/>
      <c r="D1118" s="245"/>
      <c r="E1118" s="158">
        <v>0</v>
      </c>
      <c r="F1118" s="159">
        <v>0</v>
      </c>
      <c r="G1118" s="158">
        <v>0</v>
      </c>
      <c r="H1118" s="159">
        <v>0</v>
      </c>
      <c r="I1118" s="158">
        <v>0</v>
      </c>
      <c r="J1118" s="159">
        <v>0</v>
      </c>
      <c r="K1118" s="158">
        <v>0</v>
      </c>
      <c r="L1118" s="159">
        <v>0</v>
      </c>
      <c r="M1118" s="158">
        <v>0</v>
      </c>
      <c r="N1118" s="159">
        <v>0</v>
      </c>
      <c r="O1118" s="158">
        <v>0</v>
      </c>
      <c r="P1118" s="159">
        <v>0</v>
      </c>
      <c r="Q1118" s="158">
        <v>0.79149999999999898</v>
      </c>
      <c r="R1118" s="159">
        <v>1.0000000000001563E-2</v>
      </c>
      <c r="S1118" s="158">
        <v>2.1099999999999994</v>
      </c>
      <c r="T1118" s="159">
        <v>0</v>
      </c>
      <c r="U1118" s="158">
        <v>6.2116666666666625</v>
      </c>
      <c r="V1118" s="159">
        <v>4.4491666666666614</v>
      </c>
      <c r="W1118" s="158">
        <v>0</v>
      </c>
      <c r="X1118" s="159">
        <v>0</v>
      </c>
      <c r="Y1118" s="158">
        <v>0</v>
      </c>
      <c r="Z1118" s="159">
        <v>0</v>
      </c>
      <c r="AA1118" s="158">
        <v>0</v>
      </c>
      <c r="AB1118" s="159">
        <v>0</v>
      </c>
      <c r="AC1118" s="238">
        <f t="shared" si="60"/>
        <v>13.572333333333324</v>
      </c>
      <c r="AD1118" s="238"/>
      <c r="AE1118" s="238"/>
    </row>
    <row r="1119" spans="2:31" x14ac:dyDescent="0.3">
      <c r="B1119" s="245" t="s">
        <v>48</v>
      </c>
      <c r="C1119" s="245"/>
      <c r="D1119" s="245"/>
      <c r="E1119" s="158">
        <v>0</v>
      </c>
      <c r="F1119" s="159">
        <v>0</v>
      </c>
      <c r="G1119" s="158">
        <v>0</v>
      </c>
      <c r="H1119" s="159">
        <v>0</v>
      </c>
      <c r="I1119" s="158">
        <v>0</v>
      </c>
      <c r="J1119" s="159">
        <v>0</v>
      </c>
      <c r="K1119" s="158">
        <v>0</v>
      </c>
      <c r="L1119" s="159">
        <v>0</v>
      </c>
      <c r="M1119" s="158">
        <v>0</v>
      </c>
      <c r="N1119" s="159">
        <v>0</v>
      </c>
      <c r="O1119" s="158">
        <v>0</v>
      </c>
      <c r="P1119" s="159">
        <v>0</v>
      </c>
      <c r="Q1119" s="158">
        <v>0.85899999999999976</v>
      </c>
      <c r="R1119" s="159">
        <v>0.24833333333333354</v>
      </c>
      <c r="S1119" s="158">
        <v>2.0900000000000025</v>
      </c>
      <c r="T1119" s="159">
        <v>1.3840000000000012</v>
      </c>
      <c r="U1119" s="158">
        <v>5.8475000000000046</v>
      </c>
      <c r="V1119" s="159">
        <v>4.3000000000000052</v>
      </c>
      <c r="W1119" s="158">
        <v>0</v>
      </c>
      <c r="X1119" s="159">
        <v>0</v>
      </c>
      <c r="Y1119" s="158">
        <v>0</v>
      </c>
      <c r="Z1119" s="159">
        <v>0</v>
      </c>
      <c r="AA1119" s="158">
        <v>0</v>
      </c>
      <c r="AB1119" s="159">
        <v>0</v>
      </c>
      <c r="AC1119" s="238">
        <f t="shared" si="60"/>
        <v>14.728833333333345</v>
      </c>
      <c r="AD1119" s="238"/>
      <c r="AE1119" s="238"/>
    </row>
    <row r="1120" spans="2:31" x14ac:dyDescent="0.3">
      <c r="B1120" s="245" t="s">
        <v>49</v>
      </c>
      <c r="C1120" s="245"/>
      <c r="D1120" s="245"/>
      <c r="E1120" s="158">
        <v>0</v>
      </c>
      <c r="F1120" s="159">
        <v>0</v>
      </c>
      <c r="G1120" s="158">
        <v>0</v>
      </c>
      <c r="H1120" s="159">
        <v>0</v>
      </c>
      <c r="I1120" s="158">
        <v>0</v>
      </c>
      <c r="J1120" s="159">
        <v>0</v>
      </c>
      <c r="K1120" s="158">
        <v>0</v>
      </c>
      <c r="L1120" s="159">
        <v>0</v>
      </c>
      <c r="M1120" s="158">
        <v>0</v>
      </c>
      <c r="N1120" s="159">
        <v>0</v>
      </c>
      <c r="O1120" s="158">
        <v>0</v>
      </c>
      <c r="P1120" s="159">
        <v>0</v>
      </c>
      <c r="Q1120" s="158">
        <v>0</v>
      </c>
      <c r="R1120" s="159">
        <v>0</v>
      </c>
      <c r="S1120" s="158">
        <v>0</v>
      </c>
      <c r="T1120" s="159">
        <v>0</v>
      </c>
      <c r="U1120" s="158">
        <v>0</v>
      </c>
      <c r="V1120" s="159">
        <v>0</v>
      </c>
      <c r="W1120" s="158">
        <v>0</v>
      </c>
      <c r="X1120" s="159">
        <v>0</v>
      </c>
      <c r="Y1120" s="158">
        <v>0</v>
      </c>
      <c r="Z1120" s="159">
        <v>0</v>
      </c>
      <c r="AA1120" s="158">
        <v>0</v>
      </c>
      <c r="AB1120" s="159">
        <v>0</v>
      </c>
      <c r="AC1120" s="238">
        <f t="shared" si="60"/>
        <v>0</v>
      </c>
      <c r="AD1120" s="238"/>
      <c r="AE1120" s="238"/>
    </row>
    <row r="1121" spans="2:31" x14ac:dyDescent="0.3">
      <c r="B1121" s="245" t="s">
        <v>50</v>
      </c>
      <c r="C1121" s="245"/>
      <c r="D1121" s="245"/>
      <c r="E1121" s="158">
        <v>0</v>
      </c>
      <c r="F1121" s="159">
        <v>0</v>
      </c>
      <c r="G1121" s="158">
        <v>0</v>
      </c>
      <c r="H1121" s="159">
        <v>0</v>
      </c>
      <c r="I1121" s="158">
        <v>0</v>
      </c>
      <c r="J1121" s="159">
        <v>0</v>
      </c>
      <c r="K1121" s="158">
        <v>0</v>
      </c>
      <c r="L1121" s="159">
        <v>0</v>
      </c>
      <c r="M1121" s="158">
        <v>0</v>
      </c>
      <c r="N1121" s="159">
        <v>0</v>
      </c>
      <c r="O1121" s="158">
        <v>0</v>
      </c>
      <c r="P1121" s="159">
        <v>1.7678333333333331</v>
      </c>
      <c r="Q1121" s="158">
        <v>0</v>
      </c>
      <c r="R1121" s="159">
        <v>0</v>
      </c>
      <c r="S1121" s="158">
        <v>0</v>
      </c>
      <c r="T1121" s="159">
        <v>0</v>
      </c>
      <c r="U1121" s="158">
        <v>0</v>
      </c>
      <c r="V1121" s="159">
        <v>0</v>
      </c>
      <c r="W1121" s="158">
        <v>0</v>
      </c>
      <c r="X1121" s="159">
        <v>0</v>
      </c>
      <c r="Y1121" s="158">
        <v>0</v>
      </c>
      <c r="Z1121" s="159">
        <v>0</v>
      </c>
      <c r="AA1121" s="158">
        <v>0</v>
      </c>
      <c r="AB1121" s="159">
        <v>0</v>
      </c>
      <c r="AC1121" s="238">
        <f t="shared" si="60"/>
        <v>1.7678333333333331</v>
      </c>
      <c r="AD1121" s="238"/>
      <c r="AE1121" s="238"/>
    </row>
    <row r="1122" spans="2:31" x14ac:dyDescent="0.3">
      <c r="B1122" s="245" t="s">
        <v>97</v>
      </c>
      <c r="C1122" s="245"/>
      <c r="D1122" s="245"/>
      <c r="E1122" s="158">
        <v>0</v>
      </c>
      <c r="F1122" s="159">
        <v>0</v>
      </c>
      <c r="G1122" s="158">
        <v>0</v>
      </c>
      <c r="H1122" s="159">
        <v>0</v>
      </c>
      <c r="I1122" s="158">
        <v>0</v>
      </c>
      <c r="J1122" s="159">
        <v>0</v>
      </c>
      <c r="K1122" s="158">
        <v>0</v>
      </c>
      <c r="L1122" s="159">
        <v>0</v>
      </c>
      <c r="M1122" s="158">
        <v>0</v>
      </c>
      <c r="N1122" s="159">
        <v>0</v>
      </c>
      <c r="O1122" s="158">
        <v>0</v>
      </c>
      <c r="P1122" s="159">
        <v>0</v>
      </c>
      <c r="Q1122" s="158">
        <v>0</v>
      </c>
      <c r="R1122" s="159">
        <v>0</v>
      </c>
      <c r="S1122" s="158">
        <v>0</v>
      </c>
      <c r="T1122" s="159">
        <v>0</v>
      </c>
      <c r="U1122" s="158">
        <v>0</v>
      </c>
      <c r="V1122" s="159">
        <v>0</v>
      </c>
      <c r="W1122" s="158">
        <v>0</v>
      </c>
      <c r="X1122" s="159">
        <v>0</v>
      </c>
      <c r="Y1122" s="158">
        <v>0</v>
      </c>
      <c r="Z1122" s="159">
        <v>0</v>
      </c>
      <c r="AA1122" s="158">
        <v>0</v>
      </c>
      <c r="AB1122" s="159">
        <v>0</v>
      </c>
      <c r="AC1122" s="238">
        <f t="shared" si="60"/>
        <v>0</v>
      </c>
      <c r="AD1122" s="238"/>
      <c r="AE1122" s="238"/>
    </row>
    <row r="1123" spans="2:31" x14ac:dyDescent="0.3">
      <c r="B1123" s="245" t="s">
        <v>51</v>
      </c>
      <c r="C1123" s="245"/>
      <c r="D1123" s="245"/>
      <c r="E1123" s="158">
        <v>0</v>
      </c>
      <c r="F1123" s="159">
        <v>0</v>
      </c>
      <c r="G1123" s="158">
        <v>0</v>
      </c>
      <c r="H1123" s="159">
        <v>0</v>
      </c>
      <c r="I1123" s="158">
        <v>0</v>
      </c>
      <c r="J1123" s="159">
        <v>0</v>
      </c>
      <c r="K1123" s="158">
        <v>0</v>
      </c>
      <c r="L1123" s="159">
        <v>0</v>
      </c>
      <c r="M1123" s="158">
        <v>0</v>
      </c>
      <c r="N1123" s="159">
        <v>0</v>
      </c>
      <c r="O1123" s="158">
        <v>0</v>
      </c>
      <c r="P1123" s="159">
        <v>0</v>
      </c>
      <c r="Q1123" s="158">
        <v>1.1859999999999975</v>
      </c>
      <c r="R1123" s="159">
        <v>3.2971666666666675</v>
      </c>
      <c r="S1123" s="158">
        <v>3.0769999999999977</v>
      </c>
      <c r="T1123" s="159">
        <v>2.1558333333333386</v>
      </c>
      <c r="U1123" s="158">
        <v>0</v>
      </c>
      <c r="V1123" s="159">
        <v>0</v>
      </c>
      <c r="W1123" s="158">
        <v>0</v>
      </c>
      <c r="X1123" s="159">
        <v>0</v>
      </c>
      <c r="Y1123" s="158">
        <v>0</v>
      </c>
      <c r="Z1123" s="159">
        <v>0</v>
      </c>
      <c r="AA1123" s="158">
        <v>0</v>
      </c>
      <c r="AB1123" s="159">
        <v>0</v>
      </c>
      <c r="AC1123" s="238">
        <f t="shared" si="60"/>
        <v>9.7160000000000011</v>
      </c>
      <c r="AD1123" s="238"/>
      <c r="AE1123" s="238"/>
    </row>
    <row r="1124" spans="2:31" x14ac:dyDescent="0.3">
      <c r="B1124" s="245" t="s">
        <v>52</v>
      </c>
      <c r="C1124" s="245"/>
      <c r="D1124" s="245"/>
      <c r="E1124" s="158">
        <v>0</v>
      </c>
      <c r="F1124" s="159">
        <v>0</v>
      </c>
      <c r="G1124" s="158">
        <v>0</v>
      </c>
      <c r="H1124" s="159">
        <v>0</v>
      </c>
      <c r="I1124" s="158">
        <v>0</v>
      </c>
      <c r="J1124" s="159">
        <v>0</v>
      </c>
      <c r="K1124" s="158">
        <v>0</v>
      </c>
      <c r="L1124" s="159">
        <v>0</v>
      </c>
      <c r="M1124" s="158">
        <v>0</v>
      </c>
      <c r="N1124" s="159">
        <v>0</v>
      </c>
      <c r="O1124" s="158">
        <v>0</v>
      </c>
      <c r="P1124" s="159">
        <v>0</v>
      </c>
      <c r="Q1124" s="158">
        <v>0</v>
      </c>
      <c r="R1124" s="159">
        <v>0</v>
      </c>
      <c r="S1124" s="158">
        <v>0</v>
      </c>
      <c r="T1124" s="159">
        <v>0</v>
      </c>
      <c r="U1124" s="158">
        <v>0</v>
      </c>
      <c r="V1124" s="159">
        <v>0</v>
      </c>
      <c r="W1124" s="158">
        <v>0</v>
      </c>
      <c r="X1124" s="159">
        <v>0</v>
      </c>
      <c r="Y1124" s="158">
        <v>0</v>
      </c>
      <c r="Z1124" s="159">
        <v>0</v>
      </c>
      <c r="AA1124" s="158">
        <v>0</v>
      </c>
      <c r="AB1124" s="159">
        <v>0</v>
      </c>
      <c r="AC1124" s="238">
        <f t="shared" si="60"/>
        <v>0</v>
      </c>
      <c r="AD1124" s="238"/>
      <c r="AE1124" s="238"/>
    </row>
    <row r="1125" spans="2:31" x14ac:dyDescent="0.3">
      <c r="B1125" s="245" t="s">
        <v>53</v>
      </c>
      <c r="C1125" s="245"/>
      <c r="D1125" s="245"/>
      <c r="E1125" s="158">
        <v>0</v>
      </c>
      <c r="F1125" s="159">
        <v>0</v>
      </c>
      <c r="G1125" s="158">
        <v>0</v>
      </c>
      <c r="H1125" s="159">
        <v>0</v>
      </c>
      <c r="I1125" s="158">
        <v>0</v>
      </c>
      <c r="J1125" s="159">
        <v>0</v>
      </c>
      <c r="K1125" s="158">
        <v>0</v>
      </c>
      <c r="L1125" s="159">
        <v>0</v>
      </c>
      <c r="M1125" s="158">
        <v>0</v>
      </c>
      <c r="N1125" s="159">
        <v>0</v>
      </c>
      <c r="O1125" s="158">
        <v>0</v>
      </c>
      <c r="P1125" s="159">
        <v>0</v>
      </c>
      <c r="Q1125" s="158">
        <v>0</v>
      </c>
      <c r="R1125" s="159">
        <v>0</v>
      </c>
      <c r="S1125" s="158">
        <v>0</v>
      </c>
      <c r="T1125" s="159">
        <v>0</v>
      </c>
      <c r="U1125" s="158">
        <v>0</v>
      </c>
      <c r="V1125" s="159">
        <v>0</v>
      </c>
      <c r="W1125" s="158">
        <v>0</v>
      </c>
      <c r="X1125" s="159">
        <v>0</v>
      </c>
      <c r="Y1125" s="158">
        <v>0</v>
      </c>
      <c r="Z1125" s="159">
        <v>0</v>
      </c>
      <c r="AA1125" s="158">
        <v>0</v>
      </c>
      <c r="AB1125" s="159">
        <v>0</v>
      </c>
      <c r="AC1125" s="238">
        <f t="shared" si="60"/>
        <v>0</v>
      </c>
      <c r="AD1125" s="238"/>
      <c r="AE1125" s="238"/>
    </row>
    <row r="1126" spans="2:31" x14ac:dyDescent="0.3">
      <c r="B1126" s="245" t="s">
        <v>54</v>
      </c>
      <c r="C1126" s="245"/>
      <c r="D1126" s="245"/>
      <c r="E1126" s="158">
        <v>0</v>
      </c>
      <c r="F1126" s="159">
        <v>0</v>
      </c>
      <c r="G1126" s="158">
        <v>0</v>
      </c>
      <c r="H1126" s="159">
        <v>0</v>
      </c>
      <c r="I1126" s="158">
        <v>0</v>
      </c>
      <c r="J1126" s="159">
        <v>0</v>
      </c>
      <c r="K1126" s="158">
        <v>0</v>
      </c>
      <c r="L1126" s="159">
        <v>0</v>
      </c>
      <c r="M1126" s="158">
        <v>0</v>
      </c>
      <c r="N1126" s="159">
        <v>0</v>
      </c>
      <c r="O1126" s="158">
        <v>0</v>
      </c>
      <c r="P1126" s="159">
        <v>0</v>
      </c>
      <c r="Q1126" s="158">
        <v>0.35049999999999859</v>
      </c>
      <c r="R1126" s="159">
        <v>3.158666666666667</v>
      </c>
      <c r="S1126" s="158">
        <v>4.005333333333339</v>
      </c>
      <c r="T1126" s="159">
        <v>4.3413333333333348</v>
      </c>
      <c r="U1126" s="158">
        <v>5.3363333333333394</v>
      </c>
      <c r="V1126" s="159">
        <v>3.9531666666666641</v>
      </c>
      <c r="W1126" s="158">
        <v>0.98950000000000027</v>
      </c>
      <c r="X1126" s="159">
        <v>0</v>
      </c>
      <c r="Y1126" s="158">
        <v>0</v>
      </c>
      <c r="Z1126" s="159">
        <v>0</v>
      </c>
      <c r="AA1126" s="158">
        <v>0</v>
      </c>
      <c r="AB1126" s="159">
        <v>0</v>
      </c>
      <c r="AC1126" s="238">
        <f t="shared" si="60"/>
        <v>22.134833333333344</v>
      </c>
      <c r="AD1126" s="238"/>
      <c r="AE1126" s="238"/>
    </row>
    <row r="1127" spans="2:31" x14ac:dyDescent="0.3">
      <c r="B1127" s="245" t="s">
        <v>55</v>
      </c>
      <c r="C1127" s="245"/>
      <c r="D1127" s="245"/>
      <c r="E1127" s="158">
        <v>0</v>
      </c>
      <c r="F1127" s="159">
        <v>0</v>
      </c>
      <c r="G1127" s="158">
        <v>0</v>
      </c>
      <c r="H1127" s="159">
        <v>0</v>
      </c>
      <c r="I1127" s="158">
        <v>0</v>
      </c>
      <c r="J1127" s="159">
        <v>0</v>
      </c>
      <c r="K1127" s="158">
        <v>0</v>
      </c>
      <c r="L1127" s="159">
        <v>0</v>
      </c>
      <c r="M1127" s="158">
        <v>0</v>
      </c>
      <c r="N1127" s="159">
        <v>0</v>
      </c>
      <c r="O1127" s="158">
        <v>0</v>
      </c>
      <c r="P1127" s="159">
        <v>0</v>
      </c>
      <c r="Q1127" s="158">
        <v>0</v>
      </c>
      <c r="R1127" s="159">
        <v>0</v>
      </c>
      <c r="S1127" s="158">
        <v>0</v>
      </c>
      <c r="T1127" s="159">
        <v>0</v>
      </c>
      <c r="U1127" s="158">
        <v>0</v>
      </c>
      <c r="V1127" s="159">
        <v>0</v>
      </c>
      <c r="W1127" s="158">
        <v>3.2999999999999828E-2</v>
      </c>
      <c r="X1127" s="159">
        <v>0</v>
      </c>
      <c r="Y1127" s="158">
        <v>0</v>
      </c>
      <c r="Z1127" s="159">
        <v>0</v>
      </c>
      <c r="AA1127" s="158">
        <v>0</v>
      </c>
      <c r="AB1127" s="159">
        <v>0</v>
      </c>
      <c r="AC1127" s="238">
        <f t="shared" si="60"/>
        <v>3.2999999999999828E-2</v>
      </c>
      <c r="AD1127" s="238"/>
      <c r="AE1127" s="238"/>
    </row>
    <row r="1128" spans="2:31" x14ac:dyDescent="0.3">
      <c r="B1128" s="245" t="s">
        <v>56</v>
      </c>
      <c r="C1128" s="245"/>
      <c r="D1128" s="245"/>
      <c r="E1128" s="158">
        <v>0</v>
      </c>
      <c r="F1128" s="159">
        <v>0</v>
      </c>
      <c r="G1128" s="158">
        <v>0</v>
      </c>
      <c r="H1128" s="159">
        <v>0</v>
      </c>
      <c r="I1128" s="158">
        <v>0</v>
      </c>
      <c r="J1128" s="159">
        <v>0</v>
      </c>
      <c r="K1128" s="158">
        <v>0</v>
      </c>
      <c r="L1128" s="159">
        <v>0</v>
      </c>
      <c r="M1128" s="158">
        <v>0</v>
      </c>
      <c r="N1128" s="159">
        <v>0</v>
      </c>
      <c r="O1128" s="158">
        <v>0</v>
      </c>
      <c r="P1128" s="159">
        <v>0</v>
      </c>
      <c r="Q1128" s="158">
        <v>0</v>
      </c>
      <c r="R1128" s="159">
        <v>0</v>
      </c>
      <c r="S1128" s="158">
        <v>0</v>
      </c>
      <c r="T1128" s="159">
        <v>0</v>
      </c>
      <c r="U1128" s="158">
        <v>1.4804999999999997</v>
      </c>
      <c r="V1128" s="159">
        <v>0.36066666666666669</v>
      </c>
      <c r="W1128" s="158">
        <v>5.4011666666666676</v>
      </c>
      <c r="X1128" s="159">
        <v>0.59833333333333316</v>
      </c>
      <c r="Y1128" s="158">
        <v>0</v>
      </c>
      <c r="Z1128" s="159">
        <v>0</v>
      </c>
      <c r="AA1128" s="158">
        <v>0</v>
      </c>
      <c r="AB1128" s="159">
        <v>0</v>
      </c>
      <c r="AC1128" s="238">
        <f t="shared" si="60"/>
        <v>7.8406666666666673</v>
      </c>
      <c r="AD1128" s="238"/>
      <c r="AE1128" s="238"/>
    </row>
    <row r="1129" spans="2:31" x14ac:dyDescent="0.3">
      <c r="B1129" s="245" t="s">
        <v>94</v>
      </c>
      <c r="C1129" s="245"/>
      <c r="D1129" s="245"/>
      <c r="E1129" s="158">
        <v>0</v>
      </c>
      <c r="F1129" s="159">
        <v>0</v>
      </c>
      <c r="G1129" s="158">
        <v>0</v>
      </c>
      <c r="H1129" s="159">
        <v>0</v>
      </c>
      <c r="I1129" s="158">
        <v>0</v>
      </c>
      <c r="J1129" s="159">
        <v>0</v>
      </c>
      <c r="K1129" s="158">
        <v>0</v>
      </c>
      <c r="L1129" s="159">
        <v>0</v>
      </c>
      <c r="M1129" s="158">
        <v>0</v>
      </c>
      <c r="N1129" s="159">
        <v>0</v>
      </c>
      <c r="O1129" s="158">
        <v>0</v>
      </c>
      <c r="P1129" s="159">
        <v>0</v>
      </c>
      <c r="Q1129" s="158">
        <v>0</v>
      </c>
      <c r="R1129" s="159">
        <v>0</v>
      </c>
      <c r="S1129" s="158">
        <v>0</v>
      </c>
      <c r="T1129" s="159">
        <v>0</v>
      </c>
      <c r="U1129" s="158">
        <v>0</v>
      </c>
      <c r="V1129" s="159">
        <v>0</v>
      </c>
      <c r="W1129" s="158">
        <v>0</v>
      </c>
      <c r="X1129" s="159">
        <v>0</v>
      </c>
      <c r="Y1129" s="158">
        <v>0</v>
      </c>
      <c r="Z1129" s="159">
        <v>0</v>
      </c>
      <c r="AA1129" s="158">
        <v>0</v>
      </c>
      <c r="AB1129" s="159">
        <v>0</v>
      </c>
      <c r="AC1129" s="238">
        <f t="shared" si="60"/>
        <v>0</v>
      </c>
      <c r="AD1129" s="238"/>
      <c r="AE1129" s="238"/>
    </row>
    <row r="1130" spans="2:31" x14ac:dyDescent="0.3">
      <c r="B1130" s="245" t="s">
        <v>57</v>
      </c>
      <c r="C1130" s="245"/>
      <c r="D1130" s="245"/>
      <c r="E1130" s="158">
        <v>0</v>
      </c>
      <c r="F1130" s="159">
        <v>0</v>
      </c>
      <c r="G1130" s="158">
        <v>0</v>
      </c>
      <c r="H1130" s="159">
        <v>0</v>
      </c>
      <c r="I1130" s="158">
        <v>0</v>
      </c>
      <c r="J1130" s="159">
        <v>0</v>
      </c>
      <c r="K1130" s="158">
        <v>0</v>
      </c>
      <c r="L1130" s="159">
        <v>0</v>
      </c>
      <c r="M1130" s="158">
        <v>0</v>
      </c>
      <c r="N1130" s="159">
        <v>0</v>
      </c>
      <c r="O1130" s="158">
        <v>0</v>
      </c>
      <c r="P1130" s="159">
        <v>0</v>
      </c>
      <c r="Q1130" s="158">
        <v>0.3425000000000008</v>
      </c>
      <c r="R1130" s="159">
        <v>0.34249999999999953</v>
      </c>
      <c r="S1130" s="158">
        <v>0</v>
      </c>
      <c r="T1130" s="159">
        <v>0</v>
      </c>
      <c r="U1130" s="158">
        <v>0</v>
      </c>
      <c r="V1130" s="159">
        <v>0</v>
      </c>
      <c r="W1130" s="158">
        <v>6.6666666666665244E-4</v>
      </c>
      <c r="X1130" s="159">
        <v>0</v>
      </c>
      <c r="Y1130" s="158">
        <v>0</v>
      </c>
      <c r="Z1130" s="159">
        <v>0</v>
      </c>
      <c r="AA1130" s="158">
        <v>0</v>
      </c>
      <c r="AB1130" s="159">
        <v>0</v>
      </c>
      <c r="AC1130" s="238">
        <f t="shared" si="60"/>
        <v>0.68566666666666698</v>
      </c>
      <c r="AD1130" s="238"/>
      <c r="AE1130" s="238"/>
    </row>
    <row r="1131" spans="2:31" x14ac:dyDescent="0.3">
      <c r="B1131" s="245" t="s">
        <v>58</v>
      </c>
      <c r="C1131" s="245"/>
      <c r="D1131" s="245"/>
      <c r="E1131" s="158">
        <v>0</v>
      </c>
      <c r="F1131" s="159">
        <v>0</v>
      </c>
      <c r="G1131" s="158">
        <v>0</v>
      </c>
      <c r="H1131" s="159">
        <v>0</v>
      </c>
      <c r="I1131" s="158">
        <v>0</v>
      </c>
      <c r="J1131" s="159">
        <v>0</v>
      </c>
      <c r="K1131" s="158">
        <v>0</v>
      </c>
      <c r="L1131" s="159">
        <v>0</v>
      </c>
      <c r="M1131" s="158">
        <v>0</v>
      </c>
      <c r="N1131" s="159">
        <v>0</v>
      </c>
      <c r="O1131" s="158">
        <v>0</v>
      </c>
      <c r="P1131" s="159">
        <v>0</v>
      </c>
      <c r="Q1131" s="158">
        <v>0</v>
      </c>
      <c r="R1131" s="159">
        <v>0</v>
      </c>
      <c r="S1131" s="158">
        <v>0</v>
      </c>
      <c r="T1131" s="159">
        <v>0</v>
      </c>
      <c r="U1131" s="158">
        <v>0</v>
      </c>
      <c r="V1131" s="159">
        <v>0</v>
      </c>
      <c r="W1131" s="158">
        <v>0</v>
      </c>
      <c r="X1131" s="159">
        <v>0</v>
      </c>
      <c r="Y1131" s="158">
        <v>0</v>
      </c>
      <c r="Z1131" s="159">
        <v>0</v>
      </c>
      <c r="AA1131" s="158">
        <v>0</v>
      </c>
      <c r="AB1131" s="159">
        <v>0</v>
      </c>
      <c r="AC1131" s="238">
        <f t="shared" si="60"/>
        <v>0</v>
      </c>
      <c r="AD1131" s="238"/>
      <c r="AE1131" s="238"/>
    </row>
    <row r="1132" spans="2:31" x14ac:dyDescent="0.3">
      <c r="B1132" s="245" t="s">
        <v>95</v>
      </c>
      <c r="C1132" s="245"/>
      <c r="D1132" s="245"/>
      <c r="E1132" s="158">
        <v>0</v>
      </c>
      <c r="F1132" s="159">
        <v>0</v>
      </c>
      <c r="G1132" s="158">
        <v>0</v>
      </c>
      <c r="H1132" s="159">
        <v>0</v>
      </c>
      <c r="I1132" s="158">
        <v>0</v>
      </c>
      <c r="J1132" s="159">
        <v>0</v>
      </c>
      <c r="K1132" s="158">
        <v>0</v>
      </c>
      <c r="L1132" s="159">
        <v>0</v>
      </c>
      <c r="M1132" s="158">
        <v>0</v>
      </c>
      <c r="N1132" s="159">
        <v>0</v>
      </c>
      <c r="O1132" s="158">
        <v>0</v>
      </c>
      <c r="P1132" s="159">
        <v>0</v>
      </c>
      <c r="Q1132" s="158">
        <v>0</v>
      </c>
      <c r="R1132" s="159">
        <v>0</v>
      </c>
      <c r="S1132" s="158">
        <v>0</v>
      </c>
      <c r="T1132" s="159">
        <v>0</v>
      </c>
      <c r="U1132" s="158">
        <v>0</v>
      </c>
      <c r="V1132" s="159">
        <v>0</v>
      </c>
      <c r="W1132" s="158">
        <v>0</v>
      </c>
      <c r="X1132" s="159">
        <v>0</v>
      </c>
      <c r="Y1132" s="158">
        <v>0</v>
      </c>
      <c r="Z1132" s="159">
        <v>0</v>
      </c>
      <c r="AA1132" s="158">
        <v>0</v>
      </c>
      <c r="AB1132" s="159">
        <v>0</v>
      </c>
      <c r="AC1132" s="238">
        <f t="shared" si="60"/>
        <v>0</v>
      </c>
      <c r="AD1132" s="238"/>
      <c r="AE1132" s="238"/>
    </row>
    <row r="1133" spans="2:31" x14ac:dyDescent="0.3">
      <c r="B1133" s="245" t="s">
        <v>59</v>
      </c>
      <c r="C1133" s="245"/>
      <c r="D1133" s="245"/>
      <c r="E1133" s="158">
        <v>0</v>
      </c>
      <c r="F1133" s="159">
        <v>0</v>
      </c>
      <c r="G1133" s="158">
        <v>0</v>
      </c>
      <c r="H1133" s="159">
        <v>0</v>
      </c>
      <c r="I1133" s="158">
        <v>0</v>
      </c>
      <c r="J1133" s="159">
        <v>0</v>
      </c>
      <c r="K1133" s="158">
        <v>0</v>
      </c>
      <c r="L1133" s="159">
        <v>0</v>
      </c>
      <c r="M1133" s="158">
        <v>0</v>
      </c>
      <c r="N1133" s="159">
        <v>0</v>
      </c>
      <c r="O1133" s="158">
        <v>0</v>
      </c>
      <c r="P1133" s="159">
        <v>0</v>
      </c>
      <c r="Q1133" s="158">
        <v>7.5316666666666663</v>
      </c>
      <c r="R1133" s="159">
        <v>15.622333333333328</v>
      </c>
      <c r="S1133" s="158">
        <v>16.67283333333333</v>
      </c>
      <c r="T1133" s="159">
        <v>0</v>
      </c>
      <c r="U1133" s="158">
        <v>0</v>
      </c>
      <c r="V1133" s="159">
        <v>15.644833333333334</v>
      </c>
      <c r="W1133" s="158">
        <v>8.8150000000000048</v>
      </c>
      <c r="X1133" s="159">
        <v>0</v>
      </c>
      <c r="Y1133" s="158">
        <v>0</v>
      </c>
      <c r="Z1133" s="159">
        <v>0</v>
      </c>
      <c r="AA1133" s="158">
        <v>0</v>
      </c>
      <c r="AB1133" s="159">
        <v>0</v>
      </c>
      <c r="AC1133" s="238">
        <f t="shared" si="60"/>
        <v>64.286666666666662</v>
      </c>
      <c r="AD1133" s="238"/>
      <c r="AE1133" s="238"/>
    </row>
    <row r="1134" spans="2:31" x14ac:dyDescent="0.3">
      <c r="B1134" s="245" t="s">
        <v>60</v>
      </c>
      <c r="C1134" s="245"/>
      <c r="D1134" s="245"/>
      <c r="E1134" s="158">
        <v>0</v>
      </c>
      <c r="F1134" s="159">
        <v>0</v>
      </c>
      <c r="G1134" s="158">
        <v>0</v>
      </c>
      <c r="H1134" s="159">
        <v>0</v>
      </c>
      <c r="I1134" s="158">
        <v>0</v>
      </c>
      <c r="J1134" s="159">
        <v>0</v>
      </c>
      <c r="K1134" s="158">
        <v>0</v>
      </c>
      <c r="L1134" s="159">
        <v>0</v>
      </c>
      <c r="M1134" s="158">
        <v>0</v>
      </c>
      <c r="N1134" s="159">
        <v>0</v>
      </c>
      <c r="O1134" s="158">
        <v>0</v>
      </c>
      <c r="P1134" s="159">
        <v>0</v>
      </c>
      <c r="Q1134" s="158">
        <v>0</v>
      </c>
      <c r="R1134" s="159">
        <v>0</v>
      </c>
      <c r="S1134" s="158">
        <v>0</v>
      </c>
      <c r="T1134" s="159">
        <v>0</v>
      </c>
      <c r="U1134" s="158">
        <v>0</v>
      </c>
      <c r="V1134" s="159">
        <v>7.1833333333333138E-2</v>
      </c>
      <c r="W1134" s="158">
        <v>0</v>
      </c>
      <c r="X1134" s="159">
        <v>0</v>
      </c>
      <c r="Y1134" s="158">
        <v>0</v>
      </c>
      <c r="Z1134" s="159">
        <v>0</v>
      </c>
      <c r="AA1134" s="158">
        <v>0</v>
      </c>
      <c r="AB1134" s="159">
        <v>0</v>
      </c>
      <c r="AC1134" s="238">
        <f t="shared" si="60"/>
        <v>7.1833333333333138E-2</v>
      </c>
      <c r="AD1134" s="238"/>
      <c r="AE1134" s="238"/>
    </row>
    <row r="1135" spans="2:31" x14ac:dyDescent="0.3">
      <c r="B1135" s="245" t="s">
        <v>61</v>
      </c>
      <c r="C1135" s="245"/>
      <c r="D1135" s="245"/>
      <c r="E1135" s="158">
        <v>0</v>
      </c>
      <c r="F1135" s="159">
        <v>0</v>
      </c>
      <c r="G1135" s="158">
        <v>0</v>
      </c>
      <c r="H1135" s="159">
        <v>0</v>
      </c>
      <c r="I1135" s="158">
        <v>0</v>
      </c>
      <c r="J1135" s="159">
        <v>0</v>
      </c>
      <c r="K1135" s="158">
        <v>0</v>
      </c>
      <c r="L1135" s="159">
        <v>0</v>
      </c>
      <c r="M1135" s="158">
        <v>0</v>
      </c>
      <c r="N1135" s="159">
        <v>0</v>
      </c>
      <c r="O1135" s="158">
        <v>0</v>
      </c>
      <c r="P1135" s="159">
        <v>0</v>
      </c>
      <c r="Q1135" s="158">
        <v>0</v>
      </c>
      <c r="R1135" s="159">
        <v>0</v>
      </c>
      <c r="S1135" s="158">
        <v>0</v>
      </c>
      <c r="T1135" s="159">
        <v>0</v>
      </c>
      <c r="U1135" s="158">
        <v>0</v>
      </c>
      <c r="V1135" s="159">
        <v>0</v>
      </c>
      <c r="W1135" s="158">
        <v>0.4926666666666672</v>
      </c>
      <c r="X1135" s="159">
        <v>0</v>
      </c>
      <c r="Y1135" s="158">
        <v>0</v>
      </c>
      <c r="Z1135" s="159">
        <v>0</v>
      </c>
      <c r="AA1135" s="158">
        <v>0</v>
      </c>
      <c r="AB1135" s="159">
        <v>0</v>
      </c>
      <c r="AC1135" s="238">
        <f t="shared" si="60"/>
        <v>0.4926666666666672</v>
      </c>
      <c r="AD1135" s="238"/>
      <c r="AE1135" s="238"/>
    </row>
    <row r="1136" spans="2:31" x14ac:dyDescent="0.3">
      <c r="B1136" s="245" t="s">
        <v>62</v>
      </c>
      <c r="C1136" s="245"/>
      <c r="D1136" s="245"/>
      <c r="E1136" s="158">
        <v>0</v>
      </c>
      <c r="F1136" s="159">
        <v>0</v>
      </c>
      <c r="G1136" s="158">
        <v>0</v>
      </c>
      <c r="H1136" s="159">
        <v>0</v>
      </c>
      <c r="I1136" s="158">
        <v>0</v>
      </c>
      <c r="J1136" s="159">
        <v>0</v>
      </c>
      <c r="K1136" s="158">
        <v>0</v>
      </c>
      <c r="L1136" s="159">
        <v>0</v>
      </c>
      <c r="M1136" s="158">
        <v>0</v>
      </c>
      <c r="N1136" s="159">
        <v>0</v>
      </c>
      <c r="O1136" s="158">
        <v>0</v>
      </c>
      <c r="P1136" s="159">
        <v>0</v>
      </c>
      <c r="Q1136" s="158">
        <v>0</v>
      </c>
      <c r="R1136" s="159">
        <v>0</v>
      </c>
      <c r="S1136" s="158">
        <v>0</v>
      </c>
      <c r="T1136" s="159">
        <v>0</v>
      </c>
      <c r="U1136" s="158">
        <v>0</v>
      </c>
      <c r="V1136" s="159">
        <v>0</v>
      </c>
      <c r="W1136" s="158">
        <v>0</v>
      </c>
      <c r="X1136" s="159">
        <v>0</v>
      </c>
      <c r="Y1136" s="158">
        <v>0</v>
      </c>
      <c r="Z1136" s="159">
        <v>0</v>
      </c>
      <c r="AA1136" s="158">
        <v>0</v>
      </c>
      <c r="AB1136" s="159">
        <v>0</v>
      </c>
      <c r="AC1136" s="238">
        <f t="shared" si="60"/>
        <v>0</v>
      </c>
      <c r="AD1136" s="238"/>
      <c r="AE1136" s="238"/>
    </row>
    <row r="1137" spans="2:31" x14ac:dyDescent="0.3">
      <c r="B1137" s="245" t="s">
        <v>63</v>
      </c>
      <c r="C1137" s="245"/>
      <c r="D1137" s="245"/>
      <c r="E1137" s="158">
        <v>0</v>
      </c>
      <c r="F1137" s="159">
        <v>0</v>
      </c>
      <c r="G1137" s="158">
        <v>0</v>
      </c>
      <c r="H1137" s="159">
        <v>0</v>
      </c>
      <c r="I1137" s="158">
        <v>0</v>
      </c>
      <c r="J1137" s="159">
        <v>0</v>
      </c>
      <c r="K1137" s="158">
        <v>0</v>
      </c>
      <c r="L1137" s="159">
        <v>0</v>
      </c>
      <c r="M1137" s="158">
        <v>0</v>
      </c>
      <c r="N1137" s="159">
        <v>0</v>
      </c>
      <c r="O1137" s="158">
        <v>0</v>
      </c>
      <c r="P1137" s="159">
        <v>0</v>
      </c>
      <c r="Q1137" s="158">
        <v>0.25866666666665927</v>
      </c>
      <c r="R1137" s="159">
        <v>0.73866666666665382</v>
      </c>
      <c r="S1137" s="158">
        <v>0.63566666666665317</v>
      </c>
      <c r="T1137" s="159">
        <v>0</v>
      </c>
      <c r="U1137" s="158">
        <v>0</v>
      </c>
      <c r="V1137" s="159">
        <v>5.5333333333338904E-2</v>
      </c>
      <c r="W1137" s="158">
        <v>1.2519999999999987</v>
      </c>
      <c r="X1137" s="159">
        <v>0</v>
      </c>
      <c r="Y1137" s="158">
        <v>0</v>
      </c>
      <c r="Z1137" s="159">
        <v>0</v>
      </c>
      <c r="AA1137" s="158">
        <v>0</v>
      </c>
      <c r="AB1137" s="159">
        <v>0</v>
      </c>
      <c r="AC1137" s="238">
        <f t="shared" si="60"/>
        <v>2.9403333333333039</v>
      </c>
      <c r="AD1137" s="238"/>
      <c r="AE1137" s="238"/>
    </row>
    <row r="1138" spans="2:31" x14ac:dyDescent="0.3">
      <c r="B1138" s="245" t="s">
        <v>64</v>
      </c>
      <c r="C1138" s="245"/>
      <c r="D1138" s="245"/>
      <c r="E1138" s="158">
        <v>0</v>
      </c>
      <c r="F1138" s="159">
        <v>0</v>
      </c>
      <c r="G1138" s="158">
        <v>0</v>
      </c>
      <c r="H1138" s="159">
        <v>0</v>
      </c>
      <c r="I1138" s="158">
        <v>0</v>
      </c>
      <c r="J1138" s="159">
        <v>0</v>
      </c>
      <c r="K1138" s="158">
        <v>0</v>
      </c>
      <c r="L1138" s="159">
        <v>0</v>
      </c>
      <c r="M1138" s="158">
        <v>0</v>
      </c>
      <c r="N1138" s="159">
        <v>0</v>
      </c>
      <c r="O1138" s="158">
        <v>0</v>
      </c>
      <c r="P1138" s="159">
        <v>0</v>
      </c>
      <c r="Q1138" s="158">
        <v>0</v>
      </c>
      <c r="R1138" s="159">
        <v>0</v>
      </c>
      <c r="S1138" s="158">
        <v>0</v>
      </c>
      <c r="T1138" s="159">
        <v>0.81133333333333302</v>
      </c>
      <c r="U1138" s="158">
        <v>1.7499999999999973</v>
      </c>
      <c r="V1138" s="159">
        <v>0.96983333333333366</v>
      </c>
      <c r="W1138" s="158">
        <v>1.0181666666666667</v>
      </c>
      <c r="X1138" s="159">
        <v>0</v>
      </c>
      <c r="Y1138" s="158">
        <v>0</v>
      </c>
      <c r="Z1138" s="159">
        <v>0</v>
      </c>
      <c r="AA1138" s="158">
        <v>0</v>
      </c>
      <c r="AB1138" s="159">
        <v>0</v>
      </c>
      <c r="AC1138" s="238">
        <f t="shared" si="60"/>
        <v>4.5493333333333306</v>
      </c>
      <c r="AD1138" s="238"/>
      <c r="AE1138" s="238"/>
    </row>
    <row r="1139" spans="2:31" x14ac:dyDescent="0.3">
      <c r="B1139" s="245" t="s">
        <v>96</v>
      </c>
      <c r="C1139" s="245"/>
      <c r="D1139" s="245"/>
      <c r="E1139" s="158">
        <v>0</v>
      </c>
      <c r="F1139" s="159">
        <v>0</v>
      </c>
      <c r="G1139" s="158">
        <v>0</v>
      </c>
      <c r="H1139" s="159">
        <v>0</v>
      </c>
      <c r="I1139" s="158">
        <v>0</v>
      </c>
      <c r="J1139" s="159">
        <v>0</v>
      </c>
      <c r="K1139" s="158">
        <v>0</v>
      </c>
      <c r="L1139" s="159">
        <v>0</v>
      </c>
      <c r="M1139" s="158">
        <v>0</v>
      </c>
      <c r="N1139" s="159">
        <v>0</v>
      </c>
      <c r="O1139" s="158">
        <v>0</v>
      </c>
      <c r="P1139" s="159">
        <v>0</v>
      </c>
      <c r="Q1139" s="158">
        <v>0</v>
      </c>
      <c r="R1139" s="159">
        <v>0</v>
      </c>
      <c r="S1139" s="158">
        <v>0</v>
      </c>
      <c r="T1139" s="159">
        <v>0</v>
      </c>
      <c r="U1139" s="158">
        <v>0</v>
      </c>
      <c r="V1139" s="159">
        <v>0</v>
      </c>
      <c r="W1139" s="158">
        <v>0</v>
      </c>
      <c r="X1139" s="159">
        <v>0</v>
      </c>
      <c r="Y1139" s="158">
        <v>0</v>
      </c>
      <c r="Z1139" s="159">
        <v>0</v>
      </c>
      <c r="AA1139" s="158">
        <v>0</v>
      </c>
      <c r="AB1139" s="159">
        <v>0</v>
      </c>
      <c r="AC1139" s="238">
        <f t="shared" si="60"/>
        <v>0</v>
      </c>
      <c r="AD1139" s="238"/>
      <c r="AE1139" s="238"/>
    </row>
    <row r="1140" spans="2:31" x14ac:dyDescent="0.3">
      <c r="B1140" s="245" t="s">
        <v>65</v>
      </c>
      <c r="C1140" s="245"/>
      <c r="D1140" s="245"/>
      <c r="E1140" s="158">
        <v>0</v>
      </c>
      <c r="F1140" s="159">
        <v>0</v>
      </c>
      <c r="G1140" s="158">
        <v>0</v>
      </c>
      <c r="H1140" s="159">
        <v>0</v>
      </c>
      <c r="I1140" s="158">
        <v>0</v>
      </c>
      <c r="J1140" s="159">
        <v>0</v>
      </c>
      <c r="K1140" s="158">
        <v>0</v>
      </c>
      <c r="L1140" s="159">
        <v>0</v>
      </c>
      <c r="M1140" s="158">
        <v>0</v>
      </c>
      <c r="N1140" s="159">
        <v>0</v>
      </c>
      <c r="O1140" s="158">
        <v>0</v>
      </c>
      <c r="P1140" s="159">
        <v>0</v>
      </c>
      <c r="Q1140" s="158">
        <v>9.5999999999998434E-2</v>
      </c>
      <c r="R1140" s="159">
        <v>0.41683333333333317</v>
      </c>
      <c r="S1140" s="158">
        <v>0.52616666666666778</v>
      </c>
      <c r="T1140" s="159">
        <v>0.41816666666666552</v>
      </c>
      <c r="U1140" s="158">
        <v>0</v>
      </c>
      <c r="V1140" s="159">
        <v>3.3333333333332622E-4</v>
      </c>
      <c r="W1140" s="158">
        <v>1.1608333333333334</v>
      </c>
      <c r="X1140" s="159">
        <v>0</v>
      </c>
      <c r="Y1140" s="158">
        <v>0</v>
      </c>
      <c r="Z1140" s="159">
        <v>0</v>
      </c>
      <c r="AA1140" s="158">
        <v>0</v>
      </c>
      <c r="AB1140" s="159">
        <v>0</v>
      </c>
      <c r="AC1140" s="238">
        <f t="shared" si="60"/>
        <v>2.6183333333333314</v>
      </c>
      <c r="AD1140" s="238"/>
      <c r="AE1140" s="238"/>
    </row>
    <row r="1141" spans="2:31" x14ac:dyDescent="0.3">
      <c r="B1141" s="245" t="s">
        <v>66</v>
      </c>
      <c r="C1141" s="245"/>
      <c r="D1141" s="245"/>
      <c r="E1141" s="158">
        <v>0</v>
      </c>
      <c r="F1141" s="159">
        <v>0</v>
      </c>
      <c r="G1141" s="158">
        <v>0</v>
      </c>
      <c r="H1141" s="159">
        <v>0</v>
      </c>
      <c r="I1141" s="158">
        <v>0</v>
      </c>
      <c r="J1141" s="159">
        <v>0</v>
      </c>
      <c r="K1141" s="158">
        <v>0</v>
      </c>
      <c r="L1141" s="159">
        <v>0</v>
      </c>
      <c r="M1141" s="158">
        <v>0</v>
      </c>
      <c r="N1141" s="159">
        <v>0</v>
      </c>
      <c r="O1141" s="158">
        <v>0</v>
      </c>
      <c r="P1141" s="159">
        <v>0</v>
      </c>
      <c r="Q1141" s="158">
        <v>2.0163333333333346</v>
      </c>
      <c r="R1141" s="159">
        <v>5.4183333333333339</v>
      </c>
      <c r="S1141" s="158">
        <v>5.3163333333333327</v>
      </c>
      <c r="T1141" s="159">
        <v>5.0974999999999984</v>
      </c>
      <c r="U1141" s="158">
        <v>3.9188333333333314</v>
      </c>
      <c r="V1141" s="159">
        <v>2.3281666666666685</v>
      </c>
      <c r="W1141" s="158">
        <v>1.1469999999999989</v>
      </c>
      <c r="X1141" s="159">
        <v>0</v>
      </c>
      <c r="Y1141" s="158">
        <v>0</v>
      </c>
      <c r="Z1141" s="159">
        <v>0</v>
      </c>
      <c r="AA1141" s="158">
        <v>0</v>
      </c>
      <c r="AB1141" s="159">
        <v>0</v>
      </c>
      <c r="AC1141" s="238">
        <f>SUM(E1141:AB1141)</f>
        <v>25.2425</v>
      </c>
      <c r="AD1141" s="238"/>
      <c r="AE1141" s="238"/>
    </row>
    <row r="1142" spans="2:31" x14ac:dyDescent="0.3">
      <c r="B1142" s="245" t="s">
        <v>67</v>
      </c>
      <c r="C1142" s="245"/>
      <c r="D1142" s="245"/>
      <c r="E1142" s="158">
        <v>0</v>
      </c>
      <c r="F1142" s="159">
        <v>0</v>
      </c>
      <c r="G1142" s="158">
        <v>0</v>
      </c>
      <c r="H1142" s="159">
        <v>0</v>
      </c>
      <c r="I1142" s="158">
        <v>0</v>
      </c>
      <c r="J1142" s="159">
        <v>0</v>
      </c>
      <c r="K1142" s="158">
        <v>0</v>
      </c>
      <c r="L1142" s="159">
        <v>0</v>
      </c>
      <c r="M1142" s="158">
        <v>0</v>
      </c>
      <c r="N1142" s="159">
        <v>0</v>
      </c>
      <c r="O1142" s="158">
        <v>0</v>
      </c>
      <c r="P1142" s="159">
        <v>0</v>
      </c>
      <c r="Q1142" s="158">
        <v>0</v>
      </c>
      <c r="R1142" s="159">
        <v>0</v>
      </c>
      <c r="S1142" s="158">
        <v>2.3833333333333269E-2</v>
      </c>
      <c r="T1142" s="159">
        <v>1.9833333333333116E-2</v>
      </c>
      <c r="U1142" s="158">
        <v>0.81833333333333447</v>
      </c>
      <c r="V1142" s="159">
        <v>3.0291666666666686</v>
      </c>
      <c r="W1142" s="158">
        <v>2.4108333333333336</v>
      </c>
      <c r="X1142" s="159">
        <v>0</v>
      </c>
      <c r="Y1142" s="158">
        <v>0</v>
      </c>
      <c r="Z1142" s="159">
        <v>0</v>
      </c>
      <c r="AA1142" s="158">
        <v>0</v>
      </c>
      <c r="AB1142" s="159">
        <v>0</v>
      </c>
      <c r="AC1142" s="238">
        <f t="shared" ref="AC1142:AC1155" si="61">SUM(E1142:AB1142)</f>
        <v>6.3020000000000032</v>
      </c>
      <c r="AD1142" s="238"/>
      <c r="AE1142" s="238"/>
    </row>
    <row r="1143" spans="2:31" x14ac:dyDescent="0.3">
      <c r="B1143" s="245" t="s">
        <v>68</v>
      </c>
      <c r="C1143" s="245"/>
      <c r="D1143" s="245"/>
      <c r="E1143" s="158">
        <v>0</v>
      </c>
      <c r="F1143" s="159">
        <v>0</v>
      </c>
      <c r="G1143" s="158">
        <v>0</v>
      </c>
      <c r="H1143" s="159">
        <v>0</v>
      </c>
      <c r="I1143" s="158">
        <v>0</v>
      </c>
      <c r="J1143" s="159">
        <v>0</v>
      </c>
      <c r="K1143" s="158">
        <v>0</v>
      </c>
      <c r="L1143" s="159">
        <v>0</v>
      </c>
      <c r="M1143" s="158">
        <v>0</v>
      </c>
      <c r="N1143" s="159">
        <v>0</v>
      </c>
      <c r="O1143" s="158">
        <v>0</v>
      </c>
      <c r="P1143" s="159">
        <v>0</v>
      </c>
      <c r="Q1143" s="158">
        <v>32.200000000000017</v>
      </c>
      <c r="R1143" s="159">
        <v>64.099999999999937</v>
      </c>
      <c r="S1143" s="158">
        <v>64</v>
      </c>
      <c r="T1143" s="159">
        <v>63.400000000000063</v>
      </c>
      <c r="U1143" s="158">
        <v>61.800000000000061</v>
      </c>
      <c r="V1143" s="159">
        <v>58</v>
      </c>
      <c r="W1143" s="158">
        <v>46</v>
      </c>
      <c r="X1143" s="159">
        <v>2.3199999999999998</v>
      </c>
      <c r="Y1143" s="158">
        <v>0</v>
      </c>
      <c r="Z1143" s="159">
        <v>0</v>
      </c>
      <c r="AA1143" s="158">
        <v>0</v>
      </c>
      <c r="AB1143" s="159">
        <v>0</v>
      </c>
      <c r="AC1143" s="238">
        <f t="shared" si="61"/>
        <v>391.82000000000005</v>
      </c>
      <c r="AD1143" s="238"/>
      <c r="AE1143" s="238"/>
    </row>
    <row r="1144" spans="2:31" x14ac:dyDescent="0.3">
      <c r="B1144" s="245" t="s">
        <v>69</v>
      </c>
      <c r="C1144" s="245"/>
      <c r="D1144" s="245"/>
      <c r="E1144" s="158">
        <v>0</v>
      </c>
      <c r="F1144" s="159">
        <v>0</v>
      </c>
      <c r="G1144" s="158">
        <v>0</v>
      </c>
      <c r="H1144" s="159">
        <v>0</v>
      </c>
      <c r="I1144" s="158">
        <v>0</v>
      </c>
      <c r="J1144" s="159">
        <v>0</v>
      </c>
      <c r="K1144" s="158">
        <v>0</v>
      </c>
      <c r="L1144" s="159">
        <v>0</v>
      </c>
      <c r="M1144" s="158">
        <v>0</v>
      </c>
      <c r="N1144" s="159">
        <v>0</v>
      </c>
      <c r="O1144" s="158">
        <v>0</v>
      </c>
      <c r="P1144" s="159">
        <v>0</v>
      </c>
      <c r="Q1144" s="158">
        <v>3.7720000000000034</v>
      </c>
      <c r="R1144" s="159">
        <v>9.0429999999999904</v>
      </c>
      <c r="S1144" s="158">
        <v>8.3586666666666716</v>
      </c>
      <c r="T1144" s="159">
        <v>8.2363333333333291</v>
      </c>
      <c r="U1144" s="158">
        <v>6.1373333333333386</v>
      </c>
      <c r="V1144" s="159">
        <v>1.9489999999999996</v>
      </c>
      <c r="W1144" s="158">
        <v>1.4798333333333327</v>
      </c>
      <c r="X1144" s="159">
        <v>0</v>
      </c>
      <c r="Y1144" s="158">
        <v>0</v>
      </c>
      <c r="Z1144" s="159">
        <v>0</v>
      </c>
      <c r="AA1144" s="158">
        <v>0</v>
      </c>
      <c r="AB1144" s="159">
        <v>0</v>
      </c>
      <c r="AC1144" s="238">
        <f t="shared" si="61"/>
        <v>38.976166666666664</v>
      </c>
      <c r="AD1144" s="238"/>
      <c r="AE1144" s="238"/>
    </row>
    <row r="1145" spans="2:31" x14ac:dyDescent="0.3">
      <c r="B1145" s="245" t="s">
        <v>70</v>
      </c>
      <c r="C1145" s="245"/>
      <c r="D1145" s="245"/>
      <c r="E1145" s="158">
        <v>0</v>
      </c>
      <c r="F1145" s="159">
        <v>0</v>
      </c>
      <c r="G1145" s="158">
        <v>0</v>
      </c>
      <c r="H1145" s="159">
        <v>0</v>
      </c>
      <c r="I1145" s="158">
        <v>0</v>
      </c>
      <c r="J1145" s="159">
        <v>0</v>
      </c>
      <c r="K1145" s="158">
        <v>0</v>
      </c>
      <c r="L1145" s="159">
        <v>0</v>
      </c>
      <c r="M1145" s="158">
        <v>0</v>
      </c>
      <c r="N1145" s="159">
        <v>0</v>
      </c>
      <c r="O1145" s="158">
        <v>0</v>
      </c>
      <c r="P1145" s="159">
        <v>0</v>
      </c>
      <c r="Q1145" s="158">
        <v>0</v>
      </c>
      <c r="R1145" s="159">
        <v>0</v>
      </c>
      <c r="S1145" s="158">
        <v>0</v>
      </c>
      <c r="T1145" s="159">
        <v>0</v>
      </c>
      <c r="U1145" s="158">
        <v>0</v>
      </c>
      <c r="V1145" s="159">
        <v>0</v>
      </c>
      <c r="W1145" s="158">
        <v>0</v>
      </c>
      <c r="X1145" s="159">
        <v>0</v>
      </c>
      <c r="Y1145" s="158">
        <v>0</v>
      </c>
      <c r="Z1145" s="159">
        <v>0</v>
      </c>
      <c r="AA1145" s="158">
        <v>0</v>
      </c>
      <c r="AB1145" s="159">
        <v>0</v>
      </c>
      <c r="AC1145" s="238">
        <f t="shared" si="61"/>
        <v>0</v>
      </c>
      <c r="AD1145" s="238"/>
      <c r="AE1145" s="238"/>
    </row>
    <row r="1146" spans="2:31" x14ac:dyDescent="0.3">
      <c r="B1146" s="245" t="s">
        <v>71</v>
      </c>
      <c r="C1146" s="245"/>
      <c r="D1146" s="245"/>
      <c r="E1146" s="158">
        <v>0</v>
      </c>
      <c r="F1146" s="159">
        <v>0</v>
      </c>
      <c r="G1146" s="158">
        <v>0</v>
      </c>
      <c r="H1146" s="159">
        <v>0</v>
      </c>
      <c r="I1146" s="158">
        <v>0</v>
      </c>
      <c r="J1146" s="159">
        <v>0</v>
      </c>
      <c r="K1146" s="158">
        <v>0</v>
      </c>
      <c r="L1146" s="159">
        <v>0</v>
      </c>
      <c r="M1146" s="158">
        <v>0</v>
      </c>
      <c r="N1146" s="159">
        <v>0</v>
      </c>
      <c r="O1146" s="158">
        <v>0</v>
      </c>
      <c r="P1146" s="159">
        <v>0</v>
      </c>
      <c r="Q1146" s="158">
        <v>0</v>
      </c>
      <c r="R1146" s="159">
        <v>0</v>
      </c>
      <c r="S1146" s="158">
        <v>0</v>
      </c>
      <c r="T1146" s="159">
        <v>0</v>
      </c>
      <c r="U1146" s="158">
        <v>0</v>
      </c>
      <c r="V1146" s="159">
        <v>0</v>
      </c>
      <c r="W1146" s="158">
        <v>0</v>
      </c>
      <c r="X1146" s="159">
        <v>0</v>
      </c>
      <c r="Y1146" s="158">
        <v>0</v>
      </c>
      <c r="Z1146" s="159">
        <v>0</v>
      </c>
      <c r="AA1146" s="158">
        <v>0</v>
      </c>
      <c r="AB1146" s="159">
        <v>0</v>
      </c>
      <c r="AC1146" s="238">
        <f t="shared" si="61"/>
        <v>0</v>
      </c>
      <c r="AD1146" s="238"/>
      <c r="AE1146" s="238"/>
    </row>
    <row r="1147" spans="2:31" x14ac:dyDescent="0.3">
      <c r="B1147" s="245" t="s">
        <v>72</v>
      </c>
      <c r="C1147" s="245"/>
      <c r="D1147" s="245"/>
      <c r="E1147" s="158">
        <v>0</v>
      </c>
      <c r="F1147" s="159">
        <v>0</v>
      </c>
      <c r="G1147" s="158">
        <v>0</v>
      </c>
      <c r="H1147" s="159">
        <v>0</v>
      </c>
      <c r="I1147" s="158">
        <v>0</v>
      </c>
      <c r="J1147" s="159">
        <v>0</v>
      </c>
      <c r="K1147" s="158">
        <v>0</v>
      </c>
      <c r="L1147" s="159">
        <v>0</v>
      </c>
      <c r="M1147" s="158">
        <v>0</v>
      </c>
      <c r="N1147" s="159">
        <v>0</v>
      </c>
      <c r="O1147" s="158">
        <v>0</v>
      </c>
      <c r="P1147" s="159">
        <v>0</v>
      </c>
      <c r="Q1147" s="158">
        <v>0</v>
      </c>
      <c r="R1147" s="159">
        <v>0</v>
      </c>
      <c r="S1147" s="158">
        <v>0</v>
      </c>
      <c r="T1147" s="159">
        <v>0</v>
      </c>
      <c r="U1147" s="158">
        <v>0</v>
      </c>
      <c r="V1147" s="159">
        <v>0</v>
      </c>
      <c r="W1147" s="158">
        <v>4.0500000000000057E-2</v>
      </c>
      <c r="X1147" s="159">
        <v>0</v>
      </c>
      <c r="Y1147" s="158">
        <v>0</v>
      </c>
      <c r="Z1147" s="159">
        <v>0</v>
      </c>
      <c r="AA1147" s="158">
        <v>0</v>
      </c>
      <c r="AB1147" s="159">
        <v>0</v>
      </c>
      <c r="AC1147" s="238">
        <f t="shared" si="61"/>
        <v>4.0500000000000057E-2</v>
      </c>
      <c r="AD1147" s="238"/>
      <c r="AE1147" s="238"/>
    </row>
    <row r="1148" spans="2:31" x14ac:dyDescent="0.3">
      <c r="B1148" s="245" t="s">
        <v>73</v>
      </c>
      <c r="C1148" s="245"/>
      <c r="D1148" s="245"/>
      <c r="E1148" s="158">
        <v>0</v>
      </c>
      <c r="F1148" s="159">
        <v>0</v>
      </c>
      <c r="G1148" s="158">
        <v>0</v>
      </c>
      <c r="H1148" s="159">
        <v>0</v>
      </c>
      <c r="I1148" s="158">
        <v>0</v>
      </c>
      <c r="J1148" s="159">
        <v>0</v>
      </c>
      <c r="K1148" s="158">
        <v>0</v>
      </c>
      <c r="L1148" s="159">
        <v>0</v>
      </c>
      <c r="M1148" s="158">
        <v>0</v>
      </c>
      <c r="N1148" s="159">
        <v>0</v>
      </c>
      <c r="O1148" s="158">
        <v>0</v>
      </c>
      <c r="P1148" s="159">
        <v>0</v>
      </c>
      <c r="Q1148" s="158">
        <v>5.8683333333333314</v>
      </c>
      <c r="R1148" s="159">
        <v>14.181499999999998</v>
      </c>
      <c r="S1148" s="158">
        <v>14.061333333333332</v>
      </c>
      <c r="T1148" s="159">
        <v>14.064333333333328</v>
      </c>
      <c r="U1148" s="158">
        <v>13.874833333333338</v>
      </c>
      <c r="V1148" s="159">
        <v>1.0586666666666664</v>
      </c>
      <c r="W1148" s="158">
        <v>0</v>
      </c>
      <c r="X1148" s="159">
        <v>0</v>
      </c>
      <c r="Y1148" s="158">
        <v>0</v>
      </c>
      <c r="Z1148" s="159">
        <v>0</v>
      </c>
      <c r="AA1148" s="158">
        <v>0</v>
      </c>
      <c r="AB1148" s="159">
        <v>0</v>
      </c>
      <c r="AC1148" s="238">
        <f t="shared" si="61"/>
        <v>63.108999999999995</v>
      </c>
      <c r="AD1148" s="238"/>
      <c r="AE1148" s="238"/>
    </row>
    <row r="1149" spans="2:31" x14ac:dyDescent="0.3">
      <c r="B1149" s="245" t="s">
        <v>74</v>
      </c>
      <c r="C1149" s="245"/>
      <c r="D1149" s="245"/>
      <c r="E1149" s="158">
        <v>0</v>
      </c>
      <c r="F1149" s="159">
        <v>0</v>
      </c>
      <c r="G1149" s="158">
        <v>0</v>
      </c>
      <c r="H1149" s="159">
        <v>0</v>
      </c>
      <c r="I1149" s="158">
        <v>0</v>
      </c>
      <c r="J1149" s="159">
        <v>0</v>
      </c>
      <c r="K1149" s="158">
        <v>0</v>
      </c>
      <c r="L1149" s="159">
        <v>0</v>
      </c>
      <c r="M1149" s="158">
        <v>0</v>
      </c>
      <c r="N1149" s="159">
        <v>0</v>
      </c>
      <c r="O1149" s="158">
        <v>0</v>
      </c>
      <c r="P1149" s="159">
        <v>0</v>
      </c>
      <c r="Q1149" s="158">
        <v>1.1458333333333333</v>
      </c>
      <c r="R1149" s="159">
        <v>0.6</v>
      </c>
      <c r="S1149" s="158">
        <v>0.44949999999999996</v>
      </c>
      <c r="T1149" s="159">
        <v>0.51416666666666733</v>
      </c>
      <c r="U1149" s="158">
        <v>0.62566666666666682</v>
      </c>
      <c r="V1149" s="159">
        <v>0</v>
      </c>
      <c r="W1149" s="158">
        <v>0</v>
      </c>
      <c r="X1149" s="159">
        <v>0</v>
      </c>
      <c r="Y1149" s="158">
        <v>0</v>
      </c>
      <c r="Z1149" s="159">
        <v>0</v>
      </c>
      <c r="AA1149" s="158">
        <v>0</v>
      </c>
      <c r="AB1149" s="159">
        <v>0</v>
      </c>
      <c r="AC1149" s="238">
        <f t="shared" si="61"/>
        <v>3.3351666666666668</v>
      </c>
      <c r="AD1149" s="238"/>
      <c r="AE1149" s="238"/>
    </row>
    <row r="1150" spans="2:31" x14ac:dyDescent="0.3">
      <c r="B1150" s="245" t="s">
        <v>75</v>
      </c>
      <c r="C1150" s="245"/>
      <c r="D1150" s="245"/>
      <c r="E1150" s="158">
        <v>0</v>
      </c>
      <c r="F1150" s="159">
        <v>0</v>
      </c>
      <c r="G1150" s="158">
        <v>0</v>
      </c>
      <c r="H1150" s="159">
        <v>0</v>
      </c>
      <c r="I1150" s="158">
        <v>0</v>
      </c>
      <c r="J1150" s="159">
        <v>0</v>
      </c>
      <c r="K1150" s="158">
        <v>0</v>
      </c>
      <c r="L1150" s="159">
        <v>0</v>
      </c>
      <c r="M1150" s="158">
        <v>0</v>
      </c>
      <c r="N1150" s="159">
        <v>0</v>
      </c>
      <c r="O1150" s="158">
        <v>0</v>
      </c>
      <c r="P1150" s="159">
        <v>0</v>
      </c>
      <c r="Q1150" s="158">
        <v>2.0131666666666606</v>
      </c>
      <c r="R1150" s="159">
        <v>2.6898333333333331</v>
      </c>
      <c r="S1150" s="158">
        <v>1.7753333333333439</v>
      </c>
      <c r="T1150" s="159">
        <v>0</v>
      </c>
      <c r="U1150" s="158">
        <v>0.56516666666666471</v>
      </c>
      <c r="V1150" s="159">
        <v>0</v>
      </c>
      <c r="W1150" s="158">
        <v>0</v>
      </c>
      <c r="X1150" s="159">
        <v>0</v>
      </c>
      <c r="Y1150" s="158">
        <v>0</v>
      </c>
      <c r="Z1150" s="159">
        <v>0</v>
      </c>
      <c r="AA1150" s="158">
        <v>0</v>
      </c>
      <c r="AB1150" s="159">
        <v>0</v>
      </c>
      <c r="AC1150" s="238">
        <f t="shared" si="61"/>
        <v>7.0435000000000025</v>
      </c>
      <c r="AD1150" s="238"/>
      <c r="AE1150" s="238"/>
    </row>
    <row r="1151" spans="2:31" x14ac:dyDescent="0.3">
      <c r="B1151" s="245" t="s">
        <v>76</v>
      </c>
      <c r="C1151" s="245"/>
      <c r="D1151" s="245"/>
      <c r="E1151" s="158">
        <v>0</v>
      </c>
      <c r="F1151" s="159">
        <v>0</v>
      </c>
      <c r="G1151" s="158">
        <v>0</v>
      </c>
      <c r="H1151" s="159">
        <v>0</v>
      </c>
      <c r="I1151" s="158">
        <v>0</v>
      </c>
      <c r="J1151" s="159">
        <v>0</v>
      </c>
      <c r="K1151" s="158">
        <v>0</v>
      </c>
      <c r="L1151" s="159">
        <v>0</v>
      </c>
      <c r="M1151" s="158">
        <v>0</v>
      </c>
      <c r="N1151" s="159">
        <v>0</v>
      </c>
      <c r="O1151" s="158">
        <v>0</v>
      </c>
      <c r="P1151" s="159">
        <v>0</v>
      </c>
      <c r="Q1151" s="158">
        <v>0</v>
      </c>
      <c r="R1151" s="159">
        <v>0</v>
      </c>
      <c r="S1151" s="158">
        <v>0</v>
      </c>
      <c r="T1151" s="159">
        <v>0</v>
      </c>
      <c r="U1151" s="158">
        <v>0</v>
      </c>
      <c r="V1151" s="159">
        <v>0</v>
      </c>
      <c r="W1151" s="158">
        <v>0</v>
      </c>
      <c r="X1151" s="159">
        <v>0</v>
      </c>
      <c r="Y1151" s="158">
        <v>0</v>
      </c>
      <c r="Z1151" s="159">
        <v>0</v>
      </c>
      <c r="AA1151" s="158">
        <v>0</v>
      </c>
      <c r="AB1151" s="159">
        <v>0</v>
      </c>
      <c r="AC1151" s="238">
        <f t="shared" si="61"/>
        <v>0</v>
      </c>
      <c r="AD1151" s="238"/>
      <c r="AE1151" s="238"/>
    </row>
    <row r="1152" spans="2:31" x14ac:dyDescent="0.3">
      <c r="B1152" s="245" t="s">
        <v>77</v>
      </c>
      <c r="C1152" s="245"/>
      <c r="D1152" s="245"/>
      <c r="E1152" s="158">
        <v>0</v>
      </c>
      <c r="F1152" s="159">
        <v>0</v>
      </c>
      <c r="G1152" s="158">
        <v>0</v>
      </c>
      <c r="H1152" s="159">
        <v>0</v>
      </c>
      <c r="I1152" s="158">
        <v>0</v>
      </c>
      <c r="J1152" s="159">
        <v>0</v>
      </c>
      <c r="K1152" s="158">
        <v>0</v>
      </c>
      <c r="L1152" s="159">
        <v>0</v>
      </c>
      <c r="M1152" s="158">
        <v>0</v>
      </c>
      <c r="N1152" s="159">
        <v>0</v>
      </c>
      <c r="O1152" s="158">
        <v>0</v>
      </c>
      <c r="P1152" s="159">
        <v>0</v>
      </c>
      <c r="Q1152" s="158">
        <v>2.0431666666666661</v>
      </c>
      <c r="R1152" s="159">
        <v>5.1955000000000018</v>
      </c>
      <c r="S1152" s="158">
        <v>5.3079999999999945</v>
      </c>
      <c r="T1152" s="159">
        <v>5.2454999999999963</v>
      </c>
      <c r="U1152" s="158">
        <v>0</v>
      </c>
      <c r="V1152" s="159">
        <v>0.25549999999999973</v>
      </c>
      <c r="W1152" s="158">
        <v>0</v>
      </c>
      <c r="X1152" s="159">
        <v>0</v>
      </c>
      <c r="Y1152" s="158">
        <v>0</v>
      </c>
      <c r="Z1152" s="159">
        <v>0</v>
      </c>
      <c r="AA1152" s="158">
        <v>0</v>
      </c>
      <c r="AB1152" s="159">
        <v>0</v>
      </c>
      <c r="AC1152" s="238">
        <f t="shared" si="61"/>
        <v>18.047666666666661</v>
      </c>
      <c r="AD1152" s="238"/>
      <c r="AE1152" s="238"/>
    </row>
    <row r="1153" spans="2:31" x14ac:dyDescent="0.3">
      <c r="B1153" s="245" t="s">
        <v>78</v>
      </c>
      <c r="C1153" s="245"/>
      <c r="D1153" s="245"/>
      <c r="E1153" s="158">
        <v>0</v>
      </c>
      <c r="F1153" s="159">
        <v>0</v>
      </c>
      <c r="G1153" s="158">
        <v>0</v>
      </c>
      <c r="H1153" s="159">
        <v>0</v>
      </c>
      <c r="I1153" s="158">
        <v>0</v>
      </c>
      <c r="J1153" s="159">
        <v>0</v>
      </c>
      <c r="K1153" s="158">
        <v>0</v>
      </c>
      <c r="L1153" s="159">
        <v>0</v>
      </c>
      <c r="M1153" s="158">
        <v>0</v>
      </c>
      <c r="N1153" s="159">
        <v>0</v>
      </c>
      <c r="O1153" s="158">
        <v>0</v>
      </c>
      <c r="P1153" s="159">
        <v>0</v>
      </c>
      <c r="Q1153" s="158">
        <v>4.3149999999999986</v>
      </c>
      <c r="R1153" s="159">
        <v>10.730000000000009</v>
      </c>
      <c r="S1153" s="158">
        <v>11.029999999999983</v>
      </c>
      <c r="T1153" s="159">
        <v>9.1299999999999972</v>
      </c>
      <c r="U1153" s="158">
        <v>4.7299999999999986</v>
      </c>
      <c r="V1153" s="159">
        <v>0</v>
      </c>
      <c r="W1153" s="158">
        <v>0</v>
      </c>
      <c r="X1153" s="159">
        <v>0</v>
      </c>
      <c r="Y1153" s="158">
        <v>0</v>
      </c>
      <c r="Z1153" s="159">
        <v>0</v>
      </c>
      <c r="AA1153" s="158">
        <v>0</v>
      </c>
      <c r="AB1153" s="159">
        <v>0</v>
      </c>
      <c r="AC1153" s="238">
        <f t="shared" si="61"/>
        <v>39.934999999999988</v>
      </c>
      <c r="AD1153" s="238"/>
      <c r="AE1153" s="238"/>
    </row>
    <row r="1154" spans="2:31" x14ac:dyDescent="0.3">
      <c r="B1154" s="245" t="s">
        <v>79</v>
      </c>
      <c r="C1154" s="245"/>
      <c r="D1154" s="245"/>
      <c r="E1154" s="158">
        <v>0</v>
      </c>
      <c r="F1154" s="159">
        <v>0</v>
      </c>
      <c r="G1154" s="158">
        <v>0</v>
      </c>
      <c r="H1154" s="159">
        <v>0</v>
      </c>
      <c r="I1154" s="158">
        <v>0</v>
      </c>
      <c r="J1154" s="159">
        <v>0</v>
      </c>
      <c r="K1154" s="158">
        <v>0</v>
      </c>
      <c r="L1154" s="159">
        <v>0</v>
      </c>
      <c r="M1154" s="158">
        <v>0</v>
      </c>
      <c r="N1154" s="159">
        <v>0</v>
      </c>
      <c r="O1154" s="158">
        <v>0</v>
      </c>
      <c r="P1154" s="159">
        <v>0</v>
      </c>
      <c r="Q1154" s="158">
        <v>0</v>
      </c>
      <c r="R1154" s="159">
        <v>0</v>
      </c>
      <c r="S1154" s="158">
        <v>0</v>
      </c>
      <c r="T1154" s="159">
        <v>0</v>
      </c>
      <c r="U1154" s="158">
        <v>0</v>
      </c>
      <c r="V1154" s="159">
        <v>0</v>
      </c>
      <c r="W1154" s="158">
        <v>0</v>
      </c>
      <c r="X1154" s="159">
        <v>0</v>
      </c>
      <c r="Y1154" s="158">
        <v>0</v>
      </c>
      <c r="Z1154" s="159">
        <v>0</v>
      </c>
      <c r="AA1154" s="158">
        <v>0</v>
      </c>
      <c r="AB1154" s="159">
        <v>0</v>
      </c>
      <c r="AC1154" s="238">
        <f t="shared" si="61"/>
        <v>0</v>
      </c>
      <c r="AD1154" s="238"/>
      <c r="AE1154" s="238"/>
    </row>
    <row r="1155" spans="2:31" x14ac:dyDescent="0.3">
      <c r="B1155" s="245" t="s">
        <v>80</v>
      </c>
      <c r="C1155" s="245"/>
      <c r="D1155" s="245"/>
      <c r="E1155" s="158">
        <v>0</v>
      </c>
      <c r="F1155" s="159">
        <v>0</v>
      </c>
      <c r="G1155" s="158">
        <v>0</v>
      </c>
      <c r="H1155" s="159">
        <v>0</v>
      </c>
      <c r="I1155" s="158">
        <v>0</v>
      </c>
      <c r="J1155" s="159">
        <v>0</v>
      </c>
      <c r="K1155" s="158">
        <v>0</v>
      </c>
      <c r="L1155" s="159">
        <v>0</v>
      </c>
      <c r="M1155" s="158">
        <v>0</v>
      </c>
      <c r="N1155" s="159">
        <v>0</v>
      </c>
      <c r="O1155" s="158">
        <v>0</v>
      </c>
      <c r="P1155" s="159">
        <v>0</v>
      </c>
      <c r="Q1155" s="158">
        <v>0</v>
      </c>
      <c r="R1155" s="159">
        <v>0</v>
      </c>
      <c r="S1155" s="158">
        <v>0</v>
      </c>
      <c r="T1155" s="159">
        <v>0</v>
      </c>
      <c r="U1155" s="158">
        <v>0</v>
      </c>
      <c r="V1155" s="159">
        <v>0</v>
      </c>
      <c r="W1155" s="158">
        <v>0</v>
      </c>
      <c r="X1155" s="159">
        <v>0</v>
      </c>
      <c r="Y1155" s="158">
        <v>0</v>
      </c>
      <c r="Z1155" s="159">
        <v>0</v>
      </c>
      <c r="AA1155" s="158">
        <v>0</v>
      </c>
      <c r="AB1155" s="159">
        <v>0</v>
      </c>
      <c r="AC1155" s="238">
        <f t="shared" si="61"/>
        <v>0</v>
      </c>
      <c r="AD1155" s="238"/>
      <c r="AE1155" s="238"/>
    </row>
    <row r="1156" spans="2:31" x14ac:dyDescent="0.3">
      <c r="B1156" s="245" t="s">
        <v>93</v>
      </c>
      <c r="C1156" s="245"/>
      <c r="D1156" s="245"/>
      <c r="E1156" s="158">
        <v>0</v>
      </c>
      <c r="F1156" s="159">
        <v>0</v>
      </c>
      <c r="G1156" s="158">
        <v>0</v>
      </c>
      <c r="H1156" s="159">
        <v>0</v>
      </c>
      <c r="I1156" s="158">
        <v>0</v>
      </c>
      <c r="J1156" s="159">
        <v>0</v>
      </c>
      <c r="K1156" s="158">
        <v>0</v>
      </c>
      <c r="L1156" s="159">
        <v>0</v>
      </c>
      <c r="M1156" s="158">
        <v>0</v>
      </c>
      <c r="N1156" s="159">
        <v>0</v>
      </c>
      <c r="O1156" s="158">
        <v>0</v>
      </c>
      <c r="P1156" s="159">
        <v>0</v>
      </c>
      <c r="Q1156" s="158">
        <v>0</v>
      </c>
      <c r="R1156" s="159">
        <v>0</v>
      </c>
      <c r="S1156" s="158">
        <v>0</v>
      </c>
      <c r="T1156" s="159">
        <v>0</v>
      </c>
      <c r="U1156" s="158">
        <v>1.3655000000000015</v>
      </c>
      <c r="V1156" s="159">
        <v>1.4483333333333341</v>
      </c>
      <c r="W1156" s="158">
        <v>0</v>
      </c>
      <c r="X1156" s="159">
        <v>0</v>
      </c>
      <c r="Y1156" s="158">
        <v>0</v>
      </c>
      <c r="Z1156" s="159">
        <v>0</v>
      </c>
      <c r="AA1156" s="158">
        <v>0</v>
      </c>
      <c r="AB1156" s="159">
        <v>0</v>
      </c>
      <c r="AC1156" s="238">
        <f>SUM(E1156:AB1156)</f>
        <v>2.8138333333333359</v>
      </c>
      <c r="AD1156" s="238"/>
      <c r="AE1156" s="238"/>
    </row>
    <row r="1157" spans="2:31" x14ac:dyDescent="0.3">
      <c r="B1157" s="14" t="s">
        <v>2</v>
      </c>
      <c r="C1157" s="14"/>
      <c r="D1157" s="14"/>
      <c r="E1157" s="15">
        <f t="shared" ref="E1157:AB1157" si="62">SUM(E1108:E1156)</f>
        <v>0</v>
      </c>
      <c r="F1157" s="15">
        <f t="shared" si="62"/>
        <v>0</v>
      </c>
      <c r="G1157" s="15">
        <f t="shared" si="62"/>
        <v>0</v>
      </c>
      <c r="H1157" s="15">
        <f t="shared" si="62"/>
        <v>0</v>
      </c>
      <c r="I1157" s="15">
        <f t="shared" si="62"/>
        <v>0</v>
      </c>
      <c r="J1157" s="15">
        <f t="shared" si="62"/>
        <v>0</v>
      </c>
      <c r="K1157" s="15">
        <f t="shared" si="62"/>
        <v>0</v>
      </c>
      <c r="L1157" s="15">
        <f t="shared" si="62"/>
        <v>0</v>
      </c>
      <c r="M1157" s="15">
        <f t="shared" si="62"/>
        <v>0</v>
      </c>
      <c r="N1157" s="15">
        <f t="shared" si="62"/>
        <v>0</v>
      </c>
      <c r="O1157" s="15">
        <f t="shared" si="62"/>
        <v>0</v>
      </c>
      <c r="P1157" s="15">
        <f t="shared" si="62"/>
        <v>2.3063333333333338</v>
      </c>
      <c r="Q1157" s="15">
        <f t="shared" si="62"/>
        <v>107.73666666666664</v>
      </c>
      <c r="R1157" s="15">
        <f t="shared" si="62"/>
        <v>166.77133333333327</v>
      </c>
      <c r="S1157" s="15">
        <f t="shared" si="62"/>
        <v>179.58099999999993</v>
      </c>
      <c r="T1157" s="15">
        <f t="shared" si="62"/>
        <v>149.81866666666673</v>
      </c>
      <c r="U1157" s="15">
        <f t="shared" si="62"/>
        <v>161.67750000000004</v>
      </c>
      <c r="V1157" s="15">
        <f t="shared" si="62"/>
        <v>120.4555</v>
      </c>
      <c r="W1157" s="15">
        <f t="shared" si="62"/>
        <v>74.976333333333329</v>
      </c>
      <c r="X1157" s="15">
        <f t="shared" si="62"/>
        <v>3.0941666666666663</v>
      </c>
      <c r="Y1157" s="15">
        <f t="shared" si="62"/>
        <v>0</v>
      </c>
      <c r="Z1157" s="15">
        <f t="shared" si="62"/>
        <v>0</v>
      </c>
      <c r="AA1157" s="15">
        <f t="shared" si="62"/>
        <v>0</v>
      </c>
      <c r="AB1157" s="15">
        <f t="shared" si="62"/>
        <v>0</v>
      </c>
      <c r="AC1157" s="249">
        <f>SUM(AC1108:AE1156)</f>
        <v>966.41750000000013</v>
      </c>
      <c r="AD1157" s="249"/>
      <c r="AE1157" s="249"/>
    </row>
    <row r="1158" spans="2:31" x14ac:dyDescent="0.3">
      <c r="B1158" s="16"/>
      <c r="C1158" s="17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  <c r="Z1158" s="18"/>
      <c r="AA1158" s="18"/>
    </row>
    <row r="1159" spans="2:31" x14ac:dyDescent="0.3">
      <c r="B1159" s="16"/>
      <c r="C1159" s="17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18"/>
      <c r="Y1159" s="18"/>
      <c r="Z1159" s="18"/>
      <c r="AA1159" s="18"/>
    </row>
    <row r="1160" spans="2:31" x14ac:dyDescent="0.3">
      <c r="B1160" s="8">
        <f>'Resumen-Mensual'!$Z$22</f>
        <v>44583</v>
      </c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160"/>
      <c r="AD1160" s="160"/>
      <c r="AE1160" s="160"/>
    </row>
    <row r="1161" spans="2:31" x14ac:dyDescent="0.3">
      <c r="B1161" s="8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160"/>
      <c r="AD1161" s="160"/>
      <c r="AE1161" s="160"/>
    </row>
    <row r="1162" spans="2:31" x14ac:dyDescent="0.3">
      <c r="B1162" s="9" t="s">
        <v>81</v>
      </c>
      <c r="C1162" s="10"/>
      <c r="D1162" s="10"/>
      <c r="E1162" s="11">
        <v>1</v>
      </c>
      <c r="F1162" s="11">
        <v>2</v>
      </c>
      <c r="G1162" s="11">
        <v>3</v>
      </c>
      <c r="H1162" s="11">
        <v>4</v>
      </c>
      <c r="I1162" s="11">
        <v>5</v>
      </c>
      <c r="J1162" s="11">
        <v>6</v>
      </c>
      <c r="K1162" s="11">
        <v>7</v>
      </c>
      <c r="L1162" s="11">
        <v>8</v>
      </c>
      <c r="M1162" s="11">
        <v>9</v>
      </c>
      <c r="N1162" s="11">
        <v>10</v>
      </c>
      <c r="O1162" s="11">
        <v>11</v>
      </c>
      <c r="P1162" s="11">
        <v>12</v>
      </c>
      <c r="Q1162" s="11">
        <v>13</v>
      </c>
      <c r="R1162" s="11">
        <v>14</v>
      </c>
      <c r="S1162" s="11">
        <v>15</v>
      </c>
      <c r="T1162" s="11">
        <v>16</v>
      </c>
      <c r="U1162" s="11">
        <v>17</v>
      </c>
      <c r="V1162" s="11">
        <v>18</v>
      </c>
      <c r="W1162" s="11">
        <v>19</v>
      </c>
      <c r="X1162" s="11">
        <v>20</v>
      </c>
      <c r="Y1162" s="11">
        <v>21</v>
      </c>
      <c r="Z1162" s="11">
        <v>22</v>
      </c>
      <c r="AA1162" s="11">
        <v>23</v>
      </c>
      <c r="AB1162" s="11">
        <v>24</v>
      </c>
      <c r="AC1162" s="248" t="s">
        <v>2</v>
      </c>
      <c r="AD1162" s="248"/>
      <c r="AE1162" s="248"/>
    </row>
    <row r="1163" spans="2:31" x14ac:dyDescent="0.3">
      <c r="B1163" s="245" t="s">
        <v>37</v>
      </c>
      <c r="C1163" s="245"/>
      <c r="D1163" s="245"/>
      <c r="E1163" s="165">
        <v>0</v>
      </c>
      <c r="F1163" s="166">
        <v>0</v>
      </c>
      <c r="G1163" s="165">
        <v>0</v>
      </c>
      <c r="H1163" s="166">
        <v>0</v>
      </c>
      <c r="I1163" s="165">
        <v>0</v>
      </c>
      <c r="J1163" s="166">
        <v>0</v>
      </c>
      <c r="K1163" s="165">
        <v>0</v>
      </c>
      <c r="L1163" s="166">
        <v>0</v>
      </c>
      <c r="M1163" s="165">
        <v>0</v>
      </c>
      <c r="N1163" s="166">
        <v>0</v>
      </c>
      <c r="O1163" s="165">
        <v>0</v>
      </c>
      <c r="P1163" s="166">
        <v>0</v>
      </c>
      <c r="Q1163" s="165">
        <v>0</v>
      </c>
      <c r="R1163" s="166">
        <v>0</v>
      </c>
      <c r="S1163" s="165">
        <v>0</v>
      </c>
      <c r="T1163" s="166">
        <v>0.66283333333333305</v>
      </c>
      <c r="U1163" s="165">
        <v>0.91816666666666635</v>
      </c>
      <c r="V1163" s="166">
        <v>0.81033333333333324</v>
      </c>
      <c r="W1163" s="165">
        <v>0</v>
      </c>
      <c r="X1163" s="166">
        <v>0</v>
      </c>
      <c r="Y1163" s="165">
        <v>0</v>
      </c>
      <c r="Z1163" s="166">
        <v>0</v>
      </c>
      <c r="AA1163" s="165">
        <v>0</v>
      </c>
      <c r="AB1163" s="166">
        <v>0</v>
      </c>
      <c r="AC1163" s="238">
        <f t="shared" ref="AC1163:AC1195" si="63">SUM(E1163:AB1163)</f>
        <v>2.3913333333333329</v>
      </c>
      <c r="AD1163" s="238"/>
      <c r="AE1163" s="238"/>
    </row>
    <row r="1164" spans="2:31" x14ac:dyDescent="0.3">
      <c r="B1164" s="245" t="s">
        <v>38</v>
      </c>
      <c r="C1164" s="245"/>
      <c r="D1164" s="245"/>
      <c r="E1164" s="165">
        <v>0</v>
      </c>
      <c r="F1164" s="166">
        <v>0</v>
      </c>
      <c r="G1164" s="165">
        <v>0</v>
      </c>
      <c r="H1164" s="166">
        <v>0</v>
      </c>
      <c r="I1164" s="165">
        <v>0</v>
      </c>
      <c r="J1164" s="166">
        <v>0</v>
      </c>
      <c r="K1164" s="165">
        <v>0</v>
      </c>
      <c r="L1164" s="166">
        <v>0</v>
      </c>
      <c r="M1164" s="165">
        <v>0</v>
      </c>
      <c r="N1164" s="166">
        <v>0</v>
      </c>
      <c r="O1164" s="165">
        <v>0</v>
      </c>
      <c r="P1164" s="166">
        <v>0</v>
      </c>
      <c r="Q1164" s="165">
        <v>0</v>
      </c>
      <c r="R1164" s="166">
        <v>0</v>
      </c>
      <c r="S1164" s="165">
        <v>0</v>
      </c>
      <c r="T1164" s="166">
        <v>0</v>
      </c>
      <c r="U1164" s="165">
        <v>0</v>
      </c>
      <c r="V1164" s="166">
        <v>0</v>
      </c>
      <c r="W1164" s="165">
        <v>0</v>
      </c>
      <c r="X1164" s="166">
        <v>0</v>
      </c>
      <c r="Y1164" s="165">
        <v>0</v>
      </c>
      <c r="Z1164" s="166">
        <v>0</v>
      </c>
      <c r="AA1164" s="165">
        <v>0</v>
      </c>
      <c r="AB1164" s="166">
        <v>0</v>
      </c>
      <c r="AC1164" s="238">
        <f t="shared" si="63"/>
        <v>0</v>
      </c>
      <c r="AD1164" s="238"/>
      <c r="AE1164" s="238"/>
    </row>
    <row r="1165" spans="2:31" x14ac:dyDescent="0.3">
      <c r="B1165" s="245" t="s">
        <v>39</v>
      </c>
      <c r="C1165" s="245"/>
      <c r="D1165" s="245"/>
      <c r="E1165" s="165">
        <v>0</v>
      </c>
      <c r="F1165" s="166">
        <v>0</v>
      </c>
      <c r="G1165" s="165">
        <v>0</v>
      </c>
      <c r="H1165" s="166">
        <v>0</v>
      </c>
      <c r="I1165" s="165">
        <v>0</v>
      </c>
      <c r="J1165" s="166">
        <v>0</v>
      </c>
      <c r="K1165" s="165">
        <v>0</v>
      </c>
      <c r="L1165" s="166">
        <v>0</v>
      </c>
      <c r="M1165" s="165">
        <v>0</v>
      </c>
      <c r="N1165" s="166">
        <v>0</v>
      </c>
      <c r="O1165" s="165">
        <v>0</v>
      </c>
      <c r="P1165" s="166">
        <v>0</v>
      </c>
      <c r="Q1165" s="165">
        <v>0</v>
      </c>
      <c r="R1165" s="166">
        <v>0</v>
      </c>
      <c r="S1165" s="165">
        <v>0.26899999999999974</v>
      </c>
      <c r="T1165" s="166">
        <v>0.11666666666666602</v>
      </c>
      <c r="U1165" s="165">
        <v>0.12899999999999984</v>
      </c>
      <c r="V1165" s="166">
        <v>5.5500000000000028E-2</v>
      </c>
      <c r="W1165" s="165">
        <v>0</v>
      </c>
      <c r="X1165" s="166">
        <v>0</v>
      </c>
      <c r="Y1165" s="165">
        <v>0</v>
      </c>
      <c r="Z1165" s="166">
        <v>0</v>
      </c>
      <c r="AA1165" s="165">
        <v>0</v>
      </c>
      <c r="AB1165" s="166">
        <v>0</v>
      </c>
      <c r="AC1165" s="238">
        <f t="shared" si="63"/>
        <v>0.5701666666666656</v>
      </c>
      <c r="AD1165" s="238"/>
      <c r="AE1165" s="238"/>
    </row>
    <row r="1166" spans="2:31" x14ac:dyDescent="0.3">
      <c r="B1166" s="245" t="s">
        <v>40</v>
      </c>
      <c r="C1166" s="245"/>
      <c r="D1166" s="245"/>
      <c r="E1166" s="165">
        <v>0</v>
      </c>
      <c r="F1166" s="166">
        <v>0</v>
      </c>
      <c r="G1166" s="165">
        <v>0</v>
      </c>
      <c r="H1166" s="166">
        <v>0</v>
      </c>
      <c r="I1166" s="165">
        <v>0</v>
      </c>
      <c r="J1166" s="166">
        <v>0</v>
      </c>
      <c r="K1166" s="165">
        <v>0</v>
      </c>
      <c r="L1166" s="166">
        <v>0</v>
      </c>
      <c r="M1166" s="165">
        <v>0</v>
      </c>
      <c r="N1166" s="166">
        <v>0</v>
      </c>
      <c r="O1166" s="165">
        <v>0</v>
      </c>
      <c r="P1166" s="166">
        <v>0</v>
      </c>
      <c r="Q1166" s="165">
        <v>0</v>
      </c>
      <c r="R1166" s="166">
        <v>0</v>
      </c>
      <c r="S1166" s="165">
        <v>0</v>
      </c>
      <c r="T1166" s="166">
        <v>0</v>
      </c>
      <c r="U1166" s="165">
        <v>0</v>
      </c>
      <c r="V1166" s="166">
        <v>0</v>
      </c>
      <c r="W1166" s="165">
        <v>0</v>
      </c>
      <c r="X1166" s="166">
        <v>0</v>
      </c>
      <c r="Y1166" s="165">
        <v>0</v>
      </c>
      <c r="Z1166" s="166">
        <v>0</v>
      </c>
      <c r="AA1166" s="165">
        <v>0</v>
      </c>
      <c r="AB1166" s="166">
        <v>0</v>
      </c>
      <c r="AC1166" s="238">
        <f t="shared" si="63"/>
        <v>0</v>
      </c>
      <c r="AD1166" s="238"/>
      <c r="AE1166" s="238"/>
    </row>
    <row r="1167" spans="2:31" x14ac:dyDescent="0.3">
      <c r="B1167" s="245" t="s">
        <v>41</v>
      </c>
      <c r="C1167" s="245"/>
      <c r="D1167" s="245"/>
      <c r="E1167" s="165">
        <v>0</v>
      </c>
      <c r="F1167" s="166">
        <v>0</v>
      </c>
      <c r="G1167" s="165">
        <v>0</v>
      </c>
      <c r="H1167" s="166">
        <v>0</v>
      </c>
      <c r="I1167" s="165">
        <v>0</v>
      </c>
      <c r="J1167" s="166">
        <v>0</v>
      </c>
      <c r="K1167" s="165">
        <v>0</v>
      </c>
      <c r="L1167" s="166">
        <v>0</v>
      </c>
      <c r="M1167" s="165">
        <v>0</v>
      </c>
      <c r="N1167" s="166">
        <v>0</v>
      </c>
      <c r="O1167" s="165">
        <v>0</v>
      </c>
      <c r="P1167" s="166">
        <v>0</v>
      </c>
      <c r="Q1167" s="165">
        <v>0</v>
      </c>
      <c r="R1167" s="166">
        <v>0</v>
      </c>
      <c r="S1167" s="165">
        <v>0</v>
      </c>
      <c r="T1167" s="166">
        <v>0</v>
      </c>
      <c r="U1167" s="165">
        <v>0</v>
      </c>
      <c r="V1167" s="166">
        <v>0</v>
      </c>
      <c r="W1167" s="165">
        <v>0</v>
      </c>
      <c r="X1167" s="166">
        <v>0</v>
      </c>
      <c r="Y1167" s="165">
        <v>0</v>
      </c>
      <c r="Z1167" s="166">
        <v>0</v>
      </c>
      <c r="AA1167" s="165">
        <v>0</v>
      </c>
      <c r="AB1167" s="166">
        <v>0</v>
      </c>
      <c r="AC1167" s="238">
        <f t="shared" si="63"/>
        <v>0</v>
      </c>
      <c r="AD1167" s="238"/>
      <c r="AE1167" s="238"/>
    </row>
    <row r="1168" spans="2:31" x14ac:dyDescent="0.3">
      <c r="B1168" s="245" t="s">
        <v>42</v>
      </c>
      <c r="C1168" s="245"/>
      <c r="D1168" s="245"/>
      <c r="E1168" s="165">
        <v>0</v>
      </c>
      <c r="F1168" s="166">
        <v>0</v>
      </c>
      <c r="G1168" s="165">
        <v>0</v>
      </c>
      <c r="H1168" s="166">
        <v>0</v>
      </c>
      <c r="I1168" s="165">
        <v>0</v>
      </c>
      <c r="J1168" s="166">
        <v>0</v>
      </c>
      <c r="K1168" s="165">
        <v>0</v>
      </c>
      <c r="L1168" s="166">
        <v>0</v>
      </c>
      <c r="M1168" s="165">
        <v>0</v>
      </c>
      <c r="N1168" s="166">
        <v>0</v>
      </c>
      <c r="O1168" s="165">
        <v>0</v>
      </c>
      <c r="P1168" s="166">
        <v>0</v>
      </c>
      <c r="Q1168" s="165">
        <v>0</v>
      </c>
      <c r="R1168" s="166">
        <v>0</v>
      </c>
      <c r="S1168" s="165">
        <v>0</v>
      </c>
      <c r="T1168" s="166">
        <v>0</v>
      </c>
      <c r="U1168" s="165">
        <v>0</v>
      </c>
      <c r="V1168" s="166">
        <v>0</v>
      </c>
      <c r="W1168" s="165">
        <v>0</v>
      </c>
      <c r="X1168" s="166">
        <v>0</v>
      </c>
      <c r="Y1168" s="165">
        <v>0</v>
      </c>
      <c r="Z1168" s="166">
        <v>0</v>
      </c>
      <c r="AA1168" s="165">
        <v>0</v>
      </c>
      <c r="AB1168" s="166">
        <v>0</v>
      </c>
      <c r="AC1168" s="238">
        <f t="shared" si="63"/>
        <v>0</v>
      </c>
      <c r="AD1168" s="238"/>
      <c r="AE1168" s="238"/>
    </row>
    <row r="1169" spans="2:31" x14ac:dyDescent="0.3">
      <c r="B1169" s="245" t="s">
        <v>43</v>
      </c>
      <c r="C1169" s="245"/>
      <c r="D1169" s="245"/>
      <c r="E1169" s="165">
        <v>0</v>
      </c>
      <c r="F1169" s="166">
        <v>0</v>
      </c>
      <c r="G1169" s="165">
        <v>0</v>
      </c>
      <c r="H1169" s="166">
        <v>0</v>
      </c>
      <c r="I1169" s="165">
        <v>0</v>
      </c>
      <c r="J1169" s="166">
        <v>0</v>
      </c>
      <c r="K1169" s="165">
        <v>0</v>
      </c>
      <c r="L1169" s="166">
        <v>0</v>
      </c>
      <c r="M1169" s="165">
        <v>0</v>
      </c>
      <c r="N1169" s="166">
        <v>0</v>
      </c>
      <c r="O1169" s="165">
        <v>4.4623333333333326</v>
      </c>
      <c r="P1169" s="166">
        <v>10.46033333333334</v>
      </c>
      <c r="Q1169" s="165">
        <v>0</v>
      </c>
      <c r="R1169" s="166">
        <v>18.160833333333333</v>
      </c>
      <c r="S1169" s="165">
        <v>20.145666666666667</v>
      </c>
      <c r="T1169" s="166">
        <v>20.193500000000025</v>
      </c>
      <c r="U1169" s="165">
        <v>18.412000000000024</v>
      </c>
      <c r="V1169" s="166">
        <v>17.776166666666665</v>
      </c>
      <c r="W1169" s="165">
        <v>1.7154999999999996</v>
      </c>
      <c r="X1169" s="166">
        <v>0</v>
      </c>
      <c r="Y1169" s="165">
        <v>0</v>
      </c>
      <c r="Z1169" s="166">
        <v>0</v>
      </c>
      <c r="AA1169" s="165">
        <v>0</v>
      </c>
      <c r="AB1169" s="166">
        <v>0</v>
      </c>
      <c r="AC1169" s="238">
        <f t="shared" si="63"/>
        <v>111.32633333333339</v>
      </c>
      <c r="AD1169" s="238"/>
      <c r="AE1169" s="238"/>
    </row>
    <row r="1170" spans="2:31" x14ac:dyDescent="0.3">
      <c r="B1170" s="245" t="s">
        <v>44</v>
      </c>
      <c r="C1170" s="245"/>
      <c r="D1170" s="245"/>
      <c r="E1170" s="165">
        <v>0</v>
      </c>
      <c r="F1170" s="166">
        <v>0</v>
      </c>
      <c r="G1170" s="165">
        <v>0</v>
      </c>
      <c r="H1170" s="166">
        <v>0</v>
      </c>
      <c r="I1170" s="165">
        <v>0</v>
      </c>
      <c r="J1170" s="166">
        <v>0</v>
      </c>
      <c r="K1170" s="165">
        <v>0</v>
      </c>
      <c r="L1170" s="166">
        <v>0</v>
      </c>
      <c r="M1170" s="165">
        <v>0</v>
      </c>
      <c r="N1170" s="166">
        <v>0</v>
      </c>
      <c r="O1170" s="165">
        <v>0</v>
      </c>
      <c r="P1170" s="166">
        <v>0</v>
      </c>
      <c r="Q1170" s="165">
        <v>0</v>
      </c>
      <c r="R1170" s="166">
        <v>0</v>
      </c>
      <c r="S1170" s="165">
        <v>0</v>
      </c>
      <c r="T1170" s="166">
        <v>0</v>
      </c>
      <c r="U1170" s="165">
        <v>0</v>
      </c>
      <c r="V1170" s="166">
        <v>3.4666666666666637E-2</v>
      </c>
      <c r="W1170" s="165">
        <v>0</v>
      </c>
      <c r="X1170" s="166">
        <v>0</v>
      </c>
      <c r="Y1170" s="165">
        <v>0</v>
      </c>
      <c r="Z1170" s="166">
        <v>0</v>
      </c>
      <c r="AA1170" s="165">
        <v>0</v>
      </c>
      <c r="AB1170" s="166">
        <v>0</v>
      </c>
      <c r="AC1170" s="238">
        <f t="shared" si="63"/>
        <v>3.4666666666666637E-2</v>
      </c>
      <c r="AD1170" s="238"/>
      <c r="AE1170" s="238"/>
    </row>
    <row r="1171" spans="2:31" x14ac:dyDescent="0.3">
      <c r="B1171" s="245" t="s">
        <v>45</v>
      </c>
      <c r="C1171" s="245"/>
      <c r="D1171" s="245"/>
      <c r="E1171" s="165">
        <v>0</v>
      </c>
      <c r="F1171" s="166">
        <v>0</v>
      </c>
      <c r="G1171" s="165">
        <v>0</v>
      </c>
      <c r="H1171" s="166">
        <v>0</v>
      </c>
      <c r="I1171" s="165">
        <v>0</v>
      </c>
      <c r="J1171" s="166">
        <v>0</v>
      </c>
      <c r="K1171" s="165">
        <v>0</v>
      </c>
      <c r="L1171" s="166">
        <v>0</v>
      </c>
      <c r="M1171" s="165">
        <v>0</v>
      </c>
      <c r="N1171" s="166">
        <v>0</v>
      </c>
      <c r="O1171" s="165">
        <v>0</v>
      </c>
      <c r="P1171" s="166">
        <v>0</v>
      </c>
      <c r="Q1171" s="165">
        <v>0.52050000000000018</v>
      </c>
      <c r="R1171" s="166">
        <v>5.2601666666666764</v>
      </c>
      <c r="S1171" s="165">
        <v>21.426500000000019</v>
      </c>
      <c r="T1171" s="166">
        <v>2.5499999999999998</v>
      </c>
      <c r="U1171" s="165">
        <v>0.87066666666666614</v>
      </c>
      <c r="V1171" s="166">
        <v>15.118666666666682</v>
      </c>
      <c r="W1171" s="165">
        <v>2.9071666666666678</v>
      </c>
      <c r="X1171" s="166">
        <v>1.5000000000000124E-3</v>
      </c>
      <c r="Y1171" s="165">
        <v>0</v>
      </c>
      <c r="Z1171" s="166">
        <v>0</v>
      </c>
      <c r="AA1171" s="165">
        <v>0</v>
      </c>
      <c r="AB1171" s="166">
        <v>0</v>
      </c>
      <c r="AC1171" s="238">
        <f t="shared" si="63"/>
        <v>48.655166666666709</v>
      </c>
      <c r="AD1171" s="238"/>
      <c r="AE1171" s="238"/>
    </row>
    <row r="1172" spans="2:31" x14ac:dyDescent="0.3">
      <c r="B1172" s="245" t="s">
        <v>46</v>
      </c>
      <c r="C1172" s="245"/>
      <c r="D1172" s="245"/>
      <c r="E1172" s="165">
        <v>0</v>
      </c>
      <c r="F1172" s="166">
        <v>0</v>
      </c>
      <c r="G1172" s="165">
        <v>0</v>
      </c>
      <c r="H1172" s="166">
        <v>0</v>
      </c>
      <c r="I1172" s="165">
        <v>0</v>
      </c>
      <c r="J1172" s="166">
        <v>0</v>
      </c>
      <c r="K1172" s="165">
        <v>0</v>
      </c>
      <c r="L1172" s="166">
        <v>0</v>
      </c>
      <c r="M1172" s="165">
        <v>0</v>
      </c>
      <c r="N1172" s="166">
        <v>0</v>
      </c>
      <c r="O1172" s="165">
        <v>0</v>
      </c>
      <c r="P1172" s="166">
        <v>0</v>
      </c>
      <c r="Q1172" s="165">
        <v>5.9500000000000358E-2</v>
      </c>
      <c r="R1172" s="166">
        <v>0</v>
      </c>
      <c r="S1172" s="165">
        <v>23.862999999999992</v>
      </c>
      <c r="T1172" s="166">
        <v>38.817333333333281</v>
      </c>
      <c r="U1172" s="165">
        <v>29.16650000000001</v>
      </c>
      <c r="V1172" s="166">
        <v>15.870000000000005</v>
      </c>
      <c r="W1172" s="165">
        <v>0</v>
      </c>
      <c r="X1172" s="166">
        <v>0</v>
      </c>
      <c r="Y1172" s="165">
        <v>0</v>
      </c>
      <c r="Z1172" s="166">
        <v>0</v>
      </c>
      <c r="AA1172" s="165">
        <v>0</v>
      </c>
      <c r="AB1172" s="166">
        <v>0</v>
      </c>
      <c r="AC1172" s="238">
        <f t="shared" si="63"/>
        <v>107.77633333333328</v>
      </c>
      <c r="AD1172" s="238"/>
      <c r="AE1172" s="238"/>
    </row>
    <row r="1173" spans="2:31" x14ac:dyDescent="0.3">
      <c r="B1173" s="245" t="s">
        <v>47</v>
      </c>
      <c r="C1173" s="245"/>
      <c r="D1173" s="245"/>
      <c r="E1173" s="165">
        <v>0</v>
      </c>
      <c r="F1173" s="166">
        <v>0</v>
      </c>
      <c r="G1173" s="165">
        <v>0</v>
      </c>
      <c r="H1173" s="166">
        <v>0</v>
      </c>
      <c r="I1173" s="165">
        <v>0</v>
      </c>
      <c r="J1173" s="166">
        <v>0</v>
      </c>
      <c r="K1173" s="165">
        <v>0</v>
      </c>
      <c r="L1173" s="166">
        <v>0</v>
      </c>
      <c r="M1173" s="165">
        <v>0</v>
      </c>
      <c r="N1173" s="166">
        <v>0</v>
      </c>
      <c r="O1173" s="165">
        <v>0</v>
      </c>
      <c r="P1173" s="166">
        <v>0</v>
      </c>
      <c r="Q1173" s="165">
        <v>0</v>
      </c>
      <c r="R1173" s="166">
        <v>0</v>
      </c>
      <c r="S1173" s="165">
        <v>4.2210000000000019</v>
      </c>
      <c r="T1173" s="166">
        <v>5.6999999999999931</v>
      </c>
      <c r="U1173" s="165">
        <v>2.9000000000000035</v>
      </c>
      <c r="V1173" s="166">
        <v>2.6543333333333332</v>
      </c>
      <c r="W1173" s="165">
        <v>3.1999999999999321E-2</v>
      </c>
      <c r="X1173" s="166">
        <v>0</v>
      </c>
      <c r="Y1173" s="165">
        <v>0</v>
      </c>
      <c r="Z1173" s="166">
        <v>0</v>
      </c>
      <c r="AA1173" s="165">
        <v>0</v>
      </c>
      <c r="AB1173" s="166">
        <v>0</v>
      </c>
      <c r="AC1173" s="238">
        <f t="shared" si="63"/>
        <v>15.507333333333333</v>
      </c>
      <c r="AD1173" s="238"/>
      <c r="AE1173" s="238"/>
    </row>
    <row r="1174" spans="2:31" x14ac:dyDescent="0.3">
      <c r="B1174" s="245" t="s">
        <v>48</v>
      </c>
      <c r="C1174" s="245"/>
      <c r="D1174" s="245"/>
      <c r="E1174" s="165">
        <v>0</v>
      </c>
      <c r="F1174" s="166">
        <v>0</v>
      </c>
      <c r="G1174" s="165">
        <v>0</v>
      </c>
      <c r="H1174" s="166">
        <v>0</v>
      </c>
      <c r="I1174" s="165">
        <v>0</v>
      </c>
      <c r="J1174" s="166">
        <v>0</v>
      </c>
      <c r="K1174" s="165">
        <v>0</v>
      </c>
      <c r="L1174" s="166">
        <v>0</v>
      </c>
      <c r="M1174" s="165">
        <v>0</v>
      </c>
      <c r="N1174" s="166">
        <v>0</v>
      </c>
      <c r="O1174" s="165">
        <v>0</v>
      </c>
      <c r="P1174" s="166">
        <v>0</v>
      </c>
      <c r="Q1174" s="165">
        <v>0</v>
      </c>
      <c r="R1174" s="166">
        <v>0</v>
      </c>
      <c r="S1174" s="165">
        <v>1.5301666666666656</v>
      </c>
      <c r="T1174" s="166">
        <v>5.4700000000000042</v>
      </c>
      <c r="U1174" s="165">
        <v>3.3700000000000023</v>
      </c>
      <c r="V1174" s="166">
        <v>3.1709999999999976</v>
      </c>
      <c r="W1174" s="165">
        <v>0.79283333333333417</v>
      </c>
      <c r="X1174" s="166">
        <v>0</v>
      </c>
      <c r="Y1174" s="165">
        <v>0</v>
      </c>
      <c r="Z1174" s="166">
        <v>0</v>
      </c>
      <c r="AA1174" s="165">
        <v>0</v>
      </c>
      <c r="AB1174" s="166">
        <v>0</v>
      </c>
      <c r="AC1174" s="238">
        <f t="shared" si="63"/>
        <v>14.334000000000003</v>
      </c>
      <c r="AD1174" s="238"/>
      <c r="AE1174" s="238"/>
    </row>
    <row r="1175" spans="2:31" x14ac:dyDescent="0.3">
      <c r="B1175" s="245" t="s">
        <v>49</v>
      </c>
      <c r="C1175" s="245"/>
      <c r="D1175" s="245"/>
      <c r="E1175" s="165">
        <v>0</v>
      </c>
      <c r="F1175" s="166">
        <v>0</v>
      </c>
      <c r="G1175" s="165">
        <v>0</v>
      </c>
      <c r="H1175" s="166">
        <v>0</v>
      </c>
      <c r="I1175" s="165">
        <v>0</v>
      </c>
      <c r="J1175" s="166">
        <v>0</v>
      </c>
      <c r="K1175" s="165">
        <v>0</v>
      </c>
      <c r="L1175" s="166">
        <v>0</v>
      </c>
      <c r="M1175" s="165">
        <v>0</v>
      </c>
      <c r="N1175" s="166">
        <v>0</v>
      </c>
      <c r="O1175" s="165">
        <v>0</v>
      </c>
      <c r="P1175" s="166">
        <v>0</v>
      </c>
      <c r="Q1175" s="165">
        <v>23.470166666666664</v>
      </c>
      <c r="R1175" s="166">
        <v>19.061833333333347</v>
      </c>
      <c r="S1175" s="165">
        <v>6.9914999999999878</v>
      </c>
      <c r="T1175" s="166">
        <v>0</v>
      </c>
      <c r="U1175" s="165">
        <v>13.510333333333337</v>
      </c>
      <c r="V1175" s="166">
        <v>1.1578333333333353</v>
      </c>
      <c r="W1175" s="165">
        <v>0</v>
      </c>
      <c r="X1175" s="166">
        <v>0</v>
      </c>
      <c r="Y1175" s="165">
        <v>0</v>
      </c>
      <c r="Z1175" s="166">
        <v>0</v>
      </c>
      <c r="AA1175" s="165">
        <v>0</v>
      </c>
      <c r="AB1175" s="166">
        <v>0</v>
      </c>
      <c r="AC1175" s="238">
        <f t="shared" si="63"/>
        <v>64.191666666666663</v>
      </c>
      <c r="AD1175" s="238"/>
      <c r="AE1175" s="238"/>
    </row>
    <row r="1176" spans="2:31" x14ac:dyDescent="0.3">
      <c r="B1176" s="245" t="s">
        <v>50</v>
      </c>
      <c r="C1176" s="245"/>
      <c r="D1176" s="245"/>
      <c r="E1176" s="165">
        <v>0</v>
      </c>
      <c r="F1176" s="166">
        <v>0</v>
      </c>
      <c r="G1176" s="165">
        <v>0</v>
      </c>
      <c r="H1176" s="166">
        <v>0</v>
      </c>
      <c r="I1176" s="165">
        <v>0</v>
      </c>
      <c r="J1176" s="166">
        <v>0</v>
      </c>
      <c r="K1176" s="165">
        <v>0</v>
      </c>
      <c r="L1176" s="166">
        <v>0</v>
      </c>
      <c r="M1176" s="165">
        <v>0</v>
      </c>
      <c r="N1176" s="166">
        <v>0</v>
      </c>
      <c r="O1176" s="165">
        <v>0</v>
      </c>
      <c r="P1176" s="166">
        <v>0</v>
      </c>
      <c r="Q1176" s="165">
        <v>0</v>
      </c>
      <c r="R1176" s="166">
        <v>0</v>
      </c>
      <c r="S1176" s="165">
        <v>0</v>
      </c>
      <c r="T1176" s="166">
        <v>0</v>
      </c>
      <c r="U1176" s="165">
        <v>0</v>
      </c>
      <c r="V1176" s="166">
        <v>0</v>
      </c>
      <c r="W1176" s="165">
        <v>0</v>
      </c>
      <c r="X1176" s="166">
        <v>0</v>
      </c>
      <c r="Y1176" s="165">
        <v>0</v>
      </c>
      <c r="Z1176" s="166">
        <v>0</v>
      </c>
      <c r="AA1176" s="165">
        <v>0</v>
      </c>
      <c r="AB1176" s="166">
        <v>0</v>
      </c>
      <c r="AC1176" s="238">
        <f t="shared" si="63"/>
        <v>0</v>
      </c>
      <c r="AD1176" s="238"/>
      <c r="AE1176" s="238"/>
    </row>
    <row r="1177" spans="2:31" x14ac:dyDescent="0.3">
      <c r="B1177" s="245" t="s">
        <v>97</v>
      </c>
      <c r="C1177" s="245"/>
      <c r="D1177" s="245"/>
      <c r="E1177" s="165">
        <v>0</v>
      </c>
      <c r="F1177" s="166">
        <v>0</v>
      </c>
      <c r="G1177" s="165">
        <v>0</v>
      </c>
      <c r="H1177" s="166">
        <v>0</v>
      </c>
      <c r="I1177" s="165">
        <v>0</v>
      </c>
      <c r="J1177" s="166">
        <v>0</v>
      </c>
      <c r="K1177" s="165">
        <v>0</v>
      </c>
      <c r="L1177" s="166">
        <v>0</v>
      </c>
      <c r="M1177" s="165">
        <v>0</v>
      </c>
      <c r="N1177" s="166">
        <v>0</v>
      </c>
      <c r="O1177" s="165">
        <v>0</v>
      </c>
      <c r="P1177" s="166">
        <v>0</v>
      </c>
      <c r="Q1177" s="165">
        <v>0</v>
      </c>
      <c r="R1177" s="166">
        <v>0</v>
      </c>
      <c r="S1177" s="165">
        <v>0</v>
      </c>
      <c r="T1177" s="166">
        <v>0</v>
      </c>
      <c r="U1177" s="165">
        <v>0</v>
      </c>
      <c r="V1177" s="166">
        <v>0</v>
      </c>
      <c r="W1177" s="165">
        <v>0</v>
      </c>
      <c r="X1177" s="166">
        <v>0</v>
      </c>
      <c r="Y1177" s="165">
        <v>0</v>
      </c>
      <c r="Z1177" s="166">
        <v>0</v>
      </c>
      <c r="AA1177" s="165">
        <v>0</v>
      </c>
      <c r="AB1177" s="166">
        <v>0</v>
      </c>
      <c r="AC1177" s="238">
        <f t="shared" si="63"/>
        <v>0</v>
      </c>
      <c r="AD1177" s="238"/>
      <c r="AE1177" s="238"/>
    </row>
    <row r="1178" spans="2:31" x14ac:dyDescent="0.3">
      <c r="B1178" s="245" t="s">
        <v>51</v>
      </c>
      <c r="C1178" s="245"/>
      <c r="D1178" s="245"/>
      <c r="E1178" s="165">
        <v>0</v>
      </c>
      <c r="F1178" s="166">
        <v>0</v>
      </c>
      <c r="G1178" s="165">
        <v>0</v>
      </c>
      <c r="H1178" s="166">
        <v>0</v>
      </c>
      <c r="I1178" s="165">
        <v>0</v>
      </c>
      <c r="J1178" s="166">
        <v>0</v>
      </c>
      <c r="K1178" s="165">
        <v>0</v>
      </c>
      <c r="L1178" s="166">
        <v>0</v>
      </c>
      <c r="M1178" s="165">
        <v>0</v>
      </c>
      <c r="N1178" s="166">
        <v>0</v>
      </c>
      <c r="O1178" s="165">
        <v>0</v>
      </c>
      <c r="P1178" s="166">
        <v>0</v>
      </c>
      <c r="Q1178" s="165">
        <v>0</v>
      </c>
      <c r="R1178" s="166">
        <v>9.583499999999999</v>
      </c>
      <c r="S1178" s="165">
        <v>30.92733333333333</v>
      </c>
      <c r="T1178" s="166">
        <v>30.9665</v>
      </c>
      <c r="U1178" s="165">
        <v>30.960833333333326</v>
      </c>
      <c r="V1178" s="166">
        <v>32.137666666666668</v>
      </c>
      <c r="W1178" s="165">
        <v>13.032833333333336</v>
      </c>
      <c r="X1178" s="166">
        <v>0</v>
      </c>
      <c r="Y1178" s="165">
        <v>0</v>
      </c>
      <c r="Z1178" s="166">
        <v>0</v>
      </c>
      <c r="AA1178" s="165">
        <v>0</v>
      </c>
      <c r="AB1178" s="166">
        <v>0</v>
      </c>
      <c r="AC1178" s="238">
        <f t="shared" si="63"/>
        <v>147.60866666666666</v>
      </c>
      <c r="AD1178" s="238"/>
      <c r="AE1178" s="238"/>
    </row>
    <row r="1179" spans="2:31" x14ac:dyDescent="0.3">
      <c r="B1179" s="245" t="s">
        <v>52</v>
      </c>
      <c r="C1179" s="245"/>
      <c r="D1179" s="245"/>
      <c r="E1179" s="165">
        <v>0</v>
      </c>
      <c r="F1179" s="166">
        <v>0</v>
      </c>
      <c r="G1179" s="165">
        <v>0</v>
      </c>
      <c r="H1179" s="166">
        <v>0</v>
      </c>
      <c r="I1179" s="165">
        <v>0</v>
      </c>
      <c r="J1179" s="166">
        <v>0</v>
      </c>
      <c r="K1179" s="165">
        <v>0</v>
      </c>
      <c r="L1179" s="166">
        <v>0</v>
      </c>
      <c r="M1179" s="165">
        <v>0</v>
      </c>
      <c r="N1179" s="166">
        <v>0</v>
      </c>
      <c r="O1179" s="165">
        <v>0</v>
      </c>
      <c r="P1179" s="166">
        <v>0</v>
      </c>
      <c r="Q1179" s="165">
        <v>0</v>
      </c>
      <c r="R1179" s="166">
        <v>0</v>
      </c>
      <c r="S1179" s="165">
        <v>0</v>
      </c>
      <c r="T1179" s="166">
        <v>0</v>
      </c>
      <c r="U1179" s="165">
        <v>0</v>
      </c>
      <c r="V1179" s="166">
        <v>0</v>
      </c>
      <c r="W1179" s="165">
        <v>0</v>
      </c>
      <c r="X1179" s="166">
        <v>0</v>
      </c>
      <c r="Y1179" s="165">
        <v>0</v>
      </c>
      <c r="Z1179" s="166">
        <v>0</v>
      </c>
      <c r="AA1179" s="165">
        <v>0</v>
      </c>
      <c r="AB1179" s="166">
        <v>0</v>
      </c>
      <c r="AC1179" s="238">
        <f t="shared" si="63"/>
        <v>0</v>
      </c>
      <c r="AD1179" s="238"/>
      <c r="AE1179" s="238"/>
    </row>
    <row r="1180" spans="2:31" x14ac:dyDescent="0.3">
      <c r="B1180" s="245" t="s">
        <v>53</v>
      </c>
      <c r="C1180" s="245"/>
      <c r="D1180" s="245"/>
      <c r="E1180" s="165">
        <v>0</v>
      </c>
      <c r="F1180" s="166">
        <v>0</v>
      </c>
      <c r="G1180" s="165">
        <v>0</v>
      </c>
      <c r="H1180" s="166">
        <v>0</v>
      </c>
      <c r="I1180" s="165">
        <v>0</v>
      </c>
      <c r="J1180" s="166">
        <v>0</v>
      </c>
      <c r="K1180" s="165">
        <v>0</v>
      </c>
      <c r="L1180" s="166">
        <v>0</v>
      </c>
      <c r="M1180" s="165">
        <v>0</v>
      </c>
      <c r="N1180" s="166">
        <v>0</v>
      </c>
      <c r="O1180" s="165">
        <v>0</v>
      </c>
      <c r="P1180" s="166">
        <v>0</v>
      </c>
      <c r="Q1180" s="165">
        <v>0</v>
      </c>
      <c r="R1180" s="166">
        <v>2.8336666666666641</v>
      </c>
      <c r="S1180" s="165">
        <v>7.3650000000000055</v>
      </c>
      <c r="T1180" s="166">
        <v>10.255333333333336</v>
      </c>
      <c r="U1180" s="165">
        <v>6.8874999999999993</v>
      </c>
      <c r="V1180" s="166">
        <v>0</v>
      </c>
      <c r="W1180" s="165">
        <v>0</v>
      </c>
      <c r="X1180" s="166">
        <v>0</v>
      </c>
      <c r="Y1180" s="165">
        <v>0</v>
      </c>
      <c r="Z1180" s="166">
        <v>0</v>
      </c>
      <c r="AA1180" s="165">
        <v>0</v>
      </c>
      <c r="AB1180" s="166">
        <v>0</v>
      </c>
      <c r="AC1180" s="238">
        <f t="shared" si="63"/>
        <v>27.341500000000007</v>
      </c>
      <c r="AD1180" s="238"/>
      <c r="AE1180" s="238"/>
    </row>
    <row r="1181" spans="2:31" x14ac:dyDescent="0.3">
      <c r="B1181" s="245" t="s">
        <v>54</v>
      </c>
      <c r="C1181" s="245"/>
      <c r="D1181" s="245"/>
      <c r="E1181" s="165">
        <v>0</v>
      </c>
      <c r="F1181" s="166">
        <v>0</v>
      </c>
      <c r="G1181" s="165">
        <v>0</v>
      </c>
      <c r="H1181" s="166">
        <v>0</v>
      </c>
      <c r="I1181" s="165">
        <v>0</v>
      </c>
      <c r="J1181" s="166">
        <v>0</v>
      </c>
      <c r="K1181" s="165">
        <v>0</v>
      </c>
      <c r="L1181" s="166">
        <v>0</v>
      </c>
      <c r="M1181" s="165">
        <v>0</v>
      </c>
      <c r="N1181" s="166">
        <v>0</v>
      </c>
      <c r="O1181" s="165">
        <v>0</v>
      </c>
      <c r="P1181" s="166">
        <v>0</v>
      </c>
      <c r="Q1181" s="165">
        <v>0</v>
      </c>
      <c r="R1181" s="166">
        <v>30.633333333333344</v>
      </c>
      <c r="S1181" s="165">
        <v>74.107000000000014</v>
      </c>
      <c r="T1181" s="166">
        <v>9.7403333333333286</v>
      </c>
      <c r="U1181" s="165">
        <v>51.250833333333304</v>
      </c>
      <c r="V1181" s="166">
        <v>92.199999999999903</v>
      </c>
      <c r="W1181" s="165">
        <v>44.536666666666655</v>
      </c>
      <c r="X1181" s="166">
        <v>0</v>
      </c>
      <c r="Y1181" s="165">
        <v>0</v>
      </c>
      <c r="Z1181" s="166">
        <v>0</v>
      </c>
      <c r="AA1181" s="165">
        <v>0</v>
      </c>
      <c r="AB1181" s="166">
        <v>0</v>
      </c>
      <c r="AC1181" s="238">
        <f t="shared" si="63"/>
        <v>302.46816666666655</v>
      </c>
      <c r="AD1181" s="238"/>
      <c r="AE1181" s="238"/>
    </row>
    <row r="1182" spans="2:31" x14ac:dyDescent="0.3">
      <c r="B1182" s="245" t="s">
        <v>55</v>
      </c>
      <c r="C1182" s="245"/>
      <c r="D1182" s="245"/>
      <c r="E1182" s="165">
        <v>0</v>
      </c>
      <c r="F1182" s="166">
        <v>0</v>
      </c>
      <c r="G1182" s="165">
        <v>0</v>
      </c>
      <c r="H1182" s="166">
        <v>0</v>
      </c>
      <c r="I1182" s="165">
        <v>0</v>
      </c>
      <c r="J1182" s="166">
        <v>0</v>
      </c>
      <c r="K1182" s="165">
        <v>0</v>
      </c>
      <c r="L1182" s="166">
        <v>0</v>
      </c>
      <c r="M1182" s="165">
        <v>0</v>
      </c>
      <c r="N1182" s="166">
        <v>0</v>
      </c>
      <c r="O1182" s="165">
        <v>0</v>
      </c>
      <c r="P1182" s="166">
        <v>0</v>
      </c>
      <c r="Q1182" s="165">
        <v>0</v>
      </c>
      <c r="R1182" s="166">
        <v>9.6000000000000793E-2</v>
      </c>
      <c r="S1182" s="165">
        <v>0</v>
      </c>
      <c r="T1182" s="166">
        <v>0</v>
      </c>
      <c r="U1182" s="165">
        <v>0</v>
      </c>
      <c r="V1182" s="166">
        <v>0</v>
      </c>
      <c r="W1182" s="165">
        <v>0</v>
      </c>
      <c r="X1182" s="166">
        <v>0</v>
      </c>
      <c r="Y1182" s="165">
        <v>0</v>
      </c>
      <c r="Z1182" s="166">
        <v>0</v>
      </c>
      <c r="AA1182" s="165">
        <v>0</v>
      </c>
      <c r="AB1182" s="166">
        <v>0</v>
      </c>
      <c r="AC1182" s="238">
        <f t="shared" si="63"/>
        <v>9.6000000000000793E-2</v>
      </c>
      <c r="AD1182" s="238"/>
      <c r="AE1182" s="238"/>
    </row>
    <row r="1183" spans="2:31" x14ac:dyDescent="0.3">
      <c r="B1183" s="245" t="s">
        <v>56</v>
      </c>
      <c r="C1183" s="245"/>
      <c r="D1183" s="245"/>
      <c r="E1183" s="165">
        <v>0</v>
      </c>
      <c r="F1183" s="166">
        <v>0</v>
      </c>
      <c r="G1183" s="165">
        <v>0</v>
      </c>
      <c r="H1183" s="166">
        <v>0</v>
      </c>
      <c r="I1183" s="165">
        <v>0</v>
      </c>
      <c r="J1183" s="166">
        <v>0</v>
      </c>
      <c r="K1183" s="165">
        <v>0</v>
      </c>
      <c r="L1183" s="166">
        <v>0</v>
      </c>
      <c r="M1183" s="165">
        <v>0</v>
      </c>
      <c r="N1183" s="166">
        <v>0</v>
      </c>
      <c r="O1183" s="165">
        <v>0</v>
      </c>
      <c r="P1183" s="166">
        <v>0</v>
      </c>
      <c r="Q1183" s="165">
        <v>0</v>
      </c>
      <c r="R1183" s="166">
        <v>0</v>
      </c>
      <c r="S1183" s="165">
        <v>0</v>
      </c>
      <c r="T1183" s="166">
        <v>6.0833333333332365E-2</v>
      </c>
      <c r="U1183" s="165">
        <v>2.5999999999999326E-2</v>
      </c>
      <c r="V1183" s="166">
        <v>0</v>
      </c>
      <c r="W1183" s="165">
        <v>0</v>
      </c>
      <c r="X1183" s="166">
        <v>0</v>
      </c>
      <c r="Y1183" s="165">
        <v>0</v>
      </c>
      <c r="Z1183" s="166">
        <v>0</v>
      </c>
      <c r="AA1183" s="165">
        <v>0</v>
      </c>
      <c r="AB1183" s="166">
        <v>0</v>
      </c>
      <c r="AC1183" s="238">
        <f t="shared" si="63"/>
        <v>8.6833333333331694E-2</v>
      </c>
      <c r="AD1183" s="238"/>
      <c r="AE1183" s="238"/>
    </row>
    <row r="1184" spans="2:31" x14ac:dyDescent="0.3">
      <c r="B1184" s="245" t="s">
        <v>94</v>
      </c>
      <c r="C1184" s="245"/>
      <c r="D1184" s="245"/>
      <c r="E1184" s="165">
        <v>0</v>
      </c>
      <c r="F1184" s="166">
        <v>0</v>
      </c>
      <c r="G1184" s="165">
        <v>0</v>
      </c>
      <c r="H1184" s="166">
        <v>0</v>
      </c>
      <c r="I1184" s="165">
        <v>0</v>
      </c>
      <c r="J1184" s="166">
        <v>0</v>
      </c>
      <c r="K1184" s="165">
        <v>0</v>
      </c>
      <c r="L1184" s="166">
        <v>0</v>
      </c>
      <c r="M1184" s="165">
        <v>0</v>
      </c>
      <c r="N1184" s="166">
        <v>0</v>
      </c>
      <c r="O1184" s="165">
        <v>0</v>
      </c>
      <c r="P1184" s="166">
        <v>0</v>
      </c>
      <c r="Q1184" s="165">
        <v>0</v>
      </c>
      <c r="R1184" s="166">
        <v>0</v>
      </c>
      <c r="S1184" s="165">
        <v>0</v>
      </c>
      <c r="T1184" s="166">
        <v>0</v>
      </c>
      <c r="U1184" s="165">
        <v>0</v>
      </c>
      <c r="V1184" s="166">
        <v>0</v>
      </c>
      <c r="W1184" s="165">
        <v>0</v>
      </c>
      <c r="X1184" s="166">
        <v>0</v>
      </c>
      <c r="Y1184" s="165">
        <v>0</v>
      </c>
      <c r="Z1184" s="166">
        <v>0</v>
      </c>
      <c r="AA1184" s="165">
        <v>0</v>
      </c>
      <c r="AB1184" s="166">
        <v>0</v>
      </c>
      <c r="AC1184" s="238">
        <f t="shared" si="63"/>
        <v>0</v>
      </c>
      <c r="AD1184" s="238"/>
      <c r="AE1184" s="238"/>
    </row>
    <row r="1185" spans="2:31" x14ac:dyDescent="0.3">
      <c r="B1185" s="245" t="s">
        <v>57</v>
      </c>
      <c r="C1185" s="245"/>
      <c r="D1185" s="245"/>
      <c r="E1185" s="165">
        <v>0</v>
      </c>
      <c r="F1185" s="166">
        <v>0</v>
      </c>
      <c r="G1185" s="165">
        <v>0</v>
      </c>
      <c r="H1185" s="166">
        <v>0</v>
      </c>
      <c r="I1185" s="165">
        <v>0</v>
      </c>
      <c r="J1185" s="166">
        <v>0</v>
      </c>
      <c r="K1185" s="165">
        <v>0</v>
      </c>
      <c r="L1185" s="166">
        <v>0</v>
      </c>
      <c r="M1185" s="165">
        <v>0</v>
      </c>
      <c r="N1185" s="166">
        <v>0</v>
      </c>
      <c r="O1185" s="165">
        <v>0</v>
      </c>
      <c r="P1185" s="166">
        <v>0</v>
      </c>
      <c r="Q1185" s="165">
        <v>0</v>
      </c>
      <c r="R1185" s="166">
        <v>0</v>
      </c>
      <c r="S1185" s="165">
        <v>0</v>
      </c>
      <c r="T1185" s="166">
        <v>0</v>
      </c>
      <c r="U1185" s="165">
        <v>3.3166666666666879E-2</v>
      </c>
      <c r="V1185" s="166">
        <v>0.20333333333333409</v>
      </c>
      <c r="W1185" s="165">
        <v>0</v>
      </c>
      <c r="X1185" s="166">
        <v>0</v>
      </c>
      <c r="Y1185" s="165">
        <v>0</v>
      </c>
      <c r="Z1185" s="166">
        <v>0</v>
      </c>
      <c r="AA1185" s="165">
        <v>0</v>
      </c>
      <c r="AB1185" s="166">
        <v>0</v>
      </c>
      <c r="AC1185" s="238">
        <f t="shared" si="63"/>
        <v>0.23650000000000096</v>
      </c>
      <c r="AD1185" s="238"/>
      <c r="AE1185" s="238"/>
    </row>
    <row r="1186" spans="2:31" x14ac:dyDescent="0.3">
      <c r="B1186" s="245" t="s">
        <v>58</v>
      </c>
      <c r="C1186" s="245"/>
      <c r="D1186" s="245"/>
      <c r="E1186" s="165">
        <v>0</v>
      </c>
      <c r="F1186" s="166">
        <v>0</v>
      </c>
      <c r="G1186" s="165">
        <v>0</v>
      </c>
      <c r="H1186" s="166">
        <v>0</v>
      </c>
      <c r="I1186" s="165">
        <v>0</v>
      </c>
      <c r="J1186" s="166">
        <v>0</v>
      </c>
      <c r="K1186" s="165">
        <v>0</v>
      </c>
      <c r="L1186" s="166">
        <v>0</v>
      </c>
      <c r="M1186" s="165">
        <v>0</v>
      </c>
      <c r="N1186" s="166">
        <v>0</v>
      </c>
      <c r="O1186" s="165">
        <v>0</v>
      </c>
      <c r="P1186" s="166">
        <v>0</v>
      </c>
      <c r="Q1186" s="165">
        <v>0</v>
      </c>
      <c r="R1186" s="166">
        <v>0</v>
      </c>
      <c r="S1186" s="165">
        <v>0</v>
      </c>
      <c r="T1186" s="166">
        <v>0</v>
      </c>
      <c r="U1186" s="165">
        <v>0</v>
      </c>
      <c r="V1186" s="166">
        <v>9.9999999999980096E-4</v>
      </c>
      <c r="W1186" s="165">
        <v>0</v>
      </c>
      <c r="X1186" s="166">
        <v>0</v>
      </c>
      <c r="Y1186" s="165">
        <v>0</v>
      </c>
      <c r="Z1186" s="166">
        <v>0</v>
      </c>
      <c r="AA1186" s="165">
        <v>0</v>
      </c>
      <c r="AB1186" s="166">
        <v>0</v>
      </c>
      <c r="AC1186" s="238">
        <f t="shared" si="63"/>
        <v>9.9999999999980096E-4</v>
      </c>
      <c r="AD1186" s="238"/>
      <c r="AE1186" s="238"/>
    </row>
    <row r="1187" spans="2:31" x14ac:dyDescent="0.3">
      <c r="B1187" s="245" t="s">
        <v>95</v>
      </c>
      <c r="C1187" s="245"/>
      <c r="D1187" s="245"/>
      <c r="E1187" s="165">
        <v>0</v>
      </c>
      <c r="F1187" s="166">
        <v>0</v>
      </c>
      <c r="G1187" s="165">
        <v>0</v>
      </c>
      <c r="H1187" s="166">
        <v>0</v>
      </c>
      <c r="I1187" s="165">
        <v>0</v>
      </c>
      <c r="J1187" s="166">
        <v>0</v>
      </c>
      <c r="K1187" s="165">
        <v>0</v>
      </c>
      <c r="L1187" s="166">
        <v>0</v>
      </c>
      <c r="M1187" s="165">
        <v>0</v>
      </c>
      <c r="N1187" s="166">
        <v>0</v>
      </c>
      <c r="O1187" s="165">
        <v>0</v>
      </c>
      <c r="P1187" s="166">
        <v>0</v>
      </c>
      <c r="Q1187" s="165">
        <v>0</v>
      </c>
      <c r="R1187" s="166">
        <v>0</v>
      </c>
      <c r="S1187" s="165">
        <v>0</v>
      </c>
      <c r="T1187" s="166">
        <v>0</v>
      </c>
      <c r="U1187" s="165">
        <v>0</v>
      </c>
      <c r="V1187" s="166">
        <v>0</v>
      </c>
      <c r="W1187" s="165">
        <v>0</v>
      </c>
      <c r="X1187" s="166">
        <v>0</v>
      </c>
      <c r="Y1187" s="165">
        <v>0</v>
      </c>
      <c r="Z1187" s="166">
        <v>0</v>
      </c>
      <c r="AA1187" s="165">
        <v>0</v>
      </c>
      <c r="AB1187" s="166">
        <v>0</v>
      </c>
      <c r="AC1187" s="238">
        <f t="shared" si="63"/>
        <v>0</v>
      </c>
      <c r="AD1187" s="238"/>
      <c r="AE1187" s="238"/>
    </row>
    <row r="1188" spans="2:31" x14ac:dyDescent="0.3">
      <c r="B1188" s="245" t="s">
        <v>59</v>
      </c>
      <c r="C1188" s="245"/>
      <c r="D1188" s="245"/>
      <c r="E1188" s="165">
        <v>0</v>
      </c>
      <c r="F1188" s="166">
        <v>0</v>
      </c>
      <c r="G1188" s="165">
        <v>0</v>
      </c>
      <c r="H1188" s="166">
        <v>0</v>
      </c>
      <c r="I1188" s="165">
        <v>0</v>
      </c>
      <c r="J1188" s="166">
        <v>0</v>
      </c>
      <c r="K1188" s="165">
        <v>0</v>
      </c>
      <c r="L1188" s="166">
        <v>0</v>
      </c>
      <c r="M1188" s="165">
        <v>0</v>
      </c>
      <c r="N1188" s="166">
        <v>0</v>
      </c>
      <c r="O1188" s="165">
        <v>0</v>
      </c>
      <c r="P1188" s="166">
        <v>0</v>
      </c>
      <c r="Q1188" s="165">
        <v>0</v>
      </c>
      <c r="R1188" s="166">
        <v>4.4746666666666641</v>
      </c>
      <c r="S1188" s="165">
        <v>13.545500000000004</v>
      </c>
      <c r="T1188" s="166">
        <v>13.736333333333334</v>
      </c>
      <c r="U1188" s="165">
        <v>14.921500000000007</v>
      </c>
      <c r="V1188" s="166">
        <v>14.5175</v>
      </c>
      <c r="W1188" s="165">
        <v>4.4048333333333325</v>
      </c>
      <c r="X1188" s="166">
        <v>0</v>
      </c>
      <c r="Y1188" s="165">
        <v>0</v>
      </c>
      <c r="Z1188" s="166">
        <v>0</v>
      </c>
      <c r="AA1188" s="165">
        <v>0</v>
      </c>
      <c r="AB1188" s="166">
        <v>0</v>
      </c>
      <c r="AC1188" s="238">
        <f t="shared" si="63"/>
        <v>65.600333333333339</v>
      </c>
      <c r="AD1188" s="238"/>
      <c r="AE1188" s="238"/>
    </row>
    <row r="1189" spans="2:31" x14ac:dyDescent="0.3">
      <c r="B1189" s="245" t="s">
        <v>60</v>
      </c>
      <c r="C1189" s="245"/>
      <c r="D1189" s="245"/>
      <c r="E1189" s="165">
        <v>0</v>
      </c>
      <c r="F1189" s="166">
        <v>0</v>
      </c>
      <c r="G1189" s="165">
        <v>0</v>
      </c>
      <c r="H1189" s="166">
        <v>0</v>
      </c>
      <c r="I1189" s="165">
        <v>0</v>
      </c>
      <c r="J1189" s="166">
        <v>0</v>
      </c>
      <c r="K1189" s="165">
        <v>0</v>
      </c>
      <c r="L1189" s="166">
        <v>0</v>
      </c>
      <c r="M1189" s="165">
        <v>0</v>
      </c>
      <c r="N1189" s="166">
        <v>0</v>
      </c>
      <c r="O1189" s="165">
        <v>0</v>
      </c>
      <c r="P1189" s="166">
        <v>0</v>
      </c>
      <c r="Q1189" s="165">
        <v>0</v>
      </c>
      <c r="R1189" s="166">
        <v>0</v>
      </c>
      <c r="S1189" s="165">
        <v>0</v>
      </c>
      <c r="T1189" s="166">
        <v>0</v>
      </c>
      <c r="U1189" s="165">
        <v>0</v>
      </c>
      <c r="V1189" s="166">
        <v>0</v>
      </c>
      <c r="W1189" s="165">
        <v>0</v>
      </c>
      <c r="X1189" s="166">
        <v>0</v>
      </c>
      <c r="Y1189" s="165">
        <v>0</v>
      </c>
      <c r="Z1189" s="166">
        <v>0</v>
      </c>
      <c r="AA1189" s="165">
        <v>0</v>
      </c>
      <c r="AB1189" s="166">
        <v>0</v>
      </c>
      <c r="AC1189" s="238">
        <f t="shared" si="63"/>
        <v>0</v>
      </c>
      <c r="AD1189" s="238"/>
      <c r="AE1189" s="238"/>
    </row>
    <row r="1190" spans="2:31" x14ac:dyDescent="0.3">
      <c r="B1190" s="245" t="s">
        <v>61</v>
      </c>
      <c r="C1190" s="245"/>
      <c r="D1190" s="245"/>
      <c r="E1190" s="165">
        <v>0</v>
      </c>
      <c r="F1190" s="166">
        <v>0</v>
      </c>
      <c r="G1190" s="165">
        <v>0</v>
      </c>
      <c r="H1190" s="166">
        <v>0</v>
      </c>
      <c r="I1190" s="165">
        <v>0</v>
      </c>
      <c r="J1190" s="166">
        <v>0</v>
      </c>
      <c r="K1190" s="165">
        <v>0</v>
      </c>
      <c r="L1190" s="166">
        <v>0</v>
      </c>
      <c r="M1190" s="165">
        <v>0</v>
      </c>
      <c r="N1190" s="166">
        <v>0</v>
      </c>
      <c r="O1190" s="165">
        <v>0</v>
      </c>
      <c r="P1190" s="166">
        <v>0</v>
      </c>
      <c r="Q1190" s="165">
        <v>0</v>
      </c>
      <c r="R1190" s="166">
        <v>5.8833333333333113E-2</v>
      </c>
      <c r="S1190" s="165">
        <v>0</v>
      </c>
      <c r="T1190" s="166">
        <v>0</v>
      </c>
      <c r="U1190" s="165">
        <v>0</v>
      </c>
      <c r="V1190" s="166">
        <v>0</v>
      </c>
      <c r="W1190" s="165">
        <v>0</v>
      </c>
      <c r="X1190" s="166">
        <v>0</v>
      </c>
      <c r="Y1190" s="165">
        <v>0</v>
      </c>
      <c r="Z1190" s="166">
        <v>0</v>
      </c>
      <c r="AA1190" s="165">
        <v>0</v>
      </c>
      <c r="AB1190" s="166">
        <v>0</v>
      </c>
      <c r="AC1190" s="238">
        <f t="shared" si="63"/>
        <v>5.8833333333333113E-2</v>
      </c>
      <c r="AD1190" s="238"/>
      <c r="AE1190" s="238"/>
    </row>
    <row r="1191" spans="2:31" x14ac:dyDescent="0.3">
      <c r="B1191" s="245" t="s">
        <v>62</v>
      </c>
      <c r="C1191" s="245"/>
      <c r="D1191" s="245"/>
      <c r="E1191" s="165">
        <v>0</v>
      </c>
      <c r="F1191" s="166">
        <v>0</v>
      </c>
      <c r="G1191" s="165">
        <v>0</v>
      </c>
      <c r="H1191" s="166">
        <v>0</v>
      </c>
      <c r="I1191" s="165">
        <v>0</v>
      </c>
      <c r="J1191" s="166">
        <v>0</v>
      </c>
      <c r="K1191" s="165">
        <v>0</v>
      </c>
      <c r="L1191" s="166">
        <v>0</v>
      </c>
      <c r="M1191" s="165">
        <v>0</v>
      </c>
      <c r="N1191" s="166">
        <v>0</v>
      </c>
      <c r="O1191" s="165">
        <v>0</v>
      </c>
      <c r="P1191" s="166">
        <v>0</v>
      </c>
      <c r="Q1191" s="165">
        <v>0</v>
      </c>
      <c r="R1191" s="166">
        <v>0</v>
      </c>
      <c r="S1191" s="165">
        <v>1.2666666666666633E-2</v>
      </c>
      <c r="T1191" s="166">
        <v>0</v>
      </c>
      <c r="U1191" s="165">
        <v>0</v>
      </c>
      <c r="V1191" s="166">
        <v>0</v>
      </c>
      <c r="W1191" s="165">
        <v>0</v>
      </c>
      <c r="X1191" s="166">
        <v>0</v>
      </c>
      <c r="Y1191" s="165">
        <v>0</v>
      </c>
      <c r="Z1191" s="166">
        <v>0</v>
      </c>
      <c r="AA1191" s="165">
        <v>0</v>
      </c>
      <c r="AB1191" s="166">
        <v>0</v>
      </c>
      <c r="AC1191" s="238">
        <f t="shared" si="63"/>
        <v>1.2666666666666633E-2</v>
      </c>
      <c r="AD1191" s="238"/>
      <c r="AE1191" s="238"/>
    </row>
    <row r="1192" spans="2:31" x14ac:dyDescent="0.3">
      <c r="B1192" s="245" t="s">
        <v>63</v>
      </c>
      <c r="C1192" s="245"/>
      <c r="D1192" s="245"/>
      <c r="E1192" s="165">
        <v>0</v>
      </c>
      <c r="F1192" s="166">
        <v>0</v>
      </c>
      <c r="G1192" s="165">
        <v>0</v>
      </c>
      <c r="H1192" s="166">
        <v>0</v>
      </c>
      <c r="I1192" s="165">
        <v>0</v>
      </c>
      <c r="J1192" s="166">
        <v>0</v>
      </c>
      <c r="K1192" s="165">
        <v>0</v>
      </c>
      <c r="L1192" s="166">
        <v>0</v>
      </c>
      <c r="M1192" s="165">
        <v>0</v>
      </c>
      <c r="N1192" s="166">
        <v>0</v>
      </c>
      <c r="O1192" s="165">
        <v>0</v>
      </c>
      <c r="P1192" s="166">
        <v>0</v>
      </c>
      <c r="Q1192" s="165">
        <v>0</v>
      </c>
      <c r="R1192" s="166">
        <v>0</v>
      </c>
      <c r="S1192" s="165">
        <v>0</v>
      </c>
      <c r="T1192" s="166">
        <v>0</v>
      </c>
      <c r="U1192" s="165">
        <v>0</v>
      </c>
      <c r="V1192" s="166">
        <v>0.19566666666666729</v>
      </c>
      <c r="W1192" s="165">
        <v>0</v>
      </c>
      <c r="X1192" s="166">
        <v>0</v>
      </c>
      <c r="Y1192" s="165">
        <v>0</v>
      </c>
      <c r="Z1192" s="166">
        <v>0</v>
      </c>
      <c r="AA1192" s="165">
        <v>0</v>
      </c>
      <c r="AB1192" s="166">
        <v>0</v>
      </c>
      <c r="AC1192" s="238">
        <f t="shared" si="63"/>
        <v>0.19566666666666729</v>
      </c>
      <c r="AD1192" s="238"/>
      <c r="AE1192" s="238"/>
    </row>
    <row r="1193" spans="2:31" x14ac:dyDescent="0.3">
      <c r="B1193" s="245" t="s">
        <v>64</v>
      </c>
      <c r="C1193" s="245"/>
      <c r="D1193" s="245"/>
      <c r="E1193" s="165">
        <v>0</v>
      </c>
      <c r="F1193" s="166">
        <v>0</v>
      </c>
      <c r="G1193" s="165">
        <v>0</v>
      </c>
      <c r="H1193" s="166">
        <v>0</v>
      </c>
      <c r="I1193" s="165">
        <v>0</v>
      </c>
      <c r="J1193" s="166">
        <v>0</v>
      </c>
      <c r="K1193" s="165">
        <v>0</v>
      </c>
      <c r="L1193" s="166">
        <v>0</v>
      </c>
      <c r="M1193" s="165">
        <v>0</v>
      </c>
      <c r="N1193" s="166">
        <v>0</v>
      </c>
      <c r="O1193" s="165">
        <v>0</v>
      </c>
      <c r="P1193" s="166">
        <v>0</v>
      </c>
      <c r="Q1193" s="165">
        <v>0</v>
      </c>
      <c r="R1193" s="166">
        <v>0</v>
      </c>
      <c r="S1193" s="165">
        <v>0</v>
      </c>
      <c r="T1193" s="166">
        <v>0</v>
      </c>
      <c r="U1193" s="165">
        <v>0</v>
      </c>
      <c r="V1193" s="166">
        <v>0</v>
      </c>
      <c r="W1193" s="165">
        <v>0</v>
      </c>
      <c r="X1193" s="166">
        <v>0</v>
      </c>
      <c r="Y1193" s="165">
        <v>0</v>
      </c>
      <c r="Z1193" s="166">
        <v>0</v>
      </c>
      <c r="AA1193" s="165">
        <v>0</v>
      </c>
      <c r="AB1193" s="166">
        <v>0</v>
      </c>
      <c r="AC1193" s="238">
        <f t="shared" si="63"/>
        <v>0</v>
      </c>
      <c r="AD1193" s="238"/>
      <c r="AE1193" s="238"/>
    </row>
    <row r="1194" spans="2:31" x14ac:dyDescent="0.3">
      <c r="B1194" s="245" t="s">
        <v>96</v>
      </c>
      <c r="C1194" s="245"/>
      <c r="D1194" s="245"/>
      <c r="E1194" s="165">
        <v>0</v>
      </c>
      <c r="F1194" s="166">
        <v>0</v>
      </c>
      <c r="G1194" s="165">
        <v>0</v>
      </c>
      <c r="H1194" s="166">
        <v>0</v>
      </c>
      <c r="I1194" s="165">
        <v>0</v>
      </c>
      <c r="J1194" s="166">
        <v>0</v>
      </c>
      <c r="K1194" s="165">
        <v>0</v>
      </c>
      <c r="L1194" s="166">
        <v>0</v>
      </c>
      <c r="M1194" s="165">
        <v>0</v>
      </c>
      <c r="N1194" s="166">
        <v>0</v>
      </c>
      <c r="O1194" s="165">
        <v>0</v>
      </c>
      <c r="P1194" s="166">
        <v>0</v>
      </c>
      <c r="Q1194" s="165">
        <v>0</v>
      </c>
      <c r="R1194" s="166">
        <v>0</v>
      </c>
      <c r="S1194" s="165">
        <v>0</v>
      </c>
      <c r="T1194" s="166">
        <v>0</v>
      </c>
      <c r="U1194" s="165">
        <v>0</v>
      </c>
      <c r="V1194" s="166">
        <v>0</v>
      </c>
      <c r="W1194" s="165">
        <v>0</v>
      </c>
      <c r="X1194" s="166">
        <v>0</v>
      </c>
      <c r="Y1194" s="165">
        <v>0</v>
      </c>
      <c r="Z1194" s="166">
        <v>0</v>
      </c>
      <c r="AA1194" s="165">
        <v>0</v>
      </c>
      <c r="AB1194" s="166">
        <v>0</v>
      </c>
      <c r="AC1194" s="238">
        <f t="shared" si="63"/>
        <v>0</v>
      </c>
      <c r="AD1194" s="238"/>
      <c r="AE1194" s="238"/>
    </row>
    <row r="1195" spans="2:31" x14ac:dyDescent="0.3">
      <c r="B1195" s="245" t="s">
        <v>65</v>
      </c>
      <c r="C1195" s="245"/>
      <c r="D1195" s="245"/>
      <c r="E1195" s="165">
        <v>0</v>
      </c>
      <c r="F1195" s="166">
        <v>0</v>
      </c>
      <c r="G1195" s="165">
        <v>0</v>
      </c>
      <c r="H1195" s="166">
        <v>0</v>
      </c>
      <c r="I1195" s="165">
        <v>0</v>
      </c>
      <c r="J1195" s="166">
        <v>0</v>
      </c>
      <c r="K1195" s="165">
        <v>0</v>
      </c>
      <c r="L1195" s="166">
        <v>0</v>
      </c>
      <c r="M1195" s="165">
        <v>0</v>
      </c>
      <c r="N1195" s="166">
        <v>0</v>
      </c>
      <c r="O1195" s="165">
        <v>0</v>
      </c>
      <c r="P1195" s="166">
        <v>0</v>
      </c>
      <c r="Q1195" s="165">
        <v>0</v>
      </c>
      <c r="R1195" s="166">
        <v>0.28999999999999998</v>
      </c>
      <c r="S1195" s="165">
        <v>1.4903333333333333</v>
      </c>
      <c r="T1195" s="166">
        <v>0.75450000000000039</v>
      </c>
      <c r="U1195" s="165">
        <v>6.4500000000000959E-2</v>
      </c>
      <c r="V1195" s="166">
        <v>0</v>
      </c>
      <c r="W1195" s="165">
        <v>0</v>
      </c>
      <c r="X1195" s="166">
        <v>0</v>
      </c>
      <c r="Y1195" s="165">
        <v>0</v>
      </c>
      <c r="Z1195" s="166">
        <v>0</v>
      </c>
      <c r="AA1195" s="165">
        <v>0</v>
      </c>
      <c r="AB1195" s="166">
        <v>0</v>
      </c>
      <c r="AC1195" s="238">
        <f t="shared" si="63"/>
        <v>2.5993333333333348</v>
      </c>
      <c r="AD1195" s="238"/>
      <c r="AE1195" s="238"/>
    </row>
    <row r="1196" spans="2:31" x14ac:dyDescent="0.3">
      <c r="B1196" s="245" t="s">
        <v>66</v>
      </c>
      <c r="C1196" s="245"/>
      <c r="D1196" s="245"/>
      <c r="E1196" s="165">
        <v>0</v>
      </c>
      <c r="F1196" s="166">
        <v>0</v>
      </c>
      <c r="G1196" s="165">
        <v>0</v>
      </c>
      <c r="H1196" s="166">
        <v>0</v>
      </c>
      <c r="I1196" s="165">
        <v>0</v>
      </c>
      <c r="J1196" s="166">
        <v>0</v>
      </c>
      <c r="K1196" s="165">
        <v>0</v>
      </c>
      <c r="L1196" s="166">
        <v>0</v>
      </c>
      <c r="M1196" s="165">
        <v>0</v>
      </c>
      <c r="N1196" s="166">
        <v>0</v>
      </c>
      <c r="O1196" s="165">
        <v>0</v>
      </c>
      <c r="P1196" s="166">
        <v>0</v>
      </c>
      <c r="Q1196" s="165">
        <v>0</v>
      </c>
      <c r="R1196" s="166">
        <v>0</v>
      </c>
      <c r="S1196" s="165">
        <v>0</v>
      </c>
      <c r="T1196" s="166">
        <v>0</v>
      </c>
      <c r="U1196" s="165">
        <v>0</v>
      </c>
      <c r="V1196" s="166">
        <v>0</v>
      </c>
      <c r="W1196" s="165">
        <v>0</v>
      </c>
      <c r="X1196" s="166">
        <v>0</v>
      </c>
      <c r="Y1196" s="165">
        <v>0</v>
      </c>
      <c r="Z1196" s="166">
        <v>0</v>
      </c>
      <c r="AA1196" s="165">
        <v>0</v>
      </c>
      <c r="AB1196" s="166">
        <v>0</v>
      </c>
      <c r="AC1196" s="238">
        <f>SUM(E1196:AB1196)</f>
        <v>0</v>
      </c>
      <c r="AD1196" s="238"/>
      <c r="AE1196" s="238"/>
    </row>
    <row r="1197" spans="2:31" x14ac:dyDescent="0.3">
      <c r="B1197" s="245" t="s">
        <v>67</v>
      </c>
      <c r="C1197" s="245"/>
      <c r="D1197" s="245"/>
      <c r="E1197" s="165">
        <v>0</v>
      </c>
      <c r="F1197" s="166">
        <v>0</v>
      </c>
      <c r="G1197" s="165">
        <v>0</v>
      </c>
      <c r="H1197" s="166">
        <v>0</v>
      </c>
      <c r="I1197" s="165">
        <v>0</v>
      </c>
      <c r="J1197" s="166">
        <v>0</v>
      </c>
      <c r="K1197" s="165">
        <v>0</v>
      </c>
      <c r="L1197" s="166">
        <v>0</v>
      </c>
      <c r="M1197" s="165">
        <v>0</v>
      </c>
      <c r="N1197" s="166">
        <v>0</v>
      </c>
      <c r="O1197" s="165">
        <v>0</v>
      </c>
      <c r="P1197" s="166">
        <v>0</v>
      </c>
      <c r="Q1197" s="165">
        <v>0</v>
      </c>
      <c r="R1197" s="166">
        <v>0</v>
      </c>
      <c r="S1197" s="165">
        <v>0</v>
      </c>
      <c r="T1197" s="166">
        <v>0.17333333333333273</v>
      </c>
      <c r="U1197" s="165">
        <v>1.6666666666666667</v>
      </c>
      <c r="V1197" s="166">
        <v>3.783333333333331</v>
      </c>
      <c r="W1197" s="165">
        <v>0.34083333333333349</v>
      </c>
      <c r="X1197" s="166">
        <v>0</v>
      </c>
      <c r="Y1197" s="165">
        <v>0</v>
      </c>
      <c r="Z1197" s="166">
        <v>0</v>
      </c>
      <c r="AA1197" s="165">
        <v>0</v>
      </c>
      <c r="AB1197" s="166">
        <v>0</v>
      </c>
      <c r="AC1197" s="238">
        <f t="shared" ref="AC1197:AC1210" si="64">SUM(E1197:AB1197)</f>
        <v>5.9641666666666637</v>
      </c>
      <c r="AD1197" s="238"/>
      <c r="AE1197" s="238"/>
    </row>
    <row r="1198" spans="2:31" x14ac:dyDescent="0.3">
      <c r="B1198" s="245" t="s">
        <v>68</v>
      </c>
      <c r="C1198" s="245"/>
      <c r="D1198" s="245"/>
      <c r="E1198" s="165">
        <v>0</v>
      </c>
      <c r="F1198" s="166">
        <v>0</v>
      </c>
      <c r="G1198" s="165">
        <v>0</v>
      </c>
      <c r="H1198" s="166">
        <v>0</v>
      </c>
      <c r="I1198" s="165">
        <v>0</v>
      </c>
      <c r="J1198" s="166">
        <v>0</v>
      </c>
      <c r="K1198" s="165">
        <v>0</v>
      </c>
      <c r="L1198" s="166">
        <v>0</v>
      </c>
      <c r="M1198" s="165">
        <v>0</v>
      </c>
      <c r="N1198" s="166">
        <v>0</v>
      </c>
      <c r="O1198" s="165">
        <v>0</v>
      </c>
      <c r="P1198" s="166">
        <v>0</v>
      </c>
      <c r="Q1198" s="165">
        <v>0</v>
      </c>
      <c r="R1198" s="166">
        <v>0.12199999999999894</v>
      </c>
      <c r="S1198" s="165">
        <v>2.1016666666666697</v>
      </c>
      <c r="T1198" s="166">
        <v>7.7436666666666651</v>
      </c>
      <c r="U1198" s="165">
        <v>16.391999999999999</v>
      </c>
      <c r="V1198" s="166">
        <v>24.598833333333332</v>
      </c>
      <c r="W1198" s="165">
        <v>9.5068333333333328</v>
      </c>
      <c r="X1198" s="166">
        <v>0</v>
      </c>
      <c r="Y1198" s="165">
        <v>0</v>
      </c>
      <c r="Z1198" s="166">
        <v>0</v>
      </c>
      <c r="AA1198" s="165">
        <v>0</v>
      </c>
      <c r="AB1198" s="166">
        <v>0</v>
      </c>
      <c r="AC1198" s="238">
        <f t="shared" si="64"/>
        <v>60.464999999999996</v>
      </c>
      <c r="AD1198" s="238"/>
      <c r="AE1198" s="238"/>
    </row>
    <row r="1199" spans="2:31" x14ac:dyDescent="0.3">
      <c r="B1199" s="245" t="s">
        <v>69</v>
      </c>
      <c r="C1199" s="245"/>
      <c r="D1199" s="245"/>
      <c r="E1199" s="165">
        <v>0</v>
      </c>
      <c r="F1199" s="166">
        <v>0</v>
      </c>
      <c r="G1199" s="165">
        <v>0</v>
      </c>
      <c r="H1199" s="166">
        <v>0</v>
      </c>
      <c r="I1199" s="165">
        <v>0</v>
      </c>
      <c r="J1199" s="166">
        <v>0</v>
      </c>
      <c r="K1199" s="165">
        <v>0</v>
      </c>
      <c r="L1199" s="166">
        <v>0</v>
      </c>
      <c r="M1199" s="165">
        <v>0</v>
      </c>
      <c r="N1199" s="166">
        <v>0</v>
      </c>
      <c r="O1199" s="165">
        <v>0</v>
      </c>
      <c r="P1199" s="166">
        <v>0</v>
      </c>
      <c r="Q1199" s="165">
        <v>0</v>
      </c>
      <c r="R1199" s="166">
        <v>27.13333333333334</v>
      </c>
      <c r="S1199" s="165">
        <v>81.199999999999903</v>
      </c>
      <c r="T1199" s="166">
        <v>80.5</v>
      </c>
      <c r="U1199" s="165">
        <v>78.09999999999998</v>
      </c>
      <c r="V1199" s="166">
        <v>74.800000000000082</v>
      </c>
      <c r="W1199" s="165">
        <v>29.191666666666666</v>
      </c>
      <c r="X1199" s="166">
        <v>0</v>
      </c>
      <c r="Y1199" s="165">
        <v>0</v>
      </c>
      <c r="Z1199" s="166">
        <v>0</v>
      </c>
      <c r="AA1199" s="165">
        <v>0</v>
      </c>
      <c r="AB1199" s="166">
        <v>0</v>
      </c>
      <c r="AC1199" s="238">
        <f t="shared" si="64"/>
        <v>370.92499999999995</v>
      </c>
      <c r="AD1199" s="238"/>
      <c r="AE1199" s="238"/>
    </row>
    <row r="1200" spans="2:31" x14ac:dyDescent="0.3">
      <c r="B1200" s="245" t="s">
        <v>70</v>
      </c>
      <c r="C1200" s="245"/>
      <c r="D1200" s="245"/>
      <c r="E1200" s="165">
        <v>0</v>
      </c>
      <c r="F1200" s="166">
        <v>0</v>
      </c>
      <c r="G1200" s="165">
        <v>0</v>
      </c>
      <c r="H1200" s="166">
        <v>0</v>
      </c>
      <c r="I1200" s="165">
        <v>0</v>
      </c>
      <c r="J1200" s="166">
        <v>0</v>
      </c>
      <c r="K1200" s="165">
        <v>0</v>
      </c>
      <c r="L1200" s="166">
        <v>0</v>
      </c>
      <c r="M1200" s="165">
        <v>0</v>
      </c>
      <c r="N1200" s="166">
        <v>0</v>
      </c>
      <c r="O1200" s="165">
        <v>0</v>
      </c>
      <c r="P1200" s="166">
        <v>0</v>
      </c>
      <c r="Q1200" s="165">
        <v>0</v>
      </c>
      <c r="R1200" s="166">
        <v>0</v>
      </c>
      <c r="S1200" s="165">
        <v>0</v>
      </c>
      <c r="T1200" s="166">
        <v>0</v>
      </c>
      <c r="U1200" s="165">
        <v>0</v>
      </c>
      <c r="V1200" s="166">
        <v>7.6666666666670357E-3</v>
      </c>
      <c r="W1200" s="165">
        <v>0</v>
      </c>
      <c r="X1200" s="166">
        <v>0</v>
      </c>
      <c r="Y1200" s="165">
        <v>0</v>
      </c>
      <c r="Z1200" s="166">
        <v>0</v>
      </c>
      <c r="AA1200" s="165">
        <v>0</v>
      </c>
      <c r="AB1200" s="166">
        <v>0</v>
      </c>
      <c r="AC1200" s="238">
        <f t="shared" si="64"/>
        <v>7.6666666666670357E-3</v>
      </c>
      <c r="AD1200" s="238"/>
      <c r="AE1200" s="238"/>
    </row>
    <row r="1201" spans="2:31" x14ac:dyDescent="0.3">
      <c r="B1201" s="245" t="s">
        <v>71</v>
      </c>
      <c r="C1201" s="245"/>
      <c r="D1201" s="245"/>
      <c r="E1201" s="165">
        <v>0</v>
      </c>
      <c r="F1201" s="166">
        <v>0</v>
      </c>
      <c r="G1201" s="165">
        <v>0</v>
      </c>
      <c r="H1201" s="166">
        <v>0</v>
      </c>
      <c r="I1201" s="165">
        <v>0</v>
      </c>
      <c r="J1201" s="166">
        <v>0</v>
      </c>
      <c r="K1201" s="165">
        <v>0</v>
      </c>
      <c r="L1201" s="166">
        <v>0</v>
      </c>
      <c r="M1201" s="165">
        <v>0</v>
      </c>
      <c r="N1201" s="166">
        <v>0</v>
      </c>
      <c r="O1201" s="165">
        <v>0</v>
      </c>
      <c r="P1201" s="166">
        <v>0</v>
      </c>
      <c r="Q1201" s="165">
        <v>0</v>
      </c>
      <c r="R1201" s="166">
        <v>0</v>
      </c>
      <c r="S1201" s="165">
        <v>0</v>
      </c>
      <c r="T1201" s="166">
        <v>0</v>
      </c>
      <c r="U1201" s="165">
        <v>0</v>
      </c>
      <c r="V1201" s="166">
        <v>0</v>
      </c>
      <c r="W1201" s="165">
        <v>0</v>
      </c>
      <c r="X1201" s="166">
        <v>0</v>
      </c>
      <c r="Y1201" s="165">
        <v>0</v>
      </c>
      <c r="Z1201" s="166">
        <v>0</v>
      </c>
      <c r="AA1201" s="165">
        <v>0</v>
      </c>
      <c r="AB1201" s="166">
        <v>0</v>
      </c>
      <c r="AC1201" s="238">
        <f t="shared" si="64"/>
        <v>0</v>
      </c>
      <c r="AD1201" s="238"/>
      <c r="AE1201" s="238"/>
    </row>
    <row r="1202" spans="2:31" x14ac:dyDescent="0.3">
      <c r="B1202" s="245" t="s">
        <v>72</v>
      </c>
      <c r="C1202" s="245"/>
      <c r="D1202" s="245"/>
      <c r="E1202" s="165">
        <v>0</v>
      </c>
      <c r="F1202" s="166">
        <v>0</v>
      </c>
      <c r="G1202" s="165">
        <v>0</v>
      </c>
      <c r="H1202" s="166">
        <v>0</v>
      </c>
      <c r="I1202" s="165">
        <v>0</v>
      </c>
      <c r="J1202" s="166">
        <v>0</v>
      </c>
      <c r="K1202" s="165">
        <v>0</v>
      </c>
      <c r="L1202" s="166">
        <v>0</v>
      </c>
      <c r="M1202" s="165">
        <v>0</v>
      </c>
      <c r="N1202" s="166">
        <v>0</v>
      </c>
      <c r="O1202" s="165">
        <v>0</v>
      </c>
      <c r="P1202" s="166">
        <v>0</v>
      </c>
      <c r="Q1202" s="165">
        <v>0</v>
      </c>
      <c r="R1202" s="166">
        <v>1.3333333333333286E-2</v>
      </c>
      <c r="S1202" s="165">
        <v>0.93650000000000244</v>
      </c>
      <c r="T1202" s="166">
        <v>0.3655000000000021</v>
      </c>
      <c r="U1202" s="165">
        <v>3.3333333333333215E-2</v>
      </c>
      <c r="V1202" s="166">
        <v>0</v>
      </c>
      <c r="W1202" s="165">
        <v>0</v>
      </c>
      <c r="X1202" s="166">
        <v>0</v>
      </c>
      <c r="Y1202" s="165">
        <v>0</v>
      </c>
      <c r="Z1202" s="166">
        <v>0</v>
      </c>
      <c r="AA1202" s="165">
        <v>0</v>
      </c>
      <c r="AB1202" s="166">
        <v>0</v>
      </c>
      <c r="AC1202" s="238">
        <f t="shared" si="64"/>
        <v>1.3486666666666711</v>
      </c>
      <c r="AD1202" s="238"/>
      <c r="AE1202" s="238"/>
    </row>
    <row r="1203" spans="2:31" x14ac:dyDescent="0.3">
      <c r="B1203" s="245" t="s">
        <v>73</v>
      </c>
      <c r="C1203" s="245"/>
      <c r="D1203" s="245"/>
      <c r="E1203" s="165">
        <v>0</v>
      </c>
      <c r="F1203" s="166">
        <v>0</v>
      </c>
      <c r="G1203" s="165">
        <v>0</v>
      </c>
      <c r="H1203" s="166">
        <v>0</v>
      </c>
      <c r="I1203" s="165">
        <v>0</v>
      </c>
      <c r="J1203" s="166">
        <v>0</v>
      </c>
      <c r="K1203" s="165">
        <v>0</v>
      </c>
      <c r="L1203" s="166">
        <v>0</v>
      </c>
      <c r="M1203" s="165">
        <v>0</v>
      </c>
      <c r="N1203" s="166">
        <v>0</v>
      </c>
      <c r="O1203" s="165">
        <v>0</v>
      </c>
      <c r="P1203" s="166">
        <v>0</v>
      </c>
      <c r="Q1203" s="165">
        <v>0</v>
      </c>
      <c r="R1203" s="166">
        <v>1.5731666666666668</v>
      </c>
      <c r="S1203" s="165">
        <v>6.0685000000000011</v>
      </c>
      <c r="T1203" s="166">
        <v>7.613500000000001</v>
      </c>
      <c r="U1203" s="165">
        <v>8.6923333333333481</v>
      </c>
      <c r="V1203" s="166">
        <v>0.34066666666666851</v>
      </c>
      <c r="W1203" s="165">
        <v>0</v>
      </c>
      <c r="X1203" s="166">
        <v>0</v>
      </c>
      <c r="Y1203" s="165">
        <v>0</v>
      </c>
      <c r="Z1203" s="166">
        <v>0</v>
      </c>
      <c r="AA1203" s="165">
        <v>0</v>
      </c>
      <c r="AB1203" s="166">
        <v>0</v>
      </c>
      <c r="AC1203" s="238">
        <f t="shared" si="64"/>
        <v>24.288166666666683</v>
      </c>
      <c r="AD1203" s="238"/>
      <c r="AE1203" s="238"/>
    </row>
    <row r="1204" spans="2:31" x14ac:dyDescent="0.3">
      <c r="B1204" s="245" t="s">
        <v>74</v>
      </c>
      <c r="C1204" s="245"/>
      <c r="D1204" s="245"/>
      <c r="E1204" s="165">
        <v>0</v>
      </c>
      <c r="F1204" s="166">
        <v>0</v>
      </c>
      <c r="G1204" s="165">
        <v>0</v>
      </c>
      <c r="H1204" s="166">
        <v>0</v>
      </c>
      <c r="I1204" s="165">
        <v>0</v>
      </c>
      <c r="J1204" s="166">
        <v>0</v>
      </c>
      <c r="K1204" s="165">
        <v>0</v>
      </c>
      <c r="L1204" s="166">
        <v>0</v>
      </c>
      <c r="M1204" s="165">
        <v>0</v>
      </c>
      <c r="N1204" s="166">
        <v>0</v>
      </c>
      <c r="O1204" s="165">
        <v>0</v>
      </c>
      <c r="P1204" s="166">
        <v>0</v>
      </c>
      <c r="Q1204" s="165">
        <v>0</v>
      </c>
      <c r="R1204" s="166">
        <v>0.75266666666666748</v>
      </c>
      <c r="S1204" s="165">
        <v>10.188833333333339</v>
      </c>
      <c r="T1204" s="166">
        <v>3.8026666666666631</v>
      </c>
      <c r="U1204" s="165">
        <v>0.80733333333333346</v>
      </c>
      <c r="V1204" s="166">
        <v>1.5976666666666675</v>
      </c>
      <c r="W1204" s="165">
        <v>1.5166666666666639E-2</v>
      </c>
      <c r="X1204" s="166">
        <v>0</v>
      </c>
      <c r="Y1204" s="165">
        <v>0</v>
      </c>
      <c r="Z1204" s="166">
        <v>0</v>
      </c>
      <c r="AA1204" s="165">
        <v>0</v>
      </c>
      <c r="AB1204" s="166">
        <v>0</v>
      </c>
      <c r="AC1204" s="238">
        <f t="shared" si="64"/>
        <v>17.164333333333339</v>
      </c>
      <c r="AD1204" s="238"/>
      <c r="AE1204" s="238"/>
    </row>
    <row r="1205" spans="2:31" x14ac:dyDescent="0.3">
      <c r="B1205" s="245" t="s">
        <v>75</v>
      </c>
      <c r="C1205" s="245"/>
      <c r="D1205" s="245"/>
      <c r="E1205" s="165">
        <v>0</v>
      </c>
      <c r="F1205" s="166">
        <v>0</v>
      </c>
      <c r="G1205" s="165">
        <v>0</v>
      </c>
      <c r="H1205" s="166">
        <v>0</v>
      </c>
      <c r="I1205" s="165">
        <v>0</v>
      </c>
      <c r="J1205" s="166">
        <v>0</v>
      </c>
      <c r="K1205" s="165">
        <v>0</v>
      </c>
      <c r="L1205" s="166">
        <v>0</v>
      </c>
      <c r="M1205" s="165">
        <v>0</v>
      </c>
      <c r="N1205" s="166">
        <v>0</v>
      </c>
      <c r="O1205" s="165">
        <v>0</v>
      </c>
      <c r="P1205" s="166">
        <v>0</v>
      </c>
      <c r="Q1205" s="165">
        <v>0</v>
      </c>
      <c r="R1205" s="166">
        <v>0</v>
      </c>
      <c r="S1205" s="165">
        <v>0</v>
      </c>
      <c r="T1205" s="166">
        <v>0.33899999999999769</v>
      </c>
      <c r="U1205" s="165">
        <v>3.972166666666662</v>
      </c>
      <c r="V1205" s="166">
        <v>0.99366666666666481</v>
      </c>
      <c r="W1205" s="165">
        <v>0</v>
      </c>
      <c r="X1205" s="166">
        <v>0</v>
      </c>
      <c r="Y1205" s="165">
        <v>0</v>
      </c>
      <c r="Z1205" s="166">
        <v>0</v>
      </c>
      <c r="AA1205" s="165">
        <v>0</v>
      </c>
      <c r="AB1205" s="166">
        <v>0</v>
      </c>
      <c r="AC1205" s="238">
        <f t="shared" si="64"/>
        <v>5.3048333333333249</v>
      </c>
      <c r="AD1205" s="238"/>
      <c r="AE1205" s="238"/>
    </row>
    <row r="1206" spans="2:31" x14ac:dyDescent="0.3">
      <c r="B1206" s="245" t="s">
        <v>76</v>
      </c>
      <c r="C1206" s="245"/>
      <c r="D1206" s="245"/>
      <c r="E1206" s="165">
        <v>0</v>
      </c>
      <c r="F1206" s="166">
        <v>0</v>
      </c>
      <c r="G1206" s="165">
        <v>0</v>
      </c>
      <c r="H1206" s="166">
        <v>0</v>
      </c>
      <c r="I1206" s="165">
        <v>0</v>
      </c>
      <c r="J1206" s="166">
        <v>0</v>
      </c>
      <c r="K1206" s="165">
        <v>0</v>
      </c>
      <c r="L1206" s="166">
        <v>0</v>
      </c>
      <c r="M1206" s="165">
        <v>0</v>
      </c>
      <c r="N1206" s="166">
        <v>0</v>
      </c>
      <c r="O1206" s="165">
        <v>0</v>
      </c>
      <c r="P1206" s="166">
        <v>0</v>
      </c>
      <c r="Q1206" s="165">
        <v>0</v>
      </c>
      <c r="R1206" s="166">
        <v>0.71549999999999803</v>
      </c>
      <c r="S1206" s="165">
        <v>2.4211666666666694</v>
      </c>
      <c r="T1206" s="166">
        <v>1.9518333333333362</v>
      </c>
      <c r="U1206" s="165">
        <v>0.80933333333333146</v>
      </c>
      <c r="V1206" s="166">
        <v>0.31283333333333324</v>
      </c>
      <c r="W1206" s="165">
        <v>0</v>
      </c>
      <c r="X1206" s="166">
        <v>0</v>
      </c>
      <c r="Y1206" s="165">
        <v>0</v>
      </c>
      <c r="Z1206" s="166">
        <v>0</v>
      </c>
      <c r="AA1206" s="165">
        <v>0</v>
      </c>
      <c r="AB1206" s="166">
        <v>0</v>
      </c>
      <c r="AC1206" s="238">
        <f t="shared" si="64"/>
        <v>6.2106666666666674</v>
      </c>
      <c r="AD1206" s="238"/>
      <c r="AE1206" s="238"/>
    </row>
    <row r="1207" spans="2:31" x14ac:dyDescent="0.3">
      <c r="B1207" s="245" t="s">
        <v>77</v>
      </c>
      <c r="C1207" s="245"/>
      <c r="D1207" s="245"/>
      <c r="E1207" s="165">
        <v>0</v>
      </c>
      <c r="F1207" s="166">
        <v>0</v>
      </c>
      <c r="G1207" s="165">
        <v>0</v>
      </c>
      <c r="H1207" s="166">
        <v>0</v>
      </c>
      <c r="I1207" s="165">
        <v>0</v>
      </c>
      <c r="J1207" s="166">
        <v>0</v>
      </c>
      <c r="K1207" s="165">
        <v>0</v>
      </c>
      <c r="L1207" s="166">
        <v>0</v>
      </c>
      <c r="M1207" s="165">
        <v>0</v>
      </c>
      <c r="N1207" s="166">
        <v>0</v>
      </c>
      <c r="O1207" s="165">
        <v>0</v>
      </c>
      <c r="P1207" s="166">
        <v>0</v>
      </c>
      <c r="Q1207" s="165">
        <v>0</v>
      </c>
      <c r="R1207" s="166">
        <v>2.6074999999999999</v>
      </c>
      <c r="S1207" s="165">
        <v>10.084166666666663</v>
      </c>
      <c r="T1207" s="166">
        <v>10.791333333333332</v>
      </c>
      <c r="U1207" s="165">
        <v>11.448666666666673</v>
      </c>
      <c r="V1207" s="166">
        <v>8.486833333333335</v>
      </c>
      <c r="W1207" s="165">
        <v>0.32333333333333308</v>
      </c>
      <c r="X1207" s="166">
        <v>0</v>
      </c>
      <c r="Y1207" s="165">
        <v>0</v>
      </c>
      <c r="Z1207" s="166">
        <v>0</v>
      </c>
      <c r="AA1207" s="165">
        <v>0</v>
      </c>
      <c r="AB1207" s="166">
        <v>0</v>
      </c>
      <c r="AC1207" s="238">
        <f t="shared" si="64"/>
        <v>43.741833333333339</v>
      </c>
      <c r="AD1207" s="238"/>
      <c r="AE1207" s="238"/>
    </row>
    <row r="1208" spans="2:31" x14ac:dyDescent="0.3">
      <c r="B1208" s="245" t="s">
        <v>78</v>
      </c>
      <c r="C1208" s="245"/>
      <c r="D1208" s="245"/>
      <c r="E1208" s="165">
        <v>0</v>
      </c>
      <c r="F1208" s="166">
        <v>0</v>
      </c>
      <c r="G1208" s="165">
        <v>0</v>
      </c>
      <c r="H1208" s="166">
        <v>0</v>
      </c>
      <c r="I1208" s="165">
        <v>0</v>
      </c>
      <c r="J1208" s="166">
        <v>0</v>
      </c>
      <c r="K1208" s="165">
        <v>0</v>
      </c>
      <c r="L1208" s="166">
        <v>0</v>
      </c>
      <c r="M1208" s="165">
        <v>0</v>
      </c>
      <c r="N1208" s="166">
        <v>0</v>
      </c>
      <c r="O1208" s="165">
        <v>0</v>
      </c>
      <c r="P1208" s="166">
        <v>0</v>
      </c>
      <c r="Q1208" s="165">
        <v>0</v>
      </c>
      <c r="R1208" s="166">
        <v>6.7266666666666683</v>
      </c>
      <c r="S1208" s="165">
        <v>23.480000000000015</v>
      </c>
      <c r="T1208" s="166">
        <v>22.77999999999998</v>
      </c>
      <c r="U1208" s="165">
        <v>17.679999999999982</v>
      </c>
      <c r="V1208" s="166">
        <v>11.480000000000009</v>
      </c>
      <c r="W1208" s="165">
        <v>2.1079999999999992</v>
      </c>
      <c r="X1208" s="166">
        <v>0</v>
      </c>
      <c r="Y1208" s="165">
        <v>0</v>
      </c>
      <c r="Z1208" s="166">
        <v>0</v>
      </c>
      <c r="AA1208" s="165">
        <v>0</v>
      </c>
      <c r="AB1208" s="166">
        <v>0</v>
      </c>
      <c r="AC1208" s="238">
        <f t="shared" si="64"/>
        <v>84.254666666666651</v>
      </c>
      <c r="AD1208" s="238"/>
      <c r="AE1208" s="238"/>
    </row>
    <row r="1209" spans="2:31" x14ac:dyDescent="0.3">
      <c r="B1209" s="245" t="s">
        <v>79</v>
      </c>
      <c r="C1209" s="245"/>
      <c r="D1209" s="245"/>
      <c r="E1209" s="165">
        <v>0</v>
      </c>
      <c r="F1209" s="166">
        <v>0</v>
      </c>
      <c r="G1209" s="165">
        <v>0</v>
      </c>
      <c r="H1209" s="166">
        <v>0</v>
      </c>
      <c r="I1209" s="165">
        <v>0</v>
      </c>
      <c r="J1209" s="166">
        <v>0</v>
      </c>
      <c r="K1209" s="165">
        <v>0</v>
      </c>
      <c r="L1209" s="166">
        <v>0</v>
      </c>
      <c r="M1209" s="165">
        <v>0</v>
      </c>
      <c r="N1209" s="166">
        <v>0</v>
      </c>
      <c r="O1209" s="165">
        <v>0</v>
      </c>
      <c r="P1209" s="166">
        <v>0</v>
      </c>
      <c r="Q1209" s="165">
        <v>0</v>
      </c>
      <c r="R1209" s="166">
        <v>0</v>
      </c>
      <c r="S1209" s="165">
        <v>0</v>
      </c>
      <c r="T1209" s="166">
        <v>0</v>
      </c>
      <c r="U1209" s="165">
        <v>0</v>
      </c>
      <c r="V1209" s="166">
        <v>0</v>
      </c>
      <c r="W1209" s="165">
        <v>0</v>
      </c>
      <c r="X1209" s="166">
        <v>0</v>
      </c>
      <c r="Y1209" s="165">
        <v>0</v>
      </c>
      <c r="Z1209" s="166">
        <v>0</v>
      </c>
      <c r="AA1209" s="165">
        <v>0</v>
      </c>
      <c r="AB1209" s="166">
        <v>0</v>
      </c>
      <c r="AC1209" s="238">
        <f t="shared" si="64"/>
        <v>0</v>
      </c>
      <c r="AD1209" s="238"/>
      <c r="AE1209" s="238"/>
    </row>
    <row r="1210" spans="2:31" x14ac:dyDescent="0.3">
      <c r="B1210" s="245" t="s">
        <v>80</v>
      </c>
      <c r="C1210" s="245"/>
      <c r="D1210" s="245"/>
      <c r="E1210" s="165">
        <v>0</v>
      </c>
      <c r="F1210" s="166">
        <v>0</v>
      </c>
      <c r="G1210" s="165">
        <v>0</v>
      </c>
      <c r="H1210" s="166">
        <v>0</v>
      </c>
      <c r="I1210" s="165">
        <v>0</v>
      </c>
      <c r="J1210" s="166">
        <v>0</v>
      </c>
      <c r="K1210" s="165">
        <v>0</v>
      </c>
      <c r="L1210" s="166">
        <v>0</v>
      </c>
      <c r="M1210" s="165">
        <v>0</v>
      </c>
      <c r="N1210" s="166">
        <v>0</v>
      </c>
      <c r="O1210" s="165">
        <v>0</v>
      </c>
      <c r="P1210" s="166">
        <v>0</v>
      </c>
      <c r="Q1210" s="165">
        <v>0</v>
      </c>
      <c r="R1210" s="166">
        <v>0</v>
      </c>
      <c r="S1210" s="165">
        <v>0</v>
      </c>
      <c r="T1210" s="166">
        <v>0</v>
      </c>
      <c r="U1210" s="165">
        <v>0</v>
      </c>
      <c r="V1210" s="166">
        <v>0</v>
      </c>
      <c r="W1210" s="165">
        <v>0</v>
      </c>
      <c r="X1210" s="166">
        <v>0</v>
      </c>
      <c r="Y1210" s="165">
        <v>0</v>
      </c>
      <c r="Z1210" s="166">
        <v>0</v>
      </c>
      <c r="AA1210" s="165">
        <v>0</v>
      </c>
      <c r="AB1210" s="166">
        <v>0</v>
      </c>
      <c r="AC1210" s="238">
        <f t="shared" si="64"/>
        <v>0</v>
      </c>
      <c r="AD1210" s="238"/>
      <c r="AE1210" s="238"/>
    </row>
    <row r="1211" spans="2:31" x14ac:dyDescent="0.3">
      <c r="B1211" s="245" t="s">
        <v>93</v>
      </c>
      <c r="C1211" s="245"/>
      <c r="D1211" s="245"/>
      <c r="E1211" s="165">
        <v>0</v>
      </c>
      <c r="F1211" s="166">
        <v>0</v>
      </c>
      <c r="G1211" s="165">
        <v>0</v>
      </c>
      <c r="H1211" s="166">
        <v>0</v>
      </c>
      <c r="I1211" s="165">
        <v>0</v>
      </c>
      <c r="J1211" s="166">
        <v>0</v>
      </c>
      <c r="K1211" s="165">
        <v>0</v>
      </c>
      <c r="L1211" s="166">
        <v>0</v>
      </c>
      <c r="M1211" s="165">
        <v>0</v>
      </c>
      <c r="N1211" s="166">
        <v>0</v>
      </c>
      <c r="O1211" s="165">
        <v>0</v>
      </c>
      <c r="P1211" s="166">
        <v>0</v>
      </c>
      <c r="Q1211" s="165">
        <v>0</v>
      </c>
      <c r="R1211" s="166">
        <v>0</v>
      </c>
      <c r="S1211" s="165">
        <v>1.1161666666666672</v>
      </c>
      <c r="T1211" s="166">
        <v>3.5399999999999987</v>
      </c>
      <c r="U1211" s="165">
        <v>4.1399999999999935</v>
      </c>
      <c r="V1211" s="166">
        <v>4.2400000000000038</v>
      </c>
      <c r="W1211" s="165">
        <v>1.1923333333333337</v>
      </c>
      <c r="X1211" s="166">
        <v>0</v>
      </c>
      <c r="Y1211" s="165">
        <v>0</v>
      </c>
      <c r="Z1211" s="166">
        <v>0</v>
      </c>
      <c r="AA1211" s="165">
        <v>0</v>
      </c>
      <c r="AB1211" s="166">
        <v>0</v>
      </c>
      <c r="AC1211" s="238">
        <f>SUM(E1211:AB1211)</f>
        <v>14.228499999999997</v>
      </c>
      <c r="AD1211" s="238"/>
      <c r="AE1211" s="238"/>
    </row>
    <row r="1212" spans="2:31" x14ac:dyDescent="0.3">
      <c r="B1212" s="14" t="s">
        <v>2</v>
      </c>
      <c r="C1212" s="14"/>
      <c r="D1212" s="14"/>
      <c r="E1212" s="15">
        <f t="shared" ref="E1212:AB1212" si="65">SUM(E1163:E1211)</f>
        <v>0</v>
      </c>
      <c r="F1212" s="15">
        <f t="shared" si="65"/>
        <v>0</v>
      </c>
      <c r="G1212" s="15">
        <f t="shared" si="65"/>
        <v>0</v>
      </c>
      <c r="H1212" s="15">
        <f t="shared" si="65"/>
        <v>0</v>
      </c>
      <c r="I1212" s="15">
        <f t="shared" si="65"/>
        <v>0</v>
      </c>
      <c r="J1212" s="15">
        <f t="shared" si="65"/>
        <v>0</v>
      </c>
      <c r="K1212" s="15">
        <f t="shared" si="65"/>
        <v>0</v>
      </c>
      <c r="L1212" s="15">
        <f t="shared" si="65"/>
        <v>0</v>
      </c>
      <c r="M1212" s="15">
        <f t="shared" si="65"/>
        <v>0</v>
      </c>
      <c r="N1212" s="15">
        <f t="shared" si="65"/>
        <v>0</v>
      </c>
      <c r="O1212" s="15">
        <f t="shared" si="65"/>
        <v>4.4623333333333326</v>
      </c>
      <c r="P1212" s="15">
        <f t="shared" si="65"/>
        <v>10.46033333333334</v>
      </c>
      <c r="Q1212" s="15">
        <f t="shared" si="65"/>
        <v>24.050166666666666</v>
      </c>
      <c r="R1212" s="15">
        <f t="shared" si="65"/>
        <v>130.09700000000007</v>
      </c>
      <c r="S1212" s="15">
        <f t="shared" si="65"/>
        <v>343.49166666666667</v>
      </c>
      <c r="T1212" s="15">
        <f t="shared" si="65"/>
        <v>278.62499999999994</v>
      </c>
      <c r="U1212" s="15">
        <f t="shared" si="65"/>
        <v>317.16283333333337</v>
      </c>
      <c r="V1212" s="15">
        <f t="shared" si="65"/>
        <v>326.54516666666672</v>
      </c>
      <c r="W1212" s="15">
        <f t="shared" si="65"/>
        <v>110.10000000000001</v>
      </c>
      <c r="X1212" s="15">
        <f t="shared" si="65"/>
        <v>1.5000000000000124E-3</v>
      </c>
      <c r="Y1212" s="15">
        <f t="shared" si="65"/>
        <v>0</v>
      </c>
      <c r="Z1212" s="15">
        <f t="shared" si="65"/>
        <v>0</v>
      </c>
      <c r="AA1212" s="15">
        <f t="shared" si="65"/>
        <v>0</v>
      </c>
      <c r="AB1212" s="15">
        <f t="shared" si="65"/>
        <v>0</v>
      </c>
      <c r="AC1212" s="249">
        <f>SUM(AC1163:AE1211)</f>
        <v>1544.9959999999999</v>
      </c>
      <c r="AD1212" s="249"/>
      <c r="AE1212" s="249"/>
    </row>
    <row r="1213" spans="2:31" x14ac:dyDescent="0.3">
      <c r="B1213" s="16"/>
      <c r="C1213" s="17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  <c r="AA1213" s="18"/>
    </row>
    <row r="1214" spans="2:31" x14ac:dyDescent="0.3">
      <c r="B1214" s="16"/>
      <c r="C1214" s="17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  <c r="N1214" s="18"/>
      <c r="O1214" s="18"/>
      <c r="P1214" s="18"/>
      <c r="Q1214" s="18"/>
      <c r="R1214" s="18"/>
      <c r="S1214" s="18"/>
      <c r="T1214" s="18"/>
      <c r="U1214" s="18"/>
      <c r="V1214" s="18"/>
      <c r="W1214" s="18"/>
      <c r="X1214" s="18"/>
      <c r="Y1214" s="18"/>
      <c r="Z1214" s="18"/>
      <c r="AA1214" s="18"/>
    </row>
    <row r="1215" spans="2:31" x14ac:dyDescent="0.3">
      <c r="B1215" s="8">
        <f>'Resumen-Mensual'!$AA$22</f>
        <v>44584</v>
      </c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167"/>
      <c r="AD1215" s="167"/>
      <c r="AE1215" s="167"/>
    </row>
    <row r="1216" spans="2:31" x14ac:dyDescent="0.3">
      <c r="B1216" s="8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167"/>
      <c r="AD1216" s="167"/>
      <c r="AE1216" s="167"/>
    </row>
    <row r="1217" spans="2:31" x14ac:dyDescent="0.3">
      <c r="B1217" s="9" t="s">
        <v>81</v>
      </c>
      <c r="C1217" s="10"/>
      <c r="D1217" s="10"/>
      <c r="E1217" s="11">
        <v>1</v>
      </c>
      <c r="F1217" s="11">
        <v>2</v>
      </c>
      <c r="G1217" s="11">
        <v>3</v>
      </c>
      <c r="H1217" s="11">
        <v>4</v>
      </c>
      <c r="I1217" s="11">
        <v>5</v>
      </c>
      <c r="J1217" s="11">
        <v>6</v>
      </c>
      <c r="K1217" s="11">
        <v>7</v>
      </c>
      <c r="L1217" s="11">
        <v>8</v>
      </c>
      <c r="M1217" s="11">
        <v>9</v>
      </c>
      <c r="N1217" s="11">
        <v>10</v>
      </c>
      <c r="O1217" s="11">
        <v>11</v>
      </c>
      <c r="P1217" s="11">
        <v>12</v>
      </c>
      <c r="Q1217" s="11">
        <v>13</v>
      </c>
      <c r="R1217" s="11">
        <v>14</v>
      </c>
      <c r="S1217" s="11">
        <v>15</v>
      </c>
      <c r="T1217" s="11">
        <v>16</v>
      </c>
      <c r="U1217" s="11">
        <v>17</v>
      </c>
      <c r="V1217" s="11">
        <v>18</v>
      </c>
      <c r="W1217" s="11">
        <v>19</v>
      </c>
      <c r="X1217" s="11">
        <v>20</v>
      </c>
      <c r="Y1217" s="11">
        <v>21</v>
      </c>
      <c r="Z1217" s="11">
        <v>22</v>
      </c>
      <c r="AA1217" s="11">
        <v>23</v>
      </c>
      <c r="AB1217" s="11">
        <v>24</v>
      </c>
      <c r="AC1217" s="248" t="s">
        <v>2</v>
      </c>
      <c r="AD1217" s="248"/>
      <c r="AE1217" s="248"/>
    </row>
    <row r="1218" spans="2:31" x14ac:dyDescent="0.3">
      <c r="B1218" s="245" t="s">
        <v>37</v>
      </c>
      <c r="C1218" s="245"/>
      <c r="D1218" s="245"/>
      <c r="E1218" s="172">
        <v>0</v>
      </c>
      <c r="F1218" s="173">
        <v>0</v>
      </c>
      <c r="G1218" s="172">
        <v>0</v>
      </c>
      <c r="H1218" s="173">
        <v>0</v>
      </c>
      <c r="I1218" s="172">
        <v>0</v>
      </c>
      <c r="J1218" s="173">
        <v>0</v>
      </c>
      <c r="K1218" s="172">
        <v>0</v>
      </c>
      <c r="L1218" s="173">
        <v>0</v>
      </c>
      <c r="M1218" s="172">
        <v>0</v>
      </c>
      <c r="N1218" s="173">
        <v>0</v>
      </c>
      <c r="O1218" s="172">
        <v>0</v>
      </c>
      <c r="P1218" s="173">
        <v>0</v>
      </c>
      <c r="Q1218" s="172">
        <v>0</v>
      </c>
      <c r="R1218" s="173">
        <v>0</v>
      </c>
      <c r="S1218" s="172">
        <v>0</v>
      </c>
      <c r="T1218" s="173">
        <v>0</v>
      </c>
      <c r="U1218" s="172">
        <v>0</v>
      </c>
      <c r="V1218" s="173">
        <v>1.0499999999999983E-2</v>
      </c>
      <c r="W1218" s="172">
        <v>0.19466666666666665</v>
      </c>
      <c r="X1218" s="173">
        <v>0</v>
      </c>
      <c r="Y1218" s="172">
        <v>0</v>
      </c>
      <c r="Z1218" s="173">
        <v>0</v>
      </c>
      <c r="AA1218" s="172">
        <v>0</v>
      </c>
      <c r="AB1218" s="173">
        <v>0</v>
      </c>
      <c r="AC1218" s="238">
        <f t="shared" ref="AC1218:AC1250" si="66">SUM(E1218:AB1218)</f>
        <v>0.20516666666666664</v>
      </c>
      <c r="AD1218" s="238"/>
      <c r="AE1218" s="238"/>
    </row>
    <row r="1219" spans="2:31" x14ac:dyDescent="0.3">
      <c r="B1219" s="245" t="s">
        <v>38</v>
      </c>
      <c r="C1219" s="245"/>
      <c r="D1219" s="245"/>
      <c r="E1219" s="172">
        <v>0</v>
      </c>
      <c r="F1219" s="173">
        <v>0</v>
      </c>
      <c r="G1219" s="172">
        <v>0</v>
      </c>
      <c r="H1219" s="173">
        <v>0</v>
      </c>
      <c r="I1219" s="172">
        <v>0</v>
      </c>
      <c r="J1219" s="173">
        <v>0</v>
      </c>
      <c r="K1219" s="172">
        <v>0</v>
      </c>
      <c r="L1219" s="173">
        <v>0</v>
      </c>
      <c r="M1219" s="172">
        <v>0</v>
      </c>
      <c r="N1219" s="173">
        <v>0</v>
      </c>
      <c r="O1219" s="172">
        <v>0</v>
      </c>
      <c r="P1219" s="173">
        <v>0</v>
      </c>
      <c r="Q1219" s="172">
        <v>0.34433333333333321</v>
      </c>
      <c r="R1219" s="173">
        <v>0.24183333333333323</v>
      </c>
      <c r="S1219" s="172">
        <v>0</v>
      </c>
      <c r="T1219" s="173">
        <v>3.9333333333333262E-2</v>
      </c>
      <c r="U1219" s="172">
        <v>4.4999999999999927E-3</v>
      </c>
      <c r="V1219" s="173">
        <v>0.15349999999999983</v>
      </c>
      <c r="W1219" s="172">
        <v>2.5266666666666677</v>
      </c>
      <c r="X1219" s="173">
        <v>0</v>
      </c>
      <c r="Y1219" s="172">
        <v>0</v>
      </c>
      <c r="Z1219" s="173">
        <v>0</v>
      </c>
      <c r="AA1219" s="172">
        <v>0</v>
      </c>
      <c r="AB1219" s="173">
        <v>0</v>
      </c>
      <c r="AC1219" s="238">
        <f t="shared" si="66"/>
        <v>3.3101666666666674</v>
      </c>
      <c r="AD1219" s="238"/>
      <c r="AE1219" s="238"/>
    </row>
    <row r="1220" spans="2:31" x14ac:dyDescent="0.3">
      <c r="B1220" s="245" t="s">
        <v>39</v>
      </c>
      <c r="C1220" s="245"/>
      <c r="D1220" s="245"/>
      <c r="E1220" s="172">
        <v>0</v>
      </c>
      <c r="F1220" s="173">
        <v>0</v>
      </c>
      <c r="G1220" s="172">
        <v>0</v>
      </c>
      <c r="H1220" s="173">
        <v>0</v>
      </c>
      <c r="I1220" s="172">
        <v>0</v>
      </c>
      <c r="J1220" s="173">
        <v>0</v>
      </c>
      <c r="K1220" s="172">
        <v>0</v>
      </c>
      <c r="L1220" s="173">
        <v>0</v>
      </c>
      <c r="M1220" s="172">
        <v>0</v>
      </c>
      <c r="N1220" s="173">
        <v>0</v>
      </c>
      <c r="O1220" s="172">
        <v>0</v>
      </c>
      <c r="P1220" s="173">
        <v>0</v>
      </c>
      <c r="Q1220" s="172">
        <v>4.076833333333334</v>
      </c>
      <c r="R1220" s="173">
        <v>1.1679999999999997</v>
      </c>
      <c r="S1220" s="172">
        <v>0</v>
      </c>
      <c r="T1220" s="173">
        <v>8.2499999999999934E-2</v>
      </c>
      <c r="U1220" s="172">
        <v>0.11016666666666666</v>
      </c>
      <c r="V1220" s="173">
        <v>2.1525000000000003</v>
      </c>
      <c r="W1220" s="172">
        <v>1.9423333333333337</v>
      </c>
      <c r="X1220" s="173">
        <v>0</v>
      </c>
      <c r="Y1220" s="172">
        <v>0</v>
      </c>
      <c r="Z1220" s="173">
        <v>0</v>
      </c>
      <c r="AA1220" s="172">
        <v>0</v>
      </c>
      <c r="AB1220" s="173">
        <v>0</v>
      </c>
      <c r="AC1220" s="238">
        <f t="shared" si="66"/>
        <v>9.5323333333333338</v>
      </c>
      <c r="AD1220" s="238"/>
      <c r="AE1220" s="238"/>
    </row>
    <row r="1221" spans="2:31" x14ac:dyDescent="0.3">
      <c r="B1221" s="245" t="s">
        <v>40</v>
      </c>
      <c r="C1221" s="245"/>
      <c r="D1221" s="245"/>
      <c r="E1221" s="172">
        <v>0</v>
      </c>
      <c r="F1221" s="173">
        <v>0</v>
      </c>
      <c r="G1221" s="172">
        <v>0</v>
      </c>
      <c r="H1221" s="173">
        <v>0</v>
      </c>
      <c r="I1221" s="172">
        <v>0</v>
      </c>
      <c r="J1221" s="173">
        <v>0</v>
      </c>
      <c r="K1221" s="172">
        <v>0</v>
      </c>
      <c r="L1221" s="173">
        <v>0</v>
      </c>
      <c r="M1221" s="172">
        <v>0</v>
      </c>
      <c r="N1221" s="173">
        <v>0</v>
      </c>
      <c r="O1221" s="172">
        <v>0</v>
      </c>
      <c r="P1221" s="173">
        <v>1.4160000000000015</v>
      </c>
      <c r="Q1221" s="172">
        <v>45.306999999999988</v>
      </c>
      <c r="R1221" s="173">
        <v>40.273666666666649</v>
      </c>
      <c r="S1221" s="172">
        <v>28.75633333333333</v>
      </c>
      <c r="T1221" s="173">
        <v>37.743333333333347</v>
      </c>
      <c r="U1221" s="172">
        <v>62.908833333333355</v>
      </c>
      <c r="V1221" s="173">
        <v>81.202500000000001</v>
      </c>
      <c r="W1221" s="172">
        <v>61.384333333333338</v>
      </c>
      <c r="X1221" s="173">
        <v>0</v>
      </c>
      <c r="Y1221" s="172">
        <v>0</v>
      </c>
      <c r="Z1221" s="173">
        <v>0</v>
      </c>
      <c r="AA1221" s="172">
        <v>0</v>
      </c>
      <c r="AB1221" s="173">
        <v>0</v>
      </c>
      <c r="AC1221" s="238">
        <f t="shared" si="66"/>
        <v>358.99200000000002</v>
      </c>
      <c r="AD1221" s="238"/>
      <c r="AE1221" s="238"/>
    </row>
    <row r="1222" spans="2:31" x14ac:dyDescent="0.3">
      <c r="B1222" s="245" t="s">
        <v>41</v>
      </c>
      <c r="C1222" s="245"/>
      <c r="D1222" s="245"/>
      <c r="E1222" s="172">
        <v>0</v>
      </c>
      <c r="F1222" s="173">
        <v>0</v>
      </c>
      <c r="G1222" s="172">
        <v>0</v>
      </c>
      <c r="H1222" s="173">
        <v>0</v>
      </c>
      <c r="I1222" s="172">
        <v>0</v>
      </c>
      <c r="J1222" s="173">
        <v>0</v>
      </c>
      <c r="K1222" s="172">
        <v>0</v>
      </c>
      <c r="L1222" s="173">
        <v>0</v>
      </c>
      <c r="M1222" s="172">
        <v>0</v>
      </c>
      <c r="N1222" s="173">
        <v>0</v>
      </c>
      <c r="O1222" s="172">
        <v>2.2484999999999991</v>
      </c>
      <c r="P1222" s="173">
        <v>9.5333333333333312E-2</v>
      </c>
      <c r="Q1222" s="172">
        <v>0</v>
      </c>
      <c r="R1222" s="173">
        <v>0</v>
      </c>
      <c r="S1222" s="172">
        <v>0</v>
      </c>
      <c r="T1222" s="173">
        <v>0</v>
      </c>
      <c r="U1222" s="172">
        <v>0</v>
      </c>
      <c r="V1222" s="173">
        <v>10.760999999999997</v>
      </c>
      <c r="W1222" s="172">
        <v>12.180166666666667</v>
      </c>
      <c r="X1222" s="173">
        <v>0</v>
      </c>
      <c r="Y1222" s="172">
        <v>0</v>
      </c>
      <c r="Z1222" s="173">
        <v>0</v>
      </c>
      <c r="AA1222" s="172">
        <v>0</v>
      </c>
      <c r="AB1222" s="173">
        <v>0</v>
      </c>
      <c r="AC1222" s="238">
        <f t="shared" si="66"/>
        <v>25.284999999999997</v>
      </c>
      <c r="AD1222" s="238"/>
      <c r="AE1222" s="238"/>
    </row>
    <row r="1223" spans="2:31" x14ac:dyDescent="0.3">
      <c r="B1223" s="245" t="s">
        <v>42</v>
      </c>
      <c r="C1223" s="245"/>
      <c r="D1223" s="245"/>
      <c r="E1223" s="172">
        <v>0</v>
      </c>
      <c r="F1223" s="173">
        <v>0</v>
      </c>
      <c r="G1223" s="172">
        <v>0</v>
      </c>
      <c r="H1223" s="173">
        <v>0</v>
      </c>
      <c r="I1223" s="172">
        <v>0</v>
      </c>
      <c r="J1223" s="173">
        <v>0</v>
      </c>
      <c r="K1223" s="172">
        <v>0</v>
      </c>
      <c r="L1223" s="173">
        <v>0</v>
      </c>
      <c r="M1223" s="172">
        <v>0</v>
      </c>
      <c r="N1223" s="173">
        <v>0</v>
      </c>
      <c r="O1223" s="172">
        <v>0</v>
      </c>
      <c r="P1223" s="173">
        <v>0</v>
      </c>
      <c r="Q1223" s="172">
        <v>2.4853333333333336</v>
      </c>
      <c r="R1223" s="173">
        <v>0</v>
      </c>
      <c r="S1223" s="172">
        <v>0</v>
      </c>
      <c r="T1223" s="173">
        <v>0</v>
      </c>
      <c r="U1223" s="172">
        <v>5.5333333333333221E-2</v>
      </c>
      <c r="V1223" s="173">
        <v>0</v>
      </c>
      <c r="W1223" s="172">
        <v>4.1885000000000003</v>
      </c>
      <c r="X1223" s="173">
        <v>0</v>
      </c>
      <c r="Y1223" s="172">
        <v>0</v>
      </c>
      <c r="Z1223" s="173">
        <v>0</v>
      </c>
      <c r="AA1223" s="172">
        <v>0</v>
      </c>
      <c r="AB1223" s="173">
        <v>0</v>
      </c>
      <c r="AC1223" s="238">
        <f t="shared" si="66"/>
        <v>6.729166666666667</v>
      </c>
      <c r="AD1223" s="238"/>
      <c r="AE1223" s="238"/>
    </row>
    <row r="1224" spans="2:31" x14ac:dyDescent="0.3">
      <c r="B1224" s="245" t="s">
        <v>43</v>
      </c>
      <c r="C1224" s="245"/>
      <c r="D1224" s="245"/>
      <c r="E1224" s="172">
        <v>0</v>
      </c>
      <c r="F1224" s="173">
        <v>0</v>
      </c>
      <c r="G1224" s="172">
        <v>0</v>
      </c>
      <c r="H1224" s="173">
        <v>0</v>
      </c>
      <c r="I1224" s="172">
        <v>0</v>
      </c>
      <c r="J1224" s="173">
        <v>0</v>
      </c>
      <c r="K1224" s="172">
        <v>0</v>
      </c>
      <c r="L1224" s="173">
        <v>0</v>
      </c>
      <c r="M1224" s="172">
        <v>0</v>
      </c>
      <c r="N1224" s="173">
        <v>0</v>
      </c>
      <c r="O1224" s="172">
        <v>20.324000000000005</v>
      </c>
      <c r="P1224" s="173">
        <v>20.972333333333335</v>
      </c>
      <c r="Q1224" s="172">
        <v>24.891499999999997</v>
      </c>
      <c r="R1224" s="173">
        <v>1.4863333333333346</v>
      </c>
      <c r="S1224" s="172">
        <v>0</v>
      </c>
      <c r="T1224" s="173">
        <v>14.500999999999998</v>
      </c>
      <c r="U1224" s="172">
        <v>8.8503333333333334</v>
      </c>
      <c r="V1224" s="173">
        <v>14.817999999999991</v>
      </c>
      <c r="W1224" s="172">
        <v>13.468500000000001</v>
      </c>
      <c r="X1224" s="173">
        <v>0</v>
      </c>
      <c r="Y1224" s="172">
        <v>0</v>
      </c>
      <c r="Z1224" s="173">
        <v>0</v>
      </c>
      <c r="AA1224" s="172">
        <v>0</v>
      </c>
      <c r="AB1224" s="173">
        <v>0</v>
      </c>
      <c r="AC1224" s="238">
        <f t="shared" si="66"/>
        <v>119.31199999999998</v>
      </c>
      <c r="AD1224" s="238"/>
      <c r="AE1224" s="238"/>
    </row>
    <row r="1225" spans="2:31" x14ac:dyDescent="0.3">
      <c r="B1225" s="245" t="s">
        <v>44</v>
      </c>
      <c r="C1225" s="245"/>
      <c r="D1225" s="245"/>
      <c r="E1225" s="172">
        <v>0</v>
      </c>
      <c r="F1225" s="173">
        <v>0</v>
      </c>
      <c r="G1225" s="172">
        <v>0</v>
      </c>
      <c r="H1225" s="173">
        <v>0</v>
      </c>
      <c r="I1225" s="172">
        <v>0</v>
      </c>
      <c r="J1225" s="173">
        <v>0</v>
      </c>
      <c r="K1225" s="172">
        <v>0</v>
      </c>
      <c r="L1225" s="173">
        <v>0</v>
      </c>
      <c r="M1225" s="172">
        <v>0</v>
      </c>
      <c r="N1225" s="173">
        <v>0</v>
      </c>
      <c r="O1225" s="172">
        <v>0</v>
      </c>
      <c r="P1225" s="173">
        <v>0</v>
      </c>
      <c r="Q1225" s="172">
        <v>0</v>
      </c>
      <c r="R1225" s="173">
        <v>11.970500000000003</v>
      </c>
      <c r="S1225" s="172">
        <v>3.3961666666666672</v>
      </c>
      <c r="T1225" s="173">
        <v>0</v>
      </c>
      <c r="U1225" s="172">
        <v>0</v>
      </c>
      <c r="V1225" s="173">
        <v>7.9801666666666673</v>
      </c>
      <c r="W1225" s="172">
        <v>9.3978333333333328</v>
      </c>
      <c r="X1225" s="173">
        <v>0</v>
      </c>
      <c r="Y1225" s="172">
        <v>0</v>
      </c>
      <c r="Z1225" s="173">
        <v>0</v>
      </c>
      <c r="AA1225" s="172">
        <v>0</v>
      </c>
      <c r="AB1225" s="173">
        <v>0</v>
      </c>
      <c r="AC1225" s="238">
        <f t="shared" si="66"/>
        <v>32.744666666666667</v>
      </c>
      <c r="AD1225" s="238"/>
      <c r="AE1225" s="238"/>
    </row>
    <row r="1226" spans="2:31" x14ac:dyDescent="0.3">
      <c r="B1226" s="245" t="s">
        <v>45</v>
      </c>
      <c r="C1226" s="245"/>
      <c r="D1226" s="245"/>
      <c r="E1226" s="172">
        <v>0</v>
      </c>
      <c r="F1226" s="173">
        <v>0</v>
      </c>
      <c r="G1226" s="172">
        <v>0</v>
      </c>
      <c r="H1226" s="173">
        <v>0</v>
      </c>
      <c r="I1226" s="172">
        <v>0</v>
      </c>
      <c r="J1226" s="173">
        <v>0</v>
      </c>
      <c r="K1226" s="172">
        <v>0</v>
      </c>
      <c r="L1226" s="173">
        <v>0</v>
      </c>
      <c r="M1226" s="172">
        <v>0</v>
      </c>
      <c r="N1226" s="173">
        <v>0</v>
      </c>
      <c r="O1226" s="172">
        <v>0</v>
      </c>
      <c r="P1226" s="173">
        <v>0.13250000000000017</v>
      </c>
      <c r="Q1226" s="172">
        <v>3.0373333333333394</v>
      </c>
      <c r="R1226" s="173">
        <v>12.862166666666672</v>
      </c>
      <c r="S1226" s="172">
        <v>0</v>
      </c>
      <c r="T1226" s="173">
        <v>12.110833333333341</v>
      </c>
      <c r="U1226" s="172">
        <v>7.2666666666666713E-2</v>
      </c>
      <c r="V1226" s="173">
        <v>8.249999999999999E-2</v>
      </c>
      <c r="W1226" s="172">
        <v>0.15649999999999989</v>
      </c>
      <c r="X1226" s="173">
        <v>0</v>
      </c>
      <c r="Y1226" s="172">
        <v>0</v>
      </c>
      <c r="Z1226" s="173">
        <v>0</v>
      </c>
      <c r="AA1226" s="172">
        <v>0</v>
      </c>
      <c r="AB1226" s="173">
        <v>0</v>
      </c>
      <c r="AC1226" s="238">
        <f t="shared" si="66"/>
        <v>28.454500000000017</v>
      </c>
      <c r="AD1226" s="238"/>
      <c r="AE1226" s="238"/>
    </row>
    <row r="1227" spans="2:31" x14ac:dyDescent="0.3">
      <c r="B1227" s="245" t="s">
        <v>46</v>
      </c>
      <c r="C1227" s="245"/>
      <c r="D1227" s="245"/>
      <c r="E1227" s="172">
        <v>0</v>
      </c>
      <c r="F1227" s="173">
        <v>0</v>
      </c>
      <c r="G1227" s="172">
        <v>0</v>
      </c>
      <c r="H1227" s="173">
        <v>0</v>
      </c>
      <c r="I1227" s="172">
        <v>0</v>
      </c>
      <c r="J1227" s="173">
        <v>0</v>
      </c>
      <c r="K1227" s="172">
        <v>0</v>
      </c>
      <c r="L1227" s="173">
        <v>0</v>
      </c>
      <c r="M1227" s="172">
        <v>0</v>
      </c>
      <c r="N1227" s="173">
        <v>0</v>
      </c>
      <c r="O1227" s="172">
        <v>0</v>
      </c>
      <c r="P1227" s="173">
        <v>1.1755</v>
      </c>
      <c r="Q1227" s="172">
        <v>29.326833333333305</v>
      </c>
      <c r="R1227" s="173">
        <v>40.338000000000015</v>
      </c>
      <c r="S1227" s="172">
        <v>40.822999999999986</v>
      </c>
      <c r="T1227" s="173">
        <v>9.0295000000000023</v>
      </c>
      <c r="U1227" s="172">
        <v>0</v>
      </c>
      <c r="V1227" s="173">
        <v>0</v>
      </c>
      <c r="W1227" s="172">
        <v>0.65300000000000014</v>
      </c>
      <c r="X1227" s="173">
        <v>0</v>
      </c>
      <c r="Y1227" s="172">
        <v>0</v>
      </c>
      <c r="Z1227" s="173">
        <v>0</v>
      </c>
      <c r="AA1227" s="172">
        <v>0</v>
      </c>
      <c r="AB1227" s="173">
        <v>0</v>
      </c>
      <c r="AC1227" s="238">
        <f t="shared" si="66"/>
        <v>121.3458333333333</v>
      </c>
      <c r="AD1227" s="238"/>
      <c r="AE1227" s="238"/>
    </row>
    <row r="1228" spans="2:31" x14ac:dyDescent="0.3">
      <c r="B1228" s="245" t="s">
        <v>47</v>
      </c>
      <c r="C1228" s="245"/>
      <c r="D1228" s="245"/>
      <c r="E1228" s="172">
        <v>0</v>
      </c>
      <c r="F1228" s="173">
        <v>0</v>
      </c>
      <c r="G1228" s="172">
        <v>0</v>
      </c>
      <c r="H1228" s="173">
        <v>0</v>
      </c>
      <c r="I1228" s="172">
        <v>0</v>
      </c>
      <c r="J1228" s="173">
        <v>0</v>
      </c>
      <c r="K1228" s="172">
        <v>0</v>
      </c>
      <c r="L1228" s="173">
        <v>0</v>
      </c>
      <c r="M1228" s="172">
        <v>0</v>
      </c>
      <c r="N1228" s="173">
        <v>0</v>
      </c>
      <c r="O1228" s="172">
        <v>0</v>
      </c>
      <c r="P1228" s="173">
        <v>0</v>
      </c>
      <c r="Q1228" s="172">
        <v>0</v>
      </c>
      <c r="R1228" s="173">
        <v>0.31100000000000017</v>
      </c>
      <c r="S1228" s="172">
        <v>3.8846666666666674</v>
      </c>
      <c r="T1228" s="173">
        <v>3.2344999999999957</v>
      </c>
      <c r="U1228" s="172">
        <v>1.6471666666666673</v>
      </c>
      <c r="V1228" s="173">
        <v>0.42483333333333312</v>
      </c>
      <c r="W1228" s="172">
        <v>2.8833333333333339E-2</v>
      </c>
      <c r="X1228" s="173">
        <v>0</v>
      </c>
      <c r="Y1228" s="172">
        <v>0</v>
      </c>
      <c r="Z1228" s="173">
        <v>0</v>
      </c>
      <c r="AA1228" s="172">
        <v>0</v>
      </c>
      <c r="AB1228" s="173">
        <v>0</v>
      </c>
      <c r="AC1228" s="238">
        <f t="shared" si="66"/>
        <v>9.530999999999997</v>
      </c>
      <c r="AD1228" s="238"/>
      <c r="AE1228" s="238"/>
    </row>
    <row r="1229" spans="2:31" x14ac:dyDescent="0.3">
      <c r="B1229" s="245" t="s">
        <v>48</v>
      </c>
      <c r="C1229" s="245"/>
      <c r="D1229" s="245"/>
      <c r="E1229" s="172">
        <v>0</v>
      </c>
      <c r="F1229" s="173">
        <v>0</v>
      </c>
      <c r="G1229" s="172">
        <v>0</v>
      </c>
      <c r="H1229" s="173">
        <v>0</v>
      </c>
      <c r="I1229" s="172">
        <v>0</v>
      </c>
      <c r="J1229" s="173">
        <v>0</v>
      </c>
      <c r="K1229" s="172">
        <v>0</v>
      </c>
      <c r="L1229" s="173">
        <v>0</v>
      </c>
      <c r="M1229" s="172">
        <v>0</v>
      </c>
      <c r="N1229" s="173">
        <v>0</v>
      </c>
      <c r="O1229" s="172">
        <v>0</v>
      </c>
      <c r="P1229" s="173">
        <v>2.6499999999999999E-2</v>
      </c>
      <c r="Q1229" s="172">
        <v>0</v>
      </c>
      <c r="R1229" s="173">
        <v>0.34950000000000009</v>
      </c>
      <c r="S1229" s="172">
        <v>4.1005000000000029</v>
      </c>
      <c r="T1229" s="173">
        <v>3.4050000000000042</v>
      </c>
      <c r="U1229" s="172">
        <v>2.4778333333333338</v>
      </c>
      <c r="V1229" s="173">
        <v>0.9923333333333344</v>
      </c>
      <c r="W1229" s="172">
        <v>2.4500000000000011E-2</v>
      </c>
      <c r="X1229" s="173">
        <v>0</v>
      </c>
      <c r="Y1229" s="172">
        <v>0</v>
      </c>
      <c r="Z1229" s="173">
        <v>0</v>
      </c>
      <c r="AA1229" s="172">
        <v>0</v>
      </c>
      <c r="AB1229" s="173">
        <v>0</v>
      </c>
      <c r="AC1229" s="238">
        <f t="shared" si="66"/>
        <v>11.376166666666677</v>
      </c>
      <c r="AD1229" s="238"/>
      <c r="AE1229" s="238"/>
    </row>
    <row r="1230" spans="2:31" x14ac:dyDescent="0.3">
      <c r="B1230" s="245" t="s">
        <v>49</v>
      </c>
      <c r="C1230" s="245"/>
      <c r="D1230" s="245"/>
      <c r="E1230" s="172">
        <v>0</v>
      </c>
      <c r="F1230" s="173">
        <v>0</v>
      </c>
      <c r="G1230" s="172">
        <v>0</v>
      </c>
      <c r="H1230" s="173">
        <v>0</v>
      </c>
      <c r="I1230" s="172">
        <v>0</v>
      </c>
      <c r="J1230" s="173">
        <v>0</v>
      </c>
      <c r="K1230" s="172">
        <v>0</v>
      </c>
      <c r="L1230" s="173">
        <v>0</v>
      </c>
      <c r="M1230" s="172">
        <v>0</v>
      </c>
      <c r="N1230" s="173">
        <v>0</v>
      </c>
      <c r="O1230" s="172">
        <v>0</v>
      </c>
      <c r="P1230" s="173">
        <v>0</v>
      </c>
      <c r="Q1230" s="172">
        <v>0</v>
      </c>
      <c r="R1230" s="173">
        <v>0</v>
      </c>
      <c r="S1230" s="172">
        <v>0</v>
      </c>
      <c r="T1230" s="173">
        <v>0</v>
      </c>
      <c r="U1230" s="172">
        <v>0.78349999999999997</v>
      </c>
      <c r="V1230" s="173">
        <v>0</v>
      </c>
      <c r="W1230" s="172">
        <v>0</v>
      </c>
      <c r="X1230" s="173">
        <v>0</v>
      </c>
      <c r="Y1230" s="172">
        <v>0</v>
      </c>
      <c r="Z1230" s="173">
        <v>0</v>
      </c>
      <c r="AA1230" s="172">
        <v>0</v>
      </c>
      <c r="AB1230" s="173">
        <v>0</v>
      </c>
      <c r="AC1230" s="238">
        <f t="shared" si="66"/>
        <v>0.78349999999999997</v>
      </c>
      <c r="AD1230" s="238"/>
      <c r="AE1230" s="238"/>
    </row>
    <row r="1231" spans="2:31" x14ac:dyDescent="0.3">
      <c r="B1231" s="245" t="s">
        <v>50</v>
      </c>
      <c r="C1231" s="245"/>
      <c r="D1231" s="245"/>
      <c r="E1231" s="172">
        <v>0</v>
      </c>
      <c r="F1231" s="173">
        <v>0</v>
      </c>
      <c r="G1231" s="172">
        <v>0</v>
      </c>
      <c r="H1231" s="173">
        <v>0</v>
      </c>
      <c r="I1231" s="172">
        <v>0</v>
      </c>
      <c r="J1231" s="173">
        <v>0</v>
      </c>
      <c r="K1231" s="172">
        <v>0</v>
      </c>
      <c r="L1231" s="173">
        <v>0</v>
      </c>
      <c r="M1231" s="172">
        <v>0</v>
      </c>
      <c r="N1231" s="173">
        <v>0</v>
      </c>
      <c r="O1231" s="172">
        <v>7.3713333333333342</v>
      </c>
      <c r="P1231" s="173">
        <v>22.507000000000001</v>
      </c>
      <c r="Q1231" s="172">
        <v>22.790666666666656</v>
      </c>
      <c r="R1231" s="173">
        <v>21.876833333333334</v>
      </c>
      <c r="S1231" s="172">
        <v>24.601499999999991</v>
      </c>
      <c r="T1231" s="173">
        <v>23.52033333333333</v>
      </c>
      <c r="U1231" s="172">
        <v>22.671000000000003</v>
      </c>
      <c r="V1231" s="173">
        <v>22.199833333333331</v>
      </c>
      <c r="W1231" s="172">
        <v>17.111333333333334</v>
      </c>
      <c r="X1231" s="173">
        <v>0</v>
      </c>
      <c r="Y1231" s="172">
        <v>0</v>
      </c>
      <c r="Z1231" s="173">
        <v>0</v>
      </c>
      <c r="AA1231" s="172">
        <v>0</v>
      </c>
      <c r="AB1231" s="173">
        <v>0</v>
      </c>
      <c r="AC1231" s="238">
        <f t="shared" si="66"/>
        <v>184.64983333333333</v>
      </c>
      <c r="AD1231" s="238"/>
      <c r="AE1231" s="238"/>
    </row>
    <row r="1232" spans="2:31" x14ac:dyDescent="0.3">
      <c r="B1232" s="245" t="s">
        <v>97</v>
      </c>
      <c r="C1232" s="245"/>
      <c r="D1232" s="245"/>
      <c r="E1232" s="172">
        <v>0</v>
      </c>
      <c r="F1232" s="173">
        <v>0</v>
      </c>
      <c r="G1232" s="172">
        <v>0</v>
      </c>
      <c r="H1232" s="173">
        <v>0</v>
      </c>
      <c r="I1232" s="172">
        <v>0</v>
      </c>
      <c r="J1232" s="173">
        <v>0</v>
      </c>
      <c r="K1232" s="172">
        <v>0</v>
      </c>
      <c r="L1232" s="173">
        <v>0</v>
      </c>
      <c r="M1232" s="172">
        <v>0</v>
      </c>
      <c r="N1232" s="173">
        <v>0</v>
      </c>
      <c r="O1232" s="172">
        <v>0</v>
      </c>
      <c r="P1232" s="173">
        <v>0</v>
      </c>
      <c r="Q1232" s="172">
        <v>0</v>
      </c>
      <c r="R1232" s="173">
        <v>0</v>
      </c>
      <c r="S1232" s="172">
        <v>0</v>
      </c>
      <c r="T1232" s="173">
        <v>0</v>
      </c>
      <c r="U1232" s="172">
        <v>0</v>
      </c>
      <c r="V1232" s="173">
        <v>0</v>
      </c>
      <c r="W1232" s="172">
        <v>0</v>
      </c>
      <c r="X1232" s="173">
        <v>0</v>
      </c>
      <c r="Y1232" s="172">
        <v>0</v>
      </c>
      <c r="Z1232" s="173">
        <v>0</v>
      </c>
      <c r="AA1232" s="172">
        <v>0</v>
      </c>
      <c r="AB1232" s="173">
        <v>0</v>
      </c>
      <c r="AC1232" s="238">
        <f t="shared" si="66"/>
        <v>0</v>
      </c>
      <c r="AD1232" s="238"/>
      <c r="AE1232" s="238"/>
    </row>
    <row r="1233" spans="2:31" x14ac:dyDescent="0.3">
      <c r="B1233" s="245" t="s">
        <v>51</v>
      </c>
      <c r="C1233" s="245"/>
      <c r="D1233" s="245"/>
      <c r="E1233" s="172">
        <v>0</v>
      </c>
      <c r="F1233" s="173">
        <v>0</v>
      </c>
      <c r="G1233" s="172">
        <v>0</v>
      </c>
      <c r="H1233" s="173">
        <v>0</v>
      </c>
      <c r="I1233" s="172">
        <v>0</v>
      </c>
      <c r="J1233" s="173">
        <v>0</v>
      </c>
      <c r="K1233" s="172">
        <v>0</v>
      </c>
      <c r="L1233" s="173">
        <v>0</v>
      </c>
      <c r="M1233" s="172">
        <v>0</v>
      </c>
      <c r="N1233" s="173">
        <v>0</v>
      </c>
      <c r="O1233" s="172">
        <v>0</v>
      </c>
      <c r="P1233" s="173">
        <v>8.1243333333333325</v>
      </c>
      <c r="Q1233" s="172">
        <v>38.102833333333329</v>
      </c>
      <c r="R1233" s="173">
        <v>39.000833333333318</v>
      </c>
      <c r="S1233" s="172">
        <v>39.206666666666678</v>
      </c>
      <c r="T1233" s="173">
        <v>38.437999999999995</v>
      </c>
      <c r="U1233" s="172">
        <v>36.908333333333331</v>
      </c>
      <c r="V1233" s="173">
        <v>50.886999999999979</v>
      </c>
      <c r="W1233" s="172">
        <v>38.042833333333327</v>
      </c>
      <c r="X1233" s="173">
        <v>0</v>
      </c>
      <c r="Y1233" s="172">
        <v>0</v>
      </c>
      <c r="Z1233" s="173">
        <v>0</v>
      </c>
      <c r="AA1233" s="172">
        <v>0</v>
      </c>
      <c r="AB1233" s="173">
        <v>0</v>
      </c>
      <c r="AC1233" s="238">
        <f t="shared" si="66"/>
        <v>288.71083333333326</v>
      </c>
      <c r="AD1233" s="238"/>
      <c r="AE1233" s="238"/>
    </row>
    <row r="1234" spans="2:31" x14ac:dyDescent="0.3">
      <c r="B1234" s="245" t="s">
        <v>52</v>
      </c>
      <c r="C1234" s="245"/>
      <c r="D1234" s="245"/>
      <c r="E1234" s="172">
        <v>0</v>
      </c>
      <c r="F1234" s="173">
        <v>0</v>
      </c>
      <c r="G1234" s="172">
        <v>0</v>
      </c>
      <c r="H1234" s="173">
        <v>0</v>
      </c>
      <c r="I1234" s="172">
        <v>0</v>
      </c>
      <c r="J1234" s="173">
        <v>0</v>
      </c>
      <c r="K1234" s="172">
        <v>0</v>
      </c>
      <c r="L1234" s="173">
        <v>0</v>
      </c>
      <c r="M1234" s="172">
        <v>0</v>
      </c>
      <c r="N1234" s="173">
        <v>0</v>
      </c>
      <c r="O1234" s="172">
        <v>0</v>
      </c>
      <c r="P1234" s="173">
        <v>0</v>
      </c>
      <c r="Q1234" s="172">
        <v>0</v>
      </c>
      <c r="R1234" s="173">
        <v>0</v>
      </c>
      <c r="S1234" s="172">
        <v>0</v>
      </c>
      <c r="T1234" s="173">
        <v>0</v>
      </c>
      <c r="U1234" s="172">
        <v>0</v>
      </c>
      <c r="V1234" s="173">
        <v>0</v>
      </c>
      <c r="W1234" s="172">
        <v>0</v>
      </c>
      <c r="X1234" s="173">
        <v>0</v>
      </c>
      <c r="Y1234" s="172">
        <v>0</v>
      </c>
      <c r="Z1234" s="173">
        <v>0</v>
      </c>
      <c r="AA1234" s="172">
        <v>0</v>
      </c>
      <c r="AB1234" s="173">
        <v>0</v>
      </c>
      <c r="AC1234" s="238">
        <f t="shared" si="66"/>
        <v>0</v>
      </c>
      <c r="AD1234" s="238"/>
      <c r="AE1234" s="238"/>
    </row>
    <row r="1235" spans="2:31" x14ac:dyDescent="0.3">
      <c r="B1235" s="245" t="s">
        <v>53</v>
      </c>
      <c r="C1235" s="245"/>
      <c r="D1235" s="245"/>
      <c r="E1235" s="172">
        <v>0</v>
      </c>
      <c r="F1235" s="173">
        <v>0</v>
      </c>
      <c r="G1235" s="172">
        <v>0</v>
      </c>
      <c r="H1235" s="173">
        <v>0</v>
      </c>
      <c r="I1235" s="172">
        <v>0</v>
      </c>
      <c r="J1235" s="173">
        <v>0</v>
      </c>
      <c r="K1235" s="172">
        <v>0</v>
      </c>
      <c r="L1235" s="173">
        <v>0</v>
      </c>
      <c r="M1235" s="172">
        <v>0</v>
      </c>
      <c r="N1235" s="173">
        <v>0</v>
      </c>
      <c r="O1235" s="172">
        <v>0</v>
      </c>
      <c r="P1235" s="173">
        <v>0</v>
      </c>
      <c r="Q1235" s="172">
        <v>1.284833333333333</v>
      </c>
      <c r="R1235" s="173">
        <v>12.711999999999996</v>
      </c>
      <c r="S1235" s="172">
        <v>0.12083333333333333</v>
      </c>
      <c r="T1235" s="173">
        <v>0.78183333333333338</v>
      </c>
      <c r="U1235" s="172">
        <v>0</v>
      </c>
      <c r="V1235" s="173">
        <v>0</v>
      </c>
      <c r="W1235" s="172">
        <v>2.8205000000000005</v>
      </c>
      <c r="X1235" s="173">
        <v>0</v>
      </c>
      <c r="Y1235" s="172">
        <v>0</v>
      </c>
      <c r="Z1235" s="173">
        <v>0</v>
      </c>
      <c r="AA1235" s="172">
        <v>0</v>
      </c>
      <c r="AB1235" s="173">
        <v>0</v>
      </c>
      <c r="AC1235" s="238">
        <f t="shared" si="66"/>
        <v>17.719999999999995</v>
      </c>
      <c r="AD1235" s="238"/>
      <c r="AE1235" s="238"/>
    </row>
    <row r="1236" spans="2:31" x14ac:dyDescent="0.3">
      <c r="B1236" s="245" t="s">
        <v>54</v>
      </c>
      <c r="C1236" s="245"/>
      <c r="D1236" s="245"/>
      <c r="E1236" s="172">
        <v>0</v>
      </c>
      <c r="F1236" s="173">
        <v>0</v>
      </c>
      <c r="G1236" s="172">
        <v>0</v>
      </c>
      <c r="H1236" s="173">
        <v>0</v>
      </c>
      <c r="I1236" s="172">
        <v>0</v>
      </c>
      <c r="J1236" s="173">
        <v>0</v>
      </c>
      <c r="K1236" s="172">
        <v>0</v>
      </c>
      <c r="L1236" s="173">
        <v>0</v>
      </c>
      <c r="M1236" s="172">
        <v>0</v>
      </c>
      <c r="N1236" s="173">
        <v>0</v>
      </c>
      <c r="O1236" s="172">
        <v>0</v>
      </c>
      <c r="P1236" s="173">
        <v>6.7361666666666675</v>
      </c>
      <c r="Q1236" s="172">
        <v>32.735666666666667</v>
      </c>
      <c r="R1236" s="173">
        <v>31.601166666666661</v>
      </c>
      <c r="S1236" s="172">
        <v>36.691833333333321</v>
      </c>
      <c r="T1236" s="173">
        <v>42.777666666666697</v>
      </c>
      <c r="U1236" s="172">
        <v>32.761166666666675</v>
      </c>
      <c r="V1236" s="173">
        <v>57.595833333333339</v>
      </c>
      <c r="W1236" s="172">
        <v>59.149500000000003</v>
      </c>
      <c r="X1236" s="173">
        <v>0</v>
      </c>
      <c r="Y1236" s="172">
        <v>0</v>
      </c>
      <c r="Z1236" s="173">
        <v>0</v>
      </c>
      <c r="AA1236" s="172">
        <v>0</v>
      </c>
      <c r="AB1236" s="173">
        <v>0</v>
      </c>
      <c r="AC1236" s="238">
        <f t="shared" si="66"/>
        <v>300.04900000000004</v>
      </c>
      <c r="AD1236" s="238"/>
      <c r="AE1236" s="238"/>
    </row>
    <row r="1237" spans="2:31" x14ac:dyDescent="0.3">
      <c r="B1237" s="245" t="s">
        <v>55</v>
      </c>
      <c r="C1237" s="245"/>
      <c r="D1237" s="245"/>
      <c r="E1237" s="172">
        <v>0</v>
      </c>
      <c r="F1237" s="173">
        <v>0</v>
      </c>
      <c r="G1237" s="172">
        <v>0</v>
      </c>
      <c r="H1237" s="173">
        <v>0</v>
      </c>
      <c r="I1237" s="172">
        <v>0</v>
      </c>
      <c r="J1237" s="173">
        <v>0</v>
      </c>
      <c r="K1237" s="172">
        <v>0</v>
      </c>
      <c r="L1237" s="173">
        <v>0</v>
      </c>
      <c r="M1237" s="172">
        <v>0</v>
      </c>
      <c r="N1237" s="173">
        <v>0</v>
      </c>
      <c r="O1237" s="172">
        <v>0</v>
      </c>
      <c r="P1237" s="173">
        <v>5.4316666666666658</v>
      </c>
      <c r="Q1237" s="172">
        <v>36.539999999999971</v>
      </c>
      <c r="R1237" s="173">
        <v>40.340000000000003</v>
      </c>
      <c r="S1237" s="172">
        <v>40.539999999999971</v>
      </c>
      <c r="T1237" s="173">
        <v>39.039999999999971</v>
      </c>
      <c r="U1237" s="172">
        <v>36.140000000000029</v>
      </c>
      <c r="V1237" s="173">
        <v>42.126333333333335</v>
      </c>
      <c r="W1237" s="172">
        <v>38.036166666666666</v>
      </c>
      <c r="X1237" s="173">
        <v>0</v>
      </c>
      <c r="Y1237" s="172">
        <v>0</v>
      </c>
      <c r="Z1237" s="173">
        <v>0</v>
      </c>
      <c r="AA1237" s="172">
        <v>0</v>
      </c>
      <c r="AB1237" s="173">
        <v>0</v>
      </c>
      <c r="AC1237" s="238">
        <f t="shared" si="66"/>
        <v>278.19416666666655</v>
      </c>
      <c r="AD1237" s="238"/>
      <c r="AE1237" s="238"/>
    </row>
    <row r="1238" spans="2:31" x14ac:dyDescent="0.3">
      <c r="B1238" s="245" t="s">
        <v>56</v>
      </c>
      <c r="C1238" s="245"/>
      <c r="D1238" s="245"/>
      <c r="E1238" s="172">
        <v>0</v>
      </c>
      <c r="F1238" s="173">
        <v>0</v>
      </c>
      <c r="G1238" s="172">
        <v>0</v>
      </c>
      <c r="H1238" s="173">
        <v>0</v>
      </c>
      <c r="I1238" s="172">
        <v>0</v>
      </c>
      <c r="J1238" s="173">
        <v>0</v>
      </c>
      <c r="K1238" s="172">
        <v>0</v>
      </c>
      <c r="L1238" s="173">
        <v>0</v>
      </c>
      <c r="M1238" s="172">
        <v>0</v>
      </c>
      <c r="N1238" s="173">
        <v>0</v>
      </c>
      <c r="O1238" s="172">
        <v>0</v>
      </c>
      <c r="P1238" s="173">
        <v>0</v>
      </c>
      <c r="Q1238" s="172">
        <v>5.8333333333332382E-3</v>
      </c>
      <c r="R1238" s="173">
        <v>6.7999999999999852E-2</v>
      </c>
      <c r="S1238" s="172">
        <v>0.98566666666666636</v>
      </c>
      <c r="T1238" s="173">
        <v>0</v>
      </c>
      <c r="U1238" s="172">
        <v>5.9999999999999906E-3</v>
      </c>
      <c r="V1238" s="173">
        <v>6.1768333333333345</v>
      </c>
      <c r="W1238" s="172">
        <v>0</v>
      </c>
      <c r="X1238" s="173">
        <v>0</v>
      </c>
      <c r="Y1238" s="172">
        <v>0</v>
      </c>
      <c r="Z1238" s="173">
        <v>0</v>
      </c>
      <c r="AA1238" s="172">
        <v>0</v>
      </c>
      <c r="AB1238" s="173">
        <v>0</v>
      </c>
      <c r="AC1238" s="238">
        <f t="shared" si="66"/>
        <v>7.2423333333333337</v>
      </c>
      <c r="AD1238" s="238"/>
      <c r="AE1238" s="238"/>
    </row>
    <row r="1239" spans="2:31" x14ac:dyDescent="0.3">
      <c r="B1239" s="245" t="s">
        <v>94</v>
      </c>
      <c r="C1239" s="245"/>
      <c r="D1239" s="245"/>
      <c r="E1239" s="172">
        <v>0</v>
      </c>
      <c r="F1239" s="173">
        <v>0</v>
      </c>
      <c r="G1239" s="172">
        <v>0</v>
      </c>
      <c r="H1239" s="173">
        <v>0</v>
      </c>
      <c r="I1239" s="172">
        <v>0</v>
      </c>
      <c r="J1239" s="173">
        <v>0</v>
      </c>
      <c r="K1239" s="172">
        <v>0</v>
      </c>
      <c r="L1239" s="173">
        <v>0</v>
      </c>
      <c r="M1239" s="172">
        <v>0</v>
      </c>
      <c r="N1239" s="173">
        <v>0</v>
      </c>
      <c r="O1239" s="172">
        <v>0</v>
      </c>
      <c r="P1239" s="173">
        <v>0</v>
      </c>
      <c r="Q1239" s="172">
        <v>0</v>
      </c>
      <c r="R1239" s="173">
        <v>0</v>
      </c>
      <c r="S1239" s="172">
        <v>0</v>
      </c>
      <c r="T1239" s="173">
        <v>0</v>
      </c>
      <c r="U1239" s="172">
        <v>0</v>
      </c>
      <c r="V1239" s="173">
        <v>0</v>
      </c>
      <c r="W1239" s="172">
        <v>0</v>
      </c>
      <c r="X1239" s="173">
        <v>0</v>
      </c>
      <c r="Y1239" s="172">
        <v>0</v>
      </c>
      <c r="Z1239" s="173">
        <v>0</v>
      </c>
      <c r="AA1239" s="172">
        <v>0</v>
      </c>
      <c r="AB1239" s="173">
        <v>0</v>
      </c>
      <c r="AC1239" s="238">
        <f t="shared" si="66"/>
        <v>0</v>
      </c>
      <c r="AD1239" s="238"/>
      <c r="AE1239" s="238"/>
    </row>
    <row r="1240" spans="2:31" x14ac:dyDescent="0.3">
      <c r="B1240" s="245" t="s">
        <v>57</v>
      </c>
      <c r="C1240" s="245"/>
      <c r="D1240" s="245"/>
      <c r="E1240" s="172">
        <v>0</v>
      </c>
      <c r="F1240" s="173">
        <v>0</v>
      </c>
      <c r="G1240" s="172">
        <v>0</v>
      </c>
      <c r="H1240" s="173">
        <v>0</v>
      </c>
      <c r="I1240" s="172">
        <v>0</v>
      </c>
      <c r="J1240" s="173">
        <v>0</v>
      </c>
      <c r="K1240" s="172">
        <v>0</v>
      </c>
      <c r="L1240" s="173">
        <v>0</v>
      </c>
      <c r="M1240" s="172">
        <v>0</v>
      </c>
      <c r="N1240" s="173">
        <v>0</v>
      </c>
      <c r="O1240" s="172">
        <v>0</v>
      </c>
      <c r="P1240" s="173">
        <v>0.76549999999999963</v>
      </c>
      <c r="Q1240" s="172">
        <v>2.7726666666666659</v>
      </c>
      <c r="R1240" s="173">
        <v>2.7568333333333328</v>
      </c>
      <c r="S1240" s="172">
        <v>1.5993333333333348</v>
      </c>
      <c r="T1240" s="173">
        <v>7.0815000000000019</v>
      </c>
      <c r="U1240" s="172">
        <v>2.2208333333333332</v>
      </c>
      <c r="V1240" s="173">
        <v>3.5766666666666667</v>
      </c>
      <c r="W1240" s="172">
        <v>0.37433333333333346</v>
      </c>
      <c r="X1240" s="173">
        <v>0</v>
      </c>
      <c r="Y1240" s="172">
        <v>0</v>
      </c>
      <c r="Z1240" s="173">
        <v>0</v>
      </c>
      <c r="AA1240" s="172">
        <v>0</v>
      </c>
      <c r="AB1240" s="173">
        <v>0</v>
      </c>
      <c r="AC1240" s="238">
        <f t="shared" si="66"/>
        <v>21.147666666666666</v>
      </c>
      <c r="AD1240" s="238"/>
      <c r="AE1240" s="238"/>
    </row>
    <row r="1241" spans="2:31" x14ac:dyDescent="0.3">
      <c r="B1241" s="245" t="s">
        <v>58</v>
      </c>
      <c r="C1241" s="245"/>
      <c r="D1241" s="245"/>
      <c r="E1241" s="172">
        <v>0</v>
      </c>
      <c r="F1241" s="173">
        <v>0</v>
      </c>
      <c r="G1241" s="172">
        <v>0</v>
      </c>
      <c r="H1241" s="173">
        <v>0</v>
      </c>
      <c r="I1241" s="172">
        <v>0</v>
      </c>
      <c r="J1241" s="173">
        <v>0</v>
      </c>
      <c r="K1241" s="172">
        <v>0</v>
      </c>
      <c r="L1241" s="173">
        <v>0</v>
      </c>
      <c r="M1241" s="172">
        <v>0</v>
      </c>
      <c r="N1241" s="173">
        <v>0</v>
      </c>
      <c r="O1241" s="172">
        <v>0</v>
      </c>
      <c r="P1241" s="173">
        <v>3.0631666666666661</v>
      </c>
      <c r="Q1241" s="172">
        <v>9.7391666666666694</v>
      </c>
      <c r="R1241" s="173">
        <v>8.439833333333338</v>
      </c>
      <c r="S1241" s="172">
        <v>6.0778333333333316</v>
      </c>
      <c r="T1241" s="173">
        <v>24.45150000000001</v>
      </c>
      <c r="U1241" s="172">
        <v>6.8949999999999987</v>
      </c>
      <c r="V1241" s="173">
        <v>14.400000000000002</v>
      </c>
      <c r="W1241" s="172">
        <v>3.1748333333333321</v>
      </c>
      <c r="X1241" s="173">
        <v>0</v>
      </c>
      <c r="Y1241" s="172">
        <v>0</v>
      </c>
      <c r="Z1241" s="173">
        <v>0</v>
      </c>
      <c r="AA1241" s="172">
        <v>0</v>
      </c>
      <c r="AB1241" s="173">
        <v>0</v>
      </c>
      <c r="AC1241" s="238">
        <f t="shared" si="66"/>
        <v>76.241333333333358</v>
      </c>
      <c r="AD1241" s="238"/>
      <c r="AE1241" s="238"/>
    </row>
    <row r="1242" spans="2:31" x14ac:dyDescent="0.3">
      <c r="B1242" s="245" t="s">
        <v>95</v>
      </c>
      <c r="C1242" s="245"/>
      <c r="D1242" s="245"/>
      <c r="E1242" s="172">
        <v>0</v>
      </c>
      <c r="F1242" s="173">
        <v>0</v>
      </c>
      <c r="G1242" s="172">
        <v>0</v>
      </c>
      <c r="H1242" s="173">
        <v>0</v>
      </c>
      <c r="I1242" s="172">
        <v>0</v>
      </c>
      <c r="J1242" s="173">
        <v>0</v>
      </c>
      <c r="K1242" s="172">
        <v>0</v>
      </c>
      <c r="L1242" s="173">
        <v>0</v>
      </c>
      <c r="M1242" s="172">
        <v>0</v>
      </c>
      <c r="N1242" s="173">
        <v>0</v>
      </c>
      <c r="O1242" s="172">
        <v>0</v>
      </c>
      <c r="P1242" s="173">
        <v>0</v>
      </c>
      <c r="Q1242" s="172">
        <v>0</v>
      </c>
      <c r="R1242" s="173">
        <v>0</v>
      </c>
      <c r="S1242" s="172">
        <v>0</v>
      </c>
      <c r="T1242" s="173">
        <v>0</v>
      </c>
      <c r="U1242" s="172">
        <v>0</v>
      </c>
      <c r="V1242" s="173">
        <v>0</v>
      </c>
      <c r="W1242" s="172">
        <v>0</v>
      </c>
      <c r="X1242" s="173">
        <v>0</v>
      </c>
      <c r="Y1242" s="172">
        <v>0</v>
      </c>
      <c r="Z1242" s="173">
        <v>0</v>
      </c>
      <c r="AA1242" s="172">
        <v>0</v>
      </c>
      <c r="AB1242" s="173">
        <v>0</v>
      </c>
      <c r="AC1242" s="238">
        <f t="shared" si="66"/>
        <v>0</v>
      </c>
      <c r="AD1242" s="238"/>
      <c r="AE1242" s="238"/>
    </row>
    <row r="1243" spans="2:31" x14ac:dyDescent="0.3">
      <c r="B1243" s="245" t="s">
        <v>59</v>
      </c>
      <c r="C1243" s="245"/>
      <c r="D1243" s="245"/>
      <c r="E1243" s="172">
        <v>0</v>
      </c>
      <c r="F1243" s="173">
        <v>0</v>
      </c>
      <c r="G1243" s="172">
        <v>0</v>
      </c>
      <c r="H1243" s="173">
        <v>0</v>
      </c>
      <c r="I1243" s="172">
        <v>0</v>
      </c>
      <c r="J1243" s="173">
        <v>0</v>
      </c>
      <c r="K1243" s="172">
        <v>0</v>
      </c>
      <c r="L1243" s="173">
        <v>0</v>
      </c>
      <c r="M1243" s="172">
        <v>0</v>
      </c>
      <c r="N1243" s="173">
        <v>0</v>
      </c>
      <c r="O1243" s="172">
        <v>0</v>
      </c>
      <c r="P1243" s="173">
        <v>2.8921666666666663</v>
      </c>
      <c r="Q1243" s="172">
        <v>13.907833333333318</v>
      </c>
      <c r="R1243" s="173">
        <v>14.633833333333335</v>
      </c>
      <c r="S1243" s="172">
        <v>15.148166666666674</v>
      </c>
      <c r="T1243" s="173">
        <v>0</v>
      </c>
      <c r="U1243" s="172">
        <v>0</v>
      </c>
      <c r="V1243" s="173">
        <v>0</v>
      </c>
      <c r="W1243" s="172">
        <v>7.5210000000000035</v>
      </c>
      <c r="X1243" s="173">
        <v>0</v>
      </c>
      <c r="Y1243" s="172">
        <v>0</v>
      </c>
      <c r="Z1243" s="173">
        <v>0</v>
      </c>
      <c r="AA1243" s="172">
        <v>0</v>
      </c>
      <c r="AB1243" s="173">
        <v>0</v>
      </c>
      <c r="AC1243" s="238">
        <f t="shared" si="66"/>
        <v>54.102999999999994</v>
      </c>
      <c r="AD1243" s="238"/>
      <c r="AE1243" s="238"/>
    </row>
    <row r="1244" spans="2:31" x14ac:dyDescent="0.3">
      <c r="B1244" s="245" t="s">
        <v>60</v>
      </c>
      <c r="C1244" s="245"/>
      <c r="D1244" s="245"/>
      <c r="E1244" s="172">
        <v>0</v>
      </c>
      <c r="F1244" s="173">
        <v>0</v>
      </c>
      <c r="G1244" s="172">
        <v>0</v>
      </c>
      <c r="H1244" s="173">
        <v>0</v>
      </c>
      <c r="I1244" s="172">
        <v>0</v>
      </c>
      <c r="J1244" s="173">
        <v>0</v>
      </c>
      <c r="K1244" s="172">
        <v>0</v>
      </c>
      <c r="L1244" s="173">
        <v>0</v>
      </c>
      <c r="M1244" s="172">
        <v>0</v>
      </c>
      <c r="N1244" s="173">
        <v>0</v>
      </c>
      <c r="O1244" s="172">
        <v>0</v>
      </c>
      <c r="P1244" s="173">
        <v>0.73933333333333451</v>
      </c>
      <c r="Q1244" s="172">
        <v>5.6000000000000174</v>
      </c>
      <c r="R1244" s="173">
        <v>6.3020000000000058</v>
      </c>
      <c r="S1244" s="172">
        <v>6.500166666666666</v>
      </c>
      <c r="T1244" s="173">
        <v>6.5229999999999988</v>
      </c>
      <c r="U1244" s="172">
        <v>17.598833333333335</v>
      </c>
      <c r="V1244" s="173">
        <v>0</v>
      </c>
      <c r="W1244" s="172">
        <v>4.4238333333333317</v>
      </c>
      <c r="X1244" s="173">
        <v>0</v>
      </c>
      <c r="Y1244" s="172">
        <v>0</v>
      </c>
      <c r="Z1244" s="173">
        <v>0</v>
      </c>
      <c r="AA1244" s="172">
        <v>0</v>
      </c>
      <c r="AB1244" s="173">
        <v>0</v>
      </c>
      <c r="AC1244" s="238">
        <f t="shared" si="66"/>
        <v>47.687166666666691</v>
      </c>
      <c r="AD1244" s="238"/>
      <c r="AE1244" s="238"/>
    </row>
    <row r="1245" spans="2:31" x14ac:dyDescent="0.3">
      <c r="B1245" s="245" t="s">
        <v>61</v>
      </c>
      <c r="C1245" s="245"/>
      <c r="D1245" s="245"/>
      <c r="E1245" s="172">
        <v>0</v>
      </c>
      <c r="F1245" s="173">
        <v>0</v>
      </c>
      <c r="G1245" s="172">
        <v>0</v>
      </c>
      <c r="H1245" s="173">
        <v>0</v>
      </c>
      <c r="I1245" s="172">
        <v>0</v>
      </c>
      <c r="J1245" s="173">
        <v>0</v>
      </c>
      <c r="K1245" s="172">
        <v>0</v>
      </c>
      <c r="L1245" s="173">
        <v>0</v>
      </c>
      <c r="M1245" s="172">
        <v>0</v>
      </c>
      <c r="N1245" s="173">
        <v>0</v>
      </c>
      <c r="O1245" s="172">
        <v>0</v>
      </c>
      <c r="P1245" s="173">
        <v>0</v>
      </c>
      <c r="Q1245" s="172">
        <v>0</v>
      </c>
      <c r="R1245" s="173">
        <v>0.18966666666666446</v>
      </c>
      <c r="S1245" s="172">
        <v>1.5166666666667083E-2</v>
      </c>
      <c r="T1245" s="173">
        <v>0</v>
      </c>
      <c r="U1245" s="172">
        <v>0</v>
      </c>
      <c r="V1245" s="173">
        <v>0</v>
      </c>
      <c r="W1245" s="172">
        <v>11.76566666666667</v>
      </c>
      <c r="X1245" s="173">
        <v>0</v>
      </c>
      <c r="Y1245" s="172">
        <v>0</v>
      </c>
      <c r="Z1245" s="173">
        <v>0</v>
      </c>
      <c r="AA1245" s="172">
        <v>0</v>
      </c>
      <c r="AB1245" s="173">
        <v>0</v>
      </c>
      <c r="AC1245" s="238">
        <f t="shared" si="66"/>
        <v>11.970500000000001</v>
      </c>
      <c r="AD1245" s="238"/>
      <c r="AE1245" s="238"/>
    </row>
    <row r="1246" spans="2:31" x14ac:dyDescent="0.3">
      <c r="B1246" s="245" t="s">
        <v>62</v>
      </c>
      <c r="C1246" s="245"/>
      <c r="D1246" s="245"/>
      <c r="E1246" s="172">
        <v>0</v>
      </c>
      <c r="F1246" s="173">
        <v>0</v>
      </c>
      <c r="G1246" s="172">
        <v>0</v>
      </c>
      <c r="H1246" s="173">
        <v>0</v>
      </c>
      <c r="I1246" s="172">
        <v>0</v>
      </c>
      <c r="J1246" s="173">
        <v>0</v>
      </c>
      <c r="K1246" s="172">
        <v>0</v>
      </c>
      <c r="L1246" s="173">
        <v>0</v>
      </c>
      <c r="M1246" s="172">
        <v>0</v>
      </c>
      <c r="N1246" s="173">
        <v>0</v>
      </c>
      <c r="O1246" s="172">
        <v>0</v>
      </c>
      <c r="P1246" s="173">
        <v>0</v>
      </c>
      <c r="Q1246" s="172">
        <v>0</v>
      </c>
      <c r="R1246" s="173">
        <v>0</v>
      </c>
      <c r="S1246" s="172">
        <v>0</v>
      </c>
      <c r="T1246" s="173">
        <v>0</v>
      </c>
      <c r="U1246" s="172">
        <v>0</v>
      </c>
      <c r="V1246" s="173">
        <v>7.2251666666666683</v>
      </c>
      <c r="W1246" s="172">
        <v>2.0411666666666681</v>
      </c>
      <c r="X1246" s="173">
        <v>0</v>
      </c>
      <c r="Y1246" s="172">
        <v>0</v>
      </c>
      <c r="Z1246" s="173">
        <v>0</v>
      </c>
      <c r="AA1246" s="172">
        <v>0</v>
      </c>
      <c r="AB1246" s="173">
        <v>0</v>
      </c>
      <c r="AC1246" s="238">
        <f t="shared" si="66"/>
        <v>9.2663333333333355</v>
      </c>
      <c r="AD1246" s="238"/>
      <c r="AE1246" s="238"/>
    </row>
    <row r="1247" spans="2:31" x14ac:dyDescent="0.3">
      <c r="B1247" s="245" t="s">
        <v>63</v>
      </c>
      <c r="C1247" s="245"/>
      <c r="D1247" s="245"/>
      <c r="E1247" s="172">
        <v>0</v>
      </c>
      <c r="F1247" s="173">
        <v>0</v>
      </c>
      <c r="G1247" s="172">
        <v>0</v>
      </c>
      <c r="H1247" s="173">
        <v>0</v>
      </c>
      <c r="I1247" s="172">
        <v>0</v>
      </c>
      <c r="J1247" s="173">
        <v>0</v>
      </c>
      <c r="K1247" s="172">
        <v>0</v>
      </c>
      <c r="L1247" s="173">
        <v>0</v>
      </c>
      <c r="M1247" s="172">
        <v>0</v>
      </c>
      <c r="N1247" s="173">
        <v>0</v>
      </c>
      <c r="O1247" s="172">
        <v>0</v>
      </c>
      <c r="P1247" s="173">
        <v>0</v>
      </c>
      <c r="Q1247" s="172">
        <v>0</v>
      </c>
      <c r="R1247" s="173">
        <v>0</v>
      </c>
      <c r="S1247" s="172">
        <v>0</v>
      </c>
      <c r="T1247" s="173">
        <v>0</v>
      </c>
      <c r="U1247" s="172">
        <v>0</v>
      </c>
      <c r="V1247" s="173">
        <v>36.788499999999999</v>
      </c>
      <c r="W1247" s="172">
        <v>21.944166666666671</v>
      </c>
      <c r="X1247" s="173">
        <v>0</v>
      </c>
      <c r="Y1247" s="172">
        <v>0</v>
      </c>
      <c r="Z1247" s="173">
        <v>0</v>
      </c>
      <c r="AA1247" s="172">
        <v>0</v>
      </c>
      <c r="AB1247" s="173">
        <v>0</v>
      </c>
      <c r="AC1247" s="238">
        <f t="shared" si="66"/>
        <v>58.732666666666674</v>
      </c>
      <c r="AD1247" s="238"/>
      <c r="AE1247" s="238"/>
    </row>
    <row r="1248" spans="2:31" x14ac:dyDescent="0.3">
      <c r="B1248" s="245" t="s">
        <v>64</v>
      </c>
      <c r="C1248" s="245"/>
      <c r="D1248" s="245"/>
      <c r="E1248" s="172">
        <v>0</v>
      </c>
      <c r="F1248" s="173">
        <v>0</v>
      </c>
      <c r="G1248" s="172">
        <v>0</v>
      </c>
      <c r="H1248" s="173">
        <v>0</v>
      </c>
      <c r="I1248" s="172">
        <v>0</v>
      </c>
      <c r="J1248" s="173">
        <v>0</v>
      </c>
      <c r="K1248" s="172">
        <v>0</v>
      </c>
      <c r="L1248" s="173">
        <v>0</v>
      </c>
      <c r="M1248" s="172">
        <v>0</v>
      </c>
      <c r="N1248" s="173">
        <v>0</v>
      </c>
      <c r="O1248" s="172">
        <v>0</v>
      </c>
      <c r="P1248" s="173">
        <v>0</v>
      </c>
      <c r="Q1248" s="172">
        <v>0</v>
      </c>
      <c r="R1248" s="173">
        <v>0</v>
      </c>
      <c r="S1248" s="172">
        <v>0.36983333333333329</v>
      </c>
      <c r="T1248" s="173">
        <v>0.67133333333333323</v>
      </c>
      <c r="U1248" s="172">
        <v>0</v>
      </c>
      <c r="V1248" s="173">
        <v>7.2248333333333346</v>
      </c>
      <c r="W1248" s="172">
        <v>9.7833333333332814E-2</v>
      </c>
      <c r="X1248" s="173">
        <v>0</v>
      </c>
      <c r="Y1248" s="172">
        <v>0</v>
      </c>
      <c r="Z1248" s="173">
        <v>0</v>
      </c>
      <c r="AA1248" s="172">
        <v>0</v>
      </c>
      <c r="AB1248" s="173">
        <v>0</v>
      </c>
      <c r="AC1248" s="238">
        <f t="shared" si="66"/>
        <v>8.3638333333333339</v>
      </c>
      <c r="AD1248" s="238"/>
      <c r="AE1248" s="238"/>
    </row>
    <row r="1249" spans="2:31" x14ac:dyDescent="0.3">
      <c r="B1249" s="245" t="s">
        <v>96</v>
      </c>
      <c r="C1249" s="245"/>
      <c r="D1249" s="245"/>
      <c r="E1249" s="172">
        <v>0</v>
      </c>
      <c r="F1249" s="173">
        <v>0</v>
      </c>
      <c r="G1249" s="172">
        <v>0</v>
      </c>
      <c r="H1249" s="173">
        <v>0</v>
      </c>
      <c r="I1249" s="172">
        <v>0</v>
      </c>
      <c r="J1249" s="173">
        <v>0</v>
      </c>
      <c r="K1249" s="172">
        <v>0</v>
      </c>
      <c r="L1249" s="173">
        <v>0</v>
      </c>
      <c r="M1249" s="172">
        <v>0</v>
      </c>
      <c r="N1249" s="173">
        <v>0</v>
      </c>
      <c r="O1249" s="172">
        <v>0</v>
      </c>
      <c r="P1249" s="173">
        <v>0</v>
      </c>
      <c r="Q1249" s="172">
        <v>0</v>
      </c>
      <c r="R1249" s="173">
        <v>0</v>
      </c>
      <c r="S1249" s="172">
        <v>0</v>
      </c>
      <c r="T1249" s="173">
        <v>0</v>
      </c>
      <c r="U1249" s="172">
        <v>0</v>
      </c>
      <c r="V1249" s="173">
        <v>0</v>
      </c>
      <c r="W1249" s="172">
        <v>0</v>
      </c>
      <c r="X1249" s="173">
        <v>0</v>
      </c>
      <c r="Y1249" s="172">
        <v>0</v>
      </c>
      <c r="Z1249" s="173">
        <v>0</v>
      </c>
      <c r="AA1249" s="172">
        <v>0</v>
      </c>
      <c r="AB1249" s="173">
        <v>0</v>
      </c>
      <c r="AC1249" s="238">
        <f t="shared" si="66"/>
        <v>0</v>
      </c>
      <c r="AD1249" s="238"/>
      <c r="AE1249" s="238"/>
    </row>
    <row r="1250" spans="2:31" x14ac:dyDescent="0.3">
      <c r="B1250" s="245" t="s">
        <v>65</v>
      </c>
      <c r="C1250" s="245"/>
      <c r="D1250" s="245"/>
      <c r="E1250" s="172">
        <v>0</v>
      </c>
      <c r="F1250" s="173">
        <v>0</v>
      </c>
      <c r="G1250" s="172">
        <v>0</v>
      </c>
      <c r="H1250" s="173">
        <v>0</v>
      </c>
      <c r="I1250" s="172">
        <v>0</v>
      </c>
      <c r="J1250" s="173">
        <v>0</v>
      </c>
      <c r="K1250" s="172">
        <v>0</v>
      </c>
      <c r="L1250" s="173">
        <v>0</v>
      </c>
      <c r="M1250" s="172">
        <v>0</v>
      </c>
      <c r="N1250" s="173">
        <v>0</v>
      </c>
      <c r="O1250" s="172">
        <v>0</v>
      </c>
      <c r="P1250" s="173">
        <v>0</v>
      </c>
      <c r="Q1250" s="172">
        <v>0.92233333333333245</v>
      </c>
      <c r="R1250" s="173">
        <v>1.1271666666666695</v>
      </c>
      <c r="S1250" s="172">
        <v>1.0561666666666665</v>
      </c>
      <c r="T1250" s="173">
        <v>0.61616666666666842</v>
      </c>
      <c r="U1250" s="172">
        <v>0.10416666666666845</v>
      </c>
      <c r="V1250" s="173">
        <v>5.6031666666666649</v>
      </c>
      <c r="W1250" s="172">
        <v>0.81266666666666765</v>
      </c>
      <c r="X1250" s="173">
        <v>0</v>
      </c>
      <c r="Y1250" s="172">
        <v>0</v>
      </c>
      <c r="Z1250" s="173">
        <v>0</v>
      </c>
      <c r="AA1250" s="172">
        <v>0</v>
      </c>
      <c r="AB1250" s="173">
        <v>0</v>
      </c>
      <c r="AC1250" s="238">
        <f t="shared" si="66"/>
        <v>10.241833333333338</v>
      </c>
      <c r="AD1250" s="238"/>
      <c r="AE1250" s="238"/>
    </row>
    <row r="1251" spans="2:31" x14ac:dyDescent="0.3">
      <c r="B1251" s="245" t="s">
        <v>66</v>
      </c>
      <c r="C1251" s="245"/>
      <c r="D1251" s="245"/>
      <c r="E1251" s="172">
        <v>0</v>
      </c>
      <c r="F1251" s="173">
        <v>0</v>
      </c>
      <c r="G1251" s="172">
        <v>0</v>
      </c>
      <c r="H1251" s="173">
        <v>0</v>
      </c>
      <c r="I1251" s="172">
        <v>0</v>
      </c>
      <c r="J1251" s="173">
        <v>0</v>
      </c>
      <c r="K1251" s="172">
        <v>0</v>
      </c>
      <c r="L1251" s="173">
        <v>0</v>
      </c>
      <c r="M1251" s="172">
        <v>0</v>
      </c>
      <c r="N1251" s="173">
        <v>0</v>
      </c>
      <c r="O1251" s="172">
        <v>0</v>
      </c>
      <c r="P1251" s="173">
        <v>0.795333333333334</v>
      </c>
      <c r="Q1251" s="172">
        <v>4.3033333333333292</v>
      </c>
      <c r="R1251" s="173">
        <v>4.3436666666666639</v>
      </c>
      <c r="S1251" s="172">
        <v>3.9959999999999991</v>
      </c>
      <c r="T1251" s="173">
        <v>3.7743333333333351</v>
      </c>
      <c r="U1251" s="172">
        <v>3.1098333333333321</v>
      </c>
      <c r="V1251" s="173">
        <v>14.437166666666668</v>
      </c>
      <c r="W1251" s="172">
        <v>14.849000000000006</v>
      </c>
      <c r="X1251" s="173">
        <v>0</v>
      </c>
      <c r="Y1251" s="172">
        <v>0</v>
      </c>
      <c r="Z1251" s="173">
        <v>0</v>
      </c>
      <c r="AA1251" s="172">
        <v>0</v>
      </c>
      <c r="AB1251" s="173">
        <v>0</v>
      </c>
      <c r="AC1251" s="238">
        <f>SUM(E1251:AB1251)</f>
        <v>49.608666666666664</v>
      </c>
      <c r="AD1251" s="238"/>
      <c r="AE1251" s="238"/>
    </row>
    <row r="1252" spans="2:31" x14ac:dyDescent="0.3">
      <c r="B1252" s="245" t="s">
        <v>67</v>
      </c>
      <c r="C1252" s="245"/>
      <c r="D1252" s="245"/>
      <c r="E1252" s="172">
        <v>0</v>
      </c>
      <c r="F1252" s="173">
        <v>0</v>
      </c>
      <c r="G1252" s="172">
        <v>0</v>
      </c>
      <c r="H1252" s="173">
        <v>0</v>
      </c>
      <c r="I1252" s="172">
        <v>0</v>
      </c>
      <c r="J1252" s="173">
        <v>0</v>
      </c>
      <c r="K1252" s="172">
        <v>0</v>
      </c>
      <c r="L1252" s="173">
        <v>0</v>
      </c>
      <c r="M1252" s="172">
        <v>0</v>
      </c>
      <c r="N1252" s="173">
        <v>0</v>
      </c>
      <c r="O1252" s="172">
        <v>0</v>
      </c>
      <c r="P1252" s="173">
        <v>0</v>
      </c>
      <c r="Q1252" s="172">
        <v>1.1243333333333323</v>
      </c>
      <c r="R1252" s="173">
        <v>1.593999999999999</v>
      </c>
      <c r="S1252" s="172">
        <v>1.7644999999999993</v>
      </c>
      <c r="T1252" s="173">
        <v>1.489333333333333</v>
      </c>
      <c r="U1252" s="172">
        <v>1.2610000000000012</v>
      </c>
      <c r="V1252" s="173">
        <v>7.3183333333333334</v>
      </c>
      <c r="W1252" s="172">
        <v>1.0359999999999987</v>
      </c>
      <c r="X1252" s="173">
        <v>0</v>
      </c>
      <c r="Y1252" s="172">
        <v>0</v>
      </c>
      <c r="Z1252" s="173">
        <v>0</v>
      </c>
      <c r="AA1252" s="172">
        <v>0</v>
      </c>
      <c r="AB1252" s="173">
        <v>0</v>
      </c>
      <c r="AC1252" s="238">
        <f t="shared" ref="AC1252:AC1265" si="67">SUM(E1252:AB1252)</f>
        <v>15.587499999999995</v>
      </c>
      <c r="AD1252" s="238"/>
      <c r="AE1252" s="238"/>
    </row>
    <row r="1253" spans="2:31" x14ac:dyDescent="0.3">
      <c r="B1253" s="245" t="s">
        <v>68</v>
      </c>
      <c r="C1253" s="245"/>
      <c r="D1253" s="245"/>
      <c r="E1253" s="172">
        <v>0</v>
      </c>
      <c r="F1253" s="173">
        <v>0</v>
      </c>
      <c r="G1253" s="172">
        <v>0</v>
      </c>
      <c r="H1253" s="173">
        <v>0</v>
      </c>
      <c r="I1253" s="172">
        <v>0</v>
      </c>
      <c r="J1253" s="173">
        <v>0</v>
      </c>
      <c r="K1253" s="172">
        <v>0</v>
      </c>
      <c r="L1253" s="173">
        <v>0</v>
      </c>
      <c r="M1253" s="172">
        <v>0</v>
      </c>
      <c r="N1253" s="173">
        <v>0</v>
      </c>
      <c r="O1253" s="172">
        <v>0</v>
      </c>
      <c r="P1253" s="173">
        <v>2.3945000000000003</v>
      </c>
      <c r="Q1253" s="172">
        <v>5.9669999999999996</v>
      </c>
      <c r="R1253" s="173">
        <v>5.0428333333333359</v>
      </c>
      <c r="S1253" s="172">
        <v>6.1098333333333317</v>
      </c>
      <c r="T1253" s="173">
        <v>11.195666666666664</v>
      </c>
      <c r="U1253" s="172">
        <v>16.788499999999996</v>
      </c>
      <c r="V1253" s="173">
        <v>22.171666666666667</v>
      </c>
      <c r="W1253" s="172">
        <v>16.652000000000005</v>
      </c>
      <c r="X1253" s="173">
        <v>0</v>
      </c>
      <c r="Y1253" s="172">
        <v>0</v>
      </c>
      <c r="Z1253" s="173">
        <v>0</v>
      </c>
      <c r="AA1253" s="172">
        <v>0</v>
      </c>
      <c r="AB1253" s="173">
        <v>0</v>
      </c>
      <c r="AC1253" s="238">
        <f t="shared" si="67"/>
        <v>86.321999999999989</v>
      </c>
      <c r="AD1253" s="238"/>
      <c r="AE1253" s="238"/>
    </row>
    <row r="1254" spans="2:31" x14ac:dyDescent="0.3">
      <c r="B1254" s="245" t="s">
        <v>69</v>
      </c>
      <c r="C1254" s="245"/>
      <c r="D1254" s="245"/>
      <c r="E1254" s="172">
        <v>0</v>
      </c>
      <c r="F1254" s="173">
        <v>0</v>
      </c>
      <c r="G1254" s="172">
        <v>0</v>
      </c>
      <c r="H1254" s="173">
        <v>0</v>
      </c>
      <c r="I1254" s="172">
        <v>0</v>
      </c>
      <c r="J1254" s="173">
        <v>0</v>
      </c>
      <c r="K1254" s="172">
        <v>0</v>
      </c>
      <c r="L1254" s="173">
        <v>0</v>
      </c>
      <c r="M1254" s="172">
        <v>0</v>
      </c>
      <c r="N1254" s="173">
        <v>0</v>
      </c>
      <c r="O1254" s="172">
        <v>0</v>
      </c>
      <c r="P1254" s="173">
        <v>1.0205000000000006</v>
      </c>
      <c r="Q1254" s="172">
        <v>6.325333333333341</v>
      </c>
      <c r="R1254" s="173">
        <v>7.6611666666666647</v>
      </c>
      <c r="S1254" s="172">
        <v>7.0081666666666589</v>
      </c>
      <c r="T1254" s="173">
        <v>6.5411666666666646</v>
      </c>
      <c r="U1254" s="172">
        <v>5.1121666666666572</v>
      </c>
      <c r="V1254" s="173">
        <v>19.913333333333338</v>
      </c>
      <c r="W1254" s="172">
        <v>2.0413333333333319</v>
      </c>
      <c r="X1254" s="173">
        <v>0</v>
      </c>
      <c r="Y1254" s="172">
        <v>0</v>
      </c>
      <c r="Z1254" s="173">
        <v>0</v>
      </c>
      <c r="AA1254" s="172">
        <v>0</v>
      </c>
      <c r="AB1254" s="173">
        <v>0</v>
      </c>
      <c r="AC1254" s="238">
        <f t="shared" si="67"/>
        <v>55.623166666666656</v>
      </c>
      <c r="AD1254" s="238"/>
      <c r="AE1254" s="238"/>
    </row>
    <row r="1255" spans="2:31" x14ac:dyDescent="0.3">
      <c r="B1255" s="245" t="s">
        <v>70</v>
      </c>
      <c r="C1255" s="245"/>
      <c r="D1255" s="245"/>
      <c r="E1255" s="172">
        <v>0</v>
      </c>
      <c r="F1255" s="173">
        <v>0</v>
      </c>
      <c r="G1255" s="172">
        <v>0</v>
      </c>
      <c r="H1255" s="173">
        <v>0</v>
      </c>
      <c r="I1255" s="172">
        <v>0</v>
      </c>
      <c r="J1255" s="173">
        <v>0</v>
      </c>
      <c r="K1255" s="172">
        <v>0</v>
      </c>
      <c r="L1255" s="173">
        <v>0</v>
      </c>
      <c r="M1255" s="172">
        <v>0</v>
      </c>
      <c r="N1255" s="173">
        <v>0</v>
      </c>
      <c r="O1255" s="172">
        <v>0</v>
      </c>
      <c r="P1255" s="173">
        <v>0</v>
      </c>
      <c r="Q1255" s="172">
        <v>0</v>
      </c>
      <c r="R1255" s="173">
        <v>0</v>
      </c>
      <c r="S1255" s="172">
        <v>0</v>
      </c>
      <c r="T1255" s="173">
        <v>0</v>
      </c>
      <c r="U1255" s="172">
        <v>0</v>
      </c>
      <c r="V1255" s="173">
        <v>0</v>
      </c>
      <c r="W1255" s="172">
        <v>0</v>
      </c>
      <c r="X1255" s="173">
        <v>0</v>
      </c>
      <c r="Y1255" s="172">
        <v>0</v>
      </c>
      <c r="Z1255" s="173">
        <v>0</v>
      </c>
      <c r="AA1255" s="172">
        <v>0</v>
      </c>
      <c r="AB1255" s="173">
        <v>0</v>
      </c>
      <c r="AC1255" s="238">
        <f t="shared" si="67"/>
        <v>0</v>
      </c>
      <c r="AD1255" s="238"/>
      <c r="AE1255" s="238"/>
    </row>
    <row r="1256" spans="2:31" x14ac:dyDescent="0.3">
      <c r="B1256" s="245" t="s">
        <v>71</v>
      </c>
      <c r="C1256" s="245"/>
      <c r="D1256" s="245"/>
      <c r="E1256" s="172">
        <v>0</v>
      </c>
      <c r="F1256" s="173">
        <v>0</v>
      </c>
      <c r="G1256" s="172">
        <v>0</v>
      </c>
      <c r="H1256" s="173">
        <v>0</v>
      </c>
      <c r="I1256" s="172">
        <v>0</v>
      </c>
      <c r="J1256" s="173">
        <v>0</v>
      </c>
      <c r="K1256" s="172">
        <v>0</v>
      </c>
      <c r="L1256" s="173">
        <v>0</v>
      </c>
      <c r="M1256" s="172">
        <v>0</v>
      </c>
      <c r="N1256" s="173">
        <v>0</v>
      </c>
      <c r="O1256" s="172">
        <v>0</v>
      </c>
      <c r="P1256" s="173">
        <v>0</v>
      </c>
      <c r="Q1256" s="172">
        <v>0</v>
      </c>
      <c r="R1256" s="173">
        <v>5.2875000000000023</v>
      </c>
      <c r="S1256" s="172">
        <v>0.13733333333333347</v>
      </c>
      <c r="T1256" s="173">
        <v>0.12933333333333319</v>
      </c>
      <c r="U1256" s="172">
        <v>0.88316666666666732</v>
      </c>
      <c r="V1256" s="173">
        <v>8.8581666666666639</v>
      </c>
      <c r="W1256" s="172">
        <v>4.5333333333332844E-2</v>
      </c>
      <c r="X1256" s="173">
        <v>0</v>
      </c>
      <c r="Y1256" s="172">
        <v>0</v>
      </c>
      <c r="Z1256" s="173">
        <v>0</v>
      </c>
      <c r="AA1256" s="172">
        <v>0</v>
      </c>
      <c r="AB1256" s="173">
        <v>0</v>
      </c>
      <c r="AC1256" s="238">
        <f t="shared" si="67"/>
        <v>15.340833333333334</v>
      </c>
      <c r="AD1256" s="238"/>
      <c r="AE1256" s="238"/>
    </row>
    <row r="1257" spans="2:31" x14ac:dyDescent="0.3">
      <c r="B1257" s="245" t="s">
        <v>72</v>
      </c>
      <c r="C1257" s="245"/>
      <c r="D1257" s="245"/>
      <c r="E1257" s="172">
        <v>0</v>
      </c>
      <c r="F1257" s="173">
        <v>0</v>
      </c>
      <c r="G1257" s="172">
        <v>0</v>
      </c>
      <c r="H1257" s="173">
        <v>0</v>
      </c>
      <c r="I1257" s="172">
        <v>0</v>
      </c>
      <c r="J1257" s="173">
        <v>0</v>
      </c>
      <c r="K1257" s="172">
        <v>0</v>
      </c>
      <c r="L1257" s="173">
        <v>0</v>
      </c>
      <c r="M1257" s="172">
        <v>0</v>
      </c>
      <c r="N1257" s="173">
        <v>0</v>
      </c>
      <c r="O1257" s="172">
        <v>0</v>
      </c>
      <c r="P1257" s="173">
        <v>0</v>
      </c>
      <c r="Q1257" s="172">
        <v>0.13483333333333267</v>
      </c>
      <c r="R1257" s="173">
        <v>4.4506666666666685</v>
      </c>
      <c r="S1257" s="172">
        <v>0.77083333333333282</v>
      </c>
      <c r="T1257" s="173">
        <v>0.42416666666666619</v>
      </c>
      <c r="U1257" s="172">
        <v>0.19233333333333308</v>
      </c>
      <c r="V1257" s="173">
        <v>8.0514999999999954</v>
      </c>
      <c r="W1257" s="172">
        <v>0.4130000000000002</v>
      </c>
      <c r="X1257" s="173">
        <v>0</v>
      </c>
      <c r="Y1257" s="172">
        <v>0</v>
      </c>
      <c r="Z1257" s="173">
        <v>0</v>
      </c>
      <c r="AA1257" s="172">
        <v>0</v>
      </c>
      <c r="AB1257" s="173">
        <v>0</v>
      </c>
      <c r="AC1257" s="238">
        <f t="shared" si="67"/>
        <v>14.43733333333333</v>
      </c>
      <c r="AD1257" s="238"/>
      <c r="AE1257" s="238"/>
    </row>
    <row r="1258" spans="2:31" x14ac:dyDescent="0.3">
      <c r="B1258" s="245" t="s">
        <v>73</v>
      </c>
      <c r="C1258" s="245"/>
      <c r="D1258" s="245"/>
      <c r="E1258" s="172">
        <v>0</v>
      </c>
      <c r="F1258" s="173">
        <v>0</v>
      </c>
      <c r="G1258" s="172">
        <v>0</v>
      </c>
      <c r="H1258" s="173">
        <v>0</v>
      </c>
      <c r="I1258" s="172">
        <v>0</v>
      </c>
      <c r="J1258" s="173">
        <v>0</v>
      </c>
      <c r="K1258" s="172">
        <v>0</v>
      </c>
      <c r="L1258" s="173">
        <v>0</v>
      </c>
      <c r="M1258" s="172">
        <v>0</v>
      </c>
      <c r="N1258" s="173">
        <v>0</v>
      </c>
      <c r="O1258" s="172">
        <v>0</v>
      </c>
      <c r="P1258" s="173">
        <v>2.3139999999999983</v>
      </c>
      <c r="Q1258" s="172">
        <v>9.3449999999999989</v>
      </c>
      <c r="R1258" s="173">
        <v>44.401333333333334</v>
      </c>
      <c r="S1258" s="172">
        <v>51.750499999999995</v>
      </c>
      <c r="T1258" s="173">
        <v>67.989666666666693</v>
      </c>
      <c r="U1258" s="172">
        <v>105.083</v>
      </c>
      <c r="V1258" s="173">
        <v>40.475999999999971</v>
      </c>
      <c r="W1258" s="172">
        <v>20.336500000000001</v>
      </c>
      <c r="X1258" s="173">
        <v>0</v>
      </c>
      <c r="Y1258" s="172">
        <v>0</v>
      </c>
      <c r="Z1258" s="173">
        <v>0</v>
      </c>
      <c r="AA1258" s="172">
        <v>0</v>
      </c>
      <c r="AB1258" s="173">
        <v>0</v>
      </c>
      <c r="AC1258" s="238">
        <f t="shared" si="67"/>
        <v>341.69600000000003</v>
      </c>
      <c r="AD1258" s="238"/>
      <c r="AE1258" s="238"/>
    </row>
    <row r="1259" spans="2:31" x14ac:dyDescent="0.3">
      <c r="B1259" s="245" t="s">
        <v>74</v>
      </c>
      <c r="C1259" s="245"/>
      <c r="D1259" s="245"/>
      <c r="E1259" s="172">
        <v>0</v>
      </c>
      <c r="F1259" s="173">
        <v>0</v>
      </c>
      <c r="G1259" s="172">
        <v>0</v>
      </c>
      <c r="H1259" s="173">
        <v>0</v>
      </c>
      <c r="I1259" s="172">
        <v>0</v>
      </c>
      <c r="J1259" s="173">
        <v>0</v>
      </c>
      <c r="K1259" s="172">
        <v>0</v>
      </c>
      <c r="L1259" s="173">
        <v>0</v>
      </c>
      <c r="M1259" s="172">
        <v>0</v>
      </c>
      <c r="N1259" s="173">
        <v>0</v>
      </c>
      <c r="O1259" s="172">
        <v>0</v>
      </c>
      <c r="P1259" s="173">
        <v>2.7453333333333343</v>
      </c>
      <c r="Q1259" s="172">
        <v>21.206333333333344</v>
      </c>
      <c r="R1259" s="173">
        <v>27.327333333333335</v>
      </c>
      <c r="S1259" s="172">
        <v>22.789833333333331</v>
      </c>
      <c r="T1259" s="173">
        <v>21.942666666666657</v>
      </c>
      <c r="U1259" s="172">
        <v>16.385666666666665</v>
      </c>
      <c r="V1259" s="173">
        <v>7.8073333333333297</v>
      </c>
      <c r="W1259" s="172">
        <v>3.5246666666666662</v>
      </c>
      <c r="X1259" s="173">
        <v>0</v>
      </c>
      <c r="Y1259" s="172">
        <v>0</v>
      </c>
      <c r="Z1259" s="173">
        <v>0</v>
      </c>
      <c r="AA1259" s="172">
        <v>0</v>
      </c>
      <c r="AB1259" s="173">
        <v>0</v>
      </c>
      <c r="AC1259" s="238">
        <f t="shared" si="67"/>
        <v>123.72916666666666</v>
      </c>
      <c r="AD1259" s="238"/>
      <c r="AE1259" s="238"/>
    </row>
    <row r="1260" spans="2:31" x14ac:dyDescent="0.3">
      <c r="B1260" s="245" t="s">
        <v>75</v>
      </c>
      <c r="C1260" s="245"/>
      <c r="D1260" s="245"/>
      <c r="E1260" s="172">
        <v>0</v>
      </c>
      <c r="F1260" s="173">
        <v>0</v>
      </c>
      <c r="G1260" s="172">
        <v>0</v>
      </c>
      <c r="H1260" s="173">
        <v>0</v>
      </c>
      <c r="I1260" s="172">
        <v>0</v>
      </c>
      <c r="J1260" s="173">
        <v>0</v>
      </c>
      <c r="K1260" s="172">
        <v>0</v>
      </c>
      <c r="L1260" s="173">
        <v>0</v>
      </c>
      <c r="M1260" s="172">
        <v>0</v>
      </c>
      <c r="N1260" s="173">
        <v>0</v>
      </c>
      <c r="O1260" s="172">
        <v>0</v>
      </c>
      <c r="P1260" s="173">
        <v>0</v>
      </c>
      <c r="Q1260" s="172">
        <v>14.141499999999981</v>
      </c>
      <c r="R1260" s="173">
        <v>10.683499999999992</v>
      </c>
      <c r="S1260" s="172">
        <v>7.4595000000000065</v>
      </c>
      <c r="T1260" s="173">
        <v>1.2166666666666969E-2</v>
      </c>
      <c r="U1260" s="172">
        <v>2.1055000000000006</v>
      </c>
      <c r="V1260" s="173">
        <v>1.0301666666666662</v>
      </c>
      <c r="W1260" s="172">
        <v>0.9458333333333333</v>
      </c>
      <c r="X1260" s="173">
        <v>0</v>
      </c>
      <c r="Y1260" s="172">
        <v>0</v>
      </c>
      <c r="Z1260" s="173">
        <v>0</v>
      </c>
      <c r="AA1260" s="172">
        <v>0</v>
      </c>
      <c r="AB1260" s="173">
        <v>0</v>
      </c>
      <c r="AC1260" s="238">
        <f t="shared" si="67"/>
        <v>36.378166666666644</v>
      </c>
      <c r="AD1260" s="238"/>
      <c r="AE1260" s="238"/>
    </row>
    <row r="1261" spans="2:31" x14ac:dyDescent="0.3">
      <c r="B1261" s="245" t="s">
        <v>76</v>
      </c>
      <c r="C1261" s="245"/>
      <c r="D1261" s="245"/>
      <c r="E1261" s="172">
        <v>0</v>
      </c>
      <c r="F1261" s="173">
        <v>0</v>
      </c>
      <c r="G1261" s="172">
        <v>0</v>
      </c>
      <c r="H1261" s="173">
        <v>0</v>
      </c>
      <c r="I1261" s="172">
        <v>0</v>
      </c>
      <c r="J1261" s="173">
        <v>0</v>
      </c>
      <c r="K1261" s="172">
        <v>0</v>
      </c>
      <c r="L1261" s="173">
        <v>0</v>
      </c>
      <c r="M1261" s="172">
        <v>0</v>
      </c>
      <c r="N1261" s="173">
        <v>0</v>
      </c>
      <c r="O1261" s="172">
        <v>0</v>
      </c>
      <c r="P1261" s="173">
        <v>0</v>
      </c>
      <c r="Q1261" s="172">
        <v>0</v>
      </c>
      <c r="R1261" s="173">
        <v>0</v>
      </c>
      <c r="S1261" s="172">
        <v>0</v>
      </c>
      <c r="T1261" s="173">
        <v>0.55700000000000005</v>
      </c>
      <c r="U1261" s="172">
        <v>1.5376666666666665</v>
      </c>
      <c r="V1261" s="173">
        <v>7.6830000000000043</v>
      </c>
      <c r="W1261" s="172">
        <v>0</v>
      </c>
      <c r="X1261" s="173">
        <v>0</v>
      </c>
      <c r="Y1261" s="172">
        <v>0</v>
      </c>
      <c r="Z1261" s="173">
        <v>0</v>
      </c>
      <c r="AA1261" s="172">
        <v>0</v>
      </c>
      <c r="AB1261" s="173">
        <v>0</v>
      </c>
      <c r="AC1261" s="238">
        <f t="shared" si="67"/>
        <v>9.7776666666666703</v>
      </c>
      <c r="AD1261" s="238"/>
      <c r="AE1261" s="238"/>
    </row>
    <row r="1262" spans="2:31" x14ac:dyDescent="0.3">
      <c r="B1262" s="245" t="s">
        <v>77</v>
      </c>
      <c r="C1262" s="245"/>
      <c r="D1262" s="245"/>
      <c r="E1262" s="172">
        <v>0</v>
      </c>
      <c r="F1262" s="173">
        <v>0</v>
      </c>
      <c r="G1262" s="172">
        <v>0</v>
      </c>
      <c r="H1262" s="173">
        <v>0</v>
      </c>
      <c r="I1262" s="172">
        <v>0</v>
      </c>
      <c r="J1262" s="173">
        <v>0</v>
      </c>
      <c r="K1262" s="172">
        <v>0</v>
      </c>
      <c r="L1262" s="173">
        <v>0</v>
      </c>
      <c r="M1262" s="172">
        <v>0</v>
      </c>
      <c r="N1262" s="173">
        <v>0</v>
      </c>
      <c r="O1262" s="172">
        <v>0</v>
      </c>
      <c r="P1262" s="173">
        <v>0.66716666666666735</v>
      </c>
      <c r="Q1262" s="172">
        <v>2.5446666666666613</v>
      </c>
      <c r="R1262" s="173">
        <v>2.2683333333333358</v>
      </c>
      <c r="S1262" s="172">
        <v>1.9071666666666636</v>
      </c>
      <c r="T1262" s="173">
        <v>1.0134999999999945</v>
      </c>
      <c r="U1262" s="172">
        <v>1.8798333333333328</v>
      </c>
      <c r="V1262" s="173">
        <v>10.445666666666661</v>
      </c>
      <c r="W1262" s="172">
        <v>4.7833333333333408E-2</v>
      </c>
      <c r="X1262" s="173">
        <v>0</v>
      </c>
      <c r="Y1262" s="172">
        <v>0</v>
      </c>
      <c r="Z1262" s="173">
        <v>0</v>
      </c>
      <c r="AA1262" s="172">
        <v>0</v>
      </c>
      <c r="AB1262" s="173">
        <v>0</v>
      </c>
      <c r="AC1262" s="238">
        <f t="shared" si="67"/>
        <v>20.774166666666648</v>
      </c>
      <c r="AD1262" s="238"/>
      <c r="AE1262" s="238"/>
    </row>
    <row r="1263" spans="2:31" x14ac:dyDescent="0.3">
      <c r="B1263" s="245" t="s">
        <v>78</v>
      </c>
      <c r="C1263" s="245"/>
      <c r="D1263" s="245"/>
      <c r="E1263" s="172">
        <v>0</v>
      </c>
      <c r="F1263" s="173">
        <v>0</v>
      </c>
      <c r="G1263" s="172">
        <v>0</v>
      </c>
      <c r="H1263" s="173">
        <v>0</v>
      </c>
      <c r="I1263" s="172">
        <v>0</v>
      </c>
      <c r="J1263" s="173">
        <v>0</v>
      </c>
      <c r="K1263" s="172">
        <v>0</v>
      </c>
      <c r="L1263" s="173">
        <v>0</v>
      </c>
      <c r="M1263" s="172">
        <v>0</v>
      </c>
      <c r="N1263" s="173">
        <v>0</v>
      </c>
      <c r="O1263" s="172">
        <v>0</v>
      </c>
      <c r="P1263" s="173">
        <v>0</v>
      </c>
      <c r="Q1263" s="172">
        <v>0</v>
      </c>
      <c r="R1263" s="173">
        <v>0</v>
      </c>
      <c r="S1263" s="172">
        <v>0</v>
      </c>
      <c r="T1263" s="173">
        <v>0</v>
      </c>
      <c r="U1263" s="172">
        <v>0</v>
      </c>
      <c r="V1263" s="173">
        <v>0</v>
      </c>
      <c r="W1263" s="172">
        <v>0</v>
      </c>
      <c r="X1263" s="173">
        <v>0</v>
      </c>
      <c r="Y1263" s="172">
        <v>0</v>
      </c>
      <c r="Z1263" s="173">
        <v>0</v>
      </c>
      <c r="AA1263" s="172">
        <v>0</v>
      </c>
      <c r="AB1263" s="173">
        <v>0</v>
      </c>
      <c r="AC1263" s="238">
        <f t="shared" si="67"/>
        <v>0</v>
      </c>
      <c r="AD1263" s="238"/>
      <c r="AE1263" s="238"/>
    </row>
    <row r="1264" spans="2:31" x14ac:dyDescent="0.3">
      <c r="B1264" s="245" t="s">
        <v>79</v>
      </c>
      <c r="C1264" s="245"/>
      <c r="D1264" s="245"/>
      <c r="E1264" s="172">
        <v>0</v>
      </c>
      <c r="F1264" s="173">
        <v>0</v>
      </c>
      <c r="G1264" s="172">
        <v>0</v>
      </c>
      <c r="H1264" s="173">
        <v>0</v>
      </c>
      <c r="I1264" s="172">
        <v>0</v>
      </c>
      <c r="J1264" s="173">
        <v>0</v>
      </c>
      <c r="K1264" s="172">
        <v>0</v>
      </c>
      <c r="L1264" s="173">
        <v>0</v>
      </c>
      <c r="M1264" s="172">
        <v>0</v>
      </c>
      <c r="N1264" s="173">
        <v>0</v>
      </c>
      <c r="O1264" s="172">
        <v>0</v>
      </c>
      <c r="P1264" s="173">
        <v>0</v>
      </c>
      <c r="Q1264" s="172">
        <v>0</v>
      </c>
      <c r="R1264" s="173">
        <v>0</v>
      </c>
      <c r="S1264" s="172">
        <v>0</v>
      </c>
      <c r="T1264" s="173">
        <v>0</v>
      </c>
      <c r="U1264" s="172">
        <v>0</v>
      </c>
      <c r="V1264" s="173">
        <v>0</v>
      </c>
      <c r="W1264" s="172">
        <v>0</v>
      </c>
      <c r="X1264" s="173">
        <v>0</v>
      </c>
      <c r="Y1264" s="172">
        <v>0</v>
      </c>
      <c r="Z1264" s="173">
        <v>0</v>
      </c>
      <c r="AA1264" s="172">
        <v>0</v>
      </c>
      <c r="AB1264" s="173">
        <v>0</v>
      </c>
      <c r="AC1264" s="238">
        <f t="shared" si="67"/>
        <v>0</v>
      </c>
      <c r="AD1264" s="238"/>
      <c r="AE1264" s="238"/>
    </row>
    <row r="1265" spans="2:31" x14ac:dyDescent="0.3">
      <c r="B1265" s="245" t="s">
        <v>80</v>
      </c>
      <c r="C1265" s="245"/>
      <c r="D1265" s="245"/>
      <c r="E1265" s="172">
        <v>0</v>
      </c>
      <c r="F1265" s="173">
        <v>0</v>
      </c>
      <c r="G1265" s="172">
        <v>0</v>
      </c>
      <c r="H1265" s="173">
        <v>0</v>
      </c>
      <c r="I1265" s="172">
        <v>0</v>
      </c>
      <c r="J1265" s="173">
        <v>0</v>
      </c>
      <c r="K1265" s="172">
        <v>0</v>
      </c>
      <c r="L1265" s="173">
        <v>0</v>
      </c>
      <c r="M1265" s="172">
        <v>0</v>
      </c>
      <c r="N1265" s="173">
        <v>0</v>
      </c>
      <c r="O1265" s="172">
        <v>0</v>
      </c>
      <c r="P1265" s="173">
        <v>0</v>
      </c>
      <c r="Q1265" s="172">
        <v>0</v>
      </c>
      <c r="R1265" s="173">
        <v>0</v>
      </c>
      <c r="S1265" s="172">
        <v>0</v>
      </c>
      <c r="T1265" s="173">
        <v>0</v>
      </c>
      <c r="U1265" s="172">
        <v>0</v>
      </c>
      <c r="V1265" s="173">
        <v>0</v>
      </c>
      <c r="W1265" s="172">
        <v>0</v>
      </c>
      <c r="X1265" s="173">
        <v>0</v>
      </c>
      <c r="Y1265" s="172">
        <v>0</v>
      </c>
      <c r="Z1265" s="173">
        <v>0</v>
      </c>
      <c r="AA1265" s="172">
        <v>0</v>
      </c>
      <c r="AB1265" s="173">
        <v>0</v>
      </c>
      <c r="AC1265" s="238">
        <f t="shared" si="67"/>
        <v>0</v>
      </c>
      <c r="AD1265" s="238"/>
      <c r="AE1265" s="238"/>
    </row>
    <row r="1266" spans="2:31" x14ac:dyDescent="0.3">
      <c r="B1266" s="245" t="s">
        <v>93</v>
      </c>
      <c r="C1266" s="245"/>
      <c r="D1266" s="245"/>
      <c r="E1266" s="172">
        <v>0</v>
      </c>
      <c r="F1266" s="173">
        <v>0</v>
      </c>
      <c r="G1266" s="172">
        <v>0</v>
      </c>
      <c r="H1266" s="173">
        <v>0</v>
      </c>
      <c r="I1266" s="172">
        <v>0</v>
      </c>
      <c r="J1266" s="173">
        <v>0</v>
      </c>
      <c r="K1266" s="172">
        <v>0</v>
      </c>
      <c r="L1266" s="173">
        <v>0</v>
      </c>
      <c r="M1266" s="172">
        <v>0</v>
      </c>
      <c r="N1266" s="173">
        <v>0</v>
      </c>
      <c r="O1266" s="172">
        <v>0</v>
      </c>
      <c r="P1266" s="173">
        <v>0</v>
      </c>
      <c r="Q1266" s="172">
        <v>2.5000000000000209E-3</v>
      </c>
      <c r="R1266" s="173">
        <v>0</v>
      </c>
      <c r="S1266" s="172">
        <v>3.0000000000000041E-2</v>
      </c>
      <c r="T1266" s="173">
        <v>0.25933333333333342</v>
      </c>
      <c r="U1266" s="172">
        <v>0</v>
      </c>
      <c r="V1266" s="173">
        <v>5.3166666666666647E-2</v>
      </c>
      <c r="W1266" s="172">
        <v>0.79983333333333362</v>
      </c>
      <c r="X1266" s="173">
        <v>0.25666666666666654</v>
      </c>
      <c r="Y1266" s="172">
        <v>0</v>
      </c>
      <c r="Z1266" s="173">
        <v>0</v>
      </c>
      <c r="AA1266" s="172">
        <v>0</v>
      </c>
      <c r="AB1266" s="173">
        <v>0</v>
      </c>
      <c r="AC1266" s="238">
        <f>SUM(E1266:AB1266)</f>
        <v>1.4015000000000004</v>
      </c>
      <c r="AD1266" s="238"/>
      <c r="AE1266" s="238"/>
    </row>
    <row r="1267" spans="2:31" x14ac:dyDescent="0.3">
      <c r="B1267" s="14" t="s">
        <v>2</v>
      </c>
      <c r="C1267" s="14"/>
      <c r="D1267" s="14"/>
      <c r="E1267" s="15">
        <f t="shared" ref="E1267:AB1267" si="68">SUM(E1218:E1266)</f>
        <v>0</v>
      </c>
      <c r="F1267" s="15">
        <f t="shared" si="68"/>
        <v>0</v>
      </c>
      <c r="G1267" s="15">
        <f t="shared" si="68"/>
        <v>0</v>
      </c>
      <c r="H1267" s="15">
        <f t="shared" si="68"/>
        <v>0</v>
      </c>
      <c r="I1267" s="15">
        <f t="shared" si="68"/>
        <v>0</v>
      </c>
      <c r="J1267" s="15">
        <f t="shared" si="68"/>
        <v>0</v>
      </c>
      <c r="K1267" s="15">
        <f t="shared" si="68"/>
        <v>0</v>
      </c>
      <c r="L1267" s="15">
        <f t="shared" si="68"/>
        <v>0</v>
      </c>
      <c r="M1267" s="15">
        <f t="shared" si="68"/>
        <v>0</v>
      </c>
      <c r="N1267" s="15">
        <f t="shared" si="68"/>
        <v>0</v>
      </c>
      <c r="O1267" s="15">
        <f t="shared" si="68"/>
        <v>29.943833333333338</v>
      </c>
      <c r="P1267" s="15">
        <f t="shared" si="68"/>
        <v>84.01433333333334</v>
      </c>
      <c r="Q1267" s="15">
        <f t="shared" si="68"/>
        <v>338.96583333333325</v>
      </c>
      <c r="R1267" s="15">
        <f t="shared" si="68"/>
        <v>401.10950000000003</v>
      </c>
      <c r="S1267" s="15">
        <f t="shared" si="68"/>
        <v>357.59749999999985</v>
      </c>
      <c r="T1267" s="15">
        <f t="shared" si="68"/>
        <v>379.3756666666668</v>
      </c>
      <c r="U1267" s="15">
        <f t="shared" si="68"/>
        <v>386.55433333333349</v>
      </c>
      <c r="V1267" s="15">
        <f t="shared" si="68"/>
        <v>520.62749999999983</v>
      </c>
      <c r="W1267" s="15">
        <f t="shared" si="68"/>
        <v>374.15299999999996</v>
      </c>
      <c r="X1267" s="15">
        <f t="shared" si="68"/>
        <v>0.25666666666666654</v>
      </c>
      <c r="Y1267" s="15">
        <f t="shared" si="68"/>
        <v>0</v>
      </c>
      <c r="Z1267" s="15">
        <f t="shared" si="68"/>
        <v>0</v>
      </c>
      <c r="AA1267" s="15">
        <f t="shared" si="68"/>
        <v>0</v>
      </c>
      <c r="AB1267" s="15">
        <f t="shared" si="68"/>
        <v>0</v>
      </c>
      <c r="AC1267" s="249">
        <f>SUM(AC1218:AE1266)</f>
        <v>2872.5981666666667</v>
      </c>
      <c r="AD1267" s="249"/>
      <c r="AE1267" s="249"/>
    </row>
    <row r="1268" spans="2:31" x14ac:dyDescent="0.3">
      <c r="B1268" s="16"/>
      <c r="C1268" s="17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  <c r="X1268" s="18"/>
      <c r="Y1268" s="18"/>
      <c r="Z1268" s="18"/>
      <c r="AA1268" s="18"/>
    </row>
    <row r="1269" spans="2:31" x14ac:dyDescent="0.3">
      <c r="B1269" s="16"/>
      <c r="C1269" s="17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  <c r="X1269" s="18"/>
      <c r="Y1269" s="18"/>
      <c r="Z1269" s="18"/>
      <c r="AA1269" s="18"/>
    </row>
    <row r="1270" spans="2:31" x14ac:dyDescent="0.3">
      <c r="B1270" s="8">
        <f>'Resumen-Mensual'!$AB$22</f>
        <v>44585</v>
      </c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174"/>
      <c r="AD1270" s="174"/>
      <c r="AE1270" s="174"/>
    </row>
    <row r="1271" spans="2:31" x14ac:dyDescent="0.3">
      <c r="B1271" s="8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174"/>
      <c r="AD1271" s="174"/>
      <c r="AE1271" s="174"/>
    </row>
    <row r="1272" spans="2:31" x14ac:dyDescent="0.3">
      <c r="B1272" s="9" t="s">
        <v>81</v>
      </c>
      <c r="C1272" s="10"/>
      <c r="D1272" s="10"/>
      <c r="E1272" s="11">
        <v>1</v>
      </c>
      <c r="F1272" s="11">
        <v>2</v>
      </c>
      <c r="G1272" s="11">
        <v>3</v>
      </c>
      <c r="H1272" s="11">
        <v>4</v>
      </c>
      <c r="I1272" s="11">
        <v>5</v>
      </c>
      <c r="J1272" s="11">
        <v>6</v>
      </c>
      <c r="K1272" s="11">
        <v>7</v>
      </c>
      <c r="L1272" s="11">
        <v>8</v>
      </c>
      <c r="M1272" s="11">
        <v>9</v>
      </c>
      <c r="N1272" s="11">
        <v>10</v>
      </c>
      <c r="O1272" s="11">
        <v>11</v>
      </c>
      <c r="P1272" s="11">
        <v>12</v>
      </c>
      <c r="Q1272" s="11">
        <v>13</v>
      </c>
      <c r="R1272" s="11">
        <v>14</v>
      </c>
      <c r="S1272" s="11">
        <v>15</v>
      </c>
      <c r="T1272" s="11">
        <v>16</v>
      </c>
      <c r="U1272" s="11">
        <v>17</v>
      </c>
      <c r="V1272" s="11">
        <v>18</v>
      </c>
      <c r="W1272" s="11">
        <v>19</v>
      </c>
      <c r="X1272" s="11">
        <v>20</v>
      </c>
      <c r="Y1272" s="11">
        <v>21</v>
      </c>
      <c r="Z1272" s="11">
        <v>22</v>
      </c>
      <c r="AA1272" s="11">
        <v>23</v>
      </c>
      <c r="AB1272" s="11">
        <v>24</v>
      </c>
      <c r="AC1272" s="248" t="s">
        <v>2</v>
      </c>
      <c r="AD1272" s="248"/>
      <c r="AE1272" s="248"/>
    </row>
    <row r="1273" spans="2:31" x14ac:dyDescent="0.3">
      <c r="B1273" s="245" t="s">
        <v>37</v>
      </c>
      <c r="C1273" s="245"/>
      <c r="D1273" s="245"/>
      <c r="E1273" s="179">
        <v>0</v>
      </c>
      <c r="F1273" s="180">
        <v>0</v>
      </c>
      <c r="G1273" s="179">
        <v>0</v>
      </c>
      <c r="H1273" s="180">
        <v>0</v>
      </c>
      <c r="I1273" s="179">
        <v>0</v>
      </c>
      <c r="J1273" s="180">
        <v>0</v>
      </c>
      <c r="K1273" s="179">
        <v>0</v>
      </c>
      <c r="L1273" s="180">
        <v>0</v>
      </c>
      <c r="M1273" s="179">
        <v>0</v>
      </c>
      <c r="N1273" s="180">
        <v>0</v>
      </c>
      <c r="O1273" s="179">
        <v>0</v>
      </c>
      <c r="P1273" s="180">
        <v>0</v>
      </c>
      <c r="Q1273" s="179">
        <v>0</v>
      </c>
      <c r="R1273" s="180">
        <v>0</v>
      </c>
      <c r="S1273" s="179">
        <v>0</v>
      </c>
      <c r="T1273" s="180">
        <v>0</v>
      </c>
      <c r="U1273" s="179">
        <v>0</v>
      </c>
      <c r="V1273" s="180">
        <v>0</v>
      </c>
      <c r="W1273" s="179">
        <v>0</v>
      </c>
      <c r="X1273" s="180">
        <v>0</v>
      </c>
      <c r="Y1273" s="179">
        <v>0</v>
      </c>
      <c r="Z1273" s="180">
        <v>0</v>
      </c>
      <c r="AA1273" s="179">
        <v>0</v>
      </c>
      <c r="AB1273" s="180">
        <v>0</v>
      </c>
      <c r="AC1273" s="238">
        <f t="shared" ref="AC1273:AC1305" si="69">SUM(E1273:AB1273)</f>
        <v>0</v>
      </c>
      <c r="AD1273" s="238"/>
      <c r="AE1273" s="238"/>
    </row>
    <row r="1274" spans="2:31" x14ac:dyDescent="0.3">
      <c r="B1274" s="245" t="s">
        <v>38</v>
      </c>
      <c r="C1274" s="245"/>
      <c r="D1274" s="245"/>
      <c r="E1274" s="179">
        <v>0</v>
      </c>
      <c r="F1274" s="180">
        <v>0</v>
      </c>
      <c r="G1274" s="179">
        <v>0</v>
      </c>
      <c r="H1274" s="180">
        <v>0</v>
      </c>
      <c r="I1274" s="179">
        <v>0</v>
      </c>
      <c r="J1274" s="180">
        <v>0</v>
      </c>
      <c r="K1274" s="179">
        <v>0</v>
      </c>
      <c r="L1274" s="180">
        <v>0</v>
      </c>
      <c r="M1274" s="179">
        <v>0</v>
      </c>
      <c r="N1274" s="180">
        <v>0</v>
      </c>
      <c r="O1274" s="179">
        <v>0</v>
      </c>
      <c r="P1274" s="180">
        <v>0</v>
      </c>
      <c r="Q1274" s="179">
        <v>0</v>
      </c>
      <c r="R1274" s="180">
        <v>0</v>
      </c>
      <c r="S1274" s="179">
        <v>0</v>
      </c>
      <c r="T1274" s="180">
        <v>0</v>
      </c>
      <c r="U1274" s="179">
        <v>0</v>
      </c>
      <c r="V1274" s="180">
        <v>0</v>
      </c>
      <c r="W1274" s="179">
        <v>0</v>
      </c>
      <c r="X1274" s="180">
        <v>0</v>
      </c>
      <c r="Y1274" s="179">
        <v>0</v>
      </c>
      <c r="Z1274" s="180">
        <v>0</v>
      </c>
      <c r="AA1274" s="179">
        <v>0</v>
      </c>
      <c r="AB1274" s="180">
        <v>0</v>
      </c>
      <c r="AC1274" s="238">
        <f t="shared" si="69"/>
        <v>0</v>
      </c>
      <c r="AD1274" s="238"/>
      <c r="AE1274" s="238"/>
    </row>
    <row r="1275" spans="2:31" x14ac:dyDescent="0.3">
      <c r="B1275" s="245" t="s">
        <v>39</v>
      </c>
      <c r="C1275" s="245"/>
      <c r="D1275" s="245"/>
      <c r="E1275" s="179">
        <v>0</v>
      </c>
      <c r="F1275" s="180">
        <v>0</v>
      </c>
      <c r="G1275" s="179">
        <v>0</v>
      </c>
      <c r="H1275" s="180">
        <v>0</v>
      </c>
      <c r="I1275" s="179">
        <v>0</v>
      </c>
      <c r="J1275" s="180">
        <v>0</v>
      </c>
      <c r="K1275" s="179">
        <v>0</v>
      </c>
      <c r="L1275" s="180">
        <v>0</v>
      </c>
      <c r="M1275" s="179">
        <v>0</v>
      </c>
      <c r="N1275" s="180">
        <v>0</v>
      </c>
      <c r="O1275" s="179">
        <v>0</v>
      </c>
      <c r="P1275" s="180">
        <v>0</v>
      </c>
      <c r="Q1275" s="179">
        <v>0</v>
      </c>
      <c r="R1275" s="180">
        <v>0</v>
      </c>
      <c r="S1275" s="179">
        <v>0</v>
      </c>
      <c r="T1275" s="180">
        <v>0</v>
      </c>
      <c r="U1275" s="179">
        <v>0</v>
      </c>
      <c r="V1275" s="180">
        <v>0</v>
      </c>
      <c r="W1275" s="179">
        <v>0</v>
      </c>
      <c r="X1275" s="180">
        <v>0</v>
      </c>
      <c r="Y1275" s="179">
        <v>0</v>
      </c>
      <c r="Z1275" s="180">
        <v>0</v>
      </c>
      <c r="AA1275" s="179">
        <v>0</v>
      </c>
      <c r="AB1275" s="180">
        <v>0</v>
      </c>
      <c r="AC1275" s="238">
        <f t="shared" si="69"/>
        <v>0</v>
      </c>
      <c r="AD1275" s="238"/>
      <c r="AE1275" s="238"/>
    </row>
    <row r="1276" spans="2:31" x14ac:dyDescent="0.3">
      <c r="B1276" s="245" t="s">
        <v>40</v>
      </c>
      <c r="C1276" s="245"/>
      <c r="D1276" s="245"/>
      <c r="E1276" s="179">
        <v>0</v>
      </c>
      <c r="F1276" s="180">
        <v>0</v>
      </c>
      <c r="G1276" s="179">
        <v>0</v>
      </c>
      <c r="H1276" s="180">
        <v>0</v>
      </c>
      <c r="I1276" s="179">
        <v>0</v>
      </c>
      <c r="J1276" s="180">
        <v>0</v>
      </c>
      <c r="K1276" s="179">
        <v>0</v>
      </c>
      <c r="L1276" s="180">
        <v>0</v>
      </c>
      <c r="M1276" s="179">
        <v>0</v>
      </c>
      <c r="N1276" s="180">
        <v>0</v>
      </c>
      <c r="O1276" s="179">
        <v>0</v>
      </c>
      <c r="P1276" s="180">
        <v>0</v>
      </c>
      <c r="Q1276" s="179">
        <v>0</v>
      </c>
      <c r="R1276" s="180">
        <v>0</v>
      </c>
      <c r="S1276" s="179">
        <v>0</v>
      </c>
      <c r="T1276" s="180">
        <v>0</v>
      </c>
      <c r="U1276" s="179">
        <v>0</v>
      </c>
      <c r="V1276" s="180">
        <v>0</v>
      </c>
      <c r="W1276" s="179">
        <v>0</v>
      </c>
      <c r="X1276" s="180">
        <v>0</v>
      </c>
      <c r="Y1276" s="179">
        <v>0</v>
      </c>
      <c r="Z1276" s="180">
        <v>0</v>
      </c>
      <c r="AA1276" s="179">
        <v>0</v>
      </c>
      <c r="AB1276" s="180">
        <v>0</v>
      </c>
      <c r="AC1276" s="238">
        <f t="shared" si="69"/>
        <v>0</v>
      </c>
      <c r="AD1276" s="238"/>
      <c r="AE1276" s="238"/>
    </row>
    <row r="1277" spans="2:31" x14ac:dyDescent="0.3">
      <c r="B1277" s="245" t="s">
        <v>41</v>
      </c>
      <c r="C1277" s="245"/>
      <c r="D1277" s="245"/>
      <c r="E1277" s="179">
        <v>0</v>
      </c>
      <c r="F1277" s="180">
        <v>0</v>
      </c>
      <c r="G1277" s="179">
        <v>0</v>
      </c>
      <c r="H1277" s="180">
        <v>0</v>
      </c>
      <c r="I1277" s="179">
        <v>0</v>
      </c>
      <c r="J1277" s="180">
        <v>0</v>
      </c>
      <c r="K1277" s="179">
        <v>0</v>
      </c>
      <c r="L1277" s="180">
        <v>0</v>
      </c>
      <c r="M1277" s="179">
        <v>0</v>
      </c>
      <c r="N1277" s="180">
        <v>0</v>
      </c>
      <c r="O1277" s="179">
        <v>0</v>
      </c>
      <c r="P1277" s="180">
        <v>0</v>
      </c>
      <c r="Q1277" s="179">
        <v>0</v>
      </c>
      <c r="R1277" s="180">
        <v>0</v>
      </c>
      <c r="S1277" s="179">
        <v>0</v>
      </c>
      <c r="T1277" s="180">
        <v>0</v>
      </c>
      <c r="U1277" s="179">
        <v>0</v>
      </c>
      <c r="V1277" s="180">
        <v>0</v>
      </c>
      <c r="W1277" s="179">
        <v>0.4653333333333331</v>
      </c>
      <c r="X1277" s="180">
        <v>0</v>
      </c>
      <c r="Y1277" s="179">
        <v>0</v>
      </c>
      <c r="Z1277" s="180">
        <v>0</v>
      </c>
      <c r="AA1277" s="179">
        <v>0</v>
      </c>
      <c r="AB1277" s="180">
        <v>0</v>
      </c>
      <c r="AC1277" s="238">
        <f t="shared" si="69"/>
        <v>0.4653333333333331</v>
      </c>
      <c r="AD1277" s="238"/>
      <c r="AE1277" s="238"/>
    </row>
    <row r="1278" spans="2:31" x14ac:dyDescent="0.3">
      <c r="B1278" s="245" t="s">
        <v>42</v>
      </c>
      <c r="C1278" s="245"/>
      <c r="D1278" s="245"/>
      <c r="E1278" s="179">
        <v>0</v>
      </c>
      <c r="F1278" s="180">
        <v>0</v>
      </c>
      <c r="G1278" s="179">
        <v>0</v>
      </c>
      <c r="H1278" s="180">
        <v>0</v>
      </c>
      <c r="I1278" s="179">
        <v>0</v>
      </c>
      <c r="J1278" s="180">
        <v>0</v>
      </c>
      <c r="K1278" s="179">
        <v>0</v>
      </c>
      <c r="L1278" s="180">
        <v>0</v>
      </c>
      <c r="M1278" s="179">
        <v>0</v>
      </c>
      <c r="N1278" s="180">
        <v>0</v>
      </c>
      <c r="O1278" s="179">
        <v>0</v>
      </c>
      <c r="P1278" s="180">
        <v>0</v>
      </c>
      <c r="Q1278" s="179">
        <v>0</v>
      </c>
      <c r="R1278" s="180">
        <v>0</v>
      </c>
      <c r="S1278" s="179">
        <v>0</v>
      </c>
      <c r="T1278" s="180">
        <v>0</v>
      </c>
      <c r="U1278" s="179">
        <v>0</v>
      </c>
      <c r="V1278" s="180">
        <v>0</v>
      </c>
      <c r="W1278" s="179">
        <v>0</v>
      </c>
      <c r="X1278" s="180">
        <v>0</v>
      </c>
      <c r="Y1278" s="179">
        <v>0</v>
      </c>
      <c r="Z1278" s="180">
        <v>0</v>
      </c>
      <c r="AA1278" s="179">
        <v>0</v>
      </c>
      <c r="AB1278" s="180">
        <v>0</v>
      </c>
      <c r="AC1278" s="238">
        <f t="shared" si="69"/>
        <v>0</v>
      </c>
      <c r="AD1278" s="238"/>
      <c r="AE1278" s="238"/>
    </row>
    <row r="1279" spans="2:31" x14ac:dyDescent="0.3">
      <c r="B1279" s="245" t="s">
        <v>43</v>
      </c>
      <c r="C1279" s="245"/>
      <c r="D1279" s="245"/>
      <c r="E1279" s="179">
        <v>0</v>
      </c>
      <c r="F1279" s="180">
        <v>0</v>
      </c>
      <c r="G1279" s="179">
        <v>0</v>
      </c>
      <c r="H1279" s="180">
        <v>0</v>
      </c>
      <c r="I1279" s="179">
        <v>0</v>
      </c>
      <c r="J1279" s="180">
        <v>0</v>
      </c>
      <c r="K1279" s="179">
        <v>0</v>
      </c>
      <c r="L1279" s="180">
        <v>0</v>
      </c>
      <c r="M1279" s="179">
        <v>0</v>
      </c>
      <c r="N1279" s="180">
        <v>0</v>
      </c>
      <c r="O1279" s="179">
        <v>0</v>
      </c>
      <c r="P1279" s="180">
        <v>0.17366666666666647</v>
      </c>
      <c r="Q1279" s="179">
        <v>0</v>
      </c>
      <c r="R1279" s="180">
        <v>0</v>
      </c>
      <c r="S1279" s="179">
        <v>0</v>
      </c>
      <c r="T1279" s="180">
        <v>0</v>
      </c>
      <c r="U1279" s="179">
        <v>0</v>
      </c>
      <c r="V1279" s="180">
        <v>0</v>
      </c>
      <c r="W1279" s="179">
        <v>0.237666666666667</v>
      </c>
      <c r="X1279" s="180">
        <v>0</v>
      </c>
      <c r="Y1279" s="179">
        <v>0</v>
      </c>
      <c r="Z1279" s="180">
        <v>0</v>
      </c>
      <c r="AA1279" s="179">
        <v>0</v>
      </c>
      <c r="AB1279" s="180">
        <v>0</v>
      </c>
      <c r="AC1279" s="238">
        <f t="shared" si="69"/>
        <v>0.41133333333333344</v>
      </c>
      <c r="AD1279" s="238"/>
      <c r="AE1279" s="238"/>
    </row>
    <row r="1280" spans="2:31" x14ac:dyDescent="0.3">
      <c r="B1280" s="245" t="s">
        <v>44</v>
      </c>
      <c r="C1280" s="245"/>
      <c r="D1280" s="245"/>
      <c r="E1280" s="179">
        <v>0</v>
      </c>
      <c r="F1280" s="180">
        <v>0</v>
      </c>
      <c r="G1280" s="179">
        <v>0</v>
      </c>
      <c r="H1280" s="180">
        <v>0</v>
      </c>
      <c r="I1280" s="179">
        <v>0</v>
      </c>
      <c r="J1280" s="180">
        <v>0</v>
      </c>
      <c r="K1280" s="179">
        <v>0</v>
      </c>
      <c r="L1280" s="180">
        <v>0</v>
      </c>
      <c r="M1280" s="179">
        <v>0</v>
      </c>
      <c r="N1280" s="180">
        <v>0</v>
      </c>
      <c r="O1280" s="179">
        <v>0</v>
      </c>
      <c r="P1280" s="180">
        <v>0</v>
      </c>
      <c r="Q1280" s="179">
        <v>0</v>
      </c>
      <c r="R1280" s="180">
        <v>0</v>
      </c>
      <c r="S1280" s="179">
        <v>0</v>
      </c>
      <c r="T1280" s="180">
        <v>0</v>
      </c>
      <c r="U1280" s="179">
        <v>0</v>
      </c>
      <c r="V1280" s="180">
        <v>0</v>
      </c>
      <c r="W1280" s="179">
        <v>0</v>
      </c>
      <c r="X1280" s="180">
        <v>0</v>
      </c>
      <c r="Y1280" s="179">
        <v>0</v>
      </c>
      <c r="Z1280" s="180">
        <v>0</v>
      </c>
      <c r="AA1280" s="179">
        <v>0</v>
      </c>
      <c r="AB1280" s="180">
        <v>0</v>
      </c>
      <c r="AC1280" s="238">
        <f t="shared" si="69"/>
        <v>0</v>
      </c>
      <c r="AD1280" s="238"/>
      <c r="AE1280" s="238"/>
    </row>
    <row r="1281" spans="2:31" x14ac:dyDescent="0.3">
      <c r="B1281" s="245" t="s">
        <v>45</v>
      </c>
      <c r="C1281" s="245"/>
      <c r="D1281" s="245"/>
      <c r="E1281" s="179">
        <v>0</v>
      </c>
      <c r="F1281" s="180">
        <v>0</v>
      </c>
      <c r="G1281" s="179">
        <v>0</v>
      </c>
      <c r="H1281" s="180">
        <v>0</v>
      </c>
      <c r="I1281" s="179">
        <v>0</v>
      </c>
      <c r="J1281" s="180">
        <v>0</v>
      </c>
      <c r="K1281" s="179">
        <v>0</v>
      </c>
      <c r="L1281" s="180">
        <v>0</v>
      </c>
      <c r="M1281" s="179">
        <v>0</v>
      </c>
      <c r="N1281" s="180">
        <v>0</v>
      </c>
      <c r="O1281" s="179">
        <v>0</v>
      </c>
      <c r="P1281" s="180">
        <v>0.1573333333333333</v>
      </c>
      <c r="Q1281" s="179">
        <v>14.969166666666668</v>
      </c>
      <c r="R1281" s="180">
        <v>11.669999999999989</v>
      </c>
      <c r="S1281" s="179">
        <v>0</v>
      </c>
      <c r="T1281" s="180">
        <v>22.759999999999994</v>
      </c>
      <c r="U1281" s="179">
        <v>4.1599999999999975</v>
      </c>
      <c r="V1281" s="180">
        <v>0</v>
      </c>
      <c r="W1281" s="179">
        <v>1.3458333333333328</v>
      </c>
      <c r="X1281" s="180">
        <v>0</v>
      </c>
      <c r="Y1281" s="179">
        <v>0</v>
      </c>
      <c r="Z1281" s="180">
        <v>0</v>
      </c>
      <c r="AA1281" s="179">
        <v>0</v>
      </c>
      <c r="AB1281" s="180">
        <v>0</v>
      </c>
      <c r="AC1281" s="238">
        <f t="shared" si="69"/>
        <v>55.062333333333314</v>
      </c>
      <c r="AD1281" s="238"/>
      <c r="AE1281" s="238"/>
    </row>
    <row r="1282" spans="2:31" x14ac:dyDescent="0.3">
      <c r="B1282" s="245" t="s">
        <v>46</v>
      </c>
      <c r="C1282" s="245"/>
      <c r="D1282" s="245"/>
      <c r="E1282" s="179">
        <v>0</v>
      </c>
      <c r="F1282" s="180">
        <v>0</v>
      </c>
      <c r="G1282" s="179">
        <v>0</v>
      </c>
      <c r="H1282" s="180">
        <v>0</v>
      </c>
      <c r="I1282" s="179">
        <v>0</v>
      </c>
      <c r="J1282" s="180">
        <v>0</v>
      </c>
      <c r="K1282" s="179">
        <v>0</v>
      </c>
      <c r="L1282" s="180">
        <v>0</v>
      </c>
      <c r="M1282" s="179">
        <v>0</v>
      </c>
      <c r="N1282" s="180">
        <v>0</v>
      </c>
      <c r="O1282" s="179">
        <v>0</v>
      </c>
      <c r="P1282" s="180">
        <v>0.2746666666666665</v>
      </c>
      <c r="Q1282" s="179">
        <v>10.71366666666667</v>
      </c>
      <c r="R1282" s="180">
        <v>11.048333333333325</v>
      </c>
      <c r="S1282" s="179">
        <v>20.645666666666664</v>
      </c>
      <c r="T1282" s="180">
        <v>0</v>
      </c>
      <c r="U1282" s="179">
        <v>20.577166666666688</v>
      </c>
      <c r="V1282" s="180">
        <v>1.2878333333333336</v>
      </c>
      <c r="W1282" s="179">
        <v>0.10916666666666698</v>
      </c>
      <c r="X1282" s="180">
        <v>0</v>
      </c>
      <c r="Y1282" s="179">
        <v>0</v>
      </c>
      <c r="Z1282" s="180">
        <v>0</v>
      </c>
      <c r="AA1282" s="179">
        <v>0</v>
      </c>
      <c r="AB1282" s="180">
        <v>0</v>
      </c>
      <c r="AC1282" s="238">
        <f t="shared" si="69"/>
        <v>64.656500000000023</v>
      </c>
      <c r="AD1282" s="238"/>
      <c r="AE1282" s="238"/>
    </row>
    <row r="1283" spans="2:31" x14ac:dyDescent="0.3">
      <c r="B1283" s="245" t="s">
        <v>47</v>
      </c>
      <c r="C1283" s="245"/>
      <c r="D1283" s="245"/>
      <c r="E1283" s="179">
        <v>0</v>
      </c>
      <c r="F1283" s="180">
        <v>0</v>
      </c>
      <c r="G1283" s="179">
        <v>0</v>
      </c>
      <c r="H1283" s="180">
        <v>0</v>
      </c>
      <c r="I1283" s="179">
        <v>0</v>
      </c>
      <c r="J1283" s="180">
        <v>0</v>
      </c>
      <c r="K1283" s="179">
        <v>0</v>
      </c>
      <c r="L1283" s="180">
        <v>0</v>
      </c>
      <c r="M1283" s="179">
        <v>0</v>
      </c>
      <c r="N1283" s="180">
        <v>0</v>
      </c>
      <c r="O1283" s="179">
        <v>0</v>
      </c>
      <c r="P1283" s="180">
        <v>0</v>
      </c>
      <c r="Q1283" s="179">
        <v>0</v>
      </c>
      <c r="R1283" s="180">
        <v>0</v>
      </c>
      <c r="S1283" s="179">
        <v>0</v>
      </c>
      <c r="T1283" s="180">
        <v>4.349999999999997</v>
      </c>
      <c r="U1283" s="179">
        <v>4.4804999999999966</v>
      </c>
      <c r="V1283" s="180">
        <v>3.8588333333333322</v>
      </c>
      <c r="W1283" s="179">
        <v>2.0083333333333333</v>
      </c>
      <c r="X1283" s="180">
        <v>0</v>
      </c>
      <c r="Y1283" s="179">
        <v>0</v>
      </c>
      <c r="Z1283" s="180">
        <v>0</v>
      </c>
      <c r="AA1283" s="179">
        <v>0</v>
      </c>
      <c r="AB1283" s="180">
        <v>0</v>
      </c>
      <c r="AC1283" s="238">
        <f t="shared" si="69"/>
        <v>14.69766666666666</v>
      </c>
      <c r="AD1283" s="238"/>
      <c r="AE1283" s="238"/>
    </row>
    <row r="1284" spans="2:31" x14ac:dyDescent="0.3">
      <c r="B1284" s="245" t="s">
        <v>48</v>
      </c>
      <c r="C1284" s="245"/>
      <c r="D1284" s="245"/>
      <c r="E1284" s="179">
        <v>0</v>
      </c>
      <c r="F1284" s="180">
        <v>0</v>
      </c>
      <c r="G1284" s="179">
        <v>0</v>
      </c>
      <c r="H1284" s="180">
        <v>0</v>
      </c>
      <c r="I1284" s="179">
        <v>0</v>
      </c>
      <c r="J1284" s="180">
        <v>0</v>
      </c>
      <c r="K1284" s="179">
        <v>0</v>
      </c>
      <c r="L1284" s="180">
        <v>0</v>
      </c>
      <c r="M1284" s="179">
        <v>0</v>
      </c>
      <c r="N1284" s="180">
        <v>0</v>
      </c>
      <c r="O1284" s="179">
        <v>0</v>
      </c>
      <c r="P1284" s="180">
        <v>0</v>
      </c>
      <c r="Q1284" s="179">
        <v>0</v>
      </c>
      <c r="R1284" s="180">
        <v>0</v>
      </c>
      <c r="S1284" s="179">
        <v>0</v>
      </c>
      <c r="T1284" s="180">
        <v>4.6200000000000028</v>
      </c>
      <c r="U1284" s="179">
        <v>4.3911666666666669</v>
      </c>
      <c r="V1284" s="180">
        <v>3.7143333333333337</v>
      </c>
      <c r="W1284" s="179">
        <v>1.968833333333333</v>
      </c>
      <c r="X1284" s="180">
        <v>0</v>
      </c>
      <c r="Y1284" s="179">
        <v>0</v>
      </c>
      <c r="Z1284" s="180">
        <v>0</v>
      </c>
      <c r="AA1284" s="179">
        <v>0</v>
      </c>
      <c r="AB1284" s="180">
        <v>0</v>
      </c>
      <c r="AC1284" s="238">
        <f t="shared" si="69"/>
        <v>14.694333333333336</v>
      </c>
      <c r="AD1284" s="238"/>
      <c r="AE1284" s="238"/>
    </row>
    <row r="1285" spans="2:31" x14ac:dyDescent="0.3">
      <c r="B1285" s="245" t="s">
        <v>49</v>
      </c>
      <c r="C1285" s="245"/>
      <c r="D1285" s="245"/>
      <c r="E1285" s="179">
        <v>0</v>
      </c>
      <c r="F1285" s="180">
        <v>0</v>
      </c>
      <c r="G1285" s="179">
        <v>0</v>
      </c>
      <c r="H1285" s="180">
        <v>0</v>
      </c>
      <c r="I1285" s="179">
        <v>0</v>
      </c>
      <c r="J1285" s="180">
        <v>0</v>
      </c>
      <c r="K1285" s="179">
        <v>0</v>
      </c>
      <c r="L1285" s="180">
        <v>0</v>
      </c>
      <c r="M1285" s="179">
        <v>0</v>
      </c>
      <c r="N1285" s="180">
        <v>0</v>
      </c>
      <c r="O1285" s="179">
        <v>0</v>
      </c>
      <c r="P1285" s="180">
        <v>0</v>
      </c>
      <c r="Q1285" s="179">
        <v>0</v>
      </c>
      <c r="R1285" s="180">
        <v>0</v>
      </c>
      <c r="S1285" s="179">
        <v>0</v>
      </c>
      <c r="T1285" s="180">
        <v>0</v>
      </c>
      <c r="U1285" s="179">
        <v>0</v>
      </c>
      <c r="V1285" s="180">
        <v>0.2111666666666667</v>
      </c>
      <c r="W1285" s="179">
        <v>7.3333333333333254E-3</v>
      </c>
      <c r="X1285" s="180">
        <v>0</v>
      </c>
      <c r="Y1285" s="179">
        <v>0</v>
      </c>
      <c r="Z1285" s="180">
        <v>0</v>
      </c>
      <c r="AA1285" s="179">
        <v>0</v>
      </c>
      <c r="AB1285" s="180">
        <v>0</v>
      </c>
      <c r="AC1285" s="238">
        <f t="shared" si="69"/>
        <v>0.21850000000000003</v>
      </c>
      <c r="AD1285" s="238"/>
      <c r="AE1285" s="238"/>
    </row>
    <row r="1286" spans="2:31" x14ac:dyDescent="0.3">
      <c r="B1286" s="245" t="s">
        <v>50</v>
      </c>
      <c r="C1286" s="245"/>
      <c r="D1286" s="245"/>
      <c r="E1286" s="179">
        <v>0</v>
      </c>
      <c r="F1286" s="180">
        <v>0</v>
      </c>
      <c r="G1286" s="179">
        <v>0</v>
      </c>
      <c r="H1286" s="180">
        <v>0</v>
      </c>
      <c r="I1286" s="179">
        <v>0</v>
      </c>
      <c r="J1286" s="180">
        <v>0</v>
      </c>
      <c r="K1286" s="179">
        <v>0</v>
      </c>
      <c r="L1286" s="180">
        <v>0</v>
      </c>
      <c r="M1286" s="179">
        <v>0</v>
      </c>
      <c r="N1286" s="180">
        <v>0</v>
      </c>
      <c r="O1286" s="179">
        <v>1.0464999999999993</v>
      </c>
      <c r="P1286" s="180">
        <v>0</v>
      </c>
      <c r="Q1286" s="179">
        <v>0</v>
      </c>
      <c r="R1286" s="180">
        <v>0</v>
      </c>
      <c r="S1286" s="179">
        <v>0</v>
      </c>
      <c r="T1286" s="180">
        <v>0</v>
      </c>
      <c r="U1286" s="179">
        <v>0</v>
      </c>
      <c r="V1286" s="180">
        <v>0</v>
      </c>
      <c r="W1286" s="179">
        <v>0</v>
      </c>
      <c r="X1286" s="180">
        <v>0</v>
      </c>
      <c r="Y1286" s="179">
        <v>0</v>
      </c>
      <c r="Z1286" s="180">
        <v>0</v>
      </c>
      <c r="AA1286" s="179">
        <v>0</v>
      </c>
      <c r="AB1286" s="180">
        <v>0</v>
      </c>
      <c r="AC1286" s="238">
        <f t="shared" si="69"/>
        <v>1.0464999999999993</v>
      </c>
      <c r="AD1286" s="238"/>
      <c r="AE1286" s="238"/>
    </row>
    <row r="1287" spans="2:31" x14ac:dyDescent="0.3">
      <c r="B1287" s="245" t="s">
        <v>97</v>
      </c>
      <c r="C1287" s="245"/>
      <c r="D1287" s="245"/>
      <c r="E1287" s="179">
        <v>0</v>
      </c>
      <c r="F1287" s="180">
        <v>0</v>
      </c>
      <c r="G1287" s="179">
        <v>0</v>
      </c>
      <c r="H1287" s="180">
        <v>0</v>
      </c>
      <c r="I1287" s="179">
        <v>0</v>
      </c>
      <c r="J1287" s="180">
        <v>0</v>
      </c>
      <c r="K1287" s="179">
        <v>0</v>
      </c>
      <c r="L1287" s="180">
        <v>0</v>
      </c>
      <c r="M1287" s="179">
        <v>0</v>
      </c>
      <c r="N1287" s="180">
        <v>0</v>
      </c>
      <c r="O1287" s="179">
        <v>0</v>
      </c>
      <c r="P1287" s="180">
        <v>0</v>
      </c>
      <c r="Q1287" s="179">
        <v>0</v>
      </c>
      <c r="R1287" s="180">
        <v>0</v>
      </c>
      <c r="S1287" s="179">
        <v>0</v>
      </c>
      <c r="T1287" s="180">
        <v>0</v>
      </c>
      <c r="U1287" s="179">
        <v>0</v>
      </c>
      <c r="V1287" s="180">
        <v>0</v>
      </c>
      <c r="W1287" s="179">
        <v>0</v>
      </c>
      <c r="X1287" s="180">
        <v>0</v>
      </c>
      <c r="Y1287" s="179">
        <v>0</v>
      </c>
      <c r="Z1287" s="180">
        <v>0</v>
      </c>
      <c r="AA1287" s="179">
        <v>0</v>
      </c>
      <c r="AB1287" s="180">
        <v>0</v>
      </c>
      <c r="AC1287" s="238">
        <f t="shared" si="69"/>
        <v>0</v>
      </c>
      <c r="AD1287" s="238"/>
      <c r="AE1287" s="238"/>
    </row>
    <row r="1288" spans="2:31" x14ac:dyDescent="0.3">
      <c r="B1288" s="245" t="s">
        <v>51</v>
      </c>
      <c r="C1288" s="245"/>
      <c r="D1288" s="245"/>
      <c r="E1288" s="179">
        <v>0</v>
      </c>
      <c r="F1288" s="180">
        <v>0</v>
      </c>
      <c r="G1288" s="179">
        <v>0</v>
      </c>
      <c r="H1288" s="180">
        <v>0</v>
      </c>
      <c r="I1288" s="179">
        <v>0</v>
      </c>
      <c r="J1288" s="180">
        <v>0</v>
      </c>
      <c r="K1288" s="179">
        <v>0</v>
      </c>
      <c r="L1288" s="180">
        <v>0</v>
      </c>
      <c r="M1288" s="179">
        <v>0</v>
      </c>
      <c r="N1288" s="180">
        <v>0</v>
      </c>
      <c r="O1288" s="179">
        <v>0</v>
      </c>
      <c r="P1288" s="180">
        <v>0</v>
      </c>
      <c r="Q1288" s="179">
        <v>0</v>
      </c>
      <c r="R1288" s="180">
        <v>0</v>
      </c>
      <c r="S1288" s="179">
        <v>0</v>
      </c>
      <c r="T1288" s="180">
        <v>0</v>
      </c>
      <c r="U1288" s="179">
        <v>0</v>
      </c>
      <c r="V1288" s="180">
        <v>0</v>
      </c>
      <c r="W1288" s="179">
        <v>0</v>
      </c>
      <c r="X1288" s="180">
        <v>0</v>
      </c>
      <c r="Y1288" s="179">
        <v>0</v>
      </c>
      <c r="Z1288" s="180">
        <v>0</v>
      </c>
      <c r="AA1288" s="179">
        <v>0</v>
      </c>
      <c r="AB1288" s="180">
        <v>0</v>
      </c>
      <c r="AC1288" s="238">
        <f t="shared" si="69"/>
        <v>0</v>
      </c>
      <c r="AD1288" s="238"/>
      <c r="AE1288" s="238"/>
    </row>
    <row r="1289" spans="2:31" x14ac:dyDescent="0.3">
      <c r="B1289" s="245" t="s">
        <v>52</v>
      </c>
      <c r="C1289" s="245"/>
      <c r="D1289" s="245"/>
      <c r="E1289" s="179">
        <v>0</v>
      </c>
      <c r="F1289" s="180">
        <v>0</v>
      </c>
      <c r="G1289" s="179">
        <v>0</v>
      </c>
      <c r="H1289" s="180">
        <v>0</v>
      </c>
      <c r="I1289" s="179">
        <v>0</v>
      </c>
      <c r="J1289" s="180">
        <v>0</v>
      </c>
      <c r="K1289" s="179">
        <v>0</v>
      </c>
      <c r="L1289" s="180">
        <v>0</v>
      </c>
      <c r="M1289" s="179">
        <v>0</v>
      </c>
      <c r="N1289" s="180">
        <v>0</v>
      </c>
      <c r="O1289" s="179">
        <v>0</v>
      </c>
      <c r="P1289" s="180">
        <v>0</v>
      </c>
      <c r="Q1289" s="179">
        <v>0</v>
      </c>
      <c r="R1289" s="180">
        <v>0</v>
      </c>
      <c r="S1289" s="179">
        <v>0</v>
      </c>
      <c r="T1289" s="180">
        <v>0</v>
      </c>
      <c r="U1289" s="179">
        <v>0</v>
      </c>
      <c r="V1289" s="180">
        <v>0</v>
      </c>
      <c r="W1289" s="179">
        <v>0</v>
      </c>
      <c r="X1289" s="180">
        <v>0</v>
      </c>
      <c r="Y1289" s="179">
        <v>0</v>
      </c>
      <c r="Z1289" s="180">
        <v>0</v>
      </c>
      <c r="AA1289" s="179">
        <v>0</v>
      </c>
      <c r="AB1289" s="180">
        <v>0</v>
      </c>
      <c r="AC1289" s="238">
        <f t="shared" si="69"/>
        <v>0</v>
      </c>
      <c r="AD1289" s="238"/>
      <c r="AE1289" s="238"/>
    </row>
    <row r="1290" spans="2:31" x14ac:dyDescent="0.3">
      <c r="B1290" s="245" t="s">
        <v>53</v>
      </c>
      <c r="C1290" s="245"/>
      <c r="D1290" s="245"/>
      <c r="E1290" s="179">
        <v>0</v>
      </c>
      <c r="F1290" s="180">
        <v>0</v>
      </c>
      <c r="G1290" s="179">
        <v>0</v>
      </c>
      <c r="H1290" s="180">
        <v>0</v>
      </c>
      <c r="I1290" s="179">
        <v>0</v>
      </c>
      <c r="J1290" s="180">
        <v>0</v>
      </c>
      <c r="K1290" s="179">
        <v>0</v>
      </c>
      <c r="L1290" s="180">
        <v>0</v>
      </c>
      <c r="M1290" s="179">
        <v>0</v>
      </c>
      <c r="N1290" s="180">
        <v>0</v>
      </c>
      <c r="O1290" s="179">
        <v>0</v>
      </c>
      <c r="P1290" s="180">
        <v>0</v>
      </c>
      <c r="Q1290" s="179">
        <v>0</v>
      </c>
      <c r="R1290" s="180">
        <v>0</v>
      </c>
      <c r="S1290" s="179">
        <v>0</v>
      </c>
      <c r="T1290" s="180">
        <v>0</v>
      </c>
      <c r="U1290" s="179">
        <v>0</v>
      </c>
      <c r="V1290" s="180">
        <v>0</v>
      </c>
      <c r="W1290" s="179">
        <v>0</v>
      </c>
      <c r="X1290" s="180">
        <v>0</v>
      </c>
      <c r="Y1290" s="179">
        <v>0</v>
      </c>
      <c r="Z1290" s="180">
        <v>0</v>
      </c>
      <c r="AA1290" s="179">
        <v>0</v>
      </c>
      <c r="AB1290" s="180">
        <v>0</v>
      </c>
      <c r="AC1290" s="238">
        <f t="shared" si="69"/>
        <v>0</v>
      </c>
      <c r="AD1290" s="238"/>
      <c r="AE1290" s="238"/>
    </row>
    <row r="1291" spans="2:31" x14ac:dyDescent="0.3">
      <c r="B1291" s="245" t="s">
        <v>54</v>
      </c>
      <c r="C1291" s="245"/>
      <c r="D1291" s="245"/>
      <c r="E1291" s="179">
        <v>0</v>
      </c>
      <c r="F1291" s="180">
        <v>0</v>
      </c>
      <c r="G1291" s="179">
        <v>0</v>
      </c>
      <c r="H1291" s="180">
        <v>0</v>
      </c>
      <c r="I1291" s="179">
        <v>0</v>
      </c>
      <c r="J1291" s="180">
        <v>0</v>
      </c>
      <c r="K1291" s="179">
        <v>0</v>
      </c>
      <c r="L1291" s="180">
        <v>0</v>
      </c>
      <c r="M1291" s="179">
        <v>0</v>
      </c>
      <c r="N1291" s="180">
        <v>0</v>
      </c>
      <c r="O1291" s="179">
        <v>0</v>
      </c>
      <c r="P1291" s="180">
        <v>0</v>
      </c>
      <c r="Q1291" s="179">
        <v>0</v>
      </c>
      <c r="R1291" s="180">
        <v>0</v>
      </c>
      <c r="S1291" s="179">
        <v>0</v>
      </c>
      <c r="T1291" s="180">
        <v>0</v>
      </c>
      <c r="U1291" s="179">
        <v>0</v>
      </c>
      <c r="V1291" s="180">
        <v>0</v>
      </c>
      <c r="W1291" s="179">
        <v>0</v>
      </c>
      <c r="X1291" s="180">
        <v>0</v>
      </c>
      <c r="Y1291" s="179">
        <v>0</v>
      </c>
      <c r="Z1291" s="180">
        <v>0</v>
      </c>
      <c r="AA1291" s="179">
        <v>0</v>
      </c>
      <c r="AB1291" s="180">
        <v>0</v>
      </c>
      <c r="AC1291" s="238">
        <f t="shared" si="69"/>
        <v>0</v>
      </c>
      <c r="AD1291" s="238"/>
      <c r="AE1291" s="238"/>
    </row>
    <row r="1292" spans="2:31" x14ac:dyDescent="0.3">
      <c r="B1292" s="245" t="s">
        <v>55</v>
      </c>
      <c r="C1292" s="245"/>
      <c r="D1292" s="245"/>
      <c r="E1292" s="179">
        <v>0</v>
      </c>
      <c r="F1292" s="180">
        <v>0</v>
      </c>
      <c r="G1292" s="179">
        <v>0</v>
      </c>
      <c r="H1292" s="180">
        <v>0</v>
      </c>
      <c r="I1292" s="179">
        <v>0</v>
      </c>
      <c r="J1292" s="180">
        <v>0</v>
      </c>
      <c r="K1292" s="179">
        <v>0</v>
      </c>
      <c r="L1292" s="180">
        <v>0</v>
      </c>
      <c r="M1292" s="179">
        <v>0</v>
      </c>
      <c r="N1292" s="180">
        <v>0</v>
      </c>
      <c r="O1292" s="179">
        <v>0</v>
      </c>
      <c r="P1292" s="180">
        <v>0</v>
      </c>
      <c r="Q1292" s="179">
        <v>0</v>
      </c>
      <c r="R1292" s="180">
        <v>0</v>
      </c>
      <c r="S1292" s="179">
        <v>0</v>
      </c>
      <c r="T1292" s="180">
        <v>0</v>
      </c>
      <c r="U1292" s="179">
        <v>0</v>
      </c>
      <c r="V1292" s="180">
        <v>0</v>
      </c>
      <c r="W1292" s="179">
        <v>0</v>
      </c>
      <c r="X1292" s="180">
        <v>0</v>
      </c>
      <c r="Y1292" s="179">
        <v>0</v>
      </c>
      <c r="Z1292" s="180">
        <v>0</v>
      </c>
      <c r="AA1292" s="179">
        <v>0</v>
      </c>
      <c r="AB1292" s="180">
        <v>0</v>
      </c>
      <c r="AC1292" s="238">
        <f t="shared" si="69"/>
        <v>0</v>
      </c>
      <c r="AD1292" s="238"/>
      <c r="AE1292" s="238"/>
    </row>
    <row r="1293" spans="2:31" x14ac:dyDescent="0.3">
      <c r="B1293" s="245" t="s">
        <v>56</v>
      </c>
      <c r="C1293" s="245"/>
      <c r="D1293" s="245"/>
      <c r="E1293" s="179">
        <v>0</v>
      </c>
      <c r="F1293" s="180">
        <v>0</v>
      </c>
      <c r="G1293" s="179">
        <v>0</v>
      </c>
      <c r="H1293" s="180">
        <v>0</v>
      </c>
      <c r="I1293" s="179">
        <v>0</v>
      </c>
      <c r="J1293" s="180">
        <v>0</v>
      </c>
      <c r="K1293" s="179">
        <v>0</v>
      </c>
      <c r="L1293" s="180">
        <v>0</v>
      </c>
      <c r="M1293" s="179">
        <v>0</v>
      </c>
      <c r="N1293" s="180">
        <v>0</v>
      </c>
      <c r="O1293" s="179">
        <v>0</v>
      </c>
      <c r="P1293" s="180">
        <v>0</v>
      </c>
      <c r="Q1293" s="179">
        <v>0</v>
      </c>
      <c r="R1293" s="180">
        <v>0</v>
      </c>
      <c r="S1293" s="179">
        <v>0</v>
      </c>
      <c r="T1293" s="180">
        <v>0</v>
      </c>
      <c r="U1293" s="179">
        <v>0</v>
      </c>
      <c r="V1293" s="180">
        <v>0</v>
      </c>
      <c r="W1293" s="179">
        <v>0</v>
      </c>
      <c r="X1293" s="180">
        <v>0</v>
      </c>
      <c r="Y1293" s="179">
        <v>0</v>
      </c>
      <c r="Z1293" s="180">
        <v>0</v>
      </c>
      <c r="AA1293" s="179">
        <v>0</v>
      </c>
      <c r="AB1293" s="180">
        <v>0</v>
      </c>
      <c r="AC1293" s="238">
        <f t="shared" si="69"/>
        <v>0</v>
      </c>
      <c r="AD1293" s="238"/>
      <c r="AE1293" s="238"/>
    </row>
    <row r="1294" spans="2:31" x14ac:dyDescent="0.3">
      <c r="B1294" s="245" t="s">
        <v>94</v>
      </c>
      <c r="C1294" s="245"/>
      <c r="D1294" s="245"/>
      <c r="E1294" s="179">
        <v>0</v>
      </c>
      <c r="F1294" s="180">
        <v>0</v>
      </c>
      <c r="G1294" s="179">
        <v>0</v>
      </c>
      <c r="H1294" s="180">
        <v>0</v>
      </c>
      <c r="I1294" s="179">
        <v>0</v>
      </c>
      <c r="J1294" s="180">
        <v>0</v>
      </c>
      <c r="K1294" s="179">
        <v>0</v>
      </c>
      <c r="L1294" s="180">
        <v>0</v>
      </c>
      <c r="M1294" s="179">
        <v>0</v>
      </c>
      <c r="N1294" s="180">
        <v>0</v>
      </c>
      <c r="O1294" s="179">
        <v>0</v>
      </c>
      <c r="P1294" s="180">
        <v>0</v>
      </c>
      <c r="Q1294" s="179">
        <v>0</v>
      </c>
      <c r="R1294" s="180">
        <v>0</v>
      </c>
      <c r="S1294" s="179">
        <v>0</v>
      </c>
      <c r="T1294" s="180">
        <v>0</v>
      </c>
      <c r="U1294" s="179">
        <v>0</v>
      </c>
      <c r="V1294" s="180">
        <v>0</v>
      </c>
      <c r="W1294" s="179">
        <v>0</v>
      </c>
      <c r="X1294" s="180">
        <v>0</v>
      </c>
      <c r="Y1294" s="179">
        <v>0</v>
      </c>
      <c r="Z1294" s="180">
        <v>0</v>
      </c>
      <c r="AA1294" s="179">
        <v>0</v>
      </c>
      <c r="AB1294" s="180">
        <v>0</v>
      </c>
      <c r="AC1294" s="238">
        <f t="shared" si="69"/>
        <v>0</v>
      </c>
      <c r="AD1294" s="238"/>
      <c r="AE1294" s="238"/>
    </row>
    <row r="1295" spans="2:31" x14ac:dyDescent="0.3">
      <c r="B1295" s="245" t="s">
        <v>57</v>
      </c>
      <c r="C1295" s="245"/>
      <c r="D1295" s="245"/>
      <c r="E1295" s="179">
        <v>0</v>
      </c>
      <c r="F1295" s="180">
        <v>0</v>
      </c>
      <c r="G1295" s="179">
        <v>0</v>
      </c>
      <c r="H1295" s="180">
        <v>0</v>
      </c>
      <c r="I1295" s="179">
        <v>0</v>
      </c>
      <c r="J1295" s="180">
        <v>0</v>
      </c>
      <c r="K1295" s="179">
        <v>0</v>
      </c>
      <c r="L1295" s="180">
        <v>0</v>
      </c>
      <c r="M1295" s="179">
        <v>0</v>
      </c>
      <c r="N1295" s="180">
        <v>0</v>
      </c>
      <c r="O1295" s="179">
        <v>0</v>
      </c>
      <c r="P1295" s="180">
        <v>0</v>
      </c>
      <c r="Q1295" s="179">
        <v>0</v>
      </c>
      <c r="R1295" s="180">
        <v>0</v>
      </c>
      <c r="S1295" s="179">
        <v>0</v>
      </c>
      <c r="T1295" s="180">
        <v>0</v>
      </c>
      <c r="U1295" s="179">
        <v>0</v>
      </c>
      <c r="V1295" s="180">
        <v>0</v>
      </c>
      <c r="W1295" s="179">
        <v>0</v>
      </c>
      <c r="X1295" s="180">
        <v>0</v>
      </c>
      <c r="Y1295" s="179">
        <v>0</v>
      </c>
      <c r="Z1295" s="180">
        <v>0</v>
      </c>
      <c r="AA1295" s="179">
        <v>0</v>
      </c>
      <c r="AB1295" s="180">
        <v>0</v>
      </c>
      <c r="AC1295" s="238">
        <f t="shared" si="69"/>
        <v>0</v>
      </c>
      <c r="AD1295" s="238"/>
      <c r="AE1295" s="238"/>
    </row>
    <row r="1296" spans="2:31" x14ac:dyDescent="0.3">
      <c r="B1296" s="245" t="s">
        <v>58</v>
      </c>
      <c r="C1296" s="245"/>
      <c r="D1296" s="245"/>
      <c r="E1296" s="179">
        <v>0</v>
      </c>
      <c r="F1296" s="180">
        <v>0</v>
      </c>
      <c r="G1296" s="179">
        <v>0</v>
      </c>
      <c r="H1296" s="180">
        <v>0</v>
      </c>
      <c r="I1296" s="179">
        <v>0</v>
      </c>
      <c r="J1296" s="180">
        <v>0</v>
      </c>
      <c r="K1296" s="179">
        <v>0</v>
      </c>
      <c r="L1296" s="180">
        <v>0</v>
      </c>
      <c r="M1296" s="179">
        <v>0</v>
      </c>
      <c r="N1296" s="180">
        <v>0</v>
      </c>
      <c r="O1296" s="179">
        <v>0</v>
      </c>
      <c r="P1296" s="180">
        <v>0</v>
      </c>
      <c r="Q1296" s="179">
        <v>0</v>
      </c>
      <c r="R1296" s="180">
        <v>0</v>
      </c>
      <c r="S1296" s="179">
        <v>0</v>
      </c>
      <c r="T1296" s="180">
        <v>0</v>
      </c>
      <c r="U1296" s="179">
        <v>0</v>
      </c>
      <c r="V1296" s="180">
        <v>0</v>
      </c>
      <c r="W1296" s="179">
        <v>0</v>
      </c>
      <c r="X1296" s="180">
        <v>0</v>
      </c>
      <c r="Y1296" s="179">
        <v>0</v>
      </c>
      <c r="Z1296" s="180">
        <v>0</v>
      </c>
      <c r="AA1296" s="179">
        <v>0</v>
      </c>
      <c r="AB1296" s="180">
        <v>0</v>
      </c>
      <c r="AC1296" s="238">
        <f t="shared" si="69"/>
        <v>0</v>
      </c>
      <c r="AD1296" s="238"/>
      <c r="AE1296" s="238"/>
    </row>
    <row r="1297" spans="2:31" x14ac:dyDescent="0.3">
      <c r="B1297" s="245" t="s">
        <v>95</v>
      </c>
      <c r="C1297" s="245"/>
      <c r="D1297" s="245"/>
      <c r="E1297" s="179">
        <v>0</v>
      </c>
      <c r="F1297" s="180">
        <v>0</v>
      </c>
      <c r="G1297" s="179">
        <v>0</v>
      </c>
      <c r="H1297" s="180">
        <v>0</v>
      </c>
      <c r="I1297" s="179">
        <v>0</v>
      </c>
      <c r="J1297" s="180">
        <v>0</v>
      </c>
      <c r="K1297" s="179">
        <v>0</v>
      </c>
      <c r="L1297" s="180">
        <v>0</v>
      </c>
      <c r="M1297" s="179">
        <v>0</v>
      </c>
      <c r="N1297" s="180">
        <v>0</v>
      </c>
      <c r="O1297" s="179">
        <v>0</v>
      </c>
      <c r="P1297" s="180">
        <v>0</v>
      </c>
      <c r="Q1297" s="179">
        <v>0</v>
      </c>
      <c r="R1297" s="180">
        <v>0</v>
      </c>
      <c r="S1297" s="179">
        <v>0</v>
      </c>
      <c r="T1297" s="180">
        <v>0</v>
      </c>
      <c r="U1297" s="179">
        <v>0</v>
      </c>
      <c r="V1297" s="180">
        <v>0</v>
      </c>
      <c r="W1297" s="179">
        <v>0</v>
      </c>
      <c r="X1297" s="180">
        <v>0</v>
      </c>
      <c r="Y1297" s="179">
        <v>0</v>
      </c>
      <c r="Z1297" s="180">
        <v>0</v>
      </c>
      <c r="AA1297" s="179">
        <v>0</v>
      </c>
      <c r="AB1297" s="180">
        <v>0</v>
      </c>
      <c r="AC1297" s="238">
        <f t="shared" si="69"/>
        <v>0</v>
      </c>
      <c r="AD1297" s="238"/>
      <c r="AE1297" s="238"/>
    </row>
    <row r="1298" spans="2:31" x14ac:dyDescent="0.3">
      <c r="B1298" s="245" t="s">
        <v>59</v>
      </c>
      <c r="C1298" s="245"/>
      <c r="D1298" s="245"/>
      <c r="E1298" s="179">
        <v>0</v>
      </c>
      <c r="F1298" s="180">
        <v>0</v>
      </c>
      <c r="G1298" s="179">
        <v>0</v>
      </c>
      <c r="H1298" s="180">
        <v>0</v>
      </c>
      <c r="I1298" s="179">
        <v>0</v>
      </c>
      <c r="J1298" s="180">
        <v>0</v>
      </c>
      <c r="K1298" s="179">
        <v>0</v>
      </c>
      <c r="L1298" s="180">
        <v>0</v>
      </c>
      <c r="M1298" s="179">
        <v>0</v>
      </c>
      <c r="N1298" s="180">
        <v>0</v>
      </c>
      <c r="O1298" s="179">
        <v>0</v>
      </c>
      <c r="P1298" s="180">
        <v>0</v>
      </c>
      <c r="Q1298" s="179">
        <v>0</v>
      </c>
      <c r="R1298" s="180">
        <v>0</v>
      </c>
      <c r="S1298" s="179">
        <v>0</v>
      </c>
      <c r="T1298" s="180">
        <v>0</v>
      </c>
      <c r="U1298" s="179">
        <v>0</v>
      </c>
      <c r="V1298" s="180">
        <v>0</v>
      </c>
      <c r="W1298" s="179">
        <v>0</v>
      </c>
      <c r="X1298" s="180">
        <v>0</v>
      </c>
      <c r="Y1298" s="179">
        <v>0</v>
      </c>
      <c r="Z1298" s="180">
        <v>0</v>
      </c>
      <c r="AA1298" s="179">
        <v>0</v>
      </c>
      <c r="AB1298" s="180">
        <v>0</v>
      </c>
      <c r="AC1298" s="238">
        <f t="shared" si="69"/>
        <v>0</v>
      </c>
      <c r="AD1298" s="238"/>
      <c r="AE1298" s="238"/>
    </row>
    <row r="1299" spans="2:31" x14ac:dyDescent="0.3">
      <c r="B1299" s="245" t="s">
        <v>60</v>
      </c>
      <c r="C1299" s="245"/>
      <c r="D1299" s="245"/>
      <c r="E1299" s="179">
        <v>0</v>
      </c>
      <c r="F1299" s="180">
        <v>0</v>
      </c>
      <c r="G1299" s="179">
        <v>0</v>
      </c>
      <c r="H1299" s="180">
        <v>0</v>
      </c>
      <c r="I1299" s="179">
        <v>0</v>
      </c>
      <c r="J1299" s="180">
        <v>0</v>
      </c>
      <c r="K1299" s="179">
        <v>0</v>
      </c>
      <c r="L1299" s="180">
        <v>0</v>
      </c>
      <c r="M1299" s="179">
        <v>0</v>
      </c>
      <c r="N1299" s="180">
        <v>0</v>
      </c>
      <c r="O1299" s="179">
        <v>0</v>
      </c>
      <c r="P1299" s="180">
        <v>0</v>
      </c>
      <c r="Q1299" s="179">
        <v>0</v>
      </c>
      <c r="R1299" s="180">
        <v>0</v>
      </c>
      <c r="S1299" s="179">
        <v>0</v>
      </c>
      <c r="T1299" s="180">
        <v>0</v>
      </c>
      <c r="U1299" s="179">
        <v>0</v>
      </c>
      <c r="V1299" s="180">
        <v>0</v>
      </c>
      <c r="W1299" s="179">
        <v>0</v>
      </c>
      <c r="X1299" s="180">
        <v>0</v>
      </c>
      <c r="Y1299" s="179">
        <v>0</v>
      </c>
      <c r="Z1299" s="180">
        <v>0</v>
      </c>
      <c r="AA1299" s="179">
        <v>0</v>
      </c>
      <c r="AB1299" s="180">
        <v>0</v>
      </c>
      <c r="AC1299" s="238">
        <f t="shared" si="69"/>
        <v>0</v>
      </c>
      <c r="AD1299" s="238"/>
      <c r="AE1299" s="238"/>
    </row>
    <row r="1300" spans="2:31" x14ac:dyDescent="0.3">
      <c r="B1300" s="245" t="s">
        <v>61</v>
      </c>
      <c r="C1300" s="245"/>
      <c r="D1300" s="245"/>
      <c r="E1300" s="179">
        <v>0</v>
      </c>
      <c r="F1300" s="180">
        <v>0</v>
      </c>
      <c r="G1300" s="179">
        <v>0</v>
      </c>
      <c r="H1300" s="180">
        <v>0</v>
      </c>
      <c r="I1300" s="179">
        <v>0</v>
      </c>
      <c r="J1300" s="180">
        <v>0</v>
      </c>
      <c r="K1300" s="179">
        <v>0</v>
      </c>
      <c r="L1300" s="180">
        <v>0</v>
      </c>
      <c r="M1300" s="179">
        <v>0</v>
      </c>
      <c r="N1300" s="180">
        <v>0</v>
      </c>
      <c r="O1300" s="179">
        <v>0</v>
      </c>
      <c r="P1300" s="180">
        <v>0</v>
      </c>
      <c r="Q1300" s="179">
        <v>0</v>
      </c>
      <c r="R1300" s="180">
        <v>0</v>
      </c>
      <c r="S1300" s="179">
        <v>0</v>
      </c>
      <c r="T1300" s="180">
        <v>0</v>
      </c>
      <c r="U1300" s="179">
        <v>0</v>
      </c>
      <c r="V1300" s="180">
        <v>0</v>
      </c>
      <c r="W1300" s="179">
        <v>0</v>
      </c>
      <c r="X1300" s="180">
        <v>0</v>
      </c>
      <c r="Y1300" s="179">
        <v>0</v>
      </c>
      <c r="Z1300" s="180">
        <v>0</v>
      </c>
      <c r="AA1300" s="179">
        <v>0</v>
      </c>
      <c r="AB1300" s="180">
        <v>0</v>
      </c>
      <c r="AC1300" s="238">
        <f t="shared" si="69"/>
        <v>0</v>
      </c>
      <c r="AD1300" s="238"/>
      <c r="AE1300" s="238"/>
    </row>
    <row r="1301" spans="2:31" x14ac:dyDescent="0.3">
      <c r="B1301" s="245" t="s">
        <v>62</v>
      </c>
      <c r="C1301" s="245"/>
      <c r="D1301" s="245"/>
      <c r="E1301" s="179">
        <v>0</v>
      </c>
      <c r="F1301" s="180">
        <v>0</v>
      </c>
      <c r="G1301" s="179">
        <v>0</v>
      </c>
      <c r="H1301" s="180">
        <v>0</v>
      </c>
      <c r="I1301" s="179">
        <v>0</v>
      </c>
      <c r="J1301" s="180">
        <v>0</v>
      </c>
      <c r="K1301" s="179">
        <v>0</v>
      </c>
      <c r="L1301" s="180">
        <v>0</v>
      </c>
      <c r="M1301" s="179">
        <v>0</v>
      </c>
      <c r="N1301" s="180">
        <v>0</v>
      </c>
      <c r="O1301" s="179">
        <v>0</v>
      </c>
      <c r="P1301" s="180">
        <v>0</v>
      </c>
      <c r="Q1301" s="179">
        <v>0</v>
      </c>
      <c r="R1301" s="180">
        <v>0</v>
      </c>
      <c r="S1301" s="179">
        <v>0</v>
      </c>
      <c r="T1301" s="180">
        <v>0</v>
      </c>
      <c r="U1301" s="179">
        <v>0</v>
      </c>
      <c r="V1301" s="180">
        <v>0</v>
      </c>
      <c r="W1301" s="179">
        <v>0</v>
      </c>
      <c r="X1301" s="180">
        <v>0</v>
      </c>
      <c r="Y1301" s="179">
        <v>0</v>
      </c>
      <c r="Z1301" s="180">
        <v>0</v>
      </c>
      <c r="AA1301" s="179">
        <v>0</v>
      </c>
      <c r="AB1301" s="180">
        <v>0</v>
      </c>
      <c r="AC1301" s="238">
        <f t="shared" si="69"/>
        <v>0</v>
      </c>
      <c r="AD1301" s="238"/>
      <c r="AE1301" s="238"/>
    </row>
    <row r="1302" spans="2:31" x14ac:dyDescent="0.3">
      <c r="B1302" s="245" t="s">
        <v>63</v>
      </c>
      <c r="C1302" s="245"/>
      <c r="D1302" s="245"/>
      <c r="E1302" s="179">
        <v>0</v>
      </c>
      <c r="F1302" s="180">
        <v>0</v>
      </c>
      <c r="G1302" s="179">
        <v>0</v>
      </c>
      <c r="H1302" s="180">
        <v>0</v>
      </c>
      <c r="I1302" s="179">
        <v>0</v>
      </c>
      <c r="J1302" s="180">
        <v>0</v>
      </c>
      <c r="K1302" s="179">
        <v>0</v>
      </c>
      <c r="L1302" s="180">
        <v>0</v>
      </c>
      <c r="M1302" s="179">
        <v>0</v>
      </c>
      <c r="N1302" s="180">
        <v>0</v>
      </c>
      <c r="O1302" s="179">
        <v>0</v>
      </c>
      <c r="P1302" s="180">
        <v>0</v>
      </c>
      <c r="Q1302" s="179">
        <v>0</v>
      </c>
      <c r="R1302" s="180">
        <v>0</v>
      </c>
      <c r="S1302" s="179">
        <v>0</v>
      </c>
      <c r="T1302" s="180">
        <v>0</v>
      </c>
      <c r="U1302" s="179">
        <v>0</v>
      </c>
      <c r="V1302" s="180">
        <v>0</v>
      </c>
      <c r="W1302" s="179">
        <v>0</v>
      </c>
      <c r="X1302" s="180">
        <v>0</v>
      </c>
      <c r="Y1302" s="179">
        <v>0</v>
      </c>
      <c r="Z1302" s="180">
        <v>0</v>
      </c>
      <c r="AA1302" s="179">
        <v>0</v>
      </c>
      <c r="AB1302" s="180">
        <v>0</v>
      </c>
      <c r="AC1302" s="238">
        <f t="shared" si="69"/>
        <v>0</v>
      </c>
      <c r="AD1302" s="238"/>
      <c r="AE1302" s="238"/>
    </row>
    <row r="1303" spans="2:31" x14ac:dyDescent="0.3">
      <c r="B1303" s="245" t="s">
        <v>64</v>
      </c>
      <c r="C1303" s="245"/>
      <c r="D1303" s="245"/>
      <c r="E1303" s="179">
        <v>0</v>
      </c>
      <c r="F1303" s="180">
        <v>0</v>
      </c>
      <c r="G1303" s="179">
        <v>0</v>
      </c>
      <c r="H1303" s="180">
        <v>0</v>
      </c>
      <c r="I1303" s="179">
        <v>0</v>
      </c>
      <c r="J1303" s="180">
        <v>0</v>
      </c>
      <c r="K1303" s="179">
        <v>0</v>
      </c>
      <c r="L1303" s="180">
        <v>0</v>
      </c>
      <c r="M1303" s="179">
        <v>0</v>
      </c>
      <c r="N1303" s="180">
        <v>0</v>
      </c>
      <c r="O1303" s="179">
        <v>0</v>
      </c>
      <c r="P1303" s="180">
        <v>0</v>
      </c>
      <c r="Q1303" s="179">
        <v>0</v>
      </c>
      <c r="R1303" s="180">
        <v>0</v>
      </c>
      <c r="S1303" s="179">
        <v>0</v>
      </c>
      <c r="T1303" s="180">
        <v>0</v>
      </c>
      <c r="U1303" s="179">
        <v>0</v>
      </c>
      <c r="V1303" s="180">
        <v>0</v>
      </c>
      <c r="W1303" s="179">
        <v>0</v>
      </c>
      <c r="X1303" s="180">
        <v>0</v>
      </c>
      <c r="Y1303" s="179">
        <v>0</v>
      </c>
      <c r="Z1303" s="180">
        <v>0</v>
      </c>
      <c r="AA1303" s="179">
        <v>0</v>
      </c>
      <c r="AB1303" s="180">
        <v>0</v>
      </c>
      <c r="AC1303" s="238">
        <f t="shared" si="69"/>
        <v>0</v>
      </c>
      <c r="AD1303" s="238"/>
      <c r="AE1303" s="238"/>
    </row>
    <row r="1304" spans="2:31" x14ac:dyDescent="0.3">
      <c r="B1304" s="245" t="s">
        <v>96</v>
      </c>
      <c r="C1304" s="245"/>
      <c r="D1304" s="245"/>
      <c r="E1304" s="179">
        <v>0</v>
      </c>
      <c r="F1304" s="180">
        <v>0</v>
      </c>
      <c r="G1304" s="179">
        <v>0</v>
      </c>
      <c r="H1304" s="180">
        <v>0</v>
      </c>
      <c r="I1304" s="179">
        <v>0</v>
      </c>
      <c r="J1304" s="180">
        <v>0</v>
      </c>
      <c r="K1304" s="179">
        <v>0</v>
      </c>
      <c r="L1304" s="180">
        <v>0</v>
      </c>
      <c r="M1304" s="179">
        <v>0</v>
      </c>
      <c r="N1304" s="180">
        <v>0</v>
      </c>
      <c r="O1304" s="179">
        <v>0</v>
      </c>
      <c r="P1304" s="180">
        <v>0</v>
      </c>
      <c r="Q1304" s="179">
        <v>0</v>
      </c>
      <c r="R1304" s="180">
        <v>0</v>
      </c>
      <c r="S1304" s="179">
        <v>0</v>
      </c>
      <c r="T1304" s="180">
        <v>0</v>
      </c>
      <c r="U1304" s="179">
        <v>0</v>
      </c>
      <c r="V1304" s="180">
        <v>0</v>
      </c>
      <c r="W1304" s="179">
        <v>0</v>
      </c>
      <c r="X1304" s="180">
        <v>0</v>
      </c>
      <c r="Y1304" s="179">
        <v>0</v>
      </c>
      <c r="Z1304" s="180">
        <v>0</v>
      </c>
      <c r="AA1304" s="179">
        <v>0</v>
      </c>
      <c r="AB1304" s="180">
        <v>0</v>
      </c>
      <c r="AC1304" s="238">
        <f t="shared" si="69"/>
        <v>0</v>
      </c>
      <c r="AD1304" s="238"/>
      <c r="AE1304" s="238"/>
    </row>
    <row r="1305" spans="2:31" x14ac:dyDescent="0.3">
      <c r="B1305" s="245" t="s">
        <v>65</v>
      </c>
      <c r="C1305" s="245"/>
      <c r="D1305" s="245"/>
      <c r="E1305" s="179">
        <v>0</v>
      </c>
      <c r="F1305" s="180">
        <v>0</v>
      </c>
      <c r="G1305" s="179">
        <v>0</v>
      </c>
      <c r="H1305" s="180">
        <v>0</v>
      </c>
      <c r="I1305" s="179">
        <v>0</v>
      </c>
      <c r="J1305" s="180">
        <v>0</v>
      </c>
      <c r="K1305" s="179">
        <v>0</v>
      </c>
      <c r="L1305" s="180">
        <v>0</v>
      </c>
      <c r="M1305" s="179">
        <v>0</v>
      </c>
      <c r="N1305" s="180">
        <v>0</v>
      </c>
      <c r="O1305" s="179">
        <v>0</v>
      </c>
      <c r="P1305" s="180">
        <v>0</v>
      </c>
      <c r="Q1305" s="179">
        <v>0</v>
      </c>
      <c r="R1305" s="180">
        <v>0</v>
      </c>
      <c r="S1305" s="179">
        <v>0</v>
      </c>
      <c r="T1305" s="180">
        <v>0</v>
      </c>
      <c r="U1305" s="179">
        <v>0</v>
      </c>
      <c r="V1305" s="180">
        <v>0</v>
      </c>
      <c r="W1305" s="179">
        <v>0</v>
      </c>
      <c r="X1305" s="180">
        <v>0</v>
      </c>
      <c r="Y1305" s="179">
        <v>0</v>
      </c>
      <c r="Z1305" s="180">
        <v>0</v>
      </c>
      <c r="AA1305" s="179">
        <v>0</v>
      </c>
      <c r="AB1305" s="180">
        <v>0</v>
      </c>
      <c r="AC1305" s="238">
        <f t="shared" si="69"/>
        <v>0</v>
      </c>
      <c r="AD1305" s="238"/>
      <c r="AE1305" s="238"/>
    </row>
    <row r="1306" spans="2:31" x14ac:dyDescent="0.3">
      <c r="B1306" s="245" t="s">
        <v>66</v>
      </c>
      <c r="C1306" s="245"/>
      <c r="D1306" s="245"/>
      <c r="E1306" s="179">
        <v>0</v>
      </c>
      <c r="F1306" s="180">
        <v>0</v>
      </c>
      <c r="G1306" s="179">
        <v>0</v>
      </c>
      <c r="H1306" s="180">
        <v>0</v>
      </c>
      <c r="I1306" s="179">
        <v>0</v>
      </c>
      <c r="J1306" s="180">
        <v>0</v>
      </c>
      <c r="K1306" s="179">
        <v>0</v>
      </c>
      <c r="L1306" s="180">
        <v>0</v>
      </c>
      <c r="M1306" s="179">
        <v>0</v>
      </c>
      <c r="N1306" s="180">
        <v>0</v>
      </c>
      <c r="O1306" s="179">
        <v>0</v>
      </c>
      <c r="P1306" s="180">
        <v>0</v>
      </c>
      <c r="Q1306" s="179">
        <v>0</v>
      </c>
      <c r="R1306" s="180">
        <v>0</v>
      </c>
      <c r="S1306" s="179">
        <v>0</v>
      </c>
      <c r="T1306" s="180">
        <v>0</v>
      </c>
      <c r="U1306" s="179">
        <v>0</v>
      </c>
      <c r="V1306" s="180">
        <v>0</v>
      </c>
      <c r="W1306" s="179">
        <v>0</v>
      </c>
      <c r="X1306" s="180">
        <v>0</v>
      </c>
      <c r="Y1306" s="179">
        <v>0</v>
      </c>
      <c r="Z1306" s="180">
        <v>0</v>
      </c>
      <c r="AA1306" s="179">
        <v>0</v>
      </c>
      <c r="AB1306" s="180">
        <v>0</v>
      </c>
      <c r="AC1306" s="238">
        <f>SUM(E1306:AB1306)</f>
        <v>0</v>
      </c>
      <c r="AD1306" s="238"/>
      <c r="AE1306" s="238"/>
    </row>
    <row r="1307" spans="2:31" x14ac:dyDescent="0.3">
      <c r="B1307" s="245" t="s">
        <v>67</v>
      </c>
      <c r="C1307" s="245"/>
      <c r="D1307" s="245"/>
      <c r="E1307" s="179">
        <v>0</v>
      </c>
      <c r="F1307" s="180">
        <v>0</v>
      </c>
      <c r="G1307" s="179">
        <v>0</v>
      </c>
      <c r="H1307" s="180">
        <v>0</v>
      </c>
      <c r="I1307" s="179">
        <v>0</v>
      </c>
      <c r="J1307" s="180">
        <v>0</v>
      </c>
      <c r="K1307" s="179">
        <v>0</v>
      </c>
      <c r="L1307" s="180">
        <v>0</v>
      </c>
      <c r="M1307" s="179">
        <v>0</v>
      </c>
      <c r="N1307" s="180">
        <v>0</v>
      </c>
      <c r="O1307" s="179">
        <v>0</v>
      </c>
      <c r="P1307" s="180">
        <v>0</v>
      </c>
      <c r="Q1307" s="179">
        <v>0</v>
      </c>
      <c r="R1307" s="180">
        <v>0</v>
      </c>
      <c r="S1307" s="179">
        <v>0</v>
      </c>
      <c r="T1307" s="180">
        <v>0</v>
      </c>
      <c r="U1307" s="179">
        <v>0</v>
      </c>
      <c r="V1307" s="180">
        <v>0</v>
      </c>
      <c r="W1307" s="179">
        <v>0</v>
      </c>
      <c r="X1307" s="180">
        <v>0</v>
      </c>
      <c r="Y1307" s="179">
        <v>0</v>
      </c>
      <c r="Z1307" s="180">
        <v>0</v>
      </c>
      <c r="AA1307" s="179">
        <v>0</v>
      </c>
      <c r="AB1307" s="180">
        <v>0</v>
      </c>
      <c r="AC1307" s="238">
        <f t="shared" ref="AC1307:AC1320" si="70">SUM(E1307:AB1307)</f>
        <v>0</v>
      </c>
      <c r="AD1307" s="238"/>
      <c r="AE1307" s="238"/>
    </row>
    <row r="1308" spans="2:31" x14ac:dyDescent="0.3">
      <c r="B1308" s="245" t="s">
        <v>68</v>
      </c>
      <c r="C1308" s="245"/>
      <c r="D1308" s="245"/>
      <c r="E1308" s="179">
        <v>0</v>
      </c>
      <c r="F1308" s="180">
        <v>0</v>
      </c>
      <c r="G1308" s="179">
        <v>0</v>
      </c>
      <c r="H1308" s="180">
        <v>0</v>
      </c>
      <c r="I1308" s="179">
        <v>0</v>
      </c>
      <c r="J1308" s="180">
        <v>0</v>
      </c>
      <c r="K1308" s="179">
        <v>0</v>
      </c>
      <c r="L1308" s="180">
        <v>0</v>
      </c>
      <c r="M1308" s="179">
        <v>0</v>
      </c>
      <c r="N1308" s="180">
        <v>0</v>
      </c>
      <c r="O1308" s="179">
        <v>0</v>
      </c>
      <c r="P1308" s="180">
        <v>0</v>
      </c>
      <c r="Q1308" s="179">
        <v>0</v>
      </c>
      <c r="R1308" s="180">
        <v>0</v>
      </c>
      <c r="S1308" s="179">
        <v>0</v>
      </c>
      <c r="T1308" s="180">
        <v>0</v>
      </c>
      <c r="U1308" s="179">
        <v>0</v>
      </c>
      <c r="V1308" s="180">
        <v>0</v>
      </c>
      <c r="W1308" s="179">
        <v>0</v>
      </c>
      <c r="X1308" s="180">
        <v>0</v>
      </c>
      <c r="Y1308" s="179">
        <v>0</v>
      </c>
      <c r="Z1308" s="180">
        <v>0</v>
      </c>
      <c r="AA1308" s="179">
        <v>0</v>
      </c>
      <c r="AB1308" s="180">
        <v>0</v>
      </c>
      <c r="AC1308" s="238">
        <f t="shared" si="70"/>
        <v>0</v>
      </c>
      <c r="AD1308" s="238"/>
      <c r="AE1308" s="238"/>
    </row>
    <row r="1309" spans="2:31" x14ac:dyDescent="0.3">
      <c r="B1309" s="245" t="s">
        <v>69</v>
      </c>
      <c r="C1309" s="245"/>
      <c r="D1309" s="245"/>
      <c r="E1309" s="179">
        <v>0</v>
      </c>
      <c r="F1309" s="180">
        <v>0</v>
      </c>
      <c r="G1309" s="179">
        <v>0</v>
      </c>
      <c r="H1309" s="180">
        <v>0</v>
      </c>
      <c r="I1309" s="179">
        <v>0</v>
      </c>
      <c r="J1309" s="180">
        <v>0</v>
      </c>
      <c r="K1309" s="179">
        <v>0</v>
      </c>
      <c r="L1309" s="180">
        <v>0</v>
      </c>
      <c r="M1309" s="179">
        <v>0</v>
      </c>
      <c r="N1309" s="180">
        <v>0</v>
      </c>
      <c r="O1309" s="179">
        <v>0</v>
      </c>
      <c r="P1309" s="180">
        <v>0</v>
      </c>
      <c r="Q1309" s="179">
        <v>0</v>
      </c>
      <c r="R1309" s="180">
        <v>0</v>
      </c>
      <c r="S1309" s="179">
        <v>0</v>
      </c>
      <c r="T1309" s="180">
        <v>0</v>
      </c>
      <c r="U1309" s="179">
        <v>0</v>
      </c>
      <c r="V1309" s="180">
        <v>0</v>
      </c>
      <c r="W1309" s="179">
        <v>0</v>
      </c>
      <c r="X1309" s="180">
        <v>0</v>
      </c>
      <c r="Y1309" s="179">
        <v>0</v>
      </c>
      <c r="Z1309" s="180">
        <v>0</v>
      </c>
      <c r="AA1309" s="179">
        <v>0</v>
      </c>
      <c r="AB1309" s="180">
        <v>0</v>
      </c>
      <c r="AC1309" s="238">
        <f t="shared" si="70"/>
        <v>0</v>
      </c>
      <c r="AD1309" s="238"/>
      <c r="AE1309" s="238"/>
    </row>
    <row r="1310" spans="2:31" x14ac:dyDescent="0.3">
      <c r="B1310" s="245" t="s">
        <v>70</v>
      </c>
      <c r="C1310" s="245"/>
      <c r="D1310" s="245"/>
      <c r="E1310" s="179">
        <v>0</v>
      </c>
      <c r="F1310" s="180">
        <v>0</v>
      </c>
      <c r="G1310" s="179">
        <v>0</v>
      </c>
      <c r="H1310" s="180">
        <v>0</v>
      </c>
      <c r="I1310" s="179">
        <v>0</v>
      </c>
      <c r="J1310" s="180">
        <v>0</v>
      </c>
      <c r="K1310" s="179">
        <v>0</v>
      </c>
      <c r="L1310" s="180">
        <v>0</v>
      </c>
      <c r="M1310" s="179">
        <v>0</v>
      </c>
      <c r="N1310" s="180">
        <v>0</v>
      </c>
      <c r="O1310" s="179">
        <v>0</v>
      </c>
      <c r="P1310" s="180">
        <v>0</v>
      </c>
      <c r="Q1310" s="179">
        <v>0</v>
      </c>
      <c r="R1310" s="180">
        <v>0</v>
      </c>
      <c r="S1310" s="179">
        <v>0</v>
      </c>
      <c r="T1310" s="180">
        <v>0</v>
      </c>
      <c r="U1310" s="179">
        <v>0</v>
      </c>
      <c r="V1310" s="180">
        <v>0</v>
      </c>
      <c r="W1310" s="179">
        <v>0</v>
      </c>
      <c r="X1310" s="180">
        <v>0</v>
      </c>
      <c r="Y1310" s="179">
        <v>0</v>
      </c>
      <c r="Z1310" s="180">
        <v>0</v>
      </c>
      <c r="AA1310" s="179">
        <v>0</v>
      </c>
      <c r="AB1310" s="180">
        <v>0</v>
      </c>
      <c r="AC1310" s="238">
        <f t="shared" si="70"/>
        <v>0</v>
      </c>
      <c r="AD1310" s="238"/>
      <c r="AE1310" s="238"/>
    </row>
    <row r="1311" spans="2:31" x14ac:dyDescent="0.3">
      <c r="B1311" s="245" t="s">
        <v>71</v>
      </c>
      <c r="C1311" s="245"/>
      <c r="D1311" s="245"/>
      <c r="E1311" s="179">
        <v>0</v>
      </c>
      <c r="F1311" s="180">
        <v>0</v>
      </c>
      <c r="G1311" s="179">
        <v>0</v>
      </c>
      <c r="H1311" s="180">
        <v>0</v>
      </c>
      <c r="I1311" s="179">
        <v>0</v>
      </c>
      <c r="J1311" s="180">
        <v>0</v>
      </c>
      <c r="K1311" s="179">
        <v>0</v>
      </c>
      <c r="L1311" s="180">
        <v>0</v>
      </c>
      <c r="M1311" s="179">
        <v>0</v>
      </c>
      <c r="N1311" s="180">
        <v>0</v>
      </c>
      <c r="O1311" s="179">
        <v>0</v>
      </c>
      <c r="P1311" s="180">
        <v>0</v>
      </c>
      <c r="Q1311" s="179">
        <v>0</v>
      </c>
      <c r="R1311" s="180">
        <v>0</v>
      </c>
      <c r="S1311" s="179">
        <v>0</v>
      </c>
      <c r="T1311" s="180">
        <v>0</v>
      </c>
      <c r="U1311" s="179">
        <v>0</v>
      </c>
      <c r="V1311" s="180">
        <v>0</v>
      </c>
      <c r="W1311" s="179">
        <v>0</v>
      </c>
      <c r="X1311" s="180">
        <v>0</v>
      </c>
      <c r="Y1311" s="179">
        <v>0</v>
      </c>
      <c r="Z1311" s="180">
        <v>0</v>
      </c>
      <c r="AA1311" s="179">
        <v>0</v>
      </c>
      <c r="AB1311" s="180">
        <v>0</v>
      </c>
      <c r="AC1311" s="238">
        <f t="shared" si="70"/>
        <v>0</v>
      </c>
      <c r="AD1311" s="238"/>
      <c r="AE1311" s="238"/>
    </row>
    <row r="1312" spans="2:31" x14ac:dyDescent="0.3">
      <c r="B1312" s="245" t="s">
        <v>72</v>
      </c>
      <c r="C1312" s="245"/>
      <c r="D1312" s="245"/>
      <c r="E1312" s="179">
        <v>0</v>
      </c>
      <c r="F1312" s="180">
        <v>0</v>
      </c>
      <c r="G1312" s="179">
        <v>0</v>
      </c>
      <c r="H1312" s="180">
        <v>0</v>
      </c>
      <c r="I1312" s="179">
        <v>0</v>
      </c>
      <c r="J1312" s="180">
        <v>0</v>
      </c>
      <c r="K1312" s="179">
        <v>0</v>
      </c>
      <c r="L1312" s="180">
        <v>0</v>
      </c>
      <c r="M1312" s="179">
        <v>0</v>
      </c>
      <c r="N1312" s="180">
        <v>0</v>
      </c>
      <c r="O1312" s="179">
        <v>0</v>
      </c>
      <c r="P1312" s="180">
        <v>0</v>
      </c>
      <c r="Q1312" s="179">
        <v>0</v>
      </c>
      <c r="R1312" s="180">
        <v>0</v>
      </c>
      <c r="S1312" s="179">
        <v>0</v>
      </c>
      <c r="T1312" s="180">
        <v>0</v>
      </c>
      <c r="U1312" s="179">
        <v>0</v>
      </c>
      <c r="V1312" s="180">
        <v>0</v>
      </c>
      <c r="W1312" s="179">
        <v>0</v>
      </c>
      <c r="X1312" s="180">
        <v>0</v>
      </c>
      <c r="Y1312" s="179">
        <v>0</v>
      </c>
      <c r="Z1312" s="180">
        <v>0</v>
      </c>
      <c r="AA1312" s="179">
        <v>0</v>
      </c>
      <c r="AB1312" s="180">
        <v>0</v>
      </c>
      <c r="AC1312" s="238">
        <f t="shared" si="70"/>
        <v>0</v>
      </c>
      <c r="AD1312" s="238"/>
      <c r="AE1312" s="238"/>
    </row>
    <row r="1313" spans="2:31" x14ac:dyDescent="0.3">
      <c r="B1313" s="245" t="s">
        <v>73</v>
      </c>
      <c r="C1313" s="245"/>
      <c r="D1313" s="245"/>
      <c r="E1313" s="179">
        <v>0</v>
      </c>
      <c r="F1313" s="180">
        <v>0</v>
      </c>
      <c r="G1313" s="179">
        <v>0</v>
      </c>
      <c r="H1313" s="180">
        <v>0</v>
      </c>
      <c r="I1313" s="179">
        <v>0</v>
      </c>
      <c r="J1313" s="180">
        <v>0</v>
      </c>
      <c r="K1313" s="179">
        <v>0</v>
      </c>
      <c r="L1313" s="180">
        <v>0</v>
      </c>
      <c r="M1313" s="179">
        <v>0</v>
      </c>
      <c r="N1313" s="180">
        <v>0</v>
      </c>
      <c r="O1313" s="179">
        <v>0</v>
      </c>
      <c r="P1313" s="180">
        <v>0</v>
      </c>
      <c r="Q1313" s="179">
        <v>0</v>
      </c>
      <c r="R1313" s="180">
        <v>0</v>
      </c>
      <c r="S1313" s="179">
        <v>0</v>
      </c>
      <c r="T1313" s="180">
        <v>0</v>
      </c>
      <c r="U1313" s="179">
        <v>0</v>
      </c>
      <c r="V1313" s="180">
        <v>0</v>
      </c>
      <c r="W1313" s="179">
        <v>0</v>
      </c>
      <c r="X1313" s="180">
        <v>0</v>
      </c>
      <c r="Y1313" s="179">
        <v>0</v>
      </c>
      <c r="Z1313" s="180">
        <v>0</v>
      </c>
      <c r="AA1313" s="179">
        <v>0</v>
      </c>
      <c r="AB1313" s="180">
        <v>0</v>
      </c>
      <c r="AC1313" s="238">
        <f t="shared" si="70"/>
        <v>0</v>
      </c>
      <c r="AD1313" s="238"/>
      <c r="AE1313" s="238"/>
    </row>
    <row r="1314" spans="2:31" x14ac:dyDescent="0.3">
      <c r="B1314" s="245" t="s">
        <v>74</v>
      </c>
      <c r="C1314" s="245"/>
      <c r="D1314" s="245"/>
      <c r="E1314" s="179">
        <v>0</v>
      </c>
      <c r="F1314" s="180">
        <v>0</v>
      </c>
      <c r="G1314" s="179">
        <v>0</v>
      </c>
      <c r="H1314" s="180">
        <v>0</v>
      </c>
      <c r="I1314" s="179">
        <v>0</v>
      </c>
      <c r="J1314" s="180">
        <v>0</v>
      </c>
      <c r="K1314" s="179">
        <v>0</v>
      </c>
      <c r="L1314" s="180">
        <v>0</v>
      </c>
      <c r="M1314" s="179">
        <v>0</v>
      </c>
      <c r="N1314" s="180">
        <v>0</v>
      </c>
      <c r="O1314" s="179">
        <v>0</v>
      </c>
      <c r="P1314" s="180">
        <v>0</v>
      </c>
      <c r="Q1314" s="179">
        <v>0</v>
      </c>
      <c r="R1314" s="180">
        <v>0</v>
      </c>
      <c r="S1314" s="179">
        <v>0</v>
      </c>
      <c r="T1314" s="180">
        <v>0</v>
      </c>
      <c r="U1314" s="179">
        <v>0</v>
      </c>
      <c r="V1314" s="180">
        <v>0</v>
      </c>
      <c r="W1314" s="179">
        <v>0</v>
      </c>
      <c r="X1314" s="180">
        <v>0</v>
      </c>
      <c r="Y1314" s="179">
        <v>0</v>
      </c>
      <c r="Z1314" s="180">
        <v>0</v>
      </c>
      <c r="AA1314" s="179">
        <v>0</v>
      </c>
      <c r="AB1314" s="180">
        <v>0</v>
      </c>
      <c r="AC1314" s="238">
        <f t="shared" si="70"/>
        <v>0</v>
      </c>
      <c r="AD1314" s="238"/>
      <c r="AE1314" s="238"/>
    </row>
    <row r="1315" spans="2:31" x14ac:dyDescent="0.3">
      <c r="B1315" s="245" t="s">
        <v>75</v>
      </c>
      <c r="C1315" s="245"/>
      <c r="D1315" s="245"/>
      <c r="E1315" s="179">
        <v>0</v>
      </c>
      <c r="F1315" s="180">
        <v>0</v>
      </c>
      <c r="G1315" s="179">
        <v>0</v>
      </c>
      <c r="H1315" s="180">
        <v>0</v>
      </c>
      <c r="I1315" s="179">
        <v>0</v>
      </c>
      <c r="J1315" s="180">
        <v>0</v>
      </c>
      <c r="K1315" s="179">
        <v>0</v>
      </c>
      <c r="L1315" s="180">
        <v>0</v>
      </c>
      <c r="M1315" s="179">
        <v>0</v>
      </c>
      <c r="N1315" s="180">
        <v>0</v>
      </c>
      <c r="O1315" s="179">
        <v>0</v>
      </c>
      <c r="P1315" s="180">
        <v>0</v>
      </c>
      <c r="Q1315" s="179">
        <v>0</v>
      </c>
      <c r="R1315" s="180">
        <v>0</v>
      </c>
      <c r="S1315" s="179">
        <v>0</v>
      </c>
      <c r="T1315" s="180">
        <v>0</v>
      </c>
      <c r="U1315" s="179">
        <v>0</v>
      </c>
      <c r="V1315" s="180">
        <v>0</v>
      </c>
      <c r="W1315" s="179">
        <v>0</v>
      </c>
      <c r="X1315" s="180">
        <v>0</v>
      </c>
      <c r="Y1315" s="179">
        <v>0</v>
      </c>
      <c r="Z1315" s="180">
        <v>0</v>
      </c>
      <c r="AA1315" s="179">
        <v>0</v>
      </c>
      <c r="AB1315" s="180">
        <v>0</v>
      </c>
      <c r="AC1315" s="238">
        <f t="shared" si="70"/>
        <v>0</v>
      </c>
      <c r="AD1315" s="238"/>
      <c r="AE1315" s="238"/>
    </row>
    <row r="1316" spans="2:31" x14ac:dyDescent="0.3">
      <c r="B1316" s="245" t="s">
        <v>76</v>
      </c>
      <c r="C1316" s="245"/>
      <c r="D1316" s="245"/>
      <c r="E1316" s="179">
        <v>0</v>
      </c>
      <c r="F1316" s="180">
        <v>0</v>
      </c>
      <c r="G1316" s="179">
        <v>0</v>
      </c>
      <c r="H1316" s="180">
        <v>0</v>
      </c>
      <c r="I1316" s="179">
        <v>0</v>
      </c>
      <c r="J1316" s="180">
        <v>0</v>
      </c>
      <c r="K1316" s="179">
        <v>0</v>
      </c>
      <c r="L1316" s="180">
        <v>0</v>
      </c>
      <c r="M1316" s="179">
        <v>0</v>
      </c>
      <c r="N1316" s="180">
        <v>0</v>
      </c>
      <c r="O1316" s="179">
        <v>0</v>
      </c>
      <c r="P1316" s="180">
        <v>0</v>
      </c>
      <c r="Q1316" s="179">
        <v>0</v>
      </c>
      <c r="R1316" s="180">
        <v>0</v>
      </c>
      <c r="S1316" s="179">
        <v>0</v>
      </c>
      <c r="T1316" s="180">
        <v>0</v>
      </c>
      <c r="U1316" s="179">
        <v>0</v>
      </c>
      <c r="V1316" s="180">
        <v>0</v>
      </c>
      <c r="W1316" s="179">
        <v>0</v>
      </c>
      <c r="X1316" s="180">
        <v>0</v>
      </c>
      <c r="Y1316" s="179">
        <v>0</v>
      </c>
      <c r="Z1316" s="180">
        <v>0</v>
      </c>
      <c r="AA1316" s="179">
        <v>0</v>
      </c>
      <c r="AB1316" s="180">
        <v>0</v>
      </c>
      <c r="AC1316" s="238">
        <f t="shared" si="70"/>
        <v>0</v>
      </c>
      <c r="AD1316" s="238"/>
      <c r="AE1316" s="238"/>
    </row>
    <row r="1317" spans="2:31" x14ac:dyDescent="0.3">
      <c r="B1317" s="245" t="s">
        <v>77</v>
      </c>
      <c r="C1317" s="245"/>
      <c r="D1317" s="245"/>
      <c r="E1317" s="179">
        <v>0</v>
      </c>
      <c r="F1317" s="180">
        <v>0</v>
      </c>
      <c r="G1317" s="179">
        <v>0</v>
      </c>
      <c r="H1317" s="180">
        <v>0</v>
      </c>
      <c r="I1317" s="179">
        <v>0</v>
      </c>
      <c r="J1317" s="180">
        <v>0</v>
      </c>
      <c r="K1317" s="179">
        <v>0</v>
      </c>
      <c r="L1317" s="180">
        <v>0</v>
      </c>
      <c r="M1317" s="179">
        <v>0</v>
      </c>
      <c r="N1317" s="180">
        <v>0</v>
      </c>
      <c r="O1317" s="179">
        <v>0</v>
      </c>
      <c r="P1317" s="180">
        <v>0</v>
      </c>
      <c r="Q1317" s="179">
        <v>0</v>
      </c>
      <c r="R1317" s="180">
        <v>0</v>
      </c>
      <c r="S1317" s="179">
        <v>0</v>
      </c>
      <c r="T1317" s="180">
        <v>0</v>
      </c>
      <c r="U1317" s="179">
        <v>0</v>
      </c>
      <c r="V1317" s="180">
        <v>0</v>
      </c>
      <c r="W1317" s="179">
        <v>0</v>
      </c>
      <c r="X1317" s="180">
        <v>0</v>
      </c>
      <c r="Y1317" s="179">
        <v>0</v>
      </c>
      <c r="Z1317" s="180">
        <v>0</v>
      </c>
      <c r="AA1317" s="179">
        <v>0</v>
      </c>
      <c r="AB1317" s="180">
        <v>0</v>
      </c>
      <c r="AC1317" s="238">
        <f t="shared" si="70"/>
        <v>0</v>
      </c>
      <c r="AD1317" s="238"/>
      <c r="AE1317" s="238"/>
    </row>
    <row r="1318" spans="2:31" x14ac:dyDescent="0.3">
      <c r="B1318" s="245" t="s">
        <v>78</v>
      </c>
      <c r="C1318" s="245"/>
      <c r="D1318" s="245"/>
      <c r="E1318" s="179">
        <v>0</v>
      </c>
      <c r="F1318" s="180">
        <v>0</v>
      </c>
      <c r="G1318" s="179">
        <v>0</v>
      </c>
      <c r="H1318" s="180">
        <v>0</v>
      </c>
      <c r="I1318" s="179">
        <v>0</v>
      </c>
      <c r="J1318" s="180">
        <v>0</v>
      </c>
      <c r="K1318" s="179">
        <v>0</v>
      </c>
      <c r="L1318" s="180">
        <v>0</v>
      </c>
      <c r="M1318" s="179">
        <v>0</v>
      </c>
      <c r="N1318" s="180">
        <v>0</v>
      </c>
      <c r="O1318" s="179">
        <v>0</v>
      </c>
      <c r="P1318" s="180">
        <v>0</v>
      </c>
      <c r="Q1318" s="179">
        <v>0</v>
      </c>
      <c r="R1318" s="180">
        <v>0</v>
      </c>
      <c r="S1318" s="179">
        <v>0</v>
      </c>
      <c r="T1318" s="180">
        <v>0</v>
      </c>
      <c r="U1318" s="179">
        <v>0</v>
      </c>
      <c r="V1318" s="180">
        <v>0</v>
      </c>
      <c r="W1318" s="179">
        <v>0</v>
      </c>
      <c r="X1318" s="180">
        <v>0</v>
      </c>
      <c r="Y1318" s="179">
        <v>0</v>
      </c>
      <c r="Z1318" s="180">
        <v>0</v>
      </c>
      <c r="AA1318" s="179">
        <v>0</v>
      </c>
      <c r="AB1318" s="180">
        <v>0</v>
      </c>
      <c r="AC1318" s="238">
        <f t="shared" si="70"/>
        <v>0</v>
      </c>
      <c r="AD1318" s="238"/>
      <c r="AE1318" s="238"/>
    </row>
    <row r="1319" spans="2:31" x14ac:dyDescent="0.3">
      <c r="B1319" s="245" t="s">
        <v>79</v>
      </c>
      <c r="C1319" s="245"/>
      <c r="D1319" s="245"/>
      <c r="E1319" s="179">
        <v>0</v>
      </c>
      <c r="F1319" s="180">
        <v>0</v>
      </c>
      <c r="G1319" s="179">
        <v>0</v>
      </c>
      <c r="H1319" s="180">
        <v>0</v>
      </c>
      <c r="I1319" s="179">
        <v>0</v>
      </c>
      <c r="J1319" s="180">
        <v>0</v>
      </c>
      <c r="K1319" s="179">
        <v>0</v>
      </c>
      <c r="L1319" s="180">
        <v>0</v>
      </c>
      <c r="M1319" s="179">
        <v>0</v>
      </c>
      <c r="N1319" s="180">
        <v>0</v>
      </c>
      <c r="O1319" s="179">
        <v>0</v>
      </c>
      <c r="P1319" s="180">
        <v>0</v>
      </c>
      <c r="Q1319" s="179">
        <v>0</v>
      </c>
      <c r="R1319" s="180">
        <v>0</v>
      </c>
      <c r="S1319" s="179">
        <v>0</v>
      </c>
      <c r="T1319" s="180">
        <v>0</v>
      </c>
      <c r="U1319" s="179">
        <v>0</v>
      </c>
      <c r="V1319" s="180">
        <v>0</v>
      </c>
      <c r="W1319" s="179">
        <v>0</v>
      </c>
      <c r="X1319" s="180">
        <v>0</v>
      </c>
      <c r="Y1319" s="179">
        <v>0</v>
      </c>
      <c r="Z1319" s="180">
        <v>0</v>
      </c>
      <c r="AA1319" s="179">
        <v>0</v>
      </c>
      <c r="AB1319" s="180">
        <v>0</v>
      </c>
      <c r="AC1319" s="238">
        <f t="shared" si="70"/>
        <v>0</v>
      </c>
      <c r="AD1319" s="238"/>
      <c r="AE1319" s="238"/>
    </row>
    <row r="1320" spans="2:31" x14ac:dyDescent="0.3">
      <c r="B1320" s="245" t="s">
        <v>80</v>
      </c>
      <c r="C1320" s="245"/>
      <c r="D1320" s="245"/>
      <c r="E1320" s="179">
        <v>0</v>
      </c>
      <c r="F1320" s="180">
        <v>0</v>
      </c>
      <c r="G1320" s="179">
        <v>0</v>
      </c>
      <c r="H1320" s="180">
        <v>0</v>
      </c>
      <c r="I1320" s="179">
        <v>0</v>
      </c>
      <c r="J1320" s="180">
        <v>0</v>
      </c>
      <c r="K1320" s="179">
        <v>0</v>
      </c>
      <c r="L1320" s="180">
        <v>0</v>
      </c>
      <c r="M1320" s="179">
        <v>0</v>
      </c>
      <c r="N1320" s="180">
        <v>0</v>
      </c>
      <c r="O1320" s="179">
        <v>0</v>
      </c>
      <c r="P1320" s="180">
        <v>0</v>
      </c>
      <c r="Q1320" s="179">
        <v>0</v>
      </c>
      <c r="R1320" s="180">
        <v>0</v>
      </c>
      <c r="S1320" s="179">
        <v>0</v>
      </c>
      <c r="T1320" s="180">
        <v>0</v>
      </c>
      <c r="U1320" s="179">
        <v>0</v>
      </c>
      <c r="V1320" s="180">
        <v>0</v>
      </c>
      <c r="W1320" s="179">
        <v>0</v>
      </c>
      <c r="X1320" s="180">
        <v>0</v>
      </c>
      <c r="Y1320" s="179">
        <v>0</v>
      </c>
      <c r="Z1320" s="180">
        <v>0</v>
      </c>
      <c r="AA1320" s="179">
        <v>0</v>
      </c>
      <c r="AB1320" s="180">
        <v>0</v>
      </c>
      <c r="AC1320" s="238">
        <f t="shared" si="70"/>
        <v>0</v>
      </c>
      <c r="AD1320" s="238"/>
      <c r="AE1320" s="238"/>
    </row>
    <row r="1321" spans="2:31" x14ac:dyDescent="0.3">
      <c r="B1321" s="245" t="s">
        <v>93</v>
      </c>
      <c r="C1321" s="245"/>
      <c r="D1321" s="245"/>
      <c r="E1321" s="179">
        <v>0</v>
      </c>
      <c r="F1321" s="180">
        <v>0</v>
      </c>
      <c r="G1321" s="179">
        <v>0</v>
      </c>
      <c r="H1321" s="180">
        <v>0</v>
      </c>
      <c r="I1321" s="179">
        <v>0</v>
      </c>
      <c r="J1321" s="180">
        <v>0</v>
      </c>
      <c r="K1321" s="179">
        <v>0</v>
      </c>
      <c r="L1321" s="180">
        <v>0</v>
      </c>
      <c r="M1321" s="179">
        <v>0</v>
      </c>
      <c r="N1321" s="180">
        <v>0</v>
      </c>
      <c r="O1321" s="179">
        <v>0</v>
      </c>
      <c r="P1321" s="180">
        <v>0</v>
      </c>
      <c r="Q1321" s="179">
        <v>9.6166666666666387E-2</v>
      </c>
      <c r="R1321" s="180">
        <v>0.13949999999999965</v>
      </c>
      <c r="S1321" s="179">
        <v>0.17099999999999965</v>
      </c>
      <c r="T1321" s="180">
        <v>0</v>
      </c>
      <c r="U1321" s="179">
        <v>0</v>
      </c>
      <c r="V1321" s="180">
        <v>0.1908333333333333</v>
      </c>
      <c r="W1321" s="179">
        <v>0.2531666666666666</v>
      </c>
      <c r="X1321" s="180">
        <v>1.5000000000000001E-2</v>
      </c>
      <c r="Y1321" s="179">
        <v>0</v>
      </c>
      <c r="Z1321" s="180">
        <v>0</v>
      </c>
      <c r="AA1321" s="179">
        <v>0</v>
      </c>
      <c r="AB1321" s="180">
        <v>0</v>
      </c>
      <c r="AC1321" s="238">
        <f>SUM(E1321:AB1321)</f>
        <v>0.86566666666666559</v>
      </c>
      <c r="AD1321" s="238"/>
      <c r="AE1321" s="238"/>
    </row>
    <row r="1322" spans="2:31" x14ac:dyDescent="0.3">
      <c r="B1322" s="14" t="s">
        <v>2</v>
      </c>
      <c r="C1322" s="14"/>
      <c r="D1322" s="14"/>
      <c r="E1322" s="15">
        <f t="shared" ref="E1322:AB1322" si="71">SUM(E1273:E1321)</f>
        <v>0</v>
      </c>
      <c r="F1322" s="15">
        <f t="shared" si="71"/>
        <v>0</v>
      </c>
      <c r="G1322" s="15">
        <f t="shared" si="71"/>
        <v>0</v>
      </c>
      <c r="H1322" s="15">
        <f t="shared" si="71"/>
        <v>0</v>
      </c>
      <c r="I1322" s="15">
        <f t="shared" si="71"/>
        <v>0</v>
      </c>
      <c r="J1322" s="15">
        <f t="shared" si="71"/>
        <v>0</v>
      </c>
      <c r="K1322" s="15">
        <f t="shared" si="71"/>
        <v>0</v>
      </c>
      <c r="L1322" s="15">
        <f t="shared" si="71"/>
        <v>0</v>
      </c>
      <c r="M1322" s="15">
        <f t="shared" si="71"/>
        <v>0</v>
      </c>
      <c r="N1322" s="15">
        <f t="shared" si="71"/>
        <v>0</v>
      </c>
      <c r="O1322" s="15">
        <f t="shared" si="71"/>
        <v>1.0464999999999993</v>
      </c>
      <c r="P1322" s="15">
        <f t="shared" si="71"/>
        <v>0.60566666666666624</v>
      </c>
      <c r="Q1322" s="15">
        <f t="shared" si="71"/>
        <v>25.779000000000003</v>
      </c>
      <c r="R1322" s="15">
        <f t="shared" si="71"/>
        <v>22.857833333333311</v>
      </c>
      <c r="S1322" s="15">
        <f t="shared" si="71"/>
        <v>20.816666666666663</v>
      </c>
      <c r="T1322" s="15">
        <f t="shared" si="71"/>
        <v>31.729999999999997</v>
      </c>
      <c r="U1322" s="15">
        <f t="shared" si="71"/>
        <v>33.608833333333351</v>
      </c>
      <c r="V1322" s="15">
        <f t="shared" si="71"/>
        <v>9.2629999999999999</v>
      </c>
      <c r="W1322" s="15">
        <f t="shared" si="71"/>
        <v>6.3956666666666653</v>
      </c>
      <c r="X1322" s="15">
        <f t="shared" si="71"/>
        <v>1.5000000000000001E-2</v>
      </c>
      <c r="Y1322" s="15">
        <f t="shared" si="71"/>
        <v>0</v>
      </c>
      <c r="Z1322" s="15">
        <f t="shared" si="71"/>
        <v>0</v>
      </c>
      <c r="AA1322" s="15">
        <f t="shared" si="71"/>
        <v>0</v>
      </c>
      <c r="AB1322" s="15">
        <f t="shared" si="71"/>
        <v>0</v>
      </c>
      <c r="AC1322" s="249">
        <f>SUM(AC1273:AE1321)</f>
        <v>152.11816666666667</v>
      </c>
      <c r="AD1322" s="249"/>
      <c r="AE1322" s="249"/>
    </row>
    <row r="1323" spans="2:31" x14ac:dyDescent="0.3">
      <c r="B1323" s="16"/>
      <c r="C1323" s="17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  <c r="N1323" s="18"/>
      <c r="O1323" s="18"/>
      <c r="P1323" s="18"/>
      <c r="Q1323" s="18"/>
      <c r="R1323" s="18"/>
      <c r="S1323" s="18"/>
      <c r="T1323" s="18"/>
      <c r="U1323" s="18"/>
      <c r="V1323" s="18"/>
      <c r="W1323" s="18"/>
      <c r="X1323" s="18"/>
      <c r="Y1323" s="18"/>
      <c r="Z1323" s="18"/>
      <c r="AA1323" s="18"/>
    </row>
    <row r="1324" spans="2:31" x14ac:dyDescent="0.3">
      <c r="B1324" s="16"/>
      <c r="C1324" s="17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  <c r="N1324" s="18"/>
      <c r="O1324" s="18"/>
      <c r="P1324" s="18"/>
      <c r="Q1324" s="18"/>
      <c r="R1324" s="18"/>
      <c r="S1324" s="18"/>
      <c r="T1324" s="18"/>
      <c r="U1324" s="18"/>
      <c r="V1324" s="18"/>
      <c r="W1324" s="18"/>
      <c r="X1324" s="18"/>
      <c r="Y1324" s="18"/>
      <c r="Z1324" s="18"/>
      <c r="AA1324" s="18"/>
    </row>
    <row r="1325" spans="2:31" x14ac:dyDescent="0.3">
      <c r="B1325" s="8">
        <f>'Resumen-Mensual'!$AC$22</f>
        <v>44586</v>
      </c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181"/>
      <c r="AD1325" s="181"/>
      <c r="AE1325" s="181"/>
    </row>
    <row r="1326" spans="2:31" x14ac:dyDescent="0.3">
      <c r="B1326" s="8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181"/>
      <c r="AD1326" s="181"/>
      <c r="AE1326" s="181"/>
    </row>
    <row r="1327" spans="2:31" x14ac:dyDescent="0.3">
      <c r="B1327" s="9" t="s">
        <v>81</v>
      </c>
      <c r="C1327" s="10"/>
      <c r="D1327" s="10"/>
      <c r="E1327" s="11">
        <v>1</v>
      </c>
      <c r="F1327" s="11">
        <v>2</v>
      </c>
      <c r="G1327" s="11">
        <v>3</v>
      </c>
      <c r="H1327" s="11">
        <v>4</v>
      </c>
      <c r="I1327" s="11">
        <v>5</v>
      </c>
      <c r="J1327" s="11">
        <v>6</v>
      </c>
      <c r="K1327" s="11">
        <v>7</v>
      </c>
      <c r="L1327" s="11">
        <v>8</v>
      </c>
      <c r="M1327" s="11">
        <v>9</v>
      </c>
      <c r="N1327" s="11">
        <v>10</v>
      </c>
      <c r="O1327" s="11">
        <v>11</v>
      </c>
      <c r="P1327" s="11">
        <v>12</v>
      </c>
      <c r="Q1327" s="11">
        <v>13</v>
      </c>
      <c r="R1327" s="11">
        <v>14</v>
      </c>
      <c r="S1327" s="11">
        <v>15</v>
      </c>
      <c r="T1327" s="11">
        <v>16</v>
      </c>
      <c r="U1327" s="11">
        <v>17</v>
      </c>
      <c r="V1327" s="11">
        <v>18</v>
      </c>
      <c r="W1327" s="11">
        <v>19</v>
      </c>
      <c r="X1327" s="11">
        <v>20</v>
      </c>
      <c r="Y1327" s="11">
        <v>21</v>
      </c>
      <c r="Z1327" s="11">
        <v>22</v>
      </c>
      <c r="AA1327" s="11">
        <v>23</v>
      </c>
      <c r="AB1327" s="11">
        <v>24</v>
      </c>
      <c r="AC1327" s="248" t="s">
        <v>2</v>
      </c>
      <c r="AD1327" s="248"/>
      <c r="AE1327" s="248"/>
    </row>
    <row r="1328" spans="2:31" x14ac:dyDescent="0.3">
      <c r="B1328" s="245" t="s">
        <v>37</v>
      </c>
      <c r="C1328" s="245"/>
      <c r="D1328" s="245"/>
      <c r="E1328" s="186">
        <v>0</v>
      </c>
      <c r="F1328" s="187">
        <v>0</v>
      </c>
      <c r="G1328" s="186">
        <v>0</v>
      </c>
      <c r="H1328" s="187">
        <v>0</v>
      </c>
      <c r="I1328" s="186">
        <v>0</v>
      </c>
      <c r="J1328" s="187">
        <v>0</v>
      </c>
      <c r="K1328" s="186">
        <v>0</v>
      </c>
      <c r="L1328" s="187">
        <v>0</v>
      </c>
      <c r="M1328" s="186">
        <v>0</v>
      </c>
      <c r="N1328" s="187">
        <v>0</v>
      </c>
      <c r="O1328" s="186">
        <v>0</v>
      </c>
      <c r="P1328" s="187">
        <v>0</v>
      </c>
      <c r="Q1328" s="186">
        <v>0</v>
      </c>
      <c r="R1328" s="187">
        <v>0</v>
      </c>
      <c r="S1328" s="186">
        <v>0</v>
      </c>
      <c r="T1328" s="187">
        <v>0</v>
      </c>
      <c r="U1328" s="186">
        <v>0</v>
      </c>
      <c r="V1328" s="187">
        <v>0</v>
      </c>
      <c r="W1328" s="186">
        <v>0</v>
      </c>
      <c r="X1328" s="187">
        <v>0</v>
      </c>
      <c r="Y1328" s="186">
        <v>0</v>
      </c>
      <c r="Z1328" s="187">
        <v>0</v>
      </c>
      <c r="AA1328" s="186">
        <v>0</v>
      </c>
      <c r="AB1328" s="187">
        <v>0</v>
      </c>
      <c r="AC1328" s="238">
        <f t="shared" ref="AC1328:AC1360" si="72">SUM(E1328:AB1328)</f>
        <v>0</v>
      </c>
      <c r="AD1328" s="238"/>
      <c r="AE1328" s="238"/>
    </row>
    <row r="1329" spans="2:31" x14ac:dyDescent="0.3">
      <c r="B1329" s="245" t="s">
        <v>38</v>
      </c>
      <c r="C1329" s="245"/>
      <c r="D1329" s="245"/>
      <c r="E1329" s="186">
        <v>0</v>
      </c>
      <c r="F1329" s="187">
        <v>0</v>
      </c>
      <c r="G1329" s="186">
        <v>0</v>
      </c>
      <c r="H1329" s="187">
        <v>0</v>
      </c>
      <c r="I1329" s="186">
        <v>0</v>
      </c>
      <c r="J1329" s="187">
        <v>0</v>
      </c>
      <c r="K1329" s="186">
        <v>0</v>
      </c>
      <c r="L1329" s="187">
        <v>0</v>
      </c>
      <c r="M1329" s="186">
        <v>0</v>
      </c>
      <c r="N1329" s="187">
        <v>0</v>
      </c>
      <c r="O1329" s="186">
        <v>0</v>
      </c>
      <c r="P1329" s="187">
        <v>0</v>
      </c>
      <c r="Q1329" s="186">
        <v>0</v>
      </c>
      <c r="R1329" s="187">
        <v>0</v>
      </c>
      <c r="S1329" s="186">
        <v>0</v>
      </c>
      <c r="T1329" s="187">
        <v>0</v>
      </c>
      <c r="U1329" s="186">
        <v>0</v>
      </c>
      <c r="V1329" s="187">
        <v>0</v>
      </c>
      <c r="W1329" s="186">
        <v>0</v>
      </c>
      <c r="X1329" s="187">
        <v>0</v>
      </c>
      <c r="Y1329" s="186">
        <v>0</v>
      </c>
      <c r="Z1329" s="187">
        <v>0</v>
      </c>
      <c r="AA1329" s="186">
        <v>0</v>
      </c>
      <c r="AB1329" s="187">
        <v>0</v>
      </c>
      <c r="AC1329" s="238">
        <f t="shared" si="72"/>
        <v>0</v>
      </c>
      <c r="AD1329" s="238"/>
      <c r="AE1329" s="238"/>
    </row>
    <row r="1330" spans="2:31" x14ac:dyDescent="0.3">
      <c r="B1330" s="245" t="s">
        <v>39</v>
      </c>
      <c r="C1330" s="245"/>
      <c r="D1330" s="245"/>
      <c r="E1330" s="186">
        <v>0</v>
      </c>
      <c r="F1330" s="187">
        <v>0</v>
      </c>
      <c r="G1330" s="186">
        <v>0</v>
      </c>
      <c r="H1330" s="187">
        <v>0</v>
      </c>
      <c r="I1330" s="186">
        <v>0</v>
      </c>
      <c r="J1330" s="187">
        <v>0</v>
      </c>
      <c r="K1330" s="186">
        <v>0</v>
      </c>
      <c r="L1330" s="187">
        <v>0</v>
      </c>
      <c r="M1330" s="186">
        <v>0</v>
      </c>
      <c r="N1330" s="187">
        <v>0</v>
      </c>
      <c r="O1330" s="186">
        <v>0</v>
      </c>
      <c r="P1330" s="187">
        <v>0</v>
      </c>
      <c r="Q1330" s="186">
        <v>0</v>
      </c>
      <c r="R1330" s="187">
        <v>0</v>
      </c>
      <c r="S1330" s="186">
        <v>0</v>
      </c>
      <c r="T1330" s="187">
        <v>0</v>
      </c>
      <c r="U1330" s="186">
        <v>0</v>
      </c>
      <c r="V1330" s="187">
        <v>0</v>
      </c>
      <c r="W1330" s="186">
        <v>0</v>
      </c>
      <c r="X1330" s="187">
        <v>0</v>
      </c>
      <c r="Y1330" s="186">
        <v>0</v>
      </c>
      <c r="Z1330" s="187">
        <v>0</v>
      </c>
      <c r="AA1330" s="186">
        <v>0</v>
      </c>
      <c r="AB1330" s="187">
        <v>0</v>
      </c>
      <c r="AC1330" s="238">
        <f t="shared" si="72"/>
        <v>0</v>
      </c>
      <c r="AD1330" s="238"/>
      <c r="AE1330" s="238"/>
    </row>
    <row r="1331" spans="2:31" x14ac:dyDescent="0.3">
      <c r="B1331" s="245" t="s">
        <v>40</v>
      </c>
      <c r="C1331" s="245"/>
      <c r="D1331" s="245"/>
      <c r="E1331" s="186">
        <v>0</v>
      </c>
      <c r="F1331" s="187">
        <v>0</v>
      </c>
      <c r="G1331" s="186">
        <v>0</v>
      </c>
      <c r="H1331" s="187">
        <v>0</v>
      </c>
      <c r="I1331" s="186">
        <v>0</v>
      </c>
      <c r="J1331" s="187">
        <v>0</v>
      </c>
      <c r="K1331" s="186">
        <v>0</v>
      </c>
      <c r="L1331" s="187">
        <v>0</v>
      </c>
      <c r="M1331" s="186">
        <v>0</v>
      </c>
      <c r="N1331" s="187">
        <v>0</v>
      </c>
      <c r="O1331" s="186">
        <v>0</v>
      </c>
      <c r="P1331" s="187">
        <v>0</v>
      </c>
      <c r="Q1331" s="186">
        <v>0</v>
      </c>
      <c r="R1331" s="187">
        <v>0</v>
      </c>
      <c r="S1331" s="186">
        <v>0</v>
      </c>
      <c r="T1331" s="187">
        <v>0</v>
      </c>
      <c r="U1331" s="186">
        <v>0</v>
      </c>
      <c r="V1331" s="187">
        <v>0</v>
      </c>
      <c r="W1331" s="186">
        <v>0</v>
      </c>
      <c r="X1331" s="187">
        <v>0</v>
      </c>
      <c r="Y1331" s="186">
        <v>0</v>
      </c>
      <c r="Z1331" s="187">
        <v>0</v>
      </c>
      <c r="AA1331" s="186">
        <v>0</v>
      </c>
      <c r="AB1331" s="187">
        <v>0</v>
      </c>
      <c r="AC1331" s="238">
        <f t="shared" si="72"/>
        <v>0</v>
      </c>
      <c r="AD1331" s="238"/>
      <c r="AE1331" s="238"/>
    </row>
    <row r="1332" spans="2:31" x14ac:dyDescent="0.3">
      <c r="B1332" s="245" t="s">
        <v>41</v>
      </c>
      <c r="C1332" s="245"/>
      <c r="D1332" s="245"/>
      <c r="E1332" s="186">
        <v>0</v>
      </c>
      <c r="F1332" s="187">
        <v>0</v>
      </c>
      <c r="G1332" s="186">
        <v>0</v>
      </c>
      <c r="H1332" s="187">
        <v>0</v>
      </c>
      <c r="I1332" s="186">
        <v>0</v>
      </c>
      <c r="J1332" s="187">
        <v>0</v>
      </c>
      <c r="K1332" s="186">
        <v>0</v>
      </c>
      <c r="L1332" s="187">
        <v>0</v>
      </c>
      <c r="M1332" s="186">
        <v>0</v>
      </c>
      <c r="N1332" s="187">
        <v>0</v>
      </c>
      <c r="O1332" s="186">
        <v>0</v>
      </c>
      <c r="P1332" s="187">
        <v>0</v>
      </c>
      <c r="Q1332" s="186">
        <v>0</v>
      </c>
      <c r="R1332" s="187">
        <v>0</v>
      </c>
      <c r="S1332" s="186">
        <v>0</v>
      </c>
      <c r="T1332" s="187">
        <v>0</v>
      </c>
      <c r="U1332" s="186">
        <v>0</v>
      </c>
      <c r="V1332" s="187">
        <v>0</v>
      </c>
      <c r="W1332" s="186">
        <v>0</v>
      </c>
      <c r="X1332" s="187">
        <v>0</v>
      </c>
      <c r="Y1332" s="186">
        <v>0</v>
      </c>
      <c r="Z1332" s="187">
        <v>0</v>
      </c>
      <c r="AA1332" s="186">
        <v>0</v>
      </c>
      <c r="AB1332" s="187">
        <v>0</v>
      </c>
      <c r="AC1332" s="238">
        <f t="shared" si="72"/>
        <v>0</v>
      </c>
      <c r="AD1332" s="238"/>
      <c r="AE1332" s="238"/>
    </row>
    <row r="1333" spans="2:31" x14ac:dyDescent="0.3">
      <c r="B1333" s="245" t="s">
        <v>42</v>
      </c>
      <c r="C1333" s="245"/>
      <c r="D1333" s="245"/>
      <c r="E1333" s="186">
        <v>0</v>
      </c>
      <c r="F1333" s="187">
        <v>0</v>
      </c>
      <c r="G1333" s="186">
        <v>0</v>
      </c>
      <c r="H1333" s="187">
        <v>0</v>
      </c>
      <c r="I1333" s="186">
        <v>0</v>
      </c>
      <c r="J1333" s="187">
        <v>0</v>
      </c>
      <c r="K1333" s="186">
        <v>0</v>
      </c>
      <c r="L1333" s="187">
        <v>0</v>
      </c>
      <c r="M1333" s="186">
        <v>0</v>
      </c>
      <c r="N1333" s="187">
        <v>0</v>
      </c>
      <c r="O1333" s="186">
        <v>0</v>
      </c>
      <c r="P1333" s="187">
        <v>0</v>
      </c>
      <c r="Q1333" s="186">
        <v>0</v>
      </c>
      <c r="R1333" s="187">
        <v>0</v>
      </c>
      <c r="S1333" s="186">
        <v>0</v>
      </c>
      <c r="T1333" s="187">
        <v>0</v>
      </c>
      <c r="U1333" s="186">
        <v>0</v>
      </c>
      <c r="V1333" s="187">
        <v>0</v>
      </c>
      <c r="W1333" s="186">
        <v>0</v>
      </c>
      <c r="X1333" s="187">
        <v>0</v>
      </c>
      <c r="Y1333" s="186">
        <v>0</v>
      </c>
      <c r="Z1333" s="187">
        <v>0</v>
      </c>
      <c r="AA1333" s="186">
        <v>0</v>
      </c>
      <c r="AB1333" s="187">
        <v>0</v>
      </c>
      <c r="AC1333" s="238">
        <f t="shared" si="72"/>
        <v>0</v>
      </c>
      <c r="AD1333" s="238"/>
      <c r="AE1333" s="238"/>
    </row>
    <row r="1334" spans="2:31" x14ac:dyDescent="0.3">
      <c r="B1334" s="245" t="s">
        <v>43</v>
      </c>
      <c r="C1334" s="245"/>
      <c r="D1334" s="245"/>
      <c r="E1334" s="186">
        <v>0</v>
      </c>
      <c r="F1334" s="187">
        <v>0</v>
      </c>
      <c r="G1334" s="186">
        <v>0</v>
      </c>
      <c r="H1334" s="187">
        <v>0</v>
      </c>
      <c r="I1334" s="186">
        <v>0</v>
      </c>
      <c r="J1334" s="187">
        <v>0</v>
      </c>
      <c r="K1334" s="186">
        <v>0</v>
      </c>
      <c r="L1334" s="187">
        <v>0</v>
      </c>
      <c r="M1334" s="186">
        <v>0</v>
      </c>
      <c r="N1334" s="187">
        <v>0</v>
      </c>
      <c r="O1334" s="186">
        <v>0</v>
      </c>
      <c r="P1334" s="187">
        <v>0</v>
      </c>
      <c r="Q1334" s="186">
        <v>0.13466666666667018</v>
      </c>
      <c r="R1334" s="187">
        <v>0.29266666666667285</v>
      </c>
      <c r="S1334" s="186">
        <v>0</v>
      </c>
      <c r="T1334" s="187">
        <v>0</v>
      </c>
      <c r="U1334" s="186">
        <v>0</v>
      </c>
      <c r="V1334" s="187">
        <v>0</v>
      </c>
      <c r="W1334" s="186">
        <v>0</v>
      </c>
      <c r="X1334" s="187">
        <v>0</v>
      </c>
      <c r="Y1334" s="186">
        <v>0</v>
      </c>
      <c r="Z1334" s="187">
        <v>0</v>
      </c>
      <c r="AA1334" s="186">
        <v>0</v>
      </c>
      <c r="AB1334" s="187">
        <v>0</v>
      </c>
      <c r="AC1334" s="238">
        <f t="shared" si="72"/>
        <v>0.427333333333343</v>
      </c>
      <c r="AD1334" s="238"/>
      <c r="AE1334" s="238"/>
    </row>
    <row r="1335" spans="2:31" x14ac:dyDescent="0.3">
      <c r="B1335" s="245" t="s">
        <v>44</v>
      </c>
      <c r="C1335" s="245"/>
      <c r="D1335" s="245"/>
      <c r="E1335" s="186">
        <v>0</v>
      </c>
      <c r="F1335" s="187">
        <v>0</v>
      </c>
      <c r="G1335" s="186">
        <v>0</v>
      </c>
      <c r="H1335" s="187">
        <v>0</v>
      </c>
      <c r="I1335" s="186">
        <v>0</v>
      </c>
      <c r="J1335" s="187">
        <v>0</v>
      </c>
      <c r="K1335" s="186">
        <v>0</v>
      </c>
      <c r="L1335" s="187">
        <v>0</v>
      </c>
      <c r="M1335" s="186">
        <v>0</v>
      </c>
      <c r="N1335" s="187">
        <v>0</v>
      </c>
      <c r="O1335" s="186">
        <v>0</v>
      </c>
      <c r="P1335" s="187">
        <v>0</v>
      </c>
      <c r="Q1335" s="186">
        <v>0</v>
      </c>
      <c r="R1335" s="187">
        <v>0</v>
      </c>
      <c r="S1335" s="186">
        <v>0</v>
      </c>
      <c r="T1335" s="187">
        <v>0</v>
      </c>
      <c r="U1335" s="186">
        <v>0</v>
      </c>
      <c r="V1335" s="187">
        <v>0</v>
      </c>
      <c r="W1335" s="186">
        <v>0</v>
      </c>
      <c r="X1335" s="187">
        <v>0</v>
      </c>
      <c r="Y1335" s="186">
        <v>0</v>
      </c>
      <c r="Z1335" s="187">
        <v>0</v>
      </c>
      <c r="AA1335" s="186">
        <v>0</v>
      </c>
      <c r="AB1335" s="187">
        <v>0</v>
      </c>
      <c r="AC1335" s="238">
        <f t="shared" si="72"/>
        <v>0</v>
      </c>
      <c r="AD1335" s="238"/>
      <c r="AE1335" s="238"/>
    </row>
    <row r="1336" spans="2:31" x14ac:dyDescent="0.3">
      <c r="B1336" s="245" t="s">
        <v>45</v>
      </c>
      <c r="C1336" s="245"/>
      <c r="D1336" s="245"/>
      <c r="E1336" s="186">
        <v>0</v>
      </c>
      <c r="F1336" s="187">
        <v>0</v>
      </c>
      <c r="G1336" s="186">
        <v>0</v>
      </c>
      <c r="H1336" s="187">
        <v>0</v>
      </c>
      <c r="I1336" s="186">
        <v>0</v>
      </c>
      <c r="J1336" s="187">
        <v>0</v>
      </c>
      <c r="K1336" s="186">
        <v>0</v>
      </c>
      <c r="L1336" s="187">
        <v>0</v>
      </c>
      <c r="M1336" s="186">
        <v>0</v>
      </c>
      <c r="N1336" s="187">
        <v>0</v>
      </c>
      <c r="O1336" s="186">
        <v>0</v>
      </c>
      <c r="P1336" s="187">
        <v>0</v>
      </c>
      <c r="Q1336" s="186">
        <v>3.907666666666672</v>
      </c>
      <c r="R1336" s="187">
        <v>13.263500000000006</v>
      </c>
      <c r="S1336" s="186">
        <v>19.909999999999989</v>
      </c>
      <c r="T1336" s="187">
        <v>20.009999999999994</v>
      </c>
      <c r="U1336" s="186">
        <v>0</v>
      </c>
      <c r="V1336" s="187">
        <v>1.009999999999998</v>
      </c>
      <c r="W1336" s="186">
        <v>1.7793333333333328</v>
      </c>
      <c r="X1336" s="187">
        <v>0</v>
      </c>
      <c r="Y1336" s="186">
        <v>0</v>
      </c>
      <c r="Z1336" s="187">
        <v>0</v>
      </c>
      <c r="AA1336" s="186">
        <v>0</v>
      </c>
      <c r="AB1336" s="187">
        <v>0</v>
      </c>
      <c r="AC1336" s="238">
        <f t="shared" si="72"/>
        <v>59.880499999999998</v>
      </c>
      <c r="AD1336" s="238"/>
      <c r="AE1336" s="238"/>
    </row>
    <row r="1337" spans="2:31" x14ac:dyDescent="0.3">
      <c r="B1337" s="245" t="s">
        <v>46</v>
      </c>
      <c r="C1337" s="245"/>
      <c r="D1337" s="245"/>
      <c r="E1337" s="186">
        <v>0</v>
      </c>
      <c r="F1337" s="187">
        <v>0</v>
      </c>
      <c r="G1337" s="186">
        <v>0</v>
      </c>
      <c r="H1337" s="187">
        <v>0</v>
      </c>
      <c r="I1337" s="186">
        <v>0</v>
      </c>
      <c r="J1337" s="187">
        <v>0</v>
      </c>
      <c r="K1337" s="186">
        <v>0</v>
      </c>
      <c r="L1337" s="187">
        <v>0</v>
      </c>
      <c r="M1337" s="186">
        <v>0</v>
      </c>
      <c r="N1337" s="187">
        <v>0</v>
      </c>
      <c r="O1337" s="186">
        <v>0</v>
      </c>
      <c r="P1337" s="187">
        <v>0</v>
      </c>
      <c r="Q1337" s="186">
        <v>0</v>
      </c>
      <c r="R1337" s="187">
        <v>0.90399999999999925</v>
      </c>
      <c r="S1337" s="186">
        <v>0</v>
      </c>
      <c r="T1337" s="187">
        <v>0</v>
      </c>
      <c r="U1337" s="186">
        <v>20.500000000000004</v>
      </c>
      <c r="V1337" s="187">
        <v>0</v>
      </c>
      <c r="W1337" s="186">
        <v>0</v>
      </c>
      <c r="X1337" s="187">
        <v>0</v>
      </c>
      <c r="Y1337" s="186">
        <v>0</v>
      </c>
      <c r="Z1337" s="187">
        <v>0</v>
      </c>
      <c r="AA1337" s="186">
        <v>0</v>
      </c>
      <c r="AB1337" s="187">
        <v>0</v>
      </c>
      <c r="AC1337" s="238">
        <f t="shared" si="72"/>
        <v>21.404000000000003</v>
      </c>
      <c r="AD1337" s="238"/>
      <c r="AE1337" s="238"/>
    </row>
    <row r="1338" spans="2:31" x14ac:dyDescent="0.3">
      <c r="B1338" s="245" t="s">
        <v>47</v>
      </c>
      <c r="C1338" s="245"/>
      <c r="D1338" s="245"/>
      <c r="E1338" s="186">
        <v>0</v>
      </c>
      <c r="F1338" s="187">
        <v>0</v>
      </c>
      <c r="G1338" s="186">
        <v>0</v>
      </c>
      <c r="H1338" s="187">
        <v>0</v>
      </c>
      <c r="I1338" s="186">
        <v>0</v>
      </c>
      <c r="J1338" s="187">
        <v>0</v>
      </c>
      <c r="K1338" s="186">
        <v>0</v>
      </c>
      <c r="L1338" s="187">
        <v>0</v>
      </c>
      <c r="M1338" s="186">
        <v>0</v>
      </c>
      <c r="N1338" s="187">
        <v>0</v>
      </c>
      <c r="O1338" s="186">
        <v>0</v>
      </c>
      <c r="P1338" s="187">
        <v>0</v>
      </c>
      <c r="Q1338" s="186">
        <v>0</v>
      </c>
      <c r="R1338" s="187">
        <v>1.6143333333333341</v>
      </c>
      <c r="S1338" s="186">
        <v>3.0500000000000025</v>
      </c>
      <c r="T1338" s="187">
        <v>2.75</v>
      </c>
      <c r="U1338" s="186">
        <v>1.8499999999999981</v>
      </c>
      <c r="V1338" s="187">
        <v>0.64999999999999925</v>
      </c>
      <c r="W1338" s="186">
        <v>0</v>
      </c>
      <c r="X1338" s="187">
        <v>0</v>
      </c>
      <c r="Y1338" s="186">
        <v>0</v>
      </c>
      <c r="Z1338" s="187">
        <v>0</v>
      </c>
      <c r="AA1338" s="186">
        <v>0</v>
      </c>
      <c r="AB1338" s="187">
        <v>0</v>
      </c>
      <c r="AC1338" s="238">
        <f t="shared" si="72"/>
        <v>9.9143333333333334</v>
      </c>
      <c r="AD1338" s="238"/>
      <c r="AE1338" s="238"/>
    </row>
    <row r="1339" spans="2:31" x14ac:dyDescent="0.3">
      <c r="B1339" s="245" t="s">
        <v>48</v>
      </c>
      <c r="C1339" s="245"/>
      <c r="D1339" s="245"/>
      <c r="E1339" s="186">
        <v>0</v>
      </c>
      <c r="F1339" s="187">
        <v>0</v>
      </c>
      <c r="G1339" s="186">
        <v>0</v>
      </c>
      <c r="H1339" s="187">
        <v>0</v>
      </c>
      <c r="I1339" s="186">
        <v>0</v>
      </c>
      <c r="J1339" s="187">
        <v>0</v>
      </c>
      <c r="K1339" s="186">
        <v>0</v>
      </c>
      <c r="L1339" s="187">
        <v>0</v>
      </c>
      <c r="M1339" s="186">
        <v>0</v>
      </c>
      <c r="N1339" s="187">
        <v>0</v>
      </c>
      <c r="O1339" s="186">
        <v>0</v>
      </c>
      <c r="P1339" s="187">
        <v>0</v>
      </c>
      <c r="Q1339" s="186">
        <v>0</v>
      </c>
      <c r="R1339" s="187">
        <v>1.7588333333333339</v>
      </c>
      <c r="S1339" s="186">
        <v>3.4600000000000013</v>
      </c>
      <c r="T1339" s="187">
        <v>3.1599999999999975</v>
      </c>
      <c r="U1339" s="186">
        <v>2.5600000000000014</v>
      </c>
      <c r="V1339" s="187">
        <v>1.6190000000000007</v>
      </c>
      <c r="W1339" s="186">
        <v>0</v>
      </c>
      <c r="X1339" s="187">
        <v>0</v>
      </c>
      <c r="Y1339" s="186">
        <v>0</v>
      </c>
      <c r="Z1339" s="187">
        <v>0</v>
      </c>
      <c r="AA1339" s="186">
        <v>0</v>
      </c>
      <c r="AB1339" s="187">
        <v>0</v>
      </c>
      <c r="AC1339" s="238">
        <f t="shared" si="72"/>
        <v>12.557833333333335</v>
      </c>
      <c r="AD1339" s="238"/>
      <c r="AE1339" s="238"/>
    </row>
    <row r="1340" spans="2:31" x14ac:dyDescent="0.3">
      <c r="B1340" s="245" t="s">
        <v>49</v>
      </c>
      <c r="C1340" s="245"/>
      <c r="D1340" s="245"/>
      <c r="E1340" s="186">
        <v>0</v>
      </c>
      <c r="F1340" s="187">
        <v>0</v>
      </c>
      <c r="G1340" s="186">
        <v>0</v>
      </c>
      <c r="H1340" s="187">
        <v>0</v>
      </c>
      <c r="I1340" s="186">
        <v>0</v>
      </c>
      <c r="J1340" s="187">
        <v>0</v>
      </c>
      <c r="K1340" s="186">
        <v>0</v>
      </c>
      <c r="L1340" s="187">
        <v>0</v>
      </c>
      <c r="M1340" s="186">
        <v>0</v>
      </c>
      <c r="N1340" s="187">
        <v>0</v>
      </c>
      <c r="O1340" s="186">
        <v>0</v>
      </c>
      <c r="P1340" s="187">
        <v>0</v>
      </c>
      <c r="Q1340" s="186">
        <v>0</v>
      </c>
      <c r="R1340" s="187">
        <v>0</v>
      </c>
      <c r="S1340" s="186">
        <v>0</v>
      </c>
      <c r="T1340" s="187">
        <v>0</v>
      </c>
      <c r="U1340" s="186">
        <v>0</v>
      </c>
      <c r="V1340" s="187">
        <v>0</v>
      </c>
      <c r="W1340" s="186">
        <v>0</v>
      </c>
      <c r="X1340" s="187">
        <v>0</v>
      </c>
      <c r="Y1340" s="186">
        <v>0</v>
      </c>
      <c r="Z1340" s="187">
        <v>0</v>
      </c>
      <c r="AA1340" s="186">
        <v>0</v>
      </c>
      <c r="AB1340" s="187">
        <v>0</v>
      </c>
      <c r="AC1340" s="238">
        <f t="shared" si="72"/>
        <v>0</v>
      </c>
      <c r="AD1340" s="238"/>
      <c r="AE1340" s="238"/>
    </row>
    <row r="1341" spans="2:31" x14ac:dyDescent="0.3">
      <c r="B1341" s="245" t="s">
        <v>50</v>
      </c>
      <c r="C1341" s="245"/>
      <c r="D1341" s="245"/>
      <c r="E1341" s="186">
        <v>0</v>
      </c>
      <c r="F1341" s="187">
        <v>0</v>
      </c>
      <c r="G1341" s="186">
        <v>0</v>
      </c>
      <c r="H1341" s="187">
        <v>0</v>
      </c>
      <c r="I1341" s="186">
        <v>0</v>
      </c>
      <c r="J1341" s="187">
        <v>0</v>
      </c>
      <c r="K1341" s="186">
        <v>0</v>
      </c>
      <c r="L1341" s="187">
        <v>0</v>
      </c>
      <c r="M1341" s="186">
        <v>0</v>
      </c>
      <c r="N1341" s="187">
        <v>0</v>
      </c>
      <c r="O1341" s="186">
        <v>0</v>
      </c>
      <c r="P1341" s="187">
        <v>0</v>
      </c>
      <c r="Q1341" s="186">
        <v>0</v>
      </c>
      <c r="R1341" s="187">
        <v>0</v>
      </c>
      <c r="S1341" s="186">
        <v>0</v>
      </c>
      <c r="T1341" s="187">
        <v>0</v>
      </c>
      <c r="U1341" s="186">
        <v>0</v>
      </c>
      <c r="V1341" s="187">
        <v>0</v>
      </c>
      <c r="W1341" s="186">
        <v>0</v>
      </c>
      <c r="X1341" s="187">
        <v>0</v>
      </c>
      <c r="Y1341" s="186">
        <v>0</v>
      </c>
      <c r="Z1341" s="187">
        <v>0</v>
      </c>
      <c r="AA1341" s="186">
        <v>0</v>
      </c>
      <c r="AB1341" s="187">
        <v>0</v>
      </c>
      <c r="AC1341" s="238">
        <f t="shared" si="72"/>
        <v>0</v>
      </c>
      <c r="AD1341" s="238"/>
      <c r="AE1341" s="238"/>
    </row>
    <row r="1342" spans="2:31" x14ac:dyDescent="0.3">
      <c r="B1342" s="245" t="s">
        <v>97</v>
      </c>
      <c r="C1342" s="245"/>
      <c r="D1342" s="245"/>
      <c r="E1342" s="186">
        <v>0</v>
      </c>
      <c r="F1342" s="187">
        <v>0</v>
      </c>
      <c r="G1342" s="186">
        <v>0</v>
      </c>
      <c r="H1342" s="187">
        <v>0</v>
      </c>
      <c r="I1342" s="186">
        <v>0</v>
      </c>
      <c r="J1342" s="187">
        <v>0</v>
      </c>
      <c r="K1342" s="186">
        <v>0</v>
      </c>
      <c r="L1342" s="187">
        <v>0</v>
      </c>
      <c r="M1342" s="186">
        <v>0</v>
      </c>
      <c r="N1342" s="187">
        <v>0</v>
      </c>
      <c r="O1342" s="186">
        <v>0</v>
      </c>
      <c r="P1342" s="187">
        <v>0</v>
      </c>
      <c r="Q1342" s="186">
        <v>0</v>
      </c>
      <c r="R1342" s="187">
        <v>0</v>
      </c>
      <c r="S1342" s="186">
        <v>0</v>
      </c>
      <c r="T1342" s="187">
        <v>0</v>
      </c>
      <c r="U1342" s="186">
        <v>0</v>
      </c>
      <c r="V1342" s="187">
        <v>0</v>
      </c>
      <c r="W1342" s="186">
        <v>0</v>
      </c>
      <c r="X1342" s="187">
        <v>0</v>
      </c>
      <c r="Y1342" s="186">
        <v>0</v>
      </c>
      <c r="Z1342" s="187">
        <v>0</v>
      </c>
      <c r="AA1342" s="186">
        <v>0</v>
      </c>
      <c r="AB1342" s="187">
        <v>0</v>
      </c>
      <c r="AC1342" s="238">
        <f t="shared" si="72"/>
        <v>0</v>
      </c>
      <c r="AD1342" s="238"/>
      <c r="AE1342" s="238"/>
    </row>
    <row r="1343" spans="2:31" x14ac:dyDescent="0.3">
      <c r="B1343" s="245" t="s">
        <v>51</v>
      </c>
      <c r="C1343" s="245"/>
      <c r="D1343" s="245"/>
      <c r="E1343" s="186">
        <v>0</v>
      </c>
      <c r="F1343" s="187">
        <v>0</v>
      </c>
      <c r="G1343" s="186">
        <v>0</v>
      </c>
      <c r="H1343" s="187">
        <v>0</v>
      </c>
      <c r="I1343" s="186">
        <v>0</v>
      </c>
      <c r="J1343" s="187">
        <v>0</v>
      </c>
      <c r="K1343" s="186">
        <v>0</v>
      </c>
      <c r="L1343" s="187">
        <v>0</v>
      </c>
      <c r="M1343" s="186">
        <v>0</v>
      </c>
      <c r="N1343" s="187">
        <v>0</v>
      </c>
      <c r="O1343" s="186">
        <v>0</v>
      </c>
      <c r="P1343" s="187">
        <v>0</v>
      </c>
      <c r="Q1343" s="186">
        <v>0</v>
      </c>
      <c r="R1343" s="187">
        <v>0</v>
      </c>
      <c r="S1343" s="186">
        <v>0</v>
      </c>
      <c r="T1343" s="187">
        <v>0</v>
      </c>
      <c r="U1343" s="186">
        <v>0</v>
      </c>
      <c r="V1343" s="187">
        <v>0</v>
      </c>
      <c r="W1343" s="186">
        <v>0</v>
      </c>
      <c r="X1343" s="187">
        <v>0</v>
      </c>
      <c r="Y1343" s="186">
        <v>0</v>
      </c>
      <c r="Z1343" s="187">
        <v>0</v>
      </c>
      <c r="AA1343" s="186">
        <v>0</v>
      </c>
      <c r="AB1343" s="187">
        <v>0</v>
      </c>
      <c r="AC1343" s="238">
        <f t="shared" si="72"/>
        <v>0</v>
      </c>
      <c r="AD1343" s="238"/>
      <c r="AE1343" s="238"/>
    </row>
    <row r="1344" spans="2:31" x14ac:dyDescent="0.3">
      <c r="B1344" s="245" t="s">
        <v>52</v>
      </c>
      <c r="C1344" s="245"/>
      <c r="D1344" s="245"/>
      <c r="E1344" s="186">
        <v>0</v>
      </c>
      <c r="F1344" s="187">
        <v>0</v>
      </c>
      <c r="G1344" s="186">
        <v>0</v>
      </c>
      <c r="H1344" s="187">
        <v>0</v>
      </c>
      <c r="I1344" s="186">
        <v>0</v>
      </c>
      <c r="J1344" s="187">
        <v>0</v>
      </c>
      <c r="K1344" s="186">
        <v>0</v>
      </c>
      <c r="L1344" s="187">
        <v>0</v>
      </c>
      <c r="M1344" s="186">
        <v>0</v>
      </c>
      <c r="N1344" s="187">
        <v>0</v>
      </c>
      <c r="O1344" s="186">
        <v>0</v>
      </c>
      <c r="P1344" s="187">
        <v>0</v>
      </c>
      <c r="Q1344" s="186">
        <v>0</v>
      </c>
      <c r="R1344" s="187">
        <v>0</v>
      </c>
      <c r="S1344" s="186">
        <v>0</v>
      </c>
      <c r="T1344" s="187">
        <v>0</v>
      </c>
      <c r="U1344" s="186">
        <v>0</v>
      </c>
      <c r="V1344" s="187">
        <v>0</v>
      </c>
      <c r="W1344" s="186">
        <v>0</v>
      </c>
      <c r="X1344" s="187">
        <v>0</v>
      </c>
      <c r="Y1344" s="186">
        <v>0</v>
      </c>
      <c r="Z1344" s="187">
        <v>0</v>
      </c>
      <c r="AA1344" s="186">
        <v>0</v>
      </c>
      <c r="AB1344" s="187">
        <v>0</v>
      </c>
      <c r="AC1344" s="238">
        <f t="shared" si="72"/>
        <v>0</v>
      </c>
      <c r="AD1344" s="238"/>
      <c r="AE1344" s="238"/>
    </row>
    <row r="1345" spans="2:31" x14ac:dyDescent="0.3">
      <c r="B1345" s="245" t="s">
        <v>53</v>
      </c>
      <c r="C1345" s="245"/>
      <c r="D1345" s="245"/>
      <c r="E1345" s="186">
        <v>0</v>
      </c>
      <c r="F1345" s="187">
        <v>0</v>
      </c>
      <c r="G1345" s="186">
        <v>0</v>
      </c>
      <c r="H1345" s="187">
        <v>0</v>
      </c>
      <c r="I1345" s="186">
        <v>0</v>
      </c>
      <c r="J1345" s="187">
        <v>0</v>
      </c>
      <c r="K1345" s="186">
        <v>0</v>
      </c>
      <c r="L1345" s="187">
        <v>0</v>
      </c>
      <c r="M1345" s="186">
        <v>0</v>
      </c>
      <c r="N1345" s="187">
        <v>0</v>
      </c>
      <c r="O1345" s="186">
        <v>0</v>
      </c>
      <c r="P1345" s="187">
        <v>0</v>
      </c>
      <c r="Q1345" s="186">
        <v>0</v>
      </c>
      <c r="R1345" s="187">
        <v>0</v>
      </c>
      <c r="S1345" s="186">
        <v>0</v>
      </c>
      <c r="T1345" s="187">
        <v>0</v>
      </c>
      <c r="U1345" s="186">
        <v>0</v>
      </c>
      <c r="V1345" s="187">
        <v>0</v>
      </c>
      <c r="W1345" s="186">
        <v>0</v>
      </c>
      <c r="X1345" s="187">
        <v>0</v>
      </c>
      <c r="Y1345" s="186">
        <v>0</v>
      </c>
      <c r="Z1345" s="187">
        <v>0</v>
      </c>
      <c r="AA1345" s="186">
        <v>0</v>
      </c>
      <c r="AB1345" s="187">
        <v>0</v>
      </c>
      <c r="AC1345" s="238">
        <f t="shared" si="72"/>
        <v>0</v>
      </c>
      <c r="AD1345" s="238"/>
      <c r="AE1345" s="238"/>
    </row>
    <row r="1346" spans="2:31" x14ac:dyDescent="0.3">
      <c r="B1346" s="245" t="s">
        <v>54</v>
      </c>
      <c r="C1346" s="245"/>
      <c r="D1346" s="245"/>
      <c r="E1346" s="186">
        <v>0</v>
      </c>
      <c r="F1346" s="187">
        <v>0</v>
      </c>
      <c r="G1346" s="186">
        <v>0</v>
      </c>
      <c r="H1346" s="187">
        <v>0</v>
      </c>
      <c r="I1346" s="186">
        <v>0</v>
      </c>
      <c r="J1346" s="187">
        <v>0</v>
      </c>
      <c r="K1346" s="186">
        <v>0</v>
      </c>
      <c r="L1346" s="187">
        <v>0</v>
      </c>
      <c r="M1346" s="186">
        <v>0</v>
      </c>
      <c r="N1346" s="187">
        <v>0</v>
      </c>
      <c r="O1346" s="186">
        <v>0</v>
      </c>
      <c r="P1346" s="187">
        <v>0</v>
      </c>
      <c r="Q1346" s="186">
        <v>0</v>
      </c>
      <c r="R1346" s="187">
        <v>0</v>
      </c>
      <c r="S1346" s="186">
        <v>0</v>
      </c>
      <c r="T1346" s="187">
        <v>0</v>
      </c>
      <c r="U1346" s="186">
        <v>0</v>
      </c>
      <c r="V1346" s="187">
        <v>0</v>
      </c>
      <c r="W1346" s="186">
        <v>0</v>
      </c>
      <c r="X1346" s="187">
        <v>0</v>
      </c>
      <c r="Y1346" s="186">
        <v>0</v>
      </c>
      <c r="Z1346" s="187">
        <v>0</v>
      </c>
      <c r="AA1346" s="186">
        <v>0</v>
      </c>
      <c r="AB1346" s="187">
        <v>0</v>
      </c>
      <c r="AC1346" s="238">
        <f t="shared" si="72"/>
        <v>0</v>
      </c>
      <c r="AD1346" s="238"/>
      <c r="AE1346" s="238"/>
    </row>
    <row r="1347" spans="2:31" x14ac:dyDescent="0.3">
      <c r="B1347" s="245" t="s">
        <v>55</v>
      </c>
      <c r="C1347" s="245"/>
      <c r="D1347" s="245"/>
      <c r="E1347" s="186">
        <v>0</v>
      </c>
      <c r="F1347" s="187">
        <v>0</v>
      </c>
      <c r="G1347" s="186">
        <v>0</v>
      </c>
      <c r="H1347" s="187">
        <v>0</v>
      </c>
      <c r="I1347" s="186">
        <v>0</v>
      </c>
      <c r="J1347" s="187">
        <v>0</v>
      </c>
      <c r="K1347" s="186">
        <v>0</v>
      </c>
      <c r="L1347" s="187">
        <v>0</v>
      </c>
      <c r="M1347" s="186">
        <v>0</v>
      </c>
      <c r="N1347" s="187">
        <v>0</v>
      </c>
      <c r="O1347" s="186">
        <v>0</v>
      </c>
      <c r="P1347" s="187">
        <v>0</v>
      </c>
      <c r="Q1347" s="186">
        <v>0</v>
      </c>
      <c r="R1347" s="187">
        <v>0</v>
      </c>
      <c r="S1347" s="186">
        <v>0</v>
      </c>
      <c r="T1347" s="187">
        <v>0</v>
      </c>
      <c r="U1347" s="186">
        <v>0</v>
      </c>
      <c r="V1347" s="187">
        <v>0</v>
      </c>
      <c r="W1347" s="186">
        <v>0</v>
      </c>
      <c r="X1347" s="187">
        <v>0</v>
      </c>
      <c r="Y1347" s="186">
        <v>0</v>
      </c>
      <c r="Z1347" s="187">
        <v>0</v>
      </c>
      <c r="AA1347" s="186">
        <v>0</v>
      </c>
      <c r="AB1347" s="187">
        <v>0</v>
      </c>
      <c r="AC1347" s="238">
        <f t="shared" si="72"/>
        <v>0</v>
      </c>
      <c r="AD1347" s="238"/>
      <c r="AE1347" s="238"/>
    </row>
    <row r="1348" spans="2:31" x14ac:dyDescent="0.3">
      <c r="B1348" s="245" t="s">
        <v>56</v>
      </c>
      <c r="C1348" s="245"/>
      <c r="D1348" s="245"/>
      <c r="E1348" s="186">
        <v>0</v>
      </c>
      <c r="F1348" s="187">
        <v>0</v>
      </c>
      <c r="G1348" s="186">
        <v>0</v>
      </c>
      <c r="H1348" s="187">
        <v>0</v>
      </c>
      <c r="I1348" s="186">
        <v>0</v>
      </c>
      <c r="J1348" s="187">
        <v>0</v>
      </c>
      <c r="K1348" s="186">
        <v>0</v>
      </c>
      <c r="L1348" s="187">
        <v>0</v>
      </c>
      <c r="M1348" s="186">
        <v>0</v>
      </c>
      <c r="N1348" s="187">
        <v>0</v>
      </c>
      <c r="O1348" s="186">
        <v>0</v>
      </c>
      <c r="P1348" s="187">
        <v>0</v>
      </c>
      <c r="Q1348" s="186">
        <v>0</v>
      </c>
      <c r="R1348" s="187">
        <v>0</v>
      </c>
      <c r="S1348" s="186">
        <v>0</v>
      </c>
      <c r="T1348" s="187">
        <v>0</v>
      </c>
      <c r="U1348" s="186">
        <v>0</v>
      </c>
      <c r="V1348" s="187">
        <v>0</v>
      </c>
      <c r="W1348" s="186">
        <v>0</v>
      </c>
      <c r="X1348" s="187">
        <v>0</v>
      </c>
      <c r="Y1348" s="186">
        <v>0</v>
      </c>
      <c r="Z1348" s="187">
        <v>0</v>
      </c>
      <c r="AA1348" s="186">
        <v>0</v>
      </c>
      <c r="AB1348" s="187">
        <v>0</v>
      </c>
      <c r="AC1348" s="238">
        <f t="shared" si="72"/>
        <v>0</v>
      </c>
      <c r="AD1348" s="238"/>
      <c r="AE1348" s="238"/>
    </row>
    <row r="1349" spans="2:31" x14ac:dyDescent="0.3">
      <c r="B1349" s="245" t="s">
        <v>94</v>
      </c>
      <c r="C1349" s="245"/>
      <c r="D1349" s="245"/>
      <c r="E1349" s="186">
        <v>0</v>
      </c>
      <c r="F1349" s="187">
        <v>0</v>
      </c>
      <c r="G1349" s="186">
        <v>0</v>
      </c>
      <c r="H1349" s="187">
        <v>0</v>
      </c>
      <c r="I1349" s="186">
        <v>0</v>
      </c>
      <c r="J1349" s="187">
        <v>0</v>
      </c>
      <c r="K1349" s="186">
        <v>0</v>
      </c>
      <c r="L1349" s="187">
        <v>0</v>
      </c>
      <c r="M1349" s="186">
        <v>0</v>
      </c>
      <c r="N1349" s="187">
        <v>0</v>
      </c>
      <c r="O1349" s="186">
        <v>0</v>
      </c>
      <c r="P1349" s="187">
        <v>0</v>
      </c>
      <c r="Q1349" s="186">
        <v>0</v>
      </c>
      <c r="R1349" s="187">
        <v>0</v>
      </c>
      <c r="S1349" s="186">
        <v>0</v>
      </c>
      <c r="T1349" s="187">
        <v>0</v>
      </c>
      <c r="U1349" s="186">
        <v>0</v>
      </c>
      <c r="V1349" s="187">
        <v>0</v>
      </c>
      <c r="W1349" s="186">
        <v>0</v>
      </c>
      <c r="X1349" s="187">
        <v>0</v>
      </c>
      <c r="Y1349" s="186">
        <v>0</v>
      </c>
      <c r="Z1349" s="187">
        <v>0</v>
      </c>
      <c r="AA1349" s="186">
        <v>0</v>
      </c>
      <c r="AB1349" s="187">
        <v>0</v>
      </c>
      <c r="AC1349" s="238">
        <f t="shared" si="72"/>
        <v>0</v>
      </c>
      <c r="AD1349" s="238"/>
      <c r="AE1349" s="238"/>
    </row>
    <row r="1350" spans="2:31" x14ac:dyDescent="0.3">
      <c r="B1350" s="245" t="s">
        <v>57</v>
      </c>
      <c r="C1350" s="245"/>
      <c r="D1350" s="245"/>
      <c r="E1350" s="186">
        <v>0</v>
      </c>
      <c r="F1350" s="187">
        <v>0</v>
      </c>
      <c r="G1350" s="186">
        <v>0</v>
      </c>
      <c r="H1350" s="187">
        <v>0</v>
      </c>
      <c r="I1350" s="186">
        <v>0</v>
      </c>
      <c r="J1350" s="187">
        <v>0</v>
      </c>
      <c r="K1350" s="186">
        <v>0</v>
      </c>
      <c r="L1350" s="187">
        <v>0</v>
      </c>
      <c r="M1350" s="186">
        <v>0</v>
      </c>
      <c r="N1350" s="187">
        <v>0</v>
      </c>
      <c r="O1350" s="186">
        <v>0</v>
      </c>
      <c r="P1350" s="187">
        <v>0</v>
      </c>
      <c r="Q1350" s="186">
        <v>0</v>
      </c>
      <c r="R1350" s="187">
        <v>0</v>
      </c>
      <c r="S1350" s="186">
        <v>0</v>
      </c>
      <c r="T1350" s="187">
        <v>0</v>
      </c>
      <c r="U1350" s="186">
        <v>0</v>
      </c>
      <c r="V1350" s="187">
        <v>0</v>
      </c>
      <c r="W1350" s="186">
        <v>0</v>
      </c>
      <c r="X1350" s="187">
        <v>0</v>
      </c>
      <c r="Y1350" s="186">
        <v>0</v>
      </c>
      <c r="Z1350" s="187">
        <v>0</v>
      </c>
      <c r="AA1350" s="186">
        <v>0</v>
      </c>
      <c r="AB1350" s="187">
        <v>0</v>
      </c>
      <c r="AC1350" s="238">
        <f t="shared" si="72"/>
        <v>0</v>
      </c>
      <c r="AD1350" s="238"/>
      <c r="AE1350" s="238"/>
    </row>
    <row r="1351" spans="2:31" x14ac:dyDescent="0.3">
      <c r="B1351" s="245" t="s">
        <v>58</v>
      </c>
      <c r="C1351" s="245"/>
      <c r="D1351" s="245"/>
      <c r="E1351" s="186">
        <v>0</v>
      </c>
      <c r="F1351" s="187">
        <v>0</v>
      </c>
      <c r="G1351" s="186">
        <v>0</v>
      </c>
      <c r="H1351" s="187">
        <v>0</v>
      </c>
      <c r="I1351" s="186">
        <v>0</v>
      </c>
      <c r="J1351" s="187">
        <v>0</v>
      </c>
      <c r="K1351" s="186">
        <v>0</v>
      </c>
      <c r="L1351" s="187">
        <v>0</v>
      </c>
      <c r="M1351" s="186">
        <v>0</v>
      </c>
      <c r="N1351" s="187">
        <v>0</v>
      </c>
      <c r="O1351" s="186">
        <v>0</v>
      </c>
      <c r="P1351" s="187">
        <v>0</v>
      </c>
      <c r="Q1351" s="186">
        <v>0</v>
      </c>
      <c r="R1351" s="187">
        <v>0</v>
      </c>
      <c r="S1351" s="186">
        <v>0</v>
      </c>
      <c r="T1351" s="187">
        <v>0</v>
      </c>
      <c r="U1351" s="186">
        <v>0</v>
      </c>
      <c r="V1351" s="187">
        <v>0</v>
      </c>
      <c r="W1351" s="186">
        <v>0</v>
      </c>
      <c r="X1351" s="187">
        <v>0</v>
      </c>
      <c r="Y1351" s="186">
        <v>0</v>
      </c>
      <c r="Z1351" s="187">
        <v>0</v>
      </c>
      <c r="AA1351" s="186">
        <v>0</v>
      </c>
      <c r="AB1351" s="187">
        <v>0</v>
      </c>
      <c r="AC1351" s="238">
        <f t="shared" si="72"/>
        <v>0</v>
      </c>
      <c r="AD1351" s="238"/>
      <c r="AE1351" s="238"/>
    </row>
    <row r="1352" spans="2:31" x14ac:dyDescent="0.3">
      <c r="B1352" s="245" t="s">
        <v>95</v>
      </c>
      <c r="C1352" s="245"/>
      <c r="D1352" s="245"/>
      <c r="E1352" s="186">
        <v>0</v>
      </c>
      <c r="F1352" s="187">
        <v>0</v>
      </c>
      <c r="G1352" s="186">
        <v>0</v>
      </c>
      <c r="H1352" s="187">
        <v>0</v>
      </c>
      <c r="I1352" s="186">
        <v>0</v>
      </c>
      <c r="J1352" s="187">
        <v>0</v>
      </c>
      <c r="K1352" s="186">
        <v>0</v>
      </c>
      <c r="L1352" s="187">
        <v>0</v>
      </c>
      <c r="M1352" s="186">
        <v>0</v>
      </c>
      <c r="N1352" s="187">
        <v>0</v>
      </c>
      <c r="O1352" s="186">
        <v>0</v>
      </c>
      <c r="P1352" s="187">
        <v>0</v>
      </c>
      <c r="Q1352" s="186">
        <v>0</v>
      </c>
      <c r="R1352" s="187">
        <v>0</v>
      </c>
      <c r="S1352" s="186">
        <v>0</v>
      </c>
      <c r="T1352" s="187">
        <v>0</v>
      </c>
      <c r="U1352" s="186">
        <v>0</v>
      </c>
      <c r="V1352" s="187">
        <v>0</v>
      </c>
      <c r="W1352" s="186">
        <v>0</v>
      </c>
      <c r="X1352" s="187">
        <v>0</v>
      </c>
      <c r="Y1352" s="186">
        <v>0</v>
      </c>
      <c r="Z1352" s="187">
        <v>0</v>
      </c>
      <c r="AA1352" s="186">
        <v>0</v>
      </c>
      <c r="AB1352" s="187">
        <v>0</v>
      </c>
      <c r="AC1352" s="238">
        <f t="shared" si="72"/>
        <v>0</v>
      </c>
      <c r="AD1352" s="238"/>
      <c r="AE1352" s="238"/>
    </row>
    <row r="1353" spans="2:31" x14ac:dyDescent="0.3">
      <c r="B1353" s="245" t="s">
        <v>59</v>
      </c>
      <c r="C1353" s="245"/>
      <c r="D1353" s="245"/>
      <c r="E1353" s="186">
        <v>0</v>
      </c>
      <c r="F1353" s="187">
        <v>0</v>
      </c>
      <c r="G1353" s="186">
        <v>0</v>
      </c>
      <c r="H1353" s="187">
        <v>0</v>
      </c>
      <c r="I1353" s="186">
        <v>0</v>
      </c>
      <c r="J1353" s="187">
        <v>0</v>
      </c>
      <c r="K1353" s="186">
        <v>0</v>
      </c>
      <c r="L1353" s="187">
        <v>0</v>
      </c>
      <c r="M1353" s="186">
        <v>0</v>
      </c>
      <c r="N1353" s="187">
        <v>0</v>
      </c>
      <c r="O1353" s="186">
        <v>0</v>
      </c>
      <c r="P1353" s="187">
        <v>0</v>
      </c>
      <c r="Q1353" s="186">
        <v>0</v>
      </c>
      <c r="R1353" s="187">
        <v>0</v>
      </c>
      <c r="S1353" s="186">
        <v>16.044499999999996</v>
      </c>
      <c r="T1353" s="187">
        <v>17.467833333333331</v>
      </c>
      <c r="U1353" s="186">
        <v>16.069666666666667</v>
      </c>
      <c r="V1353" s="187">
        <v>12.660166666666669</v>
      </c>
      <c r="W1353" s="186">
        <v>2.3545000000000016</v>
      </c>
      <c r="X1353" s="187">
        <v>0</v>
      </c>
      <c r="Y1353" s="186">
        <v>0</v>
      </c>
      <c r="Z1353" s="187">
        <v>0</v>
      </c>
      <c r="AA1353" s="186">
        <v>0</v>
      </c>
      <c r="AB1353" s="187">
        <v>0</v>
      </c>
      <c r="AC1353" s="238">
        <f t="shared" si="72"/>
        <v>64.596666666666664</v>
      </c>
      <c r="AD1353" s="238"/>
      <c r="AE1353" s="238"/>
    </row>
    <row r="1354" spans="2:31" x14ac:dyDescent="0.3">
      <c r="B1354" s="245" t="s">
        <v>60</v>
      </c>
      <c r="C1354" s="245"/>
      <c r="D1354" s="245"/>
      <c r="E1354" s="186">
        <v>0</v>
      </c>
      <c r="F1354" s="187">
        <v>0</v>
      </c>
      <c r="G1354" s="186">
        <v>0</v>
      </c>
      <c r="H1354" s="187">
        <v>0</v>
      </c>
      <c r="I1354" s="186">
        <v>0</v>
      </c>
      <c r="J1354" s="187">
        <v>0</v>
      </c>
      <c r="K1354" s="186">
        <v>0</v>
      </c>
      <c r="L1354" s="187">
        <v>0</v>
      </c>
      <c r="M1354" s="186">
        <v>0</v>
      </c>
      <c r="N1354" s="187">
        <v>0</v>
      </c>
      <c r="O1354" s="186">
        <v>0</v>
      </c>
      <c r="P1354" s="187">
        <v>0</v>
      </c>
      <c r="Q1354" s="186">
        <v>0</v>
      </c>
      <c r="R1354" s="187">
        <v>0</v>
      </c>
      <c r="S1354" s="186">
        <v>0</v>
      </c>
      <c r="T1354" s="187">
        <v>0</v>
      </c>
      <c r="U1354" s="186">
        <v>0</v>
      </c>
      <c r="V1354" s="187">
        <v>0</v>
      </c>
      <c r="W1354" s="186">
        <v>0</v>
      </c>
      <c r="X1354" s="187">
        <v>0</v>
      </c>
      <c r="Y1354" s="186">
        <v>0</v>
      </c>
      <c r="Z1354" s="187">
        <v>0</v>
      </c>
      <c r="AA1354" s="186">
        <v>0</v>
      </c>
      <c r="AB1354" s="187">
        <v>0</v>
      </c>
      <c r="AC1354" s="238">
        <f t="shared" si="72"/>
        <v>0</v>
      </c>
      <c r="AD1354" s="238"/>
      <c r="AE1354" s="238"/>
    </row>
    <row r="1355" spans="2:31" x14ac:dyDescent="0.3">
      <c r="B1355" s="245" t="s">
        <v>61</v>
      </c>
      <c r="C1355" s="245"/>
      <c r="D1355" s="245"/>
      <c r="E1355" s="186">
        <v>0</v>
      </c>
      <c r="F1355" s="187">
        <v>0</v>
      </c>
      <c r="G1355" s="186">
        <v>0</v>
      </c>
      <c r="H1355" s="187">
        <v>0</v>
      </c>
      <c r="I1355" s="186">
        <v>0</v>
      </c>
      <c r="J1355" s="187">
        <v>0</v>
      </c>
      <c r="K1355" s="186">
        <v>0</v>
      </c>
      <c r="L1355" s="187">
        <v>0</v>
      </c>
      <c r="M1355" s="186">
        <v>0</v>
      </c>
      <c r="N1355" s="187">
        <v>0</v>
      </c>
      <c r="O1355" s="186">
        <v>0</v>
      </c>
      <c r="P1355" s="187">
        <v>0</v>
      </c>
      <c r="Q1355" s="186">
        <v>0</v>
      </c>
      <c r="R1355" s="187">
        <v>0</v>
      </c>
      <c r="S1355" s="186">
        <v>0</v>
      </c>
      <c r="T1355" s="187">
        <v>0</v>
      </c>
      <c r="U1355" s="186">
        <v>0</v>
      </c>
      <c r="V1355" s="187">
        <v>0</v>
      </c>
      <c r="W1355" s="186">
        <v>0</v>
      </c>
      <c r="X1355" s="187">
        <v>0</v>
      </c>
      <c r="Y1355" s="186">
        <v>0</v>
      </c>
      <c r="Z1355" s="187">
        <v>0</v>
      </c>
      <c r="AA1355" s="186">
        <v>0</v>
      </c>
      <c r="AB1355" s="187">
        <v>0</v>
      </c>
      <c r="AC1355" s="238">
        <f t="shared" si="72"/>
        <v>0</v>
      </c>
      <c r="AD1355" s="238"/>
      <c r="AE1355" s="238"/>
    </row>
    <row r="1356" spans="2:31" x14ac:dyDescent="0.3">
      <c r="B1356" s="245" t="s">
        <v>62</v>
      </c>
      <c r="C1356" s="245"/>
      <c r="D1356" s="245"/>
      <c r="E1356" s="186">
        <v>0</v>
      </c>
      <c r="F1356" s="187">
        <v>0</v>
      </c>
      <c r="G1356" s="186">
        <v>0</v>
      </c>
      <c r="H1356" s="187">
        <v>0</v>
      </c>
      <c r="I1356" s="186">
        <v>0</v>
      </c>
      <c r="J1356" s="187">
        <v>0</v>
      </c>
      <c r="K1356" s="186">
        <v>0</v>
      </c>
      <c r="L1356" s="187">
        <v>0</v>
      </c>
      <c r="M1356" s="186">
        <v>0</v>
      </c>
      <c r="N1356" s="187">
        <v>0</v>
      </c>
      <c r="O1356" s="186">
        <v>0</v>
      </c>
      <c r="P1356" s="187">
        <v>0</v>
      </c>
      <c r="Q1356" s="186">
        <v>0</v>
      </c>
      <c r="R1356" s="187">
        <v>0</v>
      </c>
      <c r="S1356" s="186">
        <v>0</v>
      </c>
      <c r="T1356" s="187">
        <v>0</v>
      </c>
      <c r="U1356" s="186">
        <v>0</v>
      </c>
      <c r="V1356" s="187">
        <v>0</v>
      </c>
      <c r="W1356" s="186">
        <v>0</v>
      </c>
      <c r="X1356" s="187">
        <v>0</v>
      </c>
      <c r="Y1356" s="186">
        <v>0</v>
      </c>
      <c r="Z1356" s="187">
        <v>0</v>
      </c>
      <c r="AA1356" s="186">
        <v>0</v>
      </c>
      <c r="AB1356" s="187">
        <v>0</v>
      </c>
      <c r="AC1356" s="238">
        <f t="shared" si="72"/>
        <v>0</v>
      </c>
      <c r="AD1356" s="238"/>
      <c r="AE1356" s="238"/>
    </row>
    <row r="1357" spans="2:31" x14ac:dyDescent="0.3">
      <c r="B1357" s="245" t="s">
        <v>63</v>
      </c>
      <c r="C1357" s="245"/>
      <c r="D1357" s="245"/>
      <c r="E1357" s="186">
        <v>0</v>
      </c>
      <c r="F1357" s="187">
        <v>0</v>
      </c>
      <c r="G1357" s="186">
        <v>0</v>
      </c>
      <c r="H1357" s="187">
        <v>0</v>
      </c>
      <c r="I1357" s="186">
        <v>0</v>
      </c>
      <c r="J1357" s="187">
        <v>0</v>
      </c>
      <c r="K1357" s="186">
        <v>0</v>
      </c>
      <c r="L1357" s="187">
        <v>0</v>
      </c>
      <c r="M1357" s="186">
        <v>0</v>
      </c>
      <c r="N1357" s="187">
        <v>0</v>
      </c>
      <c r="O1357" s="186">
        <v>0</v>
      </c>
      <c r="P1357" s="187">
        <v>0</v>
      </c>
      <c r="Q1357" s="186">
        <v>0</v>
      </c>
      <c r="R1357" s="187">
        <v>0</v>
      </c>
      <c r="S1357" s="186">
        <v>0</v>
      </c>
      <c r="T1357" s="187">
        <v>0</v>
      </c>
      <c r="U1357" s="186">
        <v>0</v>
      </c>
      <c r="V1357" s="187">
        <v>0</v>
      </c>
      <c r="W1357" s="186">
        <v>0</v>
      </c>
      <c r="X1357" s="187">
        <v>0</v>
      </c>
      <c r="Y1357" s="186">
        <v>0</v>
      </c>
      <c r="Z1357" s="187">
        <v>0</v>
      </c>
      <c r="AA1357" s="186">
        <v>0</v>
      </c>
      <c r="AB1357" s="187">
        <v>0</v>
      </c>
      <c r="AC1357" s="238">
        <f t="shared" si="72"/>
        <v>0</v>
      </c>
      <c r="AD1357" s="238"/>
      <c r="AE1357" s="238"/>
    </row>
    <row r="1358" spans="2:31" x14ac:dyDescent="0.3">
      <c r="B1358" s="245" t="s">
        <v>64</v>
      </c>
      <c r="C1358" s="245"/>
      <c r="D1358" s="245"/>
      <c r="E1358" s="186">
        <v>0</v>
      </c>
      <c r="F1358" s="187">
        <v>0</v>
      </c>
      <c r="G1358" s="186">
        <v>0</v>
      </c>
      <c r="H1358" s="187">
        <v>0</v>
      </c>
      <c r="I1358" s="186">
        <v>0</v>
      </c>
      <c r="J1358" s="187">
        <v>0</v>
      </c>
      <c r="K1358" s="186">
        <v>0</v>
      </c>
      <c r="L1358" s="187">
        <v>0</v>
      </c>
      <c r="M1358" s="186">
        <v>0</v>
      </c>
      <c r="N1358" s="187">
        <v>0</v>
      </c>
      <c r="O1358" s="186">
        <v>0</v>
      </c>
      <c r="P1358" s="187">
        <v>0</v>
      </c>
      <c r="Q1358" s="186">
        <v>0</v>
      </c>
      <c r="R1358" s="187">
        <v>0</v>
      </c>
      <c r="S1358" s="186">
        <v>0</v>
      </c>
      <c r="T1358" s="187">
        <v>0</v>
      </c>
      <c r="U1358" s="186">
        <v>0</v>
      </c>
      <c r="V1358" s="187">
        <v>0</v>
      </c>
      <c r="W1358" s="186">
        <v>0</v>
      </c>
      <c r="X1358" s="187">
        <v>0</v>
      </c>
      <c r="Y1358" s="186">
        <v>0</v>
      </c>
      <c r="Z1358" s="187">
        <v>0</v>
      </c>
      <c r="AA1358" s="186">
        <v>0</v>
      </c>
      <c r="AB1358" s="187">
        <v>0</v>
      </c>
      <c r="AC1358" s="238">
        <f t="shared" si="72"/>
        <v>0</v>
      </c>
      <c r="AD1358" s="238"/>
      <c r="AE1358" s="238"/>
    </row>
    <row r="1359" spans="2:31" x14ac:dyDescent="0.3">
      <c r="B1359" s="245" t="s">
        <v>96</v>
      </c>
      <c r="C1359" s="245"/>
      <c r="D1359" s="245"/>
      <c r="E1359" s="186">
        <v>0</v>
      </c>
      <c r="F1359" s="187">
        <v>0</v>
      </c>
      <c r="G1359" s="186">
        <v>0</v>
      </c>
      <c r="H1359" s="187">
        <v>0</v>
      </c>
      <c r="I1359" s="186">
        <v>0</v>
      </c>
      <c r="J1359" s="187">
        <v>0</v>
      </c>
      <c r="K1359" s="186">
        <v>0</v>
      </c>
      <c r="L1359" s="187">
        <v>0</v>
      </c>
      <c r="M1359" s="186">
        <v>0</v>
      </c>
      <c r="N1359" s="187">
        <v>0</v>
      </c>
      <c r="O1359" s="186">
        <v>0</v>
      </c>
      <c r="P1359" s="187">
        <v>0</v>
      </c>
      <c r="Q1359" s="186">
        <v>0</v>
      </c>
      <c r="R1359" s="187">
        <v>0</v>
      </c>
      <c r="S1359" s="186">
        <v>0</v>
      </c>
      <c r="T1359" s="187">
        <v>0</v>
      </c>
      <c r="U1359" s="186">
        <v>0</v>
      </c>
      <c r="V1359" s="187">
        <v>0</v>
      </c>
      <c r="W1359" s="186">
        <v>0</v>
      </c>
      <c r="X1359" s="187">
        <v>0</v>
      </c>
      <c r="Y1359" s="186">
        <v>0</v>
      </c>
      <c r="Z1359" s="187">
        <v>0</v>
      </c>
      <c r="AA1359" s="186">
        <v>0</v>
      </c>
      <c r="AB1359" s="187">
        <v>0</v>
      </c>
      <c r="AC1359" s="238">
        <f t="shared" si="72"/>
        <v>0</v>
      </c>
      <c r="AD1359" s="238"/>
      <c r="AE1359" s="238"/>
    </row>
    <row r="1360" spans="2:31" x14ac:dyDescent="0.3">
      <c r="B1360" s="245" t="s">
        <v>65</v>
      </c>
      <c r="C1360" s="245"/>
      <c r="D1360" s="245"/>
      <c r="E1360" s="186">
        <v>0</v>
      </c>
      <c r="F1360" s="187">
        <v>0</v>
      </c>
      <c r="G1360" s="186">
        <v>0</v>
      </c>
      <c r="H1360" s="187">
        <v>0</v>
      </c>
      <c r="I1360" s="186">
        <v>0</v>
      </c>
      <c r="J1360" s="187">
        <v>0</v>
      </c>
      <c r="K1360" s="186">
        <v>0</v>
      </c>
      <c r="L1360" s="187">
        <v>0</v>
      </c>
      <c r="M1360" s="186">
        <v>0</v>
      </c>
      <c r="N1360" s="187">
        <v>0</v>
      </c>
      <c r="O1360" s="186">
        <v>0</v>
      </c>
      <c r="P1360" s="187">
        <v>0</v>
      </c>
      <c r="Q1360" s="186">
        <v>0</v>
      </c>
      <c r="R1360" s="187">
        <v>0</v>
      </c>
      <c r="S1360" s="186">
        <v>0</v>
      </c>
      <c r="T1360" s="187">
        <v>0</v>
      </c>
      <c r="U1360" s="186">
        <v>0</v>
      </c>
      <c r="V1360" s="187">
        <v>0</v>
      </c>
      <c r="W1360" s="186">
        <v>0</v>
      </c>
      <c r="X1360" s="187">
        <v>0</v>
      </c>
      <c r="Y1360" s="186">
        <v>0</v>
      </c>
      <c r="Z1360" s="187">
        <v>0</v>
      </c>
      <c r="AA1360" s="186">
        <v>0</v>
      </c>
      <c r="AB1360" s="187">
        <v>0</v>
      </c>
      <c r="AC1360" s="238">
        <f t="shared" si="72"/>
        <v>0</v>
      </c>
      <c r="AD1360" s="238"/>
      <c r="AE1360" s="238"/>
    </row>
    <row r="1361" spans="2:31" x14ac:dyDescent="0.3">
      <c r="B1361" s="245" t="s">
        <v>66</v>
      </c>
      <c r="C1361" s="245"/>
      <c r="D1361" s="245"/>
      <c r="E1361" s="186">
        <v>0</v>
      </c>
      <c r="F1361" s="187">
        <v>0</v>
      </c>
      <c r="G1361" s="186">
        <v>0</v>
      </c>
      <c r="H1361" s="187">
        <v>0</v>
      </c>
      <c r="I1361" s="186">
        <v>0</v>
      </c>
      <c r="J1361" s="187">
        <v>0</v>
      </c>
      <c r="K1361" s="186">
        <v>0</v>
      </c>
      <c r="L1361" s="187">
        <v>0</v>
      </c>
      <c r="M1361" s="186">
        <v>0</v>
      </c>
      <c r="N1361" s="187">
        <v>0</v>
      </c>
      <c r="O1361" s="186">
        <v>0</v>
      </c>
      <c r="P1361" s="187">
        <v>0</v>
      </c>
      <c r="Q1361" s="186">
        <v>0</v>
      </c>
      <c r="R1361" s="187">
        <v>0</v>
      </c>
      <c r="S1361" s="186">
        <v>0</v>
      </c>
      <c r="T1361" s="187">
        <v>0</v>
      </c>
      <c r="U1361" s="186">
        <v>0</v>
      </c>
      <c r="V1361" s="187">
        <v>0</v>
      </c>
      <c r="W1361" s="186">
        <v>0</v>
      </c>
      <c r="X1361" s="187">
        <v>0</v>
      </c>
      <c r="Y1361" s="186">
        <v>0</v>
      </c>
      <c r="Z1361" s="187">
        <v>0</v>
      </c>
      <c r="AA1361" s="186">
        <v>0</v>
      </c>
      <c r="AB1361" s="187">
        <v>0</v>
      </c>
      <c r="AC1361" s="238">
        <f>SUM(E1361:AB1361)</f>
        <v>0</v>
      </c>
      <c r="AD1361" s="238"/>
      <c r="AE1361" s="238"/>
    </row>
    <row r="1362" spans="2:31" x14ac:dyDescent="0.3">
      <c r="B1362" s="245" t="s">
        <v>67</v>
      </c>
      <c r="C1362" s="245"/>
      <c r="D1362" s="245"/>
      <c r="E1362" s="186">
        <v>0</v>
      </c>
      <c r="F1362" s="187">
        <v>0</v>
      </c>
      <c r="G1362" s="186">
        <v>0</v>
      </c>
      <c r="H1362" s="187">
        <v>0</v>
      </c>
      <c r="I1362" s="186">
        <v>0</v>
      </c>
      <c r="J1362" s="187">
        <v>0</v>
      </c>
      <c r="K1362" s="186">
        <v>0</v>
      </c>
      <c r="L1362" s="187">
        <v>0</v>
      </c>
      <c r="M1362" s="186">
        <v>0</v>
      </c>
      <c r="N1362" s="187">
        <v>0</v>
      </c>
      <c r="O1362" s="186">
        <v>0</v>
      </c>
      <c r="P1362" s="187">
        <v>0</v>
      </c>
      <c r="Q1362" s="186">
        <v>0</v>
      </c>
      <c r="R1362" s="187">
        <v>0</v>
      </c>
      <c r="S1362" s="186">
        <v>0</v>
      </c>
      <c r="T1362" s="187">
        <v>0</v>
      </c>
      <c r="U1362" s="186">
        <v>0</v>
      </c>
      <c r="V1362" s="187">
        <v>0</v>
      </c>
      <c r="W1362" s="186">
        <v>0</v>
      </c>
      <c r="X1362" s="187">
        <v>0</v>
      </c>
      <c r="Y1362" s="186">
        <v>0</v>
      </c>
      <c r="Z1362" s="187">
        <v>0</v>
      </c>
      <c r="AA1362" s="186">
        <v>0</v>
      </c>
      <c r="AB1362" s="187">
        <v>0</v>
      </c>
      <c r="AC1362" s="238">
        <f t="shared" ref="AC1362:AC1375" si="73">SUM(E1362:AB1362)</f>
        <v>0</v>
      </c>
      <c r="AD1362" s="238"/>
      <c r="AE1362" s="238"/>
    </row>
    <row r="1363" spans="2:31" x14ac:dyDescent="0.3">
      <c r="B1363" s="245" t="s">
        <v>68</v>
      </c>
      <c r="C1363" s="245"/>
      <c r="D1363" s="245"/>
      <c r="E1363" s="186">
        <v>0</v>
      </c>
      <c r="F1363" s="187">
        <v>0</v>
      </c>
      <c r="G1363" s="186">
        <v>0</v>
      </c>
      <c r="H1363" s="187">
        <v>0</v>
      </c>
      <c r="I1363" s="186">
        <v>0</v>
      </c>
      <c r="J1363" s="187">
        <v>0</v>
      </c>
      <c r="K1363" s="186">
        <v>0</v>
      </c>
      <c r="L1363" s="187">
        <v>0</v>
      </c>
      <c r="M1363" s="186">
        <v>0</v>
      </c>
      <c r="N1363" s="187">
        <v>0</v>
      </c>
      <c r="O1363" s="186">
        <v>0</v>
      </c>
      <c r="P1363" s="187">
        <v>0</v>
      </c>
      <c r="Q1363" s="186">
        <v>0</v>
      </c>
      <c r="R1363" s="187">
        <v>0</v>
      </c>
      <c r="S1363" s="186">
        <v>0</v>
      </c>
      <c r="T1363" s="187">
        <v>0</v>
      </c>
      <c r="U1363" s="186">
        <v>0</v>
      </c>
      <c r="V1363" s="187">
        <v>0</v>
      </c>
      <c r="W1363" s="186">
        <v>0</v>
      </c>
      <c r="X1363" s="187">
        <v>0</v>
      </c>
      <c r="Y1363" s="186">
        <v>0</v>
      </c>
      <c r="Z1363" s="187">
        <v>0</v>
      </c>
      <c r="AA1363" s="186">
        <v>0</v>
      </c>
      <c r="AB1363" s="187">
        <v>0</v>
      </c>
      <c r="AC1363" s="238">
        <f t="shared" si="73"/>
        <v>0</v>
      </c>
      <c r="AD1363" s="238"/>
      <c r="AE1363" s="238"/>
    </row>
    <row r="1364" spans="2:31" x14ac:dyDescent="0.3">
      <c r="B1364" s="245" t="s">
        <v>69</v>
      </c>
      <c r="C1364" s="245"/>
      <c r="D1364" s="245"/>
      <c r="E1364" s="186">
        <v>0</v>
      </c>
      <c r="F1364" s="187">
        <v>0</v>
      </c>
      <c r="G1364" s="186">
        <v>0</v>
      </c>
      <c r="H1364" s="187">
        <v>0</v>
      </c>
      <c r="I1364" s="186">
        <v>0</v>
      </c>
      <c r="J1364" s="187">
        <v>0</v>
      </c>
      <c r="K1364" s="186">
        <v>0</v>
      </c>
      <c r="L1364" s="187">
        <v>0</v>
      </c>
      <c r="M1364" s="186">
        <v>0</v>
      </c>
      <c r="N1364" s="187">
        <v>0</v>
      </c>
      <c r="O1364" s="186">
        <v>0</v>
      </c>
      <c r="P1364" s="187">
        <v>0</v>
      </c>
      <c r="Q1364" s="186">
        <v>0</v>
      </c>
      <c r="R1364" s="187">
        <v>0</v>
      </c>
      <c r="S1364" s="186">
        <v>0</v>
      </c>
      <c r="T1364" s="187">
        <v>0</v>
      </c>
      <c r="U1364" s="186">
        <v>0</v>
      </c>
      <c r="V1364" s="187">
        <v>0</v>
      </c>
      <c r="W1364" s="186">
        <v>0</v>
      </c>
      <c r="X1364" s="187">
        <v>0</v>
      </c>
      <c r="Y1364" s="186">
        <v>0</v>
      </c>
      <c r="Z1364" s="187">
        <v>0</v>
      </c>
      <c r="AA1364" s="186">
        <v>0</v>
      </c>
      <c r="AB1364" s="187">
        <v>0</v>
      </c>
      <c r="AC1364" s="238">
        <f t="shared" si="73"/>
        <v>0</v>
      </c>
      <c r="AD1364" s="238"/>
      <c r="AE1364" s="238"/>
    </row>
    <row r="1365" spans="2:31" x14ac:dyDescent="0.3">
      <c r="B1365" s="245" t="s">
        <v>70</v>
      </c>
      <c r="C1365" s="245"/>
      <c r="D1365" s="245"/>
      <c r="E1365" s="186">
        <v>0</v>
      </c>
      <c r="F1365" s="187">
        <v>0</v>
      </c>
      <c r="G1365" s="186">
        <v>0</v>
      </c>
      <c r="H1365" s="187">
        <v>0</v>
      </c>
      <c r="I1365" s="186">
        <v>0</v>
      </c>
      <c r="J1365" s="187">
        <v>0</v>
      </c>
      <c r="K1365" s="186">
        <v>0</v>
      </c>
      <c r="L1365" s="187">
        <v>0</v>
      </c>
      <c r="M1365" s="186">
        <v>0</v>
      </c>
      <c r="N1365" s="187">
        <v>0</v>
      </c>
      <c r="O1365" s="186">
        <v>0</v>
      </c>
      <c r="P1365" s="187">
        <v>0</v>
      </c>
      <c r="Q1365" s="186">
        <v>0</v>
      </c>
      <c r="R1365" s="187">
        <v>0</v>
      </c>
      <c r="S1365" s="186">
        <v>0</v>
      </c>
      <c r="T1365" s="187">
        <v>0</v>
      </c>
      <c r="U1365" s="186">
        <v>0</v>
      </c>
      <c r="V1365" s="187">
        <v>0</v>
      </c>
      <c r="W1365" s="186">
        <v>0</v>
      </c>
      <c r="X1365" s="187">
        <v>0</v>
      </c>
      <c r="Y1365" s="186">
        <v>0</v>
      </c>
      <c r="Z1365" s="187">
        <v>0</v>
      </c>
      <c r="AA1365" s="186">
        <v>0</v>
      </c>
      <c r="AB1365" s="187">
        <v>0</v>
      </c>
      <c r="AC1365" s="238">
        <f t="shared" si="73"/>
        <v>0</v>
      </c>
      <c r="AD1365" s="238"/>
      <c r="AE1365" s="238"/>
    </row>
    <row r="1366" spans="2:31" x14ac:dyDescent="0.3">
      <c r="B1366" s="245" t="s">
        <v>71</v>
      </c>
      <c r="C1366" s="245"/>
      <c r="D1366" s="245"/>
      <c r="E1366" s="186">
        <v>0</v>
      </c>
      <c r="F1366" s="187">
        <v>0</v>
      </c>
      <c r="G1366" s="186">
        <v>0</v>
      </c>
      <c r="H1366" s="187">
        <v>0</v>
      </c>
      <c r="I1366" s="186">
        <v>0</v>
      </c>
      <c r="J1366" s="187">
        <v>0</v>
      </c>
      <c r="K1366" s="186">
        <v>0</v>
      </c>
      <c r="L1366" s="187">
        <v>0</v>
      </c>
      <c r="M1366" s="186">
        <v>0</v>
      </c>
      <c r="N1366" s="187">
        <v>0</v>
      </c>
      <c r="O1366" s="186">
        <v>0</v>
      </c>
      <c r="P1366" s="187">
        <v>0</v>
      </c>
      <c r="Q1366" s="186">
        <v>0</v>
      </c>
      <c r="R1366" s="187">
        <v>0</v>
      </c>
      <c r="S1366" s="186">
        <v>0</v>
      </c>
      <c r="T1366" s="187">
        <v>0</v>
      </c>
      <c r="U1366" s="186">
        <v>0</v>
      </c>
      <c r="V1366" s="187">
        <v>0</v>
      </c>
      <c r="W1366" s="186">
        <v>0</v>
      </c>
      <c r="X1366" s="187">
        <v>0</v>
      </c>
      <c r="Y1366" s="186">
        <v>0</v>
      </c>
      <c r="Z1366" s="187">
        <v>0</v>
      </c>
      <c r="AA1366" s="186">
        <v>0</v>
      </c>
      <c r="AB1366" s="187">
        <v>0</v>
      </c>
      <c r="AC1366" s="238">
        <f t="shared" si="73"/>
        <v>0</v>
      </c>
      <c r="AD1366" s="238"/>
      <c r="AE1366" s="238"/>
    </row>
    <row r="1367" spans="2:31" x14ac:dyDescent="0.3">
      <c r="B1367" s="245" t="s">
        <v>72</v>
      </c>
      <c r="C1367" s="245"/>
      <c r="D1367" s="245"/>
      <c r="E1367" s="186">
        <v>0</v>
      </c>
      <c r="F1367" s="187">
        <v>0</v>
      </c>
      <c r="G1367" s="186">
        <v>0</v>
      </c>
      <c r="H1367" s="187">
        <v>0</v>
      </c>
      <c r="I1367" s="186">
        <v>0</v>
      </c>
      <c r="J1367" s="187">
        <v>0</v>
      </c>
      <c r="K1367" s="186">
        <v>0</v>
      </c>
      <c r="L1367" s="187">
        <v>0</v>
      </c>
      <c r="M1367" s="186">
        <v>0</v>
      </c>
      <c r="N1367" s="187">
        <v>0</v>
      </c>
      <c r="O1367" s="186">
        <v>0</v>
      </c>
      <c r="P1367" s="187">
        <v>0</v>
      </c>
      <c r="Q1367" s="186">
        <v>0</v>
      </c>
      <c r="R1367" s="187">
        <v>0</v>
      </c>
      <c r="S1367" s="186">
        <v>0</v>
      </c>
      <c r="T1367" s="187">
        <v>0</v>
      </c>
      <c r="U1367" s="186">
        <v>0</v>
      </c>
      <c r="V1367" s="187">
        <v>0</v>
      </c>
      <c r="W1367" s="186">
        <v>0</v>
      </c>
      <c r="X1367" s="187">
        <v>0</v>
      </c>
      <c r="Y1367" s="186">
        <v>0</v>
      </c>
      <c r="Z1367" s="187">
        <v>0</v>
      </c>
      <c r="AA1367" s="186">
        <v>0</v>
      </c>
      <c r="AB1367" s="187">
        <v>0</v>
      </c>
      <c r="AC1367" s="238">
        <f t="shared" si="73"/>
        <v>0</v>
      </c>
      <c r="AD1367" s="238"/>
      <c r="AE1367" s="238"/>
    </row>
    <row r="1368" spans="2:31" x14ac:dyDescent="0.3">
      <c r="B1368" s="245" t="s">
        <v>73</v>
      </c>
      <c r="C1368" s="245"/>
      <c r="D1368" s="245"/>
      <c r="E1368" s="186">
        <v>0</v>
      </c>
      <c r="F1368" s="187">
        <v>0</v>
      </c>
      <c r="G1368" s="186">
        <v>0</v>
      </c>
      <c r="H1368" s="187">
        <v>0</v>
      </c>
      <c r="I1368" s="186">
        <v>0</v>
      </c>
      <c r="J1368" s="187">
        <v>0</v>
      </c>
      <c r="K1368" s="186">
        <v>0</v>
      </c>
      <c r="L1368" s="187">
        <v>0</v>
      </c>
      <c r="M1368" s="186">
        <v>0</v>
      </c>
      <c r="N1368" s="187">
        <v>0</v>
      </c>
      <c r="O1368" s="186">
        <v>0</v>
      </c>
      <c r="P1368" s="187">
        <v>0</v>
      </c>
      <c r="Q1368" s="186">
        <v>0</v>
      </c>
      <c r="R1368" s="187">
        <v>0</v>
      </c>
      <c r="S1368" s="186">
        <v>0</v>
      </c>
      <c r="T1368" s="187">
        <v>0</v>
      </c>
      <c r="U1368" s="186">
        <v>0</v>
      </c>
      <c r="V1368" s="187">
        <v>0</v>
      </c>
      <c r="W1368" s="186">
        <v>0</v>
      </c>
      <c r="X1368" s="187">
        <v>0</v>
      </c>
      <c r="Y1368" s="186">
        <v>0</v>
      </c>
      <c r="Z1368" s="187">
        <v>0</v>
      </c>
      <c r="AA1368" s="186">
        <v>0</v>
      </c>
      <c r="AB1368" s="187">
        <v>0</v>
      </c>
      <c r="AC1368" s="238">
        <f t="shared" si="73"/>
        <v>0</v>
      </c>
      <c r="AD1368" s="238"/>
      <c r="AE1368" s="238"/>
    </row>
    <row r="1369" spans="2:31" x14ac:dyDescent="0.3">
      <c r="B1369" s="245" t="s">
        <v>74</v>
      </c>
      <c r="C1369" s="245"/>
      <c r="D1369" s="245"/>
      <c r="E1369" s="186">
        <v>0</v>
      </c>
      <c r="F1369" s="187">
        <v>0</v>
      </c>
      <c r="G1369" s="186">
        <v>0</v>
      </c>
      <c r="H1369" s="187">
        <v>0</v>
      </c>
      <c r="I1369" s="186">
        <v>0</v>
      </c>
      <c r="J1369" s="187">
        <v>0</v>
      </c>
      <c r="K1369" s="186">
        <v>0</v>
      </c>
      <c r="L1369" s="187">
        <v>0</v>
      </c>
      <c r="M1369" s="186">
        <v>0</v>
      </c>
      <c r="N1369" s="187">
        <v>0</v>
      </c>
      <c r="O1369" s="186">
        <v>0</v>
      </c>
      <c r="P1369" s="187">
        <v>0</v>
      </c>
      <c r="Q1369" s="186">
        <v>0</v>
      </c>
      <c r="R1369" s="187">
        <v>0</v>
      </c>
      <c r="S1369" s="186">
        <v>0</v>
      </c>
      <c r="T1369" s="187">
        <v>0</v>
      </c>
      <c r="U1369" s="186">
        <v>0</v>
      </c>
      <c r="V1369" s="187">
        <v>0</v>
      </c>
      <c r="W1369" s="186">
        <v>0</v>
      </c>
      <c r="X1369" s="187">
        <v>0</v>
      </c>
      <c r="Y1369" s="186">
        <v>0</v>
      </c>
      <c r="Z1369" s="187">
        <v>0</v>
      </c>
      <c r="AA1369" s="186">
        <v>0</v>
      </c>
      <c r="AB1369" s="187">
        <v>0</v>
      </c>
      <c r="AC1369" s="238">
        <f t="shared" si="73"/>
        <v>0</v>
      </c>
      <c r="AD1369" s="238"/>
      <c r="AE1369" s="238"/>
    </row>
    <row r="1370" spans="2:31" x14ac:dyDescent="0.3">
      <c r="B1370" s="245" t="s">
        <v>75</v>
      </c>
      <c r="C1370" s="245"/>
      <c r="D1370" s="245"/>
      <c r="E1370" s="186">
        <v>0</v>
      </c>
      <c r="F1370" s="187">
        <v>0</v>
      </c>
      <c r="G1370" s="186">
        <v>0</v>
      </c>
      <c r="H1370" s="187">
        <v>0</v>
      </c>
      <c r="I1370" s="186">
        <v>0</v>
      </c>
      <c r="J1370" s="187">
        <v>0</v>
      </c>
      <c r="K1370" s="186">
        <v>0</v>
      </c>
      <c r="L1370" s="187">
        <v>0</v>
      </c>
      <c r="M1370" s="186">
        <v>0</v>
      </c>
      <c r="N1370" s="187">
        <v>0</v>
      </c>
      <c r="O1370" s="186">
        <v>0</v>
      </c>
      <c r="P1370" s="187">
        <v>0</v>
      </c>
      <c r="Q1370" s="186">
        <v>0</v>
      </c>
      <c r="R1370" s="187">
        <v>0</v>
      </c>
      <c r="S1370" s="186">
        <v>0</v>
      </c>
      <c r="T1370" s="187">
        <v>0</v>
      </c>
      <c r="U1370" s="186">
        <v>0</v>
      </c>
      <c r="V1370" s="187">
        <v>0</v>
      </c>
      <c r="W1370" s="186">
        <v>0</v>
      </c>
      <c r="X1370" s="187">
        <v>0</v>
      </c>
      <c r="Y1370" s="186">
        <v>0</v>
      </c>
      <c r="Z1370" s="187">
        <v>0</v>
      </c>
      <c r="AA1370" s="186">
        <v>0</v>
      </c>
      <c r="AB1370" s="187">
        <v>0</v>
      </c>
      <c r="AC1370" s="238">
        <f t="shared" si="73"/>
        <v>0</v>
      </c>
      <c r="AD1370" s="238"/>
      <c r="AE1370" s="238"/>
    </row>
    <row r="1371" spans="2:31" x14ac:dyDescent="0.3">
      <c r="B1371" s="245" t="s">
        <v>76</v>
      </c>
      <c r="C1371" s="245"/>
      <c r="D1371" s="245"/>
      <c r="E1371" s="186">
        <v>0</v>
      </c>
      <c r="F1371" s="187">
        <v>0</v>
      </c>
      <c r="G1371" s="186">
        <v>0</v>
      </c>
      <c r="H1371" s="187">
        <v>0</v>
      </c>
      <c r="I1371" s="186">
        <v>0</v>
      </c>
      <c r="J1371" s="187">
        <v>0</v>
      </c>
      <c r="K1371" s="186">
        <v>0</v>
      </c>
      <c r="L1371" s="187">
        <v>0</v>
      </c>
      <c r="M1371" s="186">
        <v>0</v>
      </c>
      <c r="N1371" s="187">
        <v>0</v>
      </c>
      <c r="O1371" s="186">
        <v>0</v>
      </c>
      <c r="P1371" s="187">
        <v>0</v>
      </c>
      <c r="Q1371" s="186">
        <v>0</v>
      </c>
      <c r="R1371" s="187">
        <v>0</v>
      </c>
      <c r="S1371" s="186">
        <v>0</v>
      </c>
      <c r="T1371" s="187">
        <v>0</v>
      </c>
      <c r="U1371" s="186">
        <v>0</v>
      </c>
      <c r="V1371" s="187">
        <v>0</v>
      </c>
      <c r="W1371" s="186">
        <v>0</v>
      </c>
      <c r="X1371" s="187">
        <v>0</v>
      </c>
      <c r="Y1371" s="186">
        <v>0</v>
      </c>
      <c r="Z1371" s="187">
        <v>0</v>
      </c>
      <c r="AA1371" s="186">
        <v>0</v>
      </c>
      <c r="AB1371" s="187">
        <v>0</v>
      </c>
      <c r="AC1371" s="238">
        <f t="shared" si="73"/>
        <v>0</v>
      </c>
      <c r="AD1371" s="238"/>
      <c r="AE1371" s="238"/>
    </row>
    <row r="1372" spans="2:31" x14ac:dyDescent="0.3">
      <c r="B1372" s="245" t="s">
        <v>77</v>
      </c>
      <c r="C1372" s="245"/>
      <c r="D1372" s="245"/>
      <c r="E1372" s="186">
        <v>0</v>
      </c>
      <c r="F1372" s="187">
        <v>0</v>
      </c>
      <c r="G1372" s="186">
        <v>0</v>
      </c>
      <c r="H1372" s="187">
        <v>0</v>
      </c>
      <c r="I1372" s="186">
        <v>0</v>
      </c>
      <c r="J1372" s="187">
        <v>0</v>
      </c>
      <c r="K1372" s="186">
        <v>0</v>
      </c>
      <c r="L1372" s="187">
        <v>0</v>
      </c>
      <c r="M1372" s="186">
        <v>0</v>
      </c>
      <c r="N1372" s="187">
        <v>0</v>
      </c>
      <c r="O1372" s="186">
        <v>0</v>
      </c>
      <c r="P1372" s="187">
        <v>0</v>
      </c>
      <c r="Q1372" s="186">
        <v>0</v>
      </c>
      <c r="R1372" s="187">
        <v>0</v>
      </c>
      <c r="S1372" s="186">
        <v>0</v>
      </c>
      <c r="T1372" s="187">
        <v>0</v>
      </c>
      <c r="U1372" s="186">
        <v>0</v>
      </c>
      <c r="V1372" s="187">
        <v>0</v>
      </c>
      <c r="W1372" s="186">
        <v>0</v>
      </c>
      <c r="X1372" s="187">
        <v>0</v>
      </c>
      <c r="Y1372" s="186">
        <v>0</v>
      </c>
      <c r="Z1372" s="187">
        <v>0</v>
      </c>
      <c r="AA1372" s="186">
        <v>0</v>
      </c>
      <c r="AB1372" s="187">
        <v>0</v>
      </c>
      <c r="AC1372" s="238">
        <f t="shared" si="73"/>
        <v>0</v>
      </c>
      <c r="AD1372" s="238"/>
      <c r="AE1372" s="238"/>
    </row>
    <row r="1373" spans="2:31" x14ac:dyDescent="0.3">
      <c r="B1373" s="245" t="s">
        <v>78</v>
      </c>
      <c r="C1373" s="245"/>
      <c r="D1373" s="245"/>
      <c r="E1373" s="186">
        <v>0</v>
      </c>
      <c r="F1373" s="187">
        <v>0</v>
      </c>
      <c r="G1373" s="186">
        <v>0</v>
      </c>
      <c r="H1373" s="187">
        <v>0</v>
      </c>
      <c r="I1373" s="186">
        <v>0</v>
      </c>
      <c r="J1373" s="187">
        <v>0</v>
      </c>
      <c r="K1373" s="186">
        <v>0</v>
      </c>
      <c r="L1373" s="187">
        <v>0</v>
      </c>
      <c r="M1373" s="186">
        <v>0</v>
      </c>
      <c r="N1373" s="187">
        <v>0</v>
      </c>
      <c r="O1373" s="186">
        <v>0</v>
      </c>
      <c r="P1373" s="187">
        <v>0</v>
      </c>
      <c r="Q1373" s="186">
        <v>0</v>
      </c>
      <c r="R1373" s="187">
        <v>0</v>
      </c>
      <c r="S1373" s="186">
        <v>0</v>
      </c>
      <c r="T1373" s="187">
        <v>0</v>
      </c>
      <c r="U1373" s="186">
        <v>0</v>
      </c>
      <c r="V1373" s="187">
        <v>0</v>
      </c>
      <c r="W1373" s="186">
        <v>0</v>
      </c>
      <c r="X1373" s="187">
        <v>0</v>
      </c>
      <c r="Y1373" s="186">
        <v>0</v>
      </c>
      <c r="Z1373" s="187">
        <v>0</v>
      </c>
      <c r="AA1373" s="186">
        <v>0</v>
      </c>
      <c r="AB1373" s="187">
        <v>0</v>
      </c>
      <c r="AC1373" s="238">
        <f t="shared" si="73"/>
        <v>0</v>
      </c>
      <c r="AD1373" s="238"/>
      <c r="AE1373" s="238"/>
    </row>
    <row r="1374" spans="2:31" x14ac:dyDescent="0.3">
      <c r="B1374" s="245" t="s">
        <v>79</v>
      </c>
      <c r="C1374" s="245"/>
      <c r="D1374" s="245"/>
      <c r="E1374" s="186">
        <v>0</v>
      </c>
      <c r="F1374" s="187">
        <v>0</v>
      </c>
      <c r="G1374" s="186">
        <v>0</v>
      </c>
      <c r="H1374" s="187">
        <v>0</v>
      </c>
      <c r="I1374" s="186">
        <v>0</v>
      </c>
      <c r="J1374" s="187">
        <v>0</v>
      </c>
      <c r="K1374" s="186">
        <v>0</v>
      </c>
      <c r="L1374" s="187">
        <v>0</v>
      </c>
      <c r="M1374" s="186">
        <v>0</v>
      </c>
      <c r="N1374" s="187">
        <v>0</v>
      </c>
      <c r="O1374" s="186">
        <v>0</v>
      </c>
      <c r="P1374" s="187">
        <v>0</v>
      </c>
      <c r="Q1374" s="186">
        <v>0</v>
      </c>
      <c r="R1374" s="187">
        <v>0</v>
      </c>
      <c r="S1374" s="186">
        <v>0</v>
      </c>
      <c r="T1374" s="187">
        <v>0</v>
      </c>
      <c r="U1374" s="186">
        <v>0</v>
      </c>
      <c r="V1374" s="187">
        <v>0</v>
      </c>
      <c r="W1374" s="186">
        <v>0</v>
      </c>
      <c r="X1374" s="187">
        <v>0</v>
      </c>
      <c r="Y1374" s="186">
        <v>0</v>
      </c>
      <c r="Z1374" s="187">
        <v>0</v>
      </c>
      <c r="AA1374" s="186">
        <v>0</v>
      </c>
      <c r="AB1374" s="187">
        <v>0</v>
      </c>
      <c r="AC1374" s="238">
        <f t="shared" si="73"/>
        <v>0</v>
      </c>
      <c r="AD1374" s="238"/>
      <c r="AE1374" s="238"/>
    </row>
    <row r="1375" spans="2:31" x14ac:dyDescent="0.3">
      <c r="B1375" s="245" t="s">
        <v>80</v>
      </c>
      <c r="C1375" s="245"/>
      <c r="D1375" s="245"/>
      <c r="E1375" s="186">
        <v>0</v>
      </c>
      <c r="F1375" s="187">
        <v>0</v>
      </c>
      <c r="G1375" s="186">
        <v>0</v>
      </c>
      <c r="H1375" s="187">
        <v>0</v>
      </c>
      <c r="I1375" s="186">
        <v>0</v>
      </c>
      <c r="J1375" s="187">
        <v>0</v>
      </c>
      <c r="K1375" s="186">
        <v>0</v>
      </c>
      <c r="L1375" s="187">
        <v>0</v>
      </c>
      <c r="M1375" s="186">
        <v>0</v>
      </c>
      <c r="N1375" s="187">
        <v>0</v>
      </c>
      <c r="O1375" s="186">
        <v>0</v>
      </c>
      <c r="P1375" s="187">
        <v>0</v>
      </c>
      <c r="Q1375" s="186">
        <v>0</v>
      </c>
      <c r="R1375" s="187">
        <v>0</v>
      </c>
      <c r="S1375" s="186">
        <v>0</v>
      </c>
      <c r="T1375" s="187">
        <v>0</v>
      </c>
      <c r="U1375" s="186">
        <v>0</v>
      </c>
      <c r="V1375" s="187">
        <v>0</v>
      </c>
      <c r="W1375" s="186">
        <v>0</v>
      </c>
      <c r="X1375" s="187">
        <v>0</v>
      </c>
      <c r="Y1375" s="186">
        <v>0</v>
      </c>
      <c r="Z1375" s="187">
        <v>0</v>
      </c>
      <c r="AA1375" s="186">
        <v>0</v>
      </c>
      <c r="AB1375" s="187">
        <v>0</v>
      </c>
      <c r="AC1375" s="238">
        <f t="shared" si="73"/>
        <v>0</v>
      </c>
      <c r="AD1375" s="238"/>
      <c r="AE1375" s="238"/>
    </row>
    <row r="1376" spans="2:31" x14ac:dyDescent="0.3">
      <c r="B1376" s="245" t="s">
        <v>93</v>
      </c>
      <c r="C1376" s="245"/>
      <c r="D1376" s="245"/>
      <c r="E1376" s="186">
        <v>0</v>
      </c>
      <c r="F1376" s="187">
        <v>0</v>
      </c>
      <c r="G1376" s="186">
        <v>0</v>
      </c>
      <c r="H1376" s="187">
        <v>0</v>
      </c>
      <c r="I1376" s="186">
        <v>0</v>
      </c>
      <c r="J1376" s="187">
        <v>0</v>
      </c>
      <c r="K1376" s="186">
        <v>0</v>
      </c>
      <c r="L1376" s="187">
        <v>0</v>
      </c>
      <c r="M1376" s="186">
        <v>0</v>
      </c>
      <c r="N1376" s="187">
        <v>0</v>
      </c>
      <c r="O1376" s="186">
        <v>0</v>
      </c>
      <c r="P1376" s="187">
        <v>0</v>
      </c>
      <c r="Q1376" s="186">
        <v>0</v>
      </c>
      <c r="R1376" s="187">
        <v>0.49849999999999933</v>
      </c>
      <c r="S1376" s="186">
        <v>1.1300000000000006</v>
      </c>
      <c r="T1376" s="187">
        <v>0.83650000000000113</v>
      </c>
      <c r="U1376" s="186">
        <v>0.14283333333333292</v>
      </c>
      <c r="V1376" s="187">
        <v>0</v>
      </c>
      <c r="W1376" s="186">
        <v>0</v>
      </c>
      <c r="X1376" s="187">
        <v>0</v>
      </c>
      <c r="Y1376" s="186">
        <v>0</v>
      </c>
      <c r="Z1376" s="187">
        <v>0</v>
      </c>
      <c r="AA1376" s="186">
        <v>0</v>
      </c>
      <c r="AB1376" s="187">
        <v>0</v>
      </c>
      <c r="AC1376" s="238">
        <f>SUM(E1376:AB1376)</f>
        <v>2.6078333333333337</v>
      </c>
      <c r="AD1376" s="238"/>
      <c r="AE1376" s="238"/>
    </row>
    <row r="1377" spans="2:31" x14ac:dyDescent="0.3">
      <c r="B1377" s="14" t="s">
        <v>2</v>
      </c>
      <c r="C1377" s="14"/>
      <c r="D1377" s="14"/>
      <c r="E1377" s="15">
        <f t="shared" ref="E1377:AB1377" si="74">SUM(E1328:E1376)</f>
        <v>0</v>
      </c>
      <c r="F1377" s="15">
        <f t="shared" si="74"/>
        <v>0</v>
      </c>
      <c r="G1377" s="15">
        <f t="shared" si="74"/>
        <v>0</v>
      </c>
      <c r="H1377" s="15">
        <f t="shared" si="74"/>
        <v>0</v>
      </c>
      <c r="I1377" s="15">
        <f t="shared" si="74"/>
        <v>0</v>
      </c>
      <c r="J1377" s="15">
        <f t="shared" si="74"/>
        <v>0</v>
      </c>
      <c r="K1377" s="15">
        <f t="shared" si="74"/>
        <v>0</v>
      </c>
      <c r="L1377" s="15">
        <f t="shared" si="74"/>
        <v>0</v>
      </c>
      <c r="M1377" s="15">
        <f t="shared" si="74"/>
        <v>0</v>
      </c>
      <c r="N1377" s="15">
        <f t="shared" si="74"/>
        <v>0</v>
      </c>
      <c r="O1377" s="15">
        <f t="shared" si="74"/>
        <v>0</v>
      </c>
      <c r="P1377" s="15">
        <f t="shared" si="74"/>
        <v>0</v>
      </c>
      <c r="Q1377" s="15">
        <f t="shared" si="74"/>
        <v>4.0423333333333424</v>
      </c>
      <c r="R1377" s="15">
        <f t="shared" si="74"/>
        <v>18.331833333333346</v>
      </c>
      <c r="S1377" s="15">
        <f t="shared" si="74"/>
        <v>43.594499999999989</v>
      </c>
      <c r="T1377" s="15">
        <f t="shared" si="74"/>
        <v>44.22433333333332</v>
      </c>
      <c r="U1377" s="15">
        <f t="shared" si="74"/>
        <v>41.122500000000009</v>
      </c>
      <c r="V1377" s="15">
        <f t="shared" si="74"/>
        <v>15.939166666666667</v>
      </c>
      <c r="W1377" s="15">
        <f t="shared" si="74"/>
        <v>4.1338333333333344</v>
      </c>
      <c r="X1377" s="15">
        <f t="shared" si="74"/>
        <v>0</v>
      </c>
      <c r="Y1377" s="15">
        <f t="shared" si="74"/>
        <v>0</v>
      </c>
      <c r="Z1377" s="15">
        <f t="shared" si="74"/>
        <v>0</v>
      </c>
      <c r="AA1377" s="15">
        <f t="shared" si="74"/>
        <v>0</v>
      </c>
      <c r="AB1377" s="15">
        <f t="shared" si="74"/>
        <v>0</v>
      </c>
      <c r="AC1377" s="249">
        <f>SUM(AC1328:AE1376)</f>
        <v>171.38849999999999</v>
      </c>
      <c r="AD1377" s="249"/>
      <c r="AE1377" s="249"/>
    </row>
    <row r="1378" spans="2:31" x14ac:dyDescent="0.3">
      <c r="B1378" s="16"/>
      <c r="C1378" s="17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  <c r="N1378" s="18"/>
      <c r="O1378" s="18"/>
      <c r="P1378" s="18"/>
      <c r="Q1378" s="18"/>
      <c r="R1378" s="18"/>
      <c r="S1378" s="18"/>
      <c r="T1378" s="18"/>
      <c r="U1378" s="18"/>
      <c r="V1378" s="18"/>
      <c r="W1378" s="18"/>
      <c r="X1378" s="18"/>
      <c r="Y1378" s="18"/>
      <c r="Z1378" s="18"/>
      <c r="AA1378" s="18"/>
    </row>
    <row r="1379" spans="2:31" x14ac:dyDescent="0.3">
      <c r="B1379" s="16"/>
      <c r="C1379" s="17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  <c r="N1379" s="18"/>
      <c r="O1379" s="18"/>
      <c r="P1379" s="18"/>
      <c r="Q1379" s="18"/>
      <c r="R1379" s="18"/>
      <c r="S1379" s="18"/>
      <c r="T1379" s="18"/>
      <c r="U1379" s="18"/>
      <c r="V1379" s="18"/>
      <c r="W1379" s="18"/>
      <c r="X1379" s="18"/>
      <c r="Y1379" s="18"/>
      <c r="Z1379" s="18"/>
      <c r="AA1379" s="18"/>
    </row>
    <row r="1380" spans="2:31" x14ac:dyDescent="0.3">
      <c r="B1380" s="8">
        <f>'Resumen-Mensual'!$AD$22</f>
        <v>44587</v>
      </c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188"/>
      <c r="AD1380" s="188"/>
      <c r="AE1380" s="188"/>
    </row>
    <row r="1381" spans="2:31" x14ac:dyDescent="0.3">
      <c r="B1381" s="8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188"/>
      <c r="AD1381" s="188"/>
      <c r="AE1381" s="188"/>
    </row>
    <row r="1382" spans="2:31" x14ac:dyDescent="0.3">
      <c r="B1382" s="9" t="s">
        <v>81</v>
      </c>
      <c r="C1382" s="10"/>
      <c r="D1382" s="10"/>
      <c r="E1382" s="11">
        <v>1</v>
      </c>
      <c r="F1382" s="11">
        <v>2</v>
      </c>
      <c r="G1382" s="11">
        <v>3</v>
      </c>
      <c r="H1382" s="11">
        <v>4</v>
      </c>
      <c r="I1382" s="11">
        <v>5</v>
      </c>
      <c r="J1382" s="11">
        <v>6</v>
      </c>
      <c r="K1382" s="11">
        <v>7</v>
      </c>
      <c r="L1382" s="11">
        <v>8</v>
      </c>
      <c r="M1382" s="11">
        <v>9</v>
      </c>
      <c r="N1382" s="11">
        <v>10</v>
      </c>
      <c r="O1382" s="11">
        <v>11</v>
      </c>
      <c r="P1382" s="11">
        <v>12</v>
      </c>
      <c r="Q1382" s="11">
        <v>13</v>
      </c>
      <c r="R1382" s="11">
        <v>14</v>
      </c>
      <c r="S1382" s="11">
        <v>15</v>
      </c>
      <c r="T1382" s="11">
        <v>16</v>
      </c>
      <c r="U1382" s="11">
        <v>17</v>
      </c>
      <c r="V1382" s="11">
        <v>18</v>
      </c>
      <c r="W1382" s="11">
        <v>19</v>
      </c>
      <c r="X1382" s="11">
        <v>20</v>
      </c>
      <c r="Y1382" s="11">
        <v>21</v>
      </c>
      <c r="Z1382" s="11">
        <v>22</v>
      </c>
      <c r="AA1382" s="11">
        <v>23</v>
      </c>
      <c r="AB1382" s="11">
        <v>24</v>
      </c>
      <c r="AC1382" s="248" t="s">
        <v>2</v>
      </c>
      <c r="AD1382" s="248"/>
      <c r="AE1382" s="248"/>
    </row>
    <row r="1383" spans="2:31" x14ac:dyDescent="0.3">
      <c r="B1383" s="245" t="s">
        <v>37</v>
      </c>
      <c r="C1383" s="245"/>
      <c r="D1383" s="245"/>
      <c r="E1383" s="193">
        <v>0</v>
      </c>
      <c r="F1383" s="194">
        <v>0</v>
      </c>
      <c r="G1383" s="193">
        <v>0</v>
      </c>
      <c r="H1383" s="194">
        <v>0</v>
      </c>
      <c r="I1383" s="193">
        <v>0</v>
      </c>
      <c r="J1383" s="194">
        <v>0</v>
      </c>
      <c r="K1383" s="193">
        <v>0</v>
      </c>
      <c r="L1383" s="194">
        <v>0</v>
      </c>
      <c r="M1383" s="193">
        <v>0</v>
      </c>
      <c r="N1383" s="194">
        <v>0</v>
      </c>
      <c r="O1383" s="193">
        <v>0</v>
      </c>
      <c r="P1383" s="194">
        <v>0</v>
      </c>
      <c r="Q1383" s="193">
        <v>0</v>
      </c>
      <c r="R1383" s="194">
        <v>0</v>
      </c>
      <c r="S1383" s="193">
        <v>0</v>
      </c>
      <c r="T1383" s="194">
        <v>0</v>
      </c>
      <c r="U1383" s="193">
        <v>0</v>
      </c>
      <c r="V1383" s="194">
        <v>2.1999999999999974E-2</v>
      </c>
      <c r="W1383" s="193">
        <v>0</v>
      </c>
      <c r="X1383" s="194">
        <v>0</v>
      </c>
      <c r="Y1383" s="193">
        <v>0</v>
      </c>
      <c r="Z1383" s="194">
        <v>0</v>
      </c>
      <c r="AA1383" s="193">
        <v>0</v>
      </c>
      <c r="AB1383" s="194">
        <v>0</v>
      </c>
      <c r="AC1383" s="238">
        <f t="shared" ref="AC1383:AC1415" si="75">SUM(E1383:AB1383)</f>
        <v>2.1999999999999974E-2</v>
      </c>
      <c r="AD1383" s="238"/>
      <c r="AE1383" s="238"/>
    </row>
    <row r="1384" spans="2:31" x14ac:dyDescent="0.3">
      <c r="B1384" s="245" t="s">
        <v>38</v>
      </c>
      <c r="C1384" s="245"/>
      <c r="D1384" s="245"/>
      <c r="E1384" s="193">
        <v>0</v>
      </c>
      <c r="F1384" s="194">
        <v>0</v>
      </c>
      <c r="G1384" s="193">
        <v>0</v>
      </c>
      <c r="H1384" s="194">
        <v>0</v>
      </c>
      <c r="I1384" s="193">
        <v>0</v>
      </c>
      <c r="J1384" s="194">
        <v>0</v>
      </c>
      <c r="K1384" s="193">
        <v>0</v>
      </c>
      <c r="L1384" s="194">
        <v>0</v>
      </c>
      <c r="M1384" s="193">
        <v>0</v>
      </c>
      <c r="N1384" s="194">
        <v>0</v>
      </c>
      <c r="O1384" s="193">
        <v>0</v>
      </c>
      <c r="P1384" s="194">
        <v>0</v>
      </c>
      <c r="Q1384" s="193">
        <v>0</v>
      </c>
      <c r="R1384" s="194">
        <v>0</v>
      </c>
      <c r="S1384" s="193">
        <v>0</v>
      </c>
      <c r="T1384" s="194">
        <v>0</v>
      </c>
      <c r="U1384" s="193">
        <v>0</v>
      </c>
      <c r="V1384" s="194">
        <v>8.8666666666666699E-2</v>
      </c>
      <c r="W1384" s="193">
        <v>0.10600000000000002</v>
      </c>
      <c r="X1384" s="194">
        <v>0</v>
      </c>
      <c r="Y1384" s="193">
        <v>0</v>
      </c>
      <c r="Z1384" s="194">
        <v>0</v>
      </c>
      <c r="AA1384" s="193">
        <v>0</v>
      </c>
      <c r="AB1384" s="194">
        <v>0</v>
      </c>
      <c r="AC1384" s="238">
        <f t="shared" si="75"/>
        <v>0.19466666666666671</v>
      </c>
      <c r="AD1384" s="238"/>
      <c r="AE1384" s="238"/>
    </row>
    <row r="1385" spans="2:31" x14ac:dyDescent="0.3">
      <c r="B1385" s="245" t="s">
        <v>39</v>
      </c>
      <c r="C1385" s="245"/>
      <c r="D1385" s="245"/>
      <c r="E1385" s="193">
        <v>0</v>
      </c>
      <c r="F1385" s="194">
        <v>0</v>
      </c>
      <c r="G1385" s="193">
        <v>0</v>
      </c>
      <c r="H1385" s="194">
        <v>0</v>
      </c>
      <c r="I1385" s="193">
        <v>0</v>
      </c>
      <c r="J1385" s="194">
        <v>0</v>
      </c>
      <c r="K1385" s="193">
        <v>0</v>
      </c>
      <c r="L1385" s="194">
        <v>0</v>
      </c>
      <c r="M1385" s="193">
        <v>0</v>
      </c>
      <c r="N1385" s="194">
        <v>0</v>
      </c>
      <c r="O1385" s="193">
        <v>0</v>
      </c>
      <c r="P1385" s="194">
        <v>0</v>
      </c>
      <c r="Q1385" s="193">
        <v>0</v>
      </c>
      <c r="R1385" s="194">
        <v>0</v>
      </c>
      <c r="S1385" s="193">
        <v>0</v>
      </c>
      <c r="T1385" s="194">
        <v>0</v>
      </c>
      <c r="U1385" s="193">
        <v>0</v>
      </c>
      <c r="V1385" s="194">
        <v>0</v>
      </c>
      <c r="W1385" s="193">
        <v>0</v>
      </c>
      <c r="X1385" s="194">
        <v>0</v>
      </c>
      <c r="Y1385" s="193">
        <v>0</v>
      </c>
      <c r="Z1385" s="194">
        <v>0</v>
      </c>
      <c r="AA1385" s="193">
        <v>0</v>
      </c>
      <c r="AB1385" s="194">
        <v>0</v>
      </c>
      <c r="AC1385" s="238">
        <f t="shared" si="75"/>
        <v>0</v>
      </c>
      <c r="AD1385" s="238"/>
      <c r="AE1385" s="238"/>
    </row>
    <row r="1386" spans="2:31" x14ac:dyDescent="0.3">
      <c r="B1386" s="245" t="s">
        <v>40</v>
      </c>
      <c r="C1386" s="245"/>
      <c r="D1386" s="245"/>
      <c r="E1386" s="193">
        <v>0</v>
      </c>
      <c r="F1386" s="194">
        <v>0</v>
      </c>
      <c r="G1386" s="193">
        <v>0</v>
      </c>
      <c r="H1386" s="194">
        <v>0</v>
      </c>
      <c r="I1386" s="193">
        <v>0</v>
      </c>
      <c r="J1386" s="194">
        <v>0</v>
      </c>
      <c r="K1386" s="193">
        <v>0</v>
      </c>
      <c r="L1386" s="194">
        <v>0</v>
      </c>
      <c r="M1386" s="193">
        <v>0</v>
      </c>
      <c r="N1386" s="194">
        <v>0</v>
      </c>
      <c r="O1386" s="193">
        <v>0</v>
      </c>
      <c r="P1386" s="194">
        <v>0</v>
      </c>
      <c r="Q1386" s="193">
        <v>0</v>
      </c>
      <c r="R1386" s="194">
        <v>0</v>
      </c>
      <c r="S1386" s="193">
        <v>0</v>
      </c>
      <c r="T1386" s="194">
        <v>0</v>
      </c>
      <c r="U1386" s="193">
        <v>0</v>
      </c>
      <c r="V1386" s="194">
        <v>0</v>
      </c>
      <c r="W1386" s="193">
        <v>0</v>
      </c>
      <c r="X1386" s="194">
        <v>0</v>
      </c>
      <c r="Y1386" s="193">
        <v>0</v>
      </c>
      <c r="Z1386" s="194">
        <v>0</v>
      </c>
      <c r="AA1386" s="193">
        <v>0</v>
      </c>
      <c r="AB1386" s="194">
        <v>0</v>
      </c>
      <c r="AC1386" s="238">
        <f t="shared" si="75"/>
        <v>0</v>
      </c>
      <c r="AD1386" s="238"/>
      <c r="AE1386" s="238"/>
    </row>
    <row r="1387" spans="2:31" x14ac:dyDescent="0.3">
      <c r="B1387" s="245" t="s">
        <v>41</v>
      </c>
      <c r="C1387" s="245"/>
      <c r="D1387" s="245"/>
      <c r="E1387" s="193">
        <v>0</v>
      </c>
      <c r="F1387" s="194">
        <v>0</v>
      </c>
      <c r="G1387" s="193">
        <v>0</v>
      </c>
      <c r="H1387" s="194">
        <v>0</v>
      </c>
      <c r="I1387" s="193">
        <v>0</v>
      </c>
      <c r="J1387" s="194">
        <v>0</v>
      </c>
      <c r="K1387" s="193">
        <v>0</v>
      </c>
      <c r="L1387" s="194">
        <v>0</v>
      </c>
      <c r="M1387" s="193">
        <v>0</v>
      </c>
      <c r="N1387" s="194">
        <v>0</v>
      </c>
      <c r="O1387" s="193">
        <v>0</v>
      </c>
      <c r="P1387" s="194">
        <v>0.75366666666666537</v>
      </c>
      <c r="Q1387" s="193">
        <v>4.3253333333333357</v>
      </c>
      <c r="R1387" s="194">
        <v>7.4423333333333312</v>
      </c>
      <c r="S1387" s="193">
        <v>7.4298333333333249</v>
      </c>
      <c r="T1387" s="194">
        <v>6.9279999999999955</v>
      </c>
      <c r="U1387" s="193">
        <v>4.2354999999999947</v>
      </c>
      <c r="V1387" s="194">
        <v>0</v>
      </c>
      <c r="W1387" s="193">
        <v>4.7333333333333269E-2</v>
      </c>
      <c r="X1387" s="194">
        <v>0</v>
      </c>
      <c r="Y1387" s="193">
        <v>0</v>
      </c>
      <c r="Z1387" s="194">
        <v>0</v>
      </c>
      <c r="AA1387" s="193">
        <v>0</v>
      </c>
      <c r="AB1387" s="194">
        <v>0</v>
      </c>
      <c r="AC1387" s="238">
        <f t="shared" si="75"/>
        <v>31.161999999999978</v>
      </c>
      <c r="AD1387" s="238"/>
      <c r="AE1387" s="238"/>
    </row>
    <row r="1388" spans="2:31" x14ac:dyDescent="0.3">
      <c r="B1388" s="245" t="s">
        <v>42</v>
      </c>
      <c r="C1388" s="245"/>
      <c r="D1388" s="245"/>
      <c r="E1388" s="193">
        <v>0</v>
      </c>
      <c r="F1388" s="194">
        <v>0</v>
      </c>
      <c r="G1388" s="193">
        <v>0</v>
      </c>
      <c r="H1388" s="194">
        <v>0</v>
      </c>
      <c r="I1388" s="193">
        <v>0</v>
      </c>
      <c r="J1388" s="194">
        <v>0</v>
      </c>
      <c r="K1388" s="193">
        <v>0</v>
      </c>
      <c r="L1388" s="194">
        <v>0</v>
      </c>
      <c r="M1388" s="193">
        <v>0</v>
      </c>
      <c r="N1388" s="194">
        <v>0</v>
      </c>
      <c r="O1388" s="193">
        <v>0</v>
      </c>
      <c r="P1388" s="194">
        <v>0</v>
      </c>
      <c r="Q1388" s="193">
        <v>0</v>
      </c>
      <c r="R1388" s="194">
        <v>0</v>
      </c>
      <c r="S1388" s="193">
        <v>0</v>
      </c>
      <c r="T1388" s="194">
        <v>2.8166666666666628E-2</v>
      </c>
      <c r="U1388" s="193">
        <v>0</v>
      </c>
      <c r="V1388" s="194">
        <v>0</v>
      </c>
      <c r="W1388" s="193">
        <v>0</v>
      </c>
      <c r="X1388" s="194">
        <v>0</v>
      </c>
      <c r="Y1388" s="193">
        <v>0</v>
      </c>
      <c r="Z1388" s="194">
        <v>0</v>
      </c>
      <c r="AA1388" s="193">
        <v>0</v>
      </c>
      <c r="AB1388" s="194">
        <v>0</v>
      </c>
      <c r="AC1388" s="238">
        <f t="shared" si="75"/>
        <v>2.8166666666666628E-2</v>
      </c>
      <c r="AD1388" s="238"/>
      <c r="AE1388" s="238"/>
    </row>
    <row r="1389" spans="2:31" x14ac:dyDescent="0.3">
      <c r="B1389" s="245" t="s">
        <v>43</v>
      </c>
      <c r="C1389" s="245"/>
      <c r="D1389" s="245"/>
      <c r="E1389" s="193">
        <v>0</v>
      </c>
      <c r="F1389" s="194">
        <v>0</v>
      </c>
      <c r="G1389" s="193">
        <v>0</v>
      </c>
      <c r="H1389" s="194">
        <v>0</v>
      </c>
      <c r="I1389" s="193">
        <v>0</v>
      </c>
      <c r="J1389" s="194">
        <v>0</v>
      </c>
      <c r="K1389" s="193">
        <v>0</v>
      </c>
      <c r="L1389" s="194">
        <v>0</v>
      </c>
      <c r="M1389" s="193">
        <v>0</v>
      </c>
      <c r="N1389" s="194">
        <v>0</v>
      </c>
      <c r="O1389" s="193">
        <v>0</v>
      </c>
      <c r="P1389" s="194">
        <v>0</v>
      </c>
      <c r="Q1389" s="193">
        <v>0</v>
      </c>
      <c r="R1389" s="194">
        <v>0</v>
      </c>
      <c r="S1389" s="193">
        <v>12.950500000000011</v>
      </c>
      <c r="T1389" s="194">
        <v>12.045999999999998</v>
      </c>
      <c r="U1389" s="193">
        <v>1.5398333333333292</v>
      </c>
      <c r="V1389" s="194">
        <v>0</v>
      </c>
      <c r="W1389" s="193">
        <v>0</v>
      </c>
      <c r="X1389" s="194">
        <v>0</v>
      </c>
      <c r="Y1389" s="193">
        <v>0</v>
      </c>
      <c r="Z1389" s="194">
        <v>0</v>
      </c>
      <c r="AA1389" s="193">
        <v>0</v>
      </c>
      <c r="AB1389" s="194">
        <v>0</v>
      </c>
      <c r="AC1389" s="238">
        <f t="shared" si="75"/>
        <v>26.536333333333339</v>
      </c>
      <c r="AD1389" s="238"/>
      <c r="AE1389" s="238"/>
    </row>
    <row r="1390" spans="2:31" x14ac:dyDescent="0.3">
      <c r="B1390" s="245" t="s">
        <v>44</v>
      </c>
      <c r="C1390" s="245"/>
      <c r="D1390" s="245"/>
      <c r="E1390" s="193">
        <v>0</v>
      </c>
      <c r="F1390" s="194">
        <v>0</v>
      </c>
      <c r="G1390" s="193">
        <v>0</v>
      </c>
      <c r="H1390" s="194">
        <v>0</v>
      </c>
      <c r="I1390" s="193">
        <v>0</v>
      </c>
      <c r="J1390" s="194">
        <v>0</v>
      </c>
      <c r="K1390" s="193">
        <v>0</v>
      </c>
      <c r="L1390" s="194">
        <v>0</v>
      </c>
      <c r="M1390" s="193">
        <v>0</v>
      </c>
      <c r="N1390" s="194">
        <v>0</v>
      </c>
      <c r="O1390" s="193">
        <v>0</v>
      </c>
      <c r="P1390" s="194">
        <v>0</v>
      </c>
      <c r="Q1390" s="193">
        <v>0</v>
      </c>
      <c r="R1390" s="194">
        <v>0</v>
      </c>
      <c r="S1390" s="193">
        <v>0</v>
      </c>
      <c r="T1390" s="194">
        <v>0</v>
      </c>
      <c r="U1390" s="193">
        <v>1.7928333333333331</v>
      </c>
      <c r="V1390" s="194">
        <v>1.4816666666666662</v>
      </c>
      <c r="W1390" s="193">
        <v>0</v>
      </c>
      <c r="X1390" s="194">
        <v>0</v>
      </c>
      <c r="Y1390" s="193">
        <v>0</v>
      </c>
      <c r="Z1390" s="194">
        <v>0</v>
      </c>
      <c r="AA1390" s="193">
        <v>0</v>
      </c>
      <c r="AB1390" s="194">
        <v>0</v>
      </c>
      <c r="AC1390" s="238">
        <f t="shared" si="75"/>
        <v>3.2744999999999993</v>
      </c>
      <c r="AD1390" s="238"/>
      <c r="AE1390" s="238"/>
    </row>
    <row r="1391" spans="2:31" x14ac:dyDescent="0.3">
      <c r="B1391" s="245" t="s">
        <v>45</v>
      </c>
      <c r="C1391" s="245"/>
      <c r="D1391" s="245"/>
      <c r="E1391" s="193">
        <v>0</v>
      </c>
      <c r="F1391" s="194">
        <v>0</v>
      </c>
      <c r="G1391" s="193">
        <v>0</v>
      </c>
      <c r="H1391" s="194">
        <v>0</v>
      </c>
      <c r="I1391" s="193">
        <v>0</v>
      </c>
      <c r="J1391" s="194">
        <v>0</v>
      </c>
      <c r="K1391" s="193">
        <v>0</v>
      </c>
      <c r="L1391" s="194">
        <v>0</v>
      </c>
      <c r="M1391" s="193">
        <v>0</v>
      </c>
      <c r="N1391" s="194">
        <v>0</v>
      </c>
      <c r="O1391" s="193">
        <v>0</v>
      </c>
      <c r="P1391" s="194">
        <v>0</v>
      </c>
      <c r="Q1391" s="193">
        <v>0</v>
      </c>
      <c r="R1391" s="194">
        <v>10.633666666666665</v>
      </c>
      <c r="S1391" s="193">
        <v>17.034000000000024</v>
      </c>
      <c r="T1391" s="194">
        <v>17.16999999999998</v>
      </c>
      <c r="U1391" s="193">
        <v>0</v>
      </c>
      <c r="V1391" s="194">
        <v>0</v>
      </c>
      <c r="W1391" s="193">
        <v>2.4999999999999942E-2</v>
      </c>
      <c r="X1391" s="194">
        <v>0</v>
      </c>
      <c r="Y1391" s="193">
        <v>0</v>
      </c>
      <c r="Z1391" s="194">
        <v>0</v>
      </c>
      <c r="AA1391" s="193">
        <v>0</v>
      </c>
      <c r="AB1391" s="194">
        <v>0</v>
      </c>
      <c r="AC1391" s="238">
        <f t="shared" si="75"/>
        <v>44.862666666666669</v>
      </c>
      <c r="AD1391" s="238"/>
      <c r="AE1391" s="238"/>
    </row>
    <row r="1392" spans="2:31" x14ac:dyDescent="0.3">
      <c r="B1392" s="245" t="s">
        <v>46</v>
      </c>
      <c r="C1392" s="245"/>
      <c r="D1392" s="245"/>
      <c r="E1392" s="193">
        <v>0</v>
      </c>
      <c r="F1392" s="194">
        <v>0</v>
      </c>
      <c r="G1392" s="193">
        <v>0</v>
      </c>
      <c r="H1392" s="194">
        <v>0</v>
      </c>
      <c r="I1392" s="193">
        <v>0</v>
      </c>
      <c r="J1392" s="194">
        <v>0</v>
      </c>
      <c r="K1392" s="193">
        <v>0</v>
      </c>
      <c r="L1392" s="194">
        <v>0</v>
      </c>
      <c r="M1392" s="193">
        <v>0</v>
      </c>
      <c r="N1392" s="194">
        <v>0</v>
      </c>
      <c r="O1392" s="193">
        <v>0</v>
      </c>
      <c r="P1392" s="194">
        <v>0</v>
      </c>
      <c r="Q1392" s="193">
        <v>0</v>
      </c>
      <c r="R1392" s="194">
        <v>0</v>
      </c>
      <c r="S1392" s="193">
        <v>0</v>
      </c>
      <c r="T1392" s="194">
        <v>39.016499999999986</v>
      </c>
      <c r="U1392" s="193">
        <v>10.632499999999993</v>
      </c>
      <c r="V1392" s="194">
        <v>16.054999999999993</v>
      </c>
      <c r="W1392" s="193">
        <v>0</v>
      </c>
      <c r="X1392" s="194">
        <v>0</v>
      </c>
      <c r="Y1392" s="193">
        <v>0</v>
      </c>
      <c r="Z1392" s="194">
        <v>0</v>
      </c>
      <c r="AA1392" s="193">
        <v>0</v>
      </c>
      <c r="AB1392" s="194">
        <v>0</v>
      </c>
      <c r="AC1392" s="238">
        <f t="shared" si="75"/>
        <v>65.703999999999979</v>
      </c>
      <c r="AD1392" s="238"/>
      <c r="AE1392" s="238"/>
    </row>
    <row r="1393" spans="2:31" x14ac:dyDescent="0.3">
      <c r="B1393" s="245" t="s">
        <v>47</v>
      </c>
      <c r="C1393" s="245"/>
      <c r="D1393" s="245"/>
      <c r="E1393" s="193">
        <v>0</v>
      </c>
      <c r="F1393" s="194">
        <v>0</v>
      </c>
      <c r="G1393" s="193">
        <v>0</v>
      </c>
      <c r="H1393" s="194">
        <v>0</v>
      </c>
      <c r="I1393" s="193">
        <v>0</v>
      </c>
      <c r="J1393" s="194">
        <v>0</v>
      </c>
      <c r="K1393" s="193">
        <v>0</v>
      </c>
      <c r="L1393" s="194">
        <v>0</v>
      </c>
      <c r="M1393" s="193">
        <v>0</v>
      </c>
      <c r="N1393" s="194">
        <v>0</v>
      </c>
      <c r="O1393" s="193">
        <v>0</v>
      </c>
      <c r="P1393" s="194">
        <v>0</v>
      </c>
      <c r="Q1393" s="193">
        <v>0</v>
      </c>
      <c r="R1393" s="194">
        <v>6.9641666666666646</v>
      </c>
      <c r="S1393" s="193">
        <v>13.798166666666672</v>
      </c>
      <c r="T1393" s="194">
        <v>0</v>
      </c>
      <c r="U1393" s="193">
        <v>9.3099999999999969</v>
      </c>
      <c r="V1393" s="194">
        <v>7.9391666666666767</v>
      </c>
      <c r="W1393" s="193">
        <v>1.4459999999999988</v>
      </c>
      <c r="X1393" s="194">
        <v>0</v>
      </c>
      <c r="Y1393" s="193">
        <v>0</v>
      </c>
      <c r="Z1393" s="194">
        <v>0</v>
      </c>
      <c r="AA1393" s="193">
        <v>0</v>
      </c>
      <c r="AB1393" s="194">
        <v>0</v>
      </c>
      <c r="AC1393" s="238">
        <f t="shared" si="75"/>
        <v>39.45750000000001</v>
      </c>
      <c r="AD1393" s="238"/>
      <c r="AE1393" s="238"/>
    </row>
    <row r="1394" spans="2:31" x14ac:dyDescent="0.3">
      <c r="B1394" s="245" t="s">
        <v>48</v>
      </c>
      <c r="C1394" s="245"/>
      <c r="D1394" s="245"/>
      <c r="E1394" s="193">
        <v>0</v>
      </c>
      <c r="F1394" s="194">
        <v>0</v>
      </c>
      <c r="G1394" s="193">
        <v>0</v>
      </c>
      <c r="H1394" s="194">
        <v>0</v>
      </c>
      <c r="I1394" s="193">
        <v>0</v>
      </c>
      <c r="J1394" s="194">
        <v>0</v>
      </c>
      <c r="K1394" s="193">
        <v>0</v>
      </c>
      <c r="L1394" s="194">
        <v>0</v>
      </c>
      <c r="M1394" s="193">
        <v>0</v>
      </c>
      <c r="N1394" s="194">
        <v>0</v>
      </c>
      <c r="O1394" s="193">
        <v>0</v>
      </c>
      <c r="P1394" s="194">
        <v>0</v>
      </c>
      <c r="Q1394" s="193">
        <v>0</v>
      </c>
      <c r="R1394" s="194">
        <v>5.7691666666666679</v>
      </c>
      <c r="S1394" s="193">
        <v>0</v>
      </c>
      <c r="T1394" s="194">
        <v>0</v>
      </c>
      <c r="U1394" s="193">
        <v>7.8999999999999915</v>
      </c>
      <c r="V1394" s="194">
        <v>6.6999999999999931</v>
      </c>
      <c r="W1394" s="193">
        <v>1.5</v>
      </c>
      <c r="X1394" s="194">
        <v>0</v>
      </c>
      <c r="Y1394" s="193">
        <v>0</v>
      </c>
      <c r="Z1394" s="194">
        <v>0</v>
      </c>
      <c r="AA1394" s="193">
        <v>0</v>
      </c>
      <c r="AB1394" s="194">
        <v>0</v>
      </c>
      <c r="AC1394" s="238">
        <f t="shared" si="75"/>
        <v>21.869166666666651</v>
      </c>
      <c r="AD1394" s="238"/>
      <c r="AE1394" s="238"/>
    </row>
    <row r="1395" spans="2:31" x14ac:dyDescent="0.3">
      <c r="B1395" s="245" t="s">
        <v>49</v>
      </c>
      <c r="C1395" s="245"/>
      <c r="D1395" s="245"/>
      <c r="E1395" s="193">
        <v>0</v>
      </c>
      <c r="F1395" s="194">
        <v>0</v>
      </c>
      <c r="G1395" s="193">
        <v>0</v>
      </c>
      <c r="H1395" s="194">
        <v>0</v>
      </c>
      <c r="I1395" s="193">
        <v>0</v>
      </c>
      <c r="J1395" s="194">
        <v>0</v>
      </c>
      <c r="K1395" s="193">
        <v>0</v>
      </c>
      <c r="L1395" s="194">
        <v>0</v>
      </c>
      <c r="M1395" s="193">
        <v>0</v>
      </c>
      <c r="N1395" s="194">
        <v>0</v>
      </c>
      <c r="O1395" s="193">
        <v>0</v>
      </c>
      <c r="P1395" s="194">
        <v>0</v>
      </c>
      <c r="Q1395" s="193">
        <v>0</v>
      </c>
      <c r="R1395" s="194">
        <v>0</v>
      </c>
      <c r="S1395" s="193">
        <v>0</v>
      </c>
      <c r="T1395" s="194">
        <v>0</v>
      </c>
      <c r="U1395" s="193">
        <v>0</v>
      </c>
      <c r="V1395" s="194">
        <v>0</v>
      </c>
      <c r="W1395" s="193">
        <v>0</v>
      </c>
      <c r="X1395" s="194">
        <v>0</v>
      </c>
      <c r="Y1395" s="193">
        <v>0</v>
      </c>
      <c r="Z1395" s="194">
        <v>0</v>
      </c>
      <c r="AA1395" s="193">
        <v>0</v>
      </c>
      <c r="AB1395" s="194">
        <v>0</v>
      </c>
      <c r="AC1395" s="238">
        <f t="shared" si="75"/>
        <v>0</v>
      </c>
      <c r="AD1395" s="238"/>
      <c r="AE1395" s="238"/>
    </row>
    <row r="1396" spans="2:31" x14ac:dyDescent="0.3">
      <c r="B1396" s="245" t="s">
        <v>50</v>
      </c>
      <c r="C1396" s="245"/>
      <c r="D1396" s="245"/>
      <c r="E1396" s="193">
        <v>0</v>
      </c>
      <c r="F1396" s="194">
        <v>0</v>
      </c>
      <c r="G1396" s="193">
        <v>0</v>
      </c>
      <c r="H1396" s="194">
        <v>0</v>
      </c>
      <c r="I1396" s="193">
        <v>0</v>
      </c>
      <c r="J1396" s="194">
        <v>0</v>
      </c>
      <c r="K1396" s="193">
        <v>0</v>
      </c>
      <c r="L1396" s="194">
        <v>0</v>
      </c>
      <c r="M1396" s="193">
        <v>0</v>
      </c>
      <c r="N1396" s="194">
        <v>0</v>
      </c>
      <c r="O1396" s="193">
        <v>0</v>
      </c>
      <c r="P1396" s="194">
        <v>1.1881666666666666</v>
      </c>
      <c r="Q1396" s="193">
        <v>11.785333333333321</v>
      </c>
      <c r="R1396" s="194">
        <v>10.342666666666666</v>
      </c>
      <c r="S1396" s="193">
        <v>0</v>
      </c>
      <c r="T1396" s="194">
        <v>0</v>
      </c>
      <c r="U1396" s="193">
        <v>8.6858333333333366</v>
      </c>
      <c r="V1396" s="194">
        <v>5.89</v>
      </c>
      <c r="W1396" s="193">
        <v>0</v>
      </c>
      <c r="X1396" s="194">
        <v>0</v>
      </c>
      <c r="Y1396" s="193">
        <v>0</v>
      </c>
      <c r="Z1396" s="194">
        <v>0</v>
      </c>
      <c r="AA1396" s="193">
        <v>0</v>
      </c>
      <c r="AB1396" s="194">
        <v>0</v>
      </c>
      <c r="AC1396" s="238">
        <f t="shared" si="75"/>
        <v>37.891999999999989</v>
      </c>
      <c r="AD1396" s="238"/>
      <c r="AE1396" s="238"/>
    </row>
    <row r="1397" spans="2:31" x14ac:dyDescent="0.3">
      <c r="B1397" s="245" t="s">
        <v>97</v>
      </c>
      <c r="C1397" s="245"/>
      <c r="D1397" s="245"/>
      <c r="E1397" s="193">
        <v>0</v>
      </c>
      <c r="F1397" s="194">
        <v>0</v>
      </c>
      <c r="G1397" s="193">
        <v>0</v>
      </c>
      <c r="H1397" s="194">
        <v>0</v>
      </c>
      <c r="I1397" s="193">
        <v>0</v>
      </c>
      <c r="J1397" s="194">
        <v>0</v>
      </c>
      <c r="K1397" s="193">
        <v>0</v>
      </c>
      <c r="L1397" s="194">
        <v>0</v>
      </c>
      <c r="M1397" s="193">
        <v>0</v>
      </c>
      <c r="N1397" s="194">
        <v>0</v>
      </c>
      <c r="O1397" s="193">
        <v>0</v>
      </c>
      <c r="P1397" s="194">
        <v>0</v>
      </c>
      <c r="Q1397" s="193">
        <v>0</v>
      </c>
      <c r="R1397" s="194">
        <v>0</v>
      </c>
      <c r="S1397" s="193">
        <v>0</v>
      </c>
      <c r="T1397" s="194">
        <v>0</v>
      </c>
      <c r="U1397" s="193">
        <v>0</v>
      </c>
      <c r="V1397" s="194">
        <v>0</v>
      </c>
      <c r="W1397" s="193">
        <v>0</v>
      </c>
      <c r="X1397" s="194">
        <v>0</v>
      </c>
      <c r="Y1397" s="193">
        <v>0</v>
      </c>
      <c r="Z1397" s="194">
        <v>0</v>
      </c>
      <c r="AA1397" s="193">
        <v>0</v>
      </c>
      <c r="AB1397" s="194">
        <v>0</v>
      </c>
      <c r="AC1397" s="238">
        <f t="shared" si="75"/>
        <v>0</v>
      </c>
      <c r="AD1397" s="238"/>
      <c r="AE1397" s="238"/>
    </row>
    <row r="1398" spans="2:31" x14ac:dyDescent="0.3">
      <c r="B1398" s="245" t="s">
        <v>51</v>
      </c>
      <c r="C1398" s="245"/>
      <c r="D1398" s="245"/>
      <c r="E1398" s="193">
        <v>0</v>
      </c>
      <c r="F1398" s="194">
        <v>0</v>
      </c>
      <c r="G1398" s="193">
        <v>0</v>
      </c>
      <c r="H1398" s="194">
        <v>0</v>
      </c>
      <c r="I1398" s="193">
        <v>0</v>
      </c>
      <c r="J1398" s="194">
        <v>0</v>
      </c>
      <c r="K1398" s="193">
        <v>0</v>
      </c>
      <c r="L1398" s="194">
        <v>0</v>
      </c>
      <c r="M1398" s="193">
        <v>0</v>
      </c>
      <c r="N1398" s="194">
        <v>0</v>
      </c>
      <c r="O1398" s="193">
        <v>0</v>
      </c>
      <c r="P1398" s="194">
        <v>0</v>
      </c>
      <c r="Q1398" s="193">
        <v>0</v>
      </c>
      <c r="R1398" s="194">
        <v>0</v>
      </c>
      <c r="S1398" s="193">
        <v>0</v>
      </c>
      <c r="T1398" s="194">
        <v>0.72733333333333339</v>
      </c>
      <c r="U1398" s="193">
        <v>3.2596666666666674</v>
      </c>
      <c r="V1398" s="194">
        <v>3.954000000000006</v>
      </c>
      <c r="W1398" s="193">
        <v>0</v>
      </c>
      <c r="X1398" s="194">
        <v>0</v>
      </c>
      <c r="Y1398" s="193">
        <v>0</v>
      </c>
      <c r="Z1398" s="194">
        <v>0</v>
      </c>
      <c r="AA1398" s="193">
        <v>0</v>
      </c>
      <c r="AB1398" s="194">
        <v>0</v>
      </c>
      <c r="AC1398" s="238">
        <f t="shared" si="75"/>
        <v>7.9410000000000069</v>
      </c>
      <c r="AD1398" s="238"/>
      <c r="AE1398" s="238"/>
    </row>
    <row r="1399" spans="2:31" x14ac:dyDescent="0.3">
      <c r="B1399" s="245" t="s">
        <v>52</v>
      </c>
      <c r="C1399" s="245"/>
      <c r="D1399" s="245"/>
      <c r="E1399" s="193">
        <v>0</v>
      </c>
      <c r="F1399" s="194">
        <v>0</v>
      </c>
      <c r="G1399" s="193">
        <v>0</v>
      </c>
      <c r="H1399" s="194">
        <v>0</v>
      </c>
      <c r="I1399" s="193">
        <v>0</v>
      </c>
      <c r="J1399" s="194">
        <v>0</v>
      </c>
      <c r="K1399" s="193">
        <v>0</v>
      </c>
      <c r="L1399" s="194">
        <v>0</v>
      </c>
      <c r="M1399" s="193">
        <v>0</v>
      </c>
      <c r="N1399" s="194">
        <v>0</v>
      </c>
      <c r="O1399" s="193">
        <v>0</v>
      </c>
      <c r="P1399" s="194">
        <v>0</v>
      </c>
      <c r="Q1399" s="193">
        <v>0</v>
      </c>
      <c r="R1399" s="194">
        <v>0</v>
      </c>
      <c r="S1399" s="193">
        <v>0</v>
      </c>
      <c r="T1399" s="194">
        <v>0</v>
      </c>
      <c r="U1399" s="193">
        <v>0</v>
      </c>
      <c r="V1399" s="194">
        <v>0</v>
      </c>
      <c r="W1399" s="193">
        <v>0</v>
      </c>
      <c r="X1399" s="194">
        <v>0</v>
      </c>
      <c r="Y1399" s="193">
        <v>0</v>
      </c>
      <c r="Z1399" s="194">
        <v>0</v>
      </c>
      <c r="AA1399" s="193">
        <v>0</v>
      </c>
      <c r="AB1399" s="194">
        <v>0</v>
      </c>
      <c r="AC1399" s="238">
        <f t="shared" si="75"/>
        <v>0</v>
      </c>
      <c r="AD1399" s="238"/>
      <c r="AE1399" s="238"/>
    </row>
    <row r="1400" spans="2:31" x14ac:dyDescent="0.3">
      <c r="B1400" s="245" t="s">
        <v>53</v>
      </c>
      <c r="C1400" s="245"/>
      <c r="D1400" s="245"/>
      <c r="E1400" s="193">
        <v>0</v>
      </c>
      <c r="F1400" s="194">
        <v>0</v>
      </c>
      <c r="G1400" s="193">
        <v>0</v>
      </c>
      <c r="H1400" s="194">
        <v>0</v>
      </c>
      <c r="I1400" s="193">
        <v>0</v>
      </c>
      <c r="J1400" s="194">
        <v>0</v>
      </c>
      <c r="K1400" s="193">
        <v>0</v>
      </c>
      <c r="L1400" s="194">
        <v>0</v>
      </c>
      <c r="M1400" s="193">
        <v>0</v>
      </c>
      <c r="N1400" s="194">
        <v>0</v>
      </c>
      <c r="O1400" s="193">
        <v>0</v>
      </c>
      <c r="P1400" s="194">
        <v>0</v>
      </c>
      <c r="Q1400" s="193">
        <v>0</v>
      </c>
      <c r="R1400" s="194">
        <v>0</v>
      </c>
      <c r="S1400" s="193">
        <v>0</v>
      </c>
      <c r="T1400" s="194">
        <v>0</v>
      </c>
      <c r="U1400" s="193">
        <v>0</v>
      </c>
      <c r="V1400" s="194">
        <v>54.793999999999997</v>
      </c>
      <c r="W1400" s="193">
        <v>24</v>
      </c>
      <c r="X1400" s="194">
        <v>0</v>
      </c>
      <c r="Y1400" s="193">
        <v>0</v>
      </c>
      <c r="Z1400" s="194">
        <v>0</v>
      </c>
      <c r="AA1400" s="193">
        <v>0</v>
      </c>
      <c r="AB1400" s="194">
        <v>0</v>
      </c>
      <c r="AC1400" s="238">
        <f t="shared" si="75"/>
        <v>78.793999999999997</v>
      </c>
      <c r="AD1400" s="238"/>
      <c r="AE1400" s="238"/>
    </row>
    <row r="1401" spans="2:31" x14ac:dyDescent="0.3">
      <c r="B1401" s="245" t="s">
        <v>54</v>
      </c>
      <c r="C1401" s="245"/>
      <c r="D1401" s="245"/>
      <c r="E1401" s="193">
        <v>0</v>
      </c>
      <c r="F1401" s="194">
        <v>0</v>
      </c>
      <c r="G1401" s="193">
        <v>0</v>
      </c>
      <c r="H1401" s="194">
        <v>0</v>
      </c>
      <c r="I1401" s="193">
        <v>0</v>
      </c>
      <c r="J1401" s="194">
        <v>0</v>
      </c>
      <c r="K1401" s="193">
        <v>0</v>
      </c>
      <c r="L1401" s="194">
        <v>0</v>
      </c>
      <c r="M1401" s="193">
        <v>0</v>
      </c>
      <c r="N1401" s="194">
        <v>0</v>
      </c>
      <c r="O1401" s="193">
        <v>0</v>
      </c>
      <c r="P1401" s="194">
        <v>0</v>
      </c>
      <c r="Q1401" s="193">
        <v>0</v>
      </c>
      <c r="R1401" s="194">
        <v>0</v>
      </c>
      <c r="S1401" s="193">
        <v>0</v>
      </c>
      <c r="T1401" s="194">
        <v>6.016666666666666E-2</v>
      </c>
      <c r="U1401" s="193">
        <v>0.12316666666666644</v>
      </c>
      <c r="V1401" s="194">
        <v>1.0134999999999994</v>
      </c>
      <c r="W1401" s="193">
        <v>0</v>
      </c>
      <c r="X1401" s="194">
        <v>0</v>
      </c>
      <c r="Y1401" s="193">
        <v>0</v>
      </c>
      <c r="Z1401" s="194">
        <v>0</v>
      </c>
      <c r="AA1401" s="193">
        <v>0</v>
      </c>
      <c r="AB1401" s="194">
        <v>0</v>
      </c>
      <c r="AC1401" s="238">
        <f t="shared" si="75"/>
        <v>1.1968333333333325</v>
      </c>
      <c r="AD1401" s="238"/>
      <c r="AE1401" s="238"/>
    </row>
    <row r="1402" spans="2:31" x14ac:dyDescent="0.3">
      <c r="B1402" s="245" t="s">
        <v>55</v>
      </c>
      <c r="C1402" s="245"/>
      <c r="D1402" s="245"/>
      <c r="E1402" s="193">
        <v>0</v>
      </c>
      <c r="F1402" s="194">
        <v>0</v>
      </c>
      <c r="G1402" s="193">
        <v>0</v>
      </c>
      <c r="H1402" s="194">
        <v>0</v>
      </c>
      <c r="I1402" s="193">
        <v>0</v>
      </c>
      <c r="J1402" s="194">
        <v>0</v>
      </c>
      <c r="K1402" s="193">
        <v>0</v>
      </c>
      <c r="L1402" s="194">
        <v>0</v>
      </c>
      <c r="M1402" s="193">
        <v>0</v>
      </c>
      <c r="N1402" s="194">
        <v>0</v>
      </c>
      <c r="O1402" s="193">
        <v>0</v>
      </c>
      <c r="P1402" s="194">
        <v>0</v>
      </c>
      <c r="Q1402" s="193">
        <v>0</v>
      </c>
      <c r="R1402" s="194">
        <v>0</v>
      </c>
      <c r="S1402" s="193">
        <v>0</v>
      </c>
      <c r="T1402" s="194">
        <v>0</v>
      </c>
      <c r="U1402" s="193">
        <v>0</v>
      </c>
      <c r="V1402" s="194">
        <v>1.9120000000000004</v>
      </c>
      <c r="W1402" s="193">
        <v>0</v>
      </c>
      <c r="X1402" s="194">
        <v>0</v>
      </c>
      <c r="Y1402" s="193">
        <v>0</v>
      </c>
      <c r="Z1402" s="194">
        <v>0</v>
      </c>
      <c r="AA1402" s="193">
        <v>0</v>
      </c>
      <c r="AB1402" s="194">
        <v>0</v>
      </c>
      <c r="AC1402" s="238">
        <f t="shared" si="75"/>
        <v>1.9120000000000004</v>
      </c>
      <c r="AD1402" s="238"/>
      <c r="AE1402" s="238"/>
    </row>
    <row r="1403" spans="2:31" x14ac:dyDescent="0.3">
      <c r="B1403" s="245" t="s">
        <v>56</v>
      </c>
      <c r="C1403" s="245"/>
      <c r="D1403" s="245"/>
      <c r="E1403" s="193">
        <v>0</v>
      </c>
      <c r="F1403" s="194">
        <v>0</v>
      </c>
      <c r="G1403" s="193">
        <v>0</v>
      </c>
      <c r="H1403" s="194">
        <v>0</v>
      </c>
      <c r="I1403" s="193">
        <v>0</v>
      </c>
      <c r="J1403" s="194">
        <v>0</v>
      </c>
      <c r="K1403" s="193">
        <v>0</v>
      </c>
      <c r="L1403" s="194">
        <v>0</v>
      </c>
      <c r="M1403" s="193">
        <v>0</v>
      </c>
      <c r="N1403" s="194">
        <v>0</v>
      </c>
      <c r="O1403" s="193">
        <v>0</v>
      </c>
      <c r="P1403" s="194">
        <v>0</v>
      </c>
      <c r="Q1403" s="193">
        <v>0</v>
      </c>
      <c r="R1403" s="194">
        <v>0</v>
      </c>
      <c r="S1403" s="193">
        <v>0</v>
      </c>
      <c r="T1403" s="194">
        <v>1.5833333333333262E-2</v>
      </c>
      <c r="U1403" s="193">
        <v>0</v>
      </c>
      <c r="V1403" s="194">
        <v>0.51850000000000018</v>
      </c>
      <c r="W1403" s="193">
        <v>0</v>
      </c>
      <c r="X1403" s="194">
        <v>0</v>
      </c>
      <c r="Y1403" s="193">
        <v>0</v>
      </c>
      <c r="Z1403" s="194">
        <v>0</v>
      </c>
      <c r="AA1403" s="193">
        <v>0</v>
      </c>
      <c r="AB1403" s="194">
        <v>0</v>
      </c>
      <c r="AC1403" s="238">
        <f t="shared" si="75"/>
        <v>0.53433333333333344</v>
      </c>
      <c r="AD1403" s="238"/>
      <c r="AE1403" s="238"/>
    </row>
    <row r="1404" spans="2:31" x14ac:dyDescent="0.3">
      <c r="B1404" s="245" t="s">
        <v>94</v>
      </c>
      <c r="C1404" s="245"/>
      <c r="D1404" s="245"/>
      <c r="E1404" s="193">
        <v>0</v>
      </c>
      <c r="F1404" s="194">
        <v>0</v>
      </c>
      <c r="G1404" s="193">
        <v>0</v>
      </c>
      <c r="H1404" s="194">
        <v>0</v>
      </c>
      <c r="I1404" s="193">
        <v>0</v>
      </c>
      <c r="J1404" s="194">
        <v>0</v>
      </c>
      <c r="K1404" s="193">
        <v>0</v>
      </c>
      <c r="L1404" s="194">
        <v>0</v>
      </c>
      <c r="M1404" s="193">
        <v>0</v>
      </c>
      <c r="N1404" s="194">
        <v>0</v>
      </c>
      <c r="O1404" s="193">
        <v>0</v>
      </c>
      <c r="P1404" s="194">
        <v>0</v>
      </c>
      <c r="Q1404" s="193">
        <v>0</v>
      </c>
      <c r="R1404" s="194">
        <v>0</v>
      </c>
      <c r="S1404" s="193">
        <v>0</v>
      </c>
      <c r="T1404" s="194">
        <v>0</v>
      </c>
      <c r="U1404" s="193">
        <v>0</v>
      </c>
      <c r="V1404" s="194">
        <v>0</v>
      </c>
      <c r="W1404" s="193">
        <v>0</v>
      </c>
      <c r="X1404" s="194">
        <v>0</v>
      </c>
      <c r="Y1404" s="193">
        <v>0</v>
      </c>
      <c r="Z1404" s="194">
        <v>0</v>
      </c>
      <c r="AA1404" s="193">
        <v>0</v>
      </c>
      <c r="AB1404" s="194">
        <v>0</v>
      </c>
      <c r="AC1404" s="238">
        <f t="shared" si="75"/>
        <v>0</v>
      </c>
      <c r="AD1404" s="238"/>
      <c r="AE1404" s="238"/>
    </row>
    <row r="1405" spans="2:31" x14ac:dyDescent="0.3">
      <c r="B1405" s="245" t="s">
        <v>57</v>
      </c>
      <c r="C1405" s="245"/>
      <c r="D1405" s="245"/>
      <c r="E1405" s="193">
        <v>0</v>
      </c>
      <c r="F1405" s="194">
        <v>0</v>
      </c>
      <c r="G1405" s="193">
        <v>0</v>
      </c>
      <c r="H1405" s="194">
        <v>0</v>
      </c>
      <c r="I1405" s="193">
        <v>0</v>
      </c>
      <c r="J1405" s="194">
        <v>0</v>
      </c>
      <c r="K1405" s="193">
        <v>0</v>
      </c>
      <c r="L1405" s="194">
        <v>0</v>
      </c>
      <c r="M1405" s="193">
        <v>0</v>
      </c>
      <c r="N1405" s="194">
        <v>0</v>
      </c>
      <c r="O1405" s="193">
        <v>0</v>
      </c>
      <c r="P1405" s="194">
        <v>0</v>
      </c>
      <c r="Q1405" s="193">
        <v>0</v>
      </c>
      <c r="R1405" s="194">
        <v>0</v>
      </c>
      <c r="S1405" s="193">
        <v>0</v>
      </c>
      <c r="T1405" s="194">
        <v>0</v>
      </c>
      <c r="U1405" s="193">
        <v>0</v>
      </c>
      <c r="V1405" s="194">
        <v>0.12566666666666618</v>
      </c>
      <c r="W1405" s="193">
        <v>0</v>
      </c>
      <c r="X1405" s="194">
        <v>0</v>
      </c>
      <c r="Y1405" s="193">
        <v>0</v>
      </c>
      <c r="Z1405" s="194">
        <v>0</v>
      </c>
      <c r="AA1405" s="193">
        <v>0</v>
      </c>
      <c r="AB1405" s="194">
        <v>0</v>
      </c>
      <c r="AC1405" s="238">
        <f t="shared" si="75"/>
        <v>0.12566666666666618</v>
      </c>
      <c r="AD1405" s="238"/>
      <c r="AE1405" s="238"/>
    </row>
    <row r="1406" spans="2:31" x14ac:dyDescent="0.3">
      <c r="B1406" s="245" t="s">
        <v>58</v>
      </c>
      <c r="C1406" s="245"/>
      <c r="D1406" s="245"/>
      <c r="E1406" s="193">
        <v>0</v>
      </c>
      <c r="F1406" s="194">
        <v>0</v>
      </c>
      <c r="G1406" s="193">
        <v>0</v>
      </c>
      <c r="H1406" s="194">
        <v>0</v>
      </c>
      <c r="I1406" s="193">
        <v>0</v>
      </c>
      <c r="J1406" s="194">
        <v>0</v>
      </c>
      <c r="K1406" s="193">
        <v>0</v>
      </c>
      <c r="L1406" s="194">
        <v>0</v>
      </c>
      <c r="M1406" s="193">
        <v>0</v>
      </c>
      <c r="N1406" s="194">
        <v>0</v>
      </c>
      <c r="O1406" s="193">
        <v>0</v>
      </c>
      <c r="P1406" s="194">
        <v>0</v>
      </c>
      <c r="Q1406" s="193">
        <v>0</v>
      </c>
      <c r="R1406" s="194">
        <v>0</v>
      </c>
      <c r="S1406" s="193">
        <v>0</v>
      </c>
      <c r="T1406" s="194">
        <v>0</v>
      </c>
      <c r="U1406" s="193">
        <v>0</v>
      </c>
      <c r="V1406" s="194">
        <v>0</v>
      </c>
      <c r="W1406" s="193">
        <v>0</v>
      </c>
      <c r="X1406" s="194">
        <v>0</v>
      </c>
      <c r="Y1406" s="193">
        <v>0</v>
      </c>
      <c r="Z1406" s="194">
        <v>0</v>
      </c>
      <c r="AA1406" s="193">
        <v>0</v>
      </c>
      <c r="AB1406" s="194">
        <v>0</v>
      </c>
      <c r="AC1406" s="238">
        <f t="shared" si="75"/>
        <v>0</v>
      </c>
      <c r="AD1406" s="238"/>
      <c r="AE1406" s="238"/>
    </row>
    <row r="1407" spans="2:31" x14ac:dyDescent="0.3">
      <c r="B1407" s="245" t="s">
        <v>95</v>
      </c>
      <c r="C1407" s="245"/>
      <c r="D1407" s="245"/>
      <c r="E1407" s="193">
        <v>0</v>
      </c>
      <c r="F1407" s="194">
        <v>0</v>
      </c>
      <c r="G1407" s="193">
        <v>0</v>
      </c>
      <c r="H1407" s="194">
        <v>0</v>
      </c>
      <c r="I1407" s="193">
        <v>0</v>
      </c>
      <c r="J1407" s="194">
        <v>0</v>
      </c>
      <c r="K1407" s="193">
        <v>0</v>
      </c>
      <c r="L1407" s="194">
        <v>0</v>
      </c>
      <c r="M1407" s="193">
        <v>0</v>
      </c>
      <c r="N1407" s="194">
        <v>0</v>
      </c>
      <c r="O1407" s="193">
        <v>0</v>
      </c>
      <c r="P1407" s="194">
        <v>0</v>
      </c>
      <c r="Q1407" s="193">
        <v>0</v>
      </c>
      <c r="R1407" s="194">
        <v>0</v>
      </c>
      <c r="S1407" s="193">
        <v>0</v>
      </c>
      <c r="T1407" s="194">
        <v>0</v>
      </c>
      <c r="U1407" s="193">
        <v>0</v>
      </c>
      <c r="V1407" s="194">
        <v>0</v>
      </c>
      <c r="W1407" s="193">
        <v>0</v>
      </c>
      <c r="X1407" s="194">
        <v>0</v>
      </c>
      <c r="Y1407" s="193">
        <v>0</v>
      </c>
      <c r="Z1407" s="194">
        <v>0</v>
      </c>
      <c r="AA1407" s="193">
        <v>0</v>
      </c>
      <c r="AB1407" s="194">
        <v>0</v>
      </c>
      <c r="AC1407" s="238">
        <f t="shared" si="75"/>
        <v>0</v>
      </c>
      <c r="AD1407" s="238"/>
      <c r="AE1407" s="238"/>
    </row>
    <row r="1408" spans="2:31" x14ac:dyDescent="0.3">
      <c r="B1408" s="245" t="s">
        <v>59</v>
      </c>
      <c r="C1408" s="245"/>
      <c r="D1408" s="245"/>
      <c r="E1408" s="193">
        <v>0</v>
      </c>
      <c r="F1408" s="194">
        <v>0</v>
      </c>
      <c r="G1408" s="193">
        <v>0</v>
      </c>
      <c r="H1408" s="194">
        <v>0</v>
      </c>
      <c r="I1408" s="193">
        <v>0</v>
      </c>
      <c r="J1408" s="194">
        <v>0</v>
      </c>
      <c r="K1408" s="193">
        <v>0</v>
      </c>
      <c r="L1408" s="194">
        <v>0</v>
      </c>
      <c r="M1408" s="193">
        <v>0</v>
      </c>
      <c r="N1408" s="194">
        <v>0</v>
      </c>
      <c r="O1408" s="193">
        <v>0</v>
      </c>
      <c r="P1408" s="194">
        <v>0</v>
      </c>
      <c r="Q1408" s="193">
        <v>0</v>
      </c>
      <c r="R1408" s="194">
        <v>0</v>
      </c>
      <c r="S1408" s="193">
        <v>0</v>
      </c>
      <c r="T1408" s="194">
        <v>2.7351666666666676</v>
      </c>
      <c r="U1408" s="193">
        <v>7.8866666666666676</v>
      </c>
      <c r="V1408" s="194">
        <v>7.9934999999999983</v>
      </c>
      <c r="W1408" s="193">
        <v>2.9438333333333322</v>
      </c>
      <c r="X1408" s="194">
        <v>0</v>
      </c>
      <c r="Y1408" s="193">
        <v>0</v>
      </c>
      <c r="Z1408" s="194">
        <v>0</v>
      </c>
      <c r="AA1408" s="193">
        <v>0</v>
      </c>
      <c r="AB1408" s="194">
        <v>0</v>
      </c>
      <c r="AC1408" s="238">
        <f t="shared" si="75"/>
        <v>21.559166666666663</v>
      </c>
      <c r="AD1408" s="238"/>
      <c r="AE1408" s="238"/>
    </row>
    <row r="1409" spans="2:31" x14ac:dyDescent="0.3">
      <c r="B1409" s="245" t="s">
        <v>60</v>
      </c>
      <c r="C1409" s="245"/>
      <c r="D1409" s="245"/>
      <c r="E1409" s="193">
        <v>0</v>
      </c>
      <c r="F1409" s="194">
        <v>0</v>
      </c>
      <c r="G1409" s="193">
        <v>0</v>
      </c>
      <c r="H1409" s="194">
        <v>0</v>
      </c>
      <c r="I1409" s="193">
        <v>0</v>
      </c>
      <c r="J1409" s="194">
        <v>0</v>
      </c>
      <c r="K1409" s="193">
        <v>0</v>
      </c>
      <c r="L1409" s="194">
        <v>0</v>
      </c>
      <c r="M1409" s="193">
        <v>0</v>
      </c>
      <c r="N1409" s="194">
        <v>0</v>
      </c>
      <c r="O1409" s="193">
        <v>0</v>
      </c>
      <c r="P1409" s="194">
        <v>0</v>
      </c>
      <c r="Q1409" s="193">
        <v>0</v>
      </c>
      <c r="R1409" s="194">
        <v>0</v>
      </c>
      <c r="S1409" s="193">
        <v>0</v>
      </c>
      <c r="T1409" s="194">
        <v>0</v>
      </c>
      <c r="U1409" s="193">
        <v>0</v>
      </c>
      <c r="V1409" s="194">
        <v>0</v>
      </c>
      <c r="W1409" s="193">
        <v>0</v>
      </c>
      <c r="X1409" s="194">
        <v>0</v>
      </c>
      <c r="Y1409" s="193">
        <v>0</v>
      </c>
      <c r="Z1409" s="194">
        <v>0</v>
      </c>
      <c r="AA1409" s="193">
        <v>0</v>
      </c>
      <c r="AB1409" s="194">
        <v>0</v>
      </c>
      <c r="AC1409" s="238">
        <f t="shared" si="75"/>
        <v>0</v>
      </c>
      <c r="AD1409" s="238"/>
      <c r="AE1409" s="238"/>
    </row>
    <row r="1410" spans="2:31" x14ac:dyDescent="0.3">
      <c r="B1410" s="245" t="s">
        <v>61</v>
      </c>
      <c r="C1410" s="245"/>
      <c r="D1410" s="245"/>
      <c r="E1410" s="193">
        <v>0</v>
      </c>
      <c r="F1410" s="194">
        <v>0</v>
      </c>
      <c r="G1410" s="193">
        <v>0</v>
      </c>
      <c r="H1410" s="194">
        <v>0</v>
      </c>
      <c r="I1410" s="193">
        <v>0</v>
      </c>
      <c r="J1410" s="194">
        <v>0</v>
      </c>
      <c r="K1410" s="193">
        <v>0</v>
      </c>
      <c r="L1410" s="194">
        <v>0</v>
      </c>
      <c r="M1410" s="193">
        <v>0</v>
      </c>
      <c r="N1410" s="194">
        <v>0</v>
      </c>
      <c r="O1410" s="193">
        <v>0</v>
      </c>
      <c r="P1410" s="194">
        <v>0</v>
      </c>
      <c r="Q1410" s="193">
        <v>0</v>
      </c>
      <c r="R1410" s="194">
        <v>0</v>
      </c>
      <c r="S1410" s="193">
        <v>0</v>
      </c>
      <c r="T1410" s="194">
        <v>0</v>
      </c>
      <c r="U1410" s="193">
        <v>0</v>
      </c>
      <c r="V1410" s="194">
        <v>0</v>
      </c>
      <c r="W1410" s="193">
        <v>0</v>
      </c>
      <c r="X1410" s="194">
        <v>0</v>
      </c>
      <c r="Y1410" s="193">
        <v>0</v>
      </c>
      <c r="Z1410" s="194">
        <v>0</v>
      </c>
      <c r="AA1410" s="193">
        <v>0</v>
      </c>
      <c r="AB1410" s="194">
        <v>0</v>
      </c>
      <c r="AC1410" s="238">
        <f t="shared" si="75"/>
        <v>0</v>
      </c>
      <c r="AD1410" s="238"/>
      <c r="AE1410" s="238"/>
    </row>
    <row r="1411" spans="2:31" x14ac:dyDescent="0.3">
      <c r="B1411" s="245" t="s">
        <v>62</v>
      </c>
      <c r="C1411" s="245"/>
      <c r="D1411" s="245"/>
      <c r="E1411" s="193">
        <v>0</v>
      </c>
      <c r="F1411" s="194">
        <v>0</v>
      </c>
      <c r="G1411" s="193">
        <v>0</v>
      </c>
      <c r="H1411" s="194">
        <v>0</v>
      </c>
      <c r="I1411" s="193">
        <v>0</v>
      </c>
      <c r="J1411" s="194">
        <v>0</v>
      </c>
      <c r="K1411" s="193">
        <v>0</v>
      </c>
      <c r="L1411" s="194">
        <v>0</v>
      </c>
      <c r="M1411" s="193">
        <v>0</v>
      </c>
      <c r="N1411" s="194">
        <v>0</v>
      </c>
      <c r="O1411" s="193">
        <v>0</v>
      </c>
      <c r="P1411" s="194">
        <v>0</v>
      </c>
      <c r="Q1411" s="193">
        <v>0</v>
      </c>
      <c r="R1411" s="194">
        <v>0</v>
      </c>
      <c r="S1411" s="193">
        <v>0</v>
      </c>
      <c r="T1411" s="194">
        <v>2.3833333333333328E-2</v>
      </c>
      <c r="U1411" s="193">
        <v>0</v>
      </c>
      <c r="V1411" s="194">
        <v>0.41100000000000136</v>
      </c>
      <c r="W1411" s="193">
        <v>0</v>
      </c>
      <c r="X1411" s="194">
        <v>0</v>
      </c>
      <c r="Y1411" s="193">
        <v>0</v>
      </c>
      <c r="Z1411" s="194">
        <v>0</v>
      </c>
      <c r="AA1411" s="193">
        <v>0</v>
      </c>
      <c r="AB1411" s="194">
        <v>0</v>
      </c>
      <c r="AC1411" s="238">
        <f t="shared" si="75"/>
        <v>0.43483333333333468</v>
      </c>
      <c r="AD1411" s="238"/>
      <c r="AE1411" s="238"/>
    </row>
    <row r="1412" spans="2:31" x14ac:dyDescent="0.3">
      <c r="B1412" s="245" t="s">
        <v>63</v>
      </c>
      <c r="C1412" s="245"/>
      <c r="D1412" s="245"/>
      <c r="E1412" s="193">
        <v>0</v>
      </c>
      <c r="F1412" s="194">
        <v>0</v>
      </c>
      <c r="G1412" s="193">
        <v>0</v>
      </c>
      <c r="H1412" s="194">
        <v>0</v>
      </c>
      <c r="I1412" s="193">
        <v>0</v>
      </c>
      <c r="J1412" s="194">
        <v>0</v>
      </c>
      <c r="K1412" s="193">
        <v>0</v>
      </c>
      <c r="L1412" s="194">
        <v>0</v>
      </c>
      <c r="M1412" s="193">
        <v>0</v>
      </c>
      <c r="N1412" s="194">
        <v>0</v>
      </c>
      <c r="O1412" s="193">
        <v>0</v>
      </c>
      <c r="P1412" s="194">
        <v>0</v>
      </c>
      <c r="Q1412" s="193">
        <v>0</v>
      </c>
      <c r="R1412" s="194">
        <v>0</v>
      </c>
      <c r="S1412" s="193">
        <v>0</v>
      </c>
      <c r="T1412" s="194">
        <v>0</v>
      </c>
      <c r="U1412" s="193">
        <v>0</v>
      </c>
      <c r="V1412" s="194">
        <v>2.6038333333333408</v>
      </c>
      <c r="W1412" s="193">
        <v>0</v>
      </c>
      <c r="X1412" s="194">
        <v>0</v>
      </c>
      <c r="Y1412" s="193">
        <v>0</v>
      </c>
      <c r="Z1412" s="194">
        <v>0</v>
      </c>
      <c r="AA1412" s="193">
        <v>0</v>
      </c>
      <c r="AB1412" s="194">
        <v>0</v>
      </c>
      <c r="AC1412" s="238">
        <f t="shared" si="75"/>
        <v>2.6038333333333408</v>
      </c>
      <c r="AD1412" s="238"/>
      <c r="AE1412" s="238"/>
    </row>
    <row r="1413" spans="2:31" x14ac:dyDescent="0.3">
      <c r="B1413" s="245" t="s">
        <v>64</v>
      </c>
      <c r="C1413" s="245"/>
      <c r="D1413" s="245"/>
      <c r="E1413" s="193">
        <v>0</v>
      </c>
      <c r="F1413" s="194">
        <v>0</v>
      </c>
      <c r="G1413" s="193">
        <v>0</v>
      </c>
      <c r="H1413" s="194">
        <v>0</v>
      </c>
      <c r="I1413" s="193">
        <v>0</v>
      </c>
      <c r="J1413" s="194">
        <v>0</v>
      </c>
      <c r="K1413" s="193">
        <v>0</v>
      </c>
      <c r="L1413" s="194">
        <v>0</v>
      </c>
      <c r="M1413" s="193">
        <v>0</v>
      </c>
      <c r="N1413" s="194">
        <v>0</v>
      </c>
      <c r="O1413" s="193">
        <v>0</v>
      </c>
      <c r="P1413" s="194">
        <v>0</v>
      </c>
      <c r="Q1413" s="193">
        <v>0</v>
      </c>
      <c r="R1413" s="194">
        <v>0</v>
      </c>
      <c r="S1413" s="193">
        <v>0</v>
      </c>
      <c r="T1413" s="194">
        <v>0</v>
      </c>
      <c r="U1413" s="193">
        <v>0</v>
      </c>
      <c r="V1413" s="194">
        <v>0.42700000000000077</v>
      </c>
      <c r="W1413" s="193">
        <v>0</v>
      </c>
      <c r="X1413" s="194">
        <v>0</v>
      </c>
      <c r="Y1413" s="193">
        <v>0</v>
      </c>
      <c r="Z1413" s="194">
        <v>0</v>
      </c>
      <c r="AA1413" s="193">
        <v>0</v>
      </c>
      <c r="AB1413" s="194">
        <v>0</v>
      </c>
      <c r="AC1413" s="238">
        <f t="shared" si="75"/>
        <v>0.42700000000000077</v>
      </c>
      <c r="AD1413" s="238"/>
      <c r="AE1413" s="238"/>
    </row>
    <row r="1414" spans="2:31" x14ac:dyDescent="0.3">
      <c r="B1414" s="245" t="s">
        <v>96</v>
      </c>
      <c r="C1414" s="245"/>
      <c r="D1414" s="245"/>
      <c r="E1414" s="193">
        <v>0</v>
      </c>
      <c r="F1414" s="194">
        <v>0</v>
      </c>
      <c r="G1414" s="193">
        <v>0</v>
      </c>
      <c r="H1414" s="194">
        <v>0</v>
      </c>
      <c r="I1414" s="193">
        <v>0</v>
      </c>
      <c r="J1414" s="194">
        <v>0</v>
      </c>
      <c r="K1414" s="193">
        <v>0</v>
      </c>
      <c r="L1414" s="194">
        <v>0</v>
      </c>
      <c r="M1414" s="193">
        <v>0</v>
      </c>
      <c r="N1414" s="194">
        <v>0</v>
      </c>
      <c r="O1414" s="193">
        <v>0</v>
      </c>
      <c r="P1414" s="194">
        <v>0</v>
      </c>
      <c r="Q1414" s="193">
        <v>0</v>
      </c>
      <c r="R1414" s="194">
        <v>0</v>
      </c>
      <c r="S1414" s="193">
        <v>0</v>
      </c>
      <c r="T1414" s="194">
        <v>0</v>
      </c>
      <c r="U1414" s="193">
        <v>0</v>
      </c>
      <c r="V1414" s="194">
        <v>0</v>
      </c>
      <c r="W1414" s="193">
        <v>0</v>
      </c>
      <c r="X1414" s="194">
        <v>0</v>
      </c>
      <c r="Y1414" s="193">
        <v>0</v>
      </c>
      <c r="Z1414" s="194">
        <v>0</v>
      </c>
      <c r="AA1414" s="193">
        <v>0</v>
      </c>
      <c r="AB1414" s="194">
        <v>0</v>
      </c>
      <c r="AC1414" s="238">
        <f t="shared" si="75"/>
        <v>0</v>
      </c>
      <c r="AD1414" s="238"/>
      <c r="AE1414" s="238"/>
    </row>
    <row r="1415" spans="2:31" x14ac:dyDescent="0.3">
      <c r="B1415" s="245" t="s">
        <v>65</v>
      </c>
      <c r="C1415" s="245"/>
      <c r="D1415" s="245"/>
      <c r="E1415" s="193">
        <v>0</v>
      </c>
      <c r="F1415" s="194">
        <v>0</v>
      </c>
      <c r="G1415" s="193">
        <v>0</v>
      </c>
      <c r="H1415" s="194">
        <v>0</v>
      </c>
      <c r="I1415" s="193">
        <v>0</v>
      </c>
      <c r="J1415" s="194">
        <v>0</v>
      </c>
      <c r="K1415" s="193">
        <v>0</v>
      </c>
      <c r="L1415" s="194">
        <v>0</v>
      </c>
      <c r="M1415" s="193">
        <v>0</v>
      </c>
      <c r="N1415" s="194">
        <v>0</v>
      </c>
      <c r="O1415" s="193">
        <v>0</v>
      </c>
      <c r="P1415" s="194">
        <v>0</v>
      </c>
      <c r="Q1415" s="193">
        <v>0</v>
      </c>
      <c r="R1415" s="194">
        <v>0</v>
      </c>
      <c r="S1415" s="193">
        <v>0</v>
      </c>
      <c r="T1415" s="194">
        <v>0</v>
      </c>
      <c r="U1415" s="193">
        <v>0</v>
      </c>
      <c r="V1415" s="194">
        <v>1.6666666666666312E-3</v>
      </c>
      <c r="W1415" s="193">
        <v>0</v>
      </c>
      <c r="X1415" s="194">
        <v>0</v>
      </c>
      <c r="Y1415" s="193">
        <v>0</v>
      </c>
      <c r="Z1415" s="194">
        <v>0</v>
      </c>
      <c r="AA1415" s="193">
        <v>0</v>
      </c>
      <c r="AB1415" s="194">
        <v>0</v>
      </c>
      <c r="AC1415" s="238">
        <f t="shared" si="75"/>
        <v>1.6666666666666312E-3</v>
      </c>
      <c r="AD1415" s="238"/>
      <c r="AE1415" s="238"/>
    </row>
    <row r="1416" spans="2:31" x14ac:dyDescent="0.3">
      <c r="B1416" s="245" t="s">
        <v>66</v>
      </c>
      <c r="C1416" s="245"/>
      <c r="D1416" s="245"/>
      <c r="E1416" s="193">
        <v>0</v>
      </c>
      <c r="F1416" s="194">
        <v>0</v>
      </c>
      <c r="G1416" s="193">
        <v>0</v>
      </c>
      <c r="H1416" s="194">
        <v>0</v>
      </c>
      <c r="I1416" s="193">
        <v>0</v>
      </c>
      <c r="J1416" s="194">
        <v>0</v>
      </c>
      <c r="K1416" s="193">
        <v>0</v>
      </c>
      <c r="L1416" s="194">
        <v>0</v>
      </c>
      <c r="M1416" s="193">
        <v>0</v>
      </c>
      <c r="N1416" s="194">
        <v>0</v>
      </c>
      <c r="O1416" s="193">
        <v>0</v>
      </c>
      <c r="P1416" s="194">
        <v>0</v>
      </c>
      <c r="Q1416" s="193">
        <v>0</v>
      </c>
      <c r="R1416" s="194">
        <v>0</v>
      </c>
      <c r="S1416" s="193">
        <v>0</v>
      </c>
      <c r="T1416" s="194">
        <v>0</v>
      </c>
      <c r="U1416" s="193">
        <v>0</v>
      </c>
      <c r="V1416" s="194">
        <v>0.49483333333333257</v>
      </c>
      <c r="W1416" s="193">
        <v>0</v>
      </c>
      <c r="X1416" s="194">
        <v>0</v>
      </c>
      <c r="Y1416" s="193">
        <v>0</v>
      </c>
      <c r="Z1416" s="194">
        <v>0</v>
      </c>
      <c r="AA1416" s="193">
        <v>0</v>
      </c>
      <c r="AB1416" s="194">
        <v>0</v>
      </c>
      <c r="AC1416" s="238">
        <f>SUM(E1416:AB1416)</f>
        <v>0.49483333333333257</v>
      </c>
      <c r="AD1416" s="238"/>
      <c r="AE1416" s="238"/>
    </row>
    <row r="1417" spans="2:31" x14ac:dyDescent="0.3">
      <c r="B1417" s="245" t="s">
        <v>67</v>
      </c>
      <c r="C1417" s="245"/>
      <c r="D1417" s="245"/>
      <c r="E1417" s="193">
        <v>0</v>
      </c>
      <c r="F1417" s="194">
        <v>0</v>
      </c>
      <c r="G1417" s="193">
        <v>0</v>
      </c>
      <c r="H1417" s="194">
        <v>0</v>
      </c>
      <c r="I1417" s="193">
        <v>0</v>
      </c>
      <c r="J1417" s="194">
        <v>0</v>
      </c>
      <c r="K1417" s="193">
        <v>0</v>
      </c>
      <c r="L1417" s="194">
        <v>0</v>
      </c>
      <c r="M1417" s="193">
        <v>0</v>
      </c>
      <c r="N1417" s="194">
        <v>0</v>
      </c>
      <c r="O1417" s="193">
        <v>0</v>
      </c>
      <c r="P1417" s="194">
        <v>0</v>
      </c>
      <c r="Q1417" s="193">
        <v>0</v>
      </c>
      <c r="R1417" s="194">
        <v>0</v>
      </c>
      <c r="S1417" s="193">
        <v>0</v>
      </c>
      <c r="T1417" s="194">
        <v>0.33000000000000029</v>
      </c>
      <c r="U1417" s="193">
        <v>9.5000000000000223E-2</v>
      </c>
      <c r="V1417" s="194">
        <v>1.4678333333333333</v>
      </c>
      <c r="W1417" s="193">
        <v>0.41999999999999993</v>
      </c>
      <c r="X1417" s="194">
        <v>0</v>
      </c>
      <c r="Y1417" s="193">
        <v>0</v>
      </c>
      <c r="Z1417" s="194">
        <v>0</v>
      </c>
      <c r="AA1417" s="193">
        <v>0</v>
      </c>
      <c r="AB1417" s="194">
        <v>0</v>
      </c>
      <c r="AC1417" s="238">
        <f t="shared" ref="AC1417:AC1430" si="76">SUM(E1417:AB1417)</f>
        <v>2.3128333333333337</v>
      </c>
      <c r="AD1417" s="238"/>
      <c r="AE1417" s="238"/>
    </row>
    <row r="1418" spans="2:31" x14ac:dyDescent="0.3">
      <c r="B1418" s="245" t="s">
        <v>68</v>
      </c>
      <c r="C1418" s="245"/>
      <c r="D1418" s="245"/>
      <c r="E1418" s="193">
        <v>0</v>
      </c>
      <c r="F1418" s="194">
        <v>0</v>
      </c>
      <c r="G1418" s="193">
        <v>0</v>
      </c>
      <c r="H1418" s="194">
        <v>0</v>
      </c>
      <c r="I1418" s="193">
        <v>0</v>
      </c>
      <c r="J1418" s="194">
        <v>0</v>
      </c>
      <c r="K1418" s="193">
        <v>0</v>
      </c>
      <c r="L1418" s="194">
        <v>0</v>
      </c>
      <c r="M1418" s="193">
        <v>0</v>
      </c>
      <c r="N1418" s="194">
        <v>0</v>
      </c>
      <c r="O1418" s="193">
        <v>0</v>
      </c>
      <c r="P1418" s="194">
        <v>0</v>
      </c>
      <c r="Q1418" s="193">
        <v>0</v>
      </c>
      <c r="R1418" s="194">
        <v>0</v>
      </c>
      <c r="S1418" s="193">
        <v>0</v>
      </c>
      <c r="T1418" s="194">
        <v>3.9034999999999997</v>
      </c>
      <c r="U1418" s="193">
        <v>15.545666666666671</v>
      </c>
      <c r="V1418" s="194">
        <v>23.121666666666666</v>
      </c>
      <c r="W1418" s="193">
        <v>12.007166666666665</v>
      </c>
      <c r="X1418" s="194">
        <v>0</v>
      </c>
      <c r="Y1418" s="193">
        <v>0</v>
      </c>
      <c r="Z1418" s="194">
        <v>0</v>
      </c>
      <c r="AA1418" s="193">
        <v>0</v>
      </c>
      <c r="AB1418" s="194">
        <v>0</v>
      </c>
      <c r="AC1418" s="238">
        <f t="shared" si="76"/>
        <v>54.578000000000003</v>
      </c>
      <c r="AD1418" s="238"/>
      <c r="AE1418" s="238"/>
    </row>
    <row r="1419" spans="2:31" x14ac:dyDescent="0.3">
      <c r="B1419" s="245" t="s">
        <v>69</v>
      </c>
      <c r="C1419" s="245"/>
      <c r="D1419" s="245"/>
      <c r="E1419" s="193">
        <v>0</v>
      </c>
      <c r="F1419" s="194">
        <v>0</v>
      </c>
      <c r="G1419" s="193">
        <v>0</v>
      </c>
      <c r="H1419" s="194">
        <v>0</v>
      </c>
      <c r="I1419" s="193">
        <v>0</v>
      </c>
      <c r="J1419" s="194">
        <v>0</v>
      </c>
      <c r="K1419" s="193">
        <v>0</v>
      </c>
      <c r="L1419" s="194">
        <v>0</v>
      </c>
      <c r="M1419" s="193">
        <v>0</v>
      </c>
      <c r="N1419" s="194">
        <v>0</v>
      </c>
      <c r="O1419" s="193">
        <v>0</v>
      </c>
      <c r="P1419" s="194">
        <v>0</v>
      </c>
      <c r="Q1419" s="193">
        <v>0</v>
      </c>
      <c r="R1419" s="194">
        <v>0</v>
      </c>
      <c r="S1419" s="193">
        <v>0</v>
      </c>
      <c r="T1419" s="194">
        <v>0.48800000000000027</v>
      </c>
      <c r="U1419" s="193">
        <v>1.6286666666666703</v>
      </c>
      <c r="V1419" s="194">
        <v>2.2473333333333332</v>
      </c>
      <c r="W1419" s="193">
        <v>0</v>
      </c>
      <c r="X1419" s="194">
        <v>0</v>
      </c>
      <c r="Y1419" s="193">
        <v>0</v>
      </c>
      <c r="Z1419" s="194">
        <v>0</v>
      </c>
      <c r="AA1419" s="193">
        <v>0</v>
      </c>
      <c r="AB1419" s="194">
        <v>0</v>
      </c>
      <c r="AC1419" s="238">
        <f t="shared" si="76"/>
        <v>4.3640000000000043</v>
      </c>
      <c r="AD1419" s="238"/>
      <c r="AE1419" s="238"/>
    </row>
    <row r="1420" spans="2:31" x14ac:dyDescent="0.3">
      <c r="B1420" s="245" t="s">
        <v>70</v>
      </c>
      <c r="C1420" s="245"/>
      <c r="D1420" s="245"/>
      <c r="E1420" s="193">
        <v>0</v>
      </c>
      <c r="F1420" s="194">
        <v>0</v>
      </c>
      <c r="G1420" s="193">
        <v>0</v>
      </c>
      <c r="H1420" s="194">
        <v>0</v>
      </c>
      <c r="I1420" s="193">
        <v>0</v>
      </c>
      <c r="J1420" s="194">
        <v>0</v>
      </c>
      <c r="K1420" s="193">
        <v>0</v>
      </c>
      <c r="L1420" s="194">
        <v>0</v>
      </c>
      <c r="M1420" s="193">
        <v>0</v>
      </c>
      <c r="N1420" s="194">
        <v>0</v>
      </c>
      <c r="O1420" s="193">
        <v>0</v>
      </c>
      <c r="P1420" s="194">
        <v>0</v>
      </c>
      <c r="Q1420" s="193">
        <v>0</v>
      </c>
      <c r="R1420" s="194">
        <v>0</v>
      </c>
      <c r="S1420" s="193">
        <v>0</v>
      </c>
      <c r="T1420" s="194">
        <v>0.20650000000000071</v>
      </c>
      <c r="U1420" s="193">
        <v>0</v>
      </c>
      <c r="V1420" s="194">
        <v>2.2249999999999983</v>
      </c>
      <c r="W1420" s="193">
        <v>7.8233333333333341</v>
      </c>
      <c r="X1420" s="194">
        <v>0</v>
      </c>
      <c r="Y1420" s="193">
        <v>0</v>
      </c>
      <c r="Z1420" s="194">
        <v>0</v>
      </c>
      <c r="AA1420" s="193">
        <v>0</v>
      </c>
      <c r="AB1420" s="194">
        <v>0</v>
      </c>
      <c r="AC1420" s="238">
        <f t="shared" si="76"/>
        <v>10.254833333333334</v>
      </c>
      <c r="AD1420" s="238"/>
      <c r="AE1420" s="238"/>
    </row>
    <row r="1421" spans="2:31" x14ac:dyDescent="0.3">
      <c r="B1421" s="245" t="s">
        <v>71</v>
      </c>
      <c r="C1421" s="245"/>
      <c r="D1421" s="245"/>
      <c r="E1421" s="193">
        <v>0</v>
      </c>
      <c r="F1421" s="194">
        <v>0</v>
      </c>
      <c r="G1421" s="193">
        <v>0</v>
      </c>
      <c r="H1421" s="194">
        <v>0</v>
      </c>
      <c r="I1421" s="193">
        <v>0</v>
      </c>
      <c r="J1421" s="194">
        <v>0</v>
      </c>
      <c r="K1421" s="193">
        <v>0</v>
      </c>
      <c r="L1421" s="194">
        <v>0</v>
      </c>
      <c r="M1421" s="193">
        <v>0</v>
      </c>
      <c r="N1421" s="194">
        <v>0</v>
      </c>
      <c r="O1421" s="193">
        <v>0</v>
      </c>
      <c r="P1421" s="194">
        <v>0</v>
      </c>
      <c r="Q1421" s="193">
        <v>0</v>
      </c>
      <c r="R1421" s="194">
        <v>0</v>
      </c>
      <c r="S1421" s="193">
        <v>0</v>
      </c>
      <c r="T1421" s="194">
        <v>0</v>
      </c>
      <c r="U1421" s="193">
        <v>0</v>
      </c>
      <c r="V1421" s="194">
        <v>0.29183333333333439</v>
      </c>
      <c r="W1421" s="193">
        <v>0</v>
      </c>
      <c r="X1421" s="194">
        <v>0</v>
      </c>
      <c r="Y1421" s="193">
        <v>0</v>
      </c>
      <c r="Z1421" s="194">
        <v>0</v>
      </c>
      <c r="AA1421" s="193">
        <v>0</v>
      </c>
      <c r="AB1421" s="194">
        <v>0</v>
      </c>
      <c r="AC1421" s="238">
        <f t="shared" si="76"/>
        <v>0.29183333333333439</v>
      </c>
      <c r="AD1421" s="238"/>
      <c r="AE1421" s="238"/>
    </row>
    <row r="1422" spans="2:31" x14ac:dyDescent="0.3">
      <c r="B1422" s="245" t="s">
        <v>72</v>
      </c>
      <c r="C1422" s="245"/>
      <c r="D1422" s="245"/>
      <c r="E1422" s="193">
        <v>0</v>
      </c>
      <c r="F1422" s="194">
        <v>0</v>
      </c>
      <c r="G1422" s="193">
        <v>0</v>
      </c>
      <c r="H1422" s="194">
        <v>0</v>
      </c>
      <c r="I1422" s="193">
        <v>0</v>
      </c>
      <c r="J1422" s="194">
        <v>0</v>
      </c>
      <c r="K1422" s="193">
        <v>0</v>
      </c>
      <c r="L1422" s="194">
        <v>0</v>
      </c>
      <c r="M1422" s="193">
        <v>0</v>
      </c>
      <c r="N1422" s="194">
        <v>0</v>
      </c>
      <c r="O1422" s="193">
        <v>0</v>
      </c>
      <c r="P1422" s="194">
        <v>0</v>
      </c>
      <c r="Q1422" s="193">
        <v>0</v>
      </c>
      <c r="R1422" s="194">
        <v>0</v>
      </c>
      <c r="S1422" s="193">
        <v>0</v>
      </c>
      <c r="T1422" s="194">
        <v>0</v>
      </c>
      <c r="U1422" s="193">
        <v>0</v>
      </c>
      <c r="V1422" s="194">
        <v>0.64666666666666595</v>
      </c>
      <c r="W1422" s="193">
        <v>0</v>
      </c>
      <c r="X1422" s="194">
        <v>0</v>
      </c>
      <c r="Y1422" s="193">
        <v>0</v>
      </c>
      <c r="Z1422" s="194">
        <v>0</v>
      </c>
      <c r="AA1422" s="193">
        <v>0</v>
      </c>
      <c r="AB1422" s="194">
        <v>0</v>
      </c>
      <c r="AC1422" s="238">
        <f t="shared" si="76"/>
        <v>0.64666666666666595</v>
      </c>
      <c r="AD1422" s="238"/>
      <c r="AE1422" s="238"/>
    </row>
    <row r="1423" spans="2:31" x14ac:dyDescent="0.3">
      <c r="B1423" s="245" t="s">
        <v>73</v>
      </c>
      <c r="C1423" s="245"/>
      <c r="D1423" s="245"/>
      <c r="E1423" s="193">
        <v>0</v>
      </c>
      <c r="F1423" s="194">
        <v>0</v>
      </c>
      <c r="G1423" s="193">
        <v>0</v>
      </c>
      <c r="H1423" s="194">
        <v>0</v>
      </c>
      <c r="I1423" s="193">
        <v>0</v>
      </c>
      <c r="J1423" s="194">
        <v>0</v>
      </c>
      <c r="K1423" s="193">
        <v>0</v>
      </c>
      <c r="L1423" s="194">
        <v>0</v>
      </c>
      <c r="M1423" s="193">
        <v>0</v>
      </c>
      <c r="N1423" s="194">
        <v>0</v>
      </c>
      <c r="O1423" s="193">
        <v>0</v>
      </c>
      <c r="P1423" s="194">
        <v>0</v>
      </c>
      <c r="Q1423" s="193">
        <v>0</v>
      </c>
      <c r="R1423" s="194">
        <v>0</v>
      </c>
      <c r="S1423" s="193">
        <v>0</v>
      </c>
      <c r="T1423" s="194">
        <v>24.611666666666665</v>
      </c>
      <c r="U1423" s="193">
        <v>68.042833333333363</v>
      </c>
      <c r="V1423" s="194">
        <v>66.966000000000008</v>
      </c>
      <c r="W1423" s="193">
        <v>31.414666666666669</v>
      </c>
      <c r="X1423" s="194">
        <v>0</v>
      </c>
      <c r="Y1423" s="193">
        <v>0</v>
      </c>
      <c r="Z1423" s="194">
        <v>0</v>
      </c>
      <c r="AA1423" s="193">
        <v>0</v>
      </c>
      <c r="AB1423" s="194">
        <v>0</v>
      </c>
      <c r="AC1423" s="238">
        <f t="shared" si="76"/>
        <v>191.03516666666673</v>
      </c>
      <c r="AD1423" s="238"/>
      <c r="AE1423" s="238"/>
    </row>
    <row r="1424" spans="2:31" x14ac:dyDescent="0.3">
      <c r="B1424" s="245" t="s">
        <v>74</v>
      </c>
      <c r="C1424" s="245"/>
      <c r="D1424" s="245"/>
      <c r="E1424" s="193">
        <v>0</v>
      </c>
      <c r="F1424" s="194">
        <v>0</v>
      </c>
      <c r="G1424" s="193">
        <v>0</v>
      </c>
      <c r="H1424" s="194">
        <v>0</v>
      </c>
      <c r="I1424" s="193">
        <v>0</v>
      </c>
      <c r="J1424" s="194">
        <v>0</v>
      </c>
      <c r="K1424" s="193">
        <v>0</v>
      </c>
      <c r="L1424" s="194">
        <v>0</v>
      </c>
      <c r="M1424" s="193">
        <v>0</v>
      </c>
      <c r="N1424" s="194">
        <v>0</v>
      </c>
      <c r="O1424" s="193">
        <v>0</v>
      </c>
      <c r="P1424" s="194">
        <v>0</v>
      </c>
      <c r="Q1424" s="193">
        <v>0</v>
      </c>
      <c r="R1424" s="194">
        <v>0</v>
      </c>
      <c r="S1424" s="193">
        <v>0</v>
      </c>
      <c r="T1424" s="194">
        <v>1.4681666666666671</v>
      </c>
      <c r="U1424" s="193">
        <v>0.86633333333333329</v>
      </c>
      <c r="V1424" s="194">
        <v>1.2524999999999991</v>
      </c>
      <c r="W1424" s="193">
        <v>0.65999999999999992</v>
      </c>
      <c r="X1424" s="194">
        <v>0</v>
      </c>
      <c r="Y1424" s="193">
        <v>0</v>
      </c>
      <c r="Z1424" s="194">
        <v>0</v>
      </c>
      <c r="AA1424" s="193">
        <v>0</v>
      </c>
      <c r="AB1424" s="194">
        <v>0</v>
      </c>
      <c r="AC1424" s="238">
        <f t="shared" si="76"/>
        <v>4.246999999999999</v>
      </c>
      <c r="AD1424" s="238"/>
      <c r="AE1424" s="238"/>
    </row>
    <row r="1425" spans="2:31" x14ac:dyDescent="0.3">
      <c r="B1425" s="245" t="s">
        <v>75</v>
      </c>
      <c r="C1425" s="245"/>
      <c r="D1425" s="245"/>
      <c r="E1425" s="193">
        <v>0</v>
      </c>
      <c r="F1425" s="194">
        <v>0</v>
      </c>
      <c r="G1425" s="193">
        <v>0</v>
      </c>
      <c r="H1425" s="194">
        <v>0</v>
      </c>
      <c r="I1425" s="193">
        <v>0</v>
      </c>
      <c r="J1425" s="194">
        <v>0</v>
      </c>
      <c r="K1425" s="193">
        <v>0</v>
      </c>
      <c r="L1425" s="194">
        <v>0</v>
      </c>
      <c r="M1425" s="193">
        <v>0</v>
      </c>
      <c r="N1425" s="194">
        <v>0</v>
      </c>
      <c r="O1425" s="193">
        <v>0</v>
      </c>
      <c r="P1425" s="194">
        <v>0</v>
      </c>
      <c r="Q1425" s="193">
        <v>0</v>
      </c>
      <c r="R1425" s="194">
        <v>0</v>
      </c>
      <c r="S1425" s="193">
        <v>0</v>
      </c>
      <c r="T1425" s="194">
        <v>0.91999999999999693</v>
      </c>
      <c r="U1425" s="193">
        <v>1.8881666666666632</v>
      </c>
      <c r="V1425" s="194">
        <v>3.2121666666666662</v>
      </c>
      <c r="W1425" s="193">
        <v>1.0833333333333427E-2</v>
      </c>
      <c r="X1425" s="194">
        <v>0</v>
      </c>
      <c r="Y1425" s="193">
        <v>0</v>
      </c>
      <c r="Z1425" s="194">
        <v>0</v>
      </c>
      <c r="AA1425" s="193">
        <v>0</v>
      </c>
      <c r="AB1425" s="194">
        <v>0</v>
      </c>
      <c r="AC1425" s="238">
        <f t="shared" si="76"/>
        <v>6.0311666666666595</v>
      </c>
      <c r="AD1425" s="238"/>
      <c r="AE1425" s="238"/>
    </row>
    <row r="1426" spans="2:31" x14ac:dyDescent="0.3">
      <c r="B1426" s="245" t="s">
        <v>76</v>
      </c>
      <c r="C1426" s="245"/>
      <c r="D1426" s="245"/>
      <c r="E1426" s="193">
        <v>0</v>
      </c>
      <c r="F1426" s="194">
        <v>0</v>
      </c>
      <c r="G1426" s="193">
        <v>0</v>
      </c>
      <c r="H1426" s="194">
        <v>0</v>
      </c>
      <c r="I1426" s="193">
        <v>0</v>
      </c>
      <c r="J1426" s="194">
        <v>0</v>
      </c>
      <c r="K1426" s="193">
        <v>0</v>
      </c>
      <c r="L1426" s="194">
        <v>0</v>
      </c>
      <c r="M1426" s="193">
        <v>0</v>
      </c>
      <c r="N1426" s="194">
        <v>0</v>
      </c>
      <c r="O1426" s="193">
        <v>0</v>
      </c>
      <c r="P1426" s="194">
        <v>0</v>
      </c>
      <c r="Q1426" s="193">
        <v>0</v>
      </c>
      <c r="R1426" s="194">
        <v>0</v>
      </c>
      <c r="S1426" s="193">
        <v>0</v>
      </c>
      <c r="T1426" s="194">
        <v>0</v>
      </c>
      <c r="U1426" s="193">
        <v>0</v>
      </c>
      <c r="V1426" s="194">
        <v>0.79666666666666519</v>
      </c>
      <c r="W1426" s="193">
        <v>0</v>
      </c>
      <c r="X1426" s="194">
        <v>0</v>
      </c>
      <c r="Y1426" s="193">
        <v>0</v>
      </c>
      <c r="Z1426" s="194">
        <v>0</v>
      </c>
      <c r="AA1426" s="193">
        <v>0</v>
      </c>
      <c r="AB1426" s="194">
        <v>0</v>
      </c>
      <c r="AC1426" s="238">
        <f t="shared" si="76"/>
        <v>0.79666666666666519</v>
      </c>
      <c r="AD1426" s="238"/>
      <c r="AE1426" s="238"/>
    </row>
    <row r="1427" spans="2:31" x14ac:dyDescent="0.3">
      <c r="B1427" s="245" t="s">
        <v>77</v>
      </c>
      <c r="C1427" s="245"/>
      <c r="D1427" s="245"/>
      <c r="E1427" s="193">
        <v>0</v>
      </c>
      <c r="F1427" s="194">
        <v>0</v>
      </c>
      <c r="G1427" s="193">
        <v>0</v>
      </c>
      <c r="H1427" s="194">
        <v>0</v>
      </c>
      <c r="I1427" s="193">
        <v>0</v>
      </c>
      <c r="J1427" s="194">
        <v>0</v>
      </c>
      <c r="K1427" s="193">
        <v>0</v>
      </c>
      <c r="L1427" s="194">
        <v>0</v>
      </c>
      <c r="M1427" s="193">
        <v>0</v>
      </c>
      <c r="N1427" s="194">
        <v>0</v>
      </c>
      <c r="O1427" s="193">
        <v>0</v>
      </c>
      <c r="P1427" s="194">
        <v>0</v>
      </c>
      <c r="Q1427" s="193">
        <v>0</v>
      </c>
      <c r="R1427" s="194">
        <v>0</v>
      </c>
      <c r="S1427" s="193">
        <v>0</v>
      </c>
      <c r="T1427" s="194">
        <v>0.49216666666666742</v>
      </c>
      <c r="U1427" s="193">
        <v>2.435166666666662</v>
      </c>
      <c r="V1427" s="194">
        <v>2.1656666666666657</v>
      </c>
      <c r="W1427" s="193">
        <v>0</v>
      </c>
      <c r="X1427" s="194">
        <v>0</v>
      </c>
      <c r="Y1427" s="193">
        <v>0</v>
      </c>
      <c r="Z1427" s="194">
        <v>0</v>
      </c>
      <c r="AA1427" s="193">
        <v>0</v>
      </c>
      <c r="AB1427" s="194">
        <v>0</v>
      </c>
      <c r="AC1427" s="238">
        <f t="shared" si="76"/>
        <v>5.0929999999999946</v>
      </c>
      <c r="AD1427" s="238"/>
      <c r="AE1427" s="238"/>
    </row>
    <row r="1428" spans="2:31" x14ac:dyDescent="0.3">
      <c r="B1428" s="245" t="s">
        <v>78</v>
      </c>
      <c r="C1428" s="245"/>
      <c r="D1428" s="245"/>
      <c r="E1428" s="193">
        <v>0</v>
      </c>
      <c r="F1428" s="194">
        <v>0</v>
      </c>
      <c r="G1428" s="193">
        <v>0</v>
      </c>
      <c r="H1428" s="194">
        <v>0</v>
      </c>
      <c r="I1428" s="193">
        <v>0</v>
      </c>
      <c r="J1428" s="194">
        <v>0</v>
      </c>
      <c r="K1428" s="193">
        <v>0</v>
      </c>
      <c r="L1428" s="194">
        <v>0</v>
      </c>
      <c r="M1428" s="193">
        <v>0</v>
      </c>
      <c r="N1428" s="194">
        <v>0</v>
      </c>
      <c r="O1428" s="193">
        <v>0</v>
      </c>
      <c r="P1428" s="194">
        <v>0</v>
      </c>
      <c r="Q1428" s="193">
        <v>0</v>
      </c>
      <c r="R1428" s="194">
        <v>0</v>
      </c>
      <c r="S1428" s="193">
        <v>0</v>
      </c>
      <c r="T1428" s="194">
        <v>2.577666666666667</v>
      </c>
      <c r="U1428" s="193">
        <v>4.3299999999999921</v>
      </c>
      <c r="V1428" s="194">
        <v>0</v>
      </c>
      <c r="W1428" s="193">
        <v>0</v>
      </c>
      <c r="X1428" s="194">
        <v>0</v>
      </c>
      <c r="Y1428" s="193">
        <v>0</v>
      </c>
      <c r="Z1428" s="194">
        <v>0</v>
      </c>
      <c r="AA1428" s="193">
        <v>0</v>
      </c>
      <c r="AB1428" s="194">
        <v>0</v>
      </c>
      <c r="AC1428" s="238">
        <f t="shared" si="76"/>
        <v>6.9076666666666586</v>
      </c>
      <c r="AD1428" s="238"/>
      <c r="AE1428" s="238"/>
    </row>
    <row r="1429" spans="2:31" x14ac:dyDescent="0.3">
      <c r="B1429" s="245" t="s">
        <v>79</v>
      </c>
      <c r="C1429" s="245"/>
      <c r="D1429" s="245"/>
      <c r="E1429" s="193">
        <v>0</v>
      </c>
      <c r="F1429" s="194">
        <v>0</v>
      </c>
      <c r="G1429" s="193">
        <v>0</v>
      </c>
      <c r="H1429" s="194">
        <v>0</v>
      </c>
      <c r="I1429" s="193">
        <v>0</v>
      </c>
      <c r="J1429" s="194">
        <v>0</v>
      </c>
      <c r="K1429" s="193">
        <v>0</v>
      </c>
      <c r="L1429" s="194">
        <v>0</v>
      </c>
      <c r="M1429" s="193">
        <v>0</v>
      </c>
      <c r="N1429" s="194">
        <v>0</v>
      </c>
      <c r="O1429" s="193">
        <v>0</v>
      </c>
      <c r="P1429" s="194">
        <v>0</v>
      </c>
      <c r="Q1429" s="193">
        <v>0</v>
      </c>
      <c r="R1429" s="194">
        <v>0</v>
      </c>
      <c r="S1429" s="193">
        <v>0</v>
      </c>
      <c r="T1429" s="194">
        <v>0</v>
      </c>
      <c r="U1429" s="193">
        <v>0</v>
      </c>
      <c r="V1429" s="194">
        <v>4.7699999999999996</v>
      </c>
      <c r="W1429" s="193">
        <v>1.0043333333333331</v>
      </c>
      <c r="X1429" s="194">
        <v>0</v>
      </c>
      <c r="Y1429" s="193">
        <v>0</v>
      </c>
      <c r="Z1429" s="194">
        <v>0</v>
      </c>
      <c r="AA1429" s="193">
        <v>0</v>
      </c>
      <c r="AB1429" s="194">
        <v>0</v>
      </c>
      <c r="AC1429" s="238">
        <f t="shared" si="76"/>
        <v>5.7743333333333329</v>
      </c>
      <c r="AD1429" s="238"/>
      <c r="AE1429" s="238"/>
    </row>
    <row r="1430" spans="2:31" x14ac:dyDescent="0.3">
      <c r="B1430" s="245" t="s">
        <v>80</v>
      </c>
      <c r="C1430" s="245"/>
      <c r="D1430" s="245"/>
      <c r="E1430" s="193">
        <v>0</v>
      </c>
      <c r="F1430" s="194">
        <v>0</v>
      </c>
      <c r="G1430" s="193">
        <v>0</v>
      </c>
      <c r="H1430" s="194">
        <v>0</v>
      </c>
      <c r="I1430" s="193">
        <v>0</v>
      </c>
      <c r="J1430" s="194">
        <v>0</v>
      </c>
      <c r="K1430" s="193">
        <v>0</v>
      </c>
      <c r="L1430" s="194">
        <v>0</v>
      </c>
      <c r="M1430" s="193">
        <v>0</v>
      </c>
      <c r="N1430" s="194">
        <v>0</v>
      </c>
      <c r="O1430" s="193">
        <v>0</v>
      </c>
      <c r="P1430" s="194">
        <v>0</v>
      </c>
      <c r="Q1430" s="193">
        <v>0</v>
      </c>
      <c r="R1430" s="194">
        <v>0</v>
      </c>
      <c r="S1430" s="193">
        <v>0</v>
      </c>
      <c r="T1430" s="194">
        <v>0</v>
      </c>
      <c r="U1430" s="193">
        <v>0</v>
      </c>
      <c r="V1430" s="194">
        <v>0.43599999999999944</v>
      </c>
      <c r="W1430" s="193">
        <v>0</v>
      </c>
      <c r="X1430" s="194">
        <v>0</v>
      </c>
      <c r="Y1430" s="193">
        <v>0</v>
      </c>
      <c r="Z1430" s="194">
        <v>0</v>
      </c>
      <c r="AA1430" s="193">
        <v>0</v>
      </c>
      <c r="AB1430" s="194">
        <v>0</v>
      </c>
      <c r="AC1430" s="238">
        <f t="shared" si="76"/>
        <v>0.43599999999999944</v>
      </c>
      <c r="AD1430" s="238"/>
      <c r="AE1430" s="238"/>
    </row>
    <row r="1431" spans="2:31" x14ac:dyDescent="0.3">
      <c r="B1431" s="245" t="s">
        <v>93</v>
      </c>
      <c r="C1431" s="245"/>
      <c r="D1431" s="245"/>
      <c r="E1431" s="193">
        <v>0</v>
      </c>
      <c r="F1431" s="194">
        <v>0</v>
      </c>
      <c r="G1431" s="193">
        <v>0</v>
      </c>
      <c r="H1431" s="194">
        <v>0</v>
      </c>
      <c r="I1431" s="193">
        <v>0</v>
      </c>
      <c r="J1431" s="194">
        <v>0</v>
      </c>
      <c r="K1431" s="193">
        <v>0</v>
      </c>
      <c r="L1431" s="194">
        <v>0</v>
      </c>
      <c r="M1431" s="193">
        <v>0</v>
      </c>
      <c r="N1431" s="194">
        <v>0</v>
      </c>
      <c r="O1431" s="193">
        <v>0</v>
      </c>
      <c r="P1431" s="194">
        <v>0</v>
      </c>
      <c r="Q1431" s="193">
        <v>0</v>
      </c>
      <c r="R1431" s="194">
        <v>1.6623333333333339</v>
      </c>
      <c r="S1431" s="193">
        <v>3.5600000000000018</v>
      </c>
      <c r="T1431" s="194">
        <v>3.4600000000000013</v>
      </c>
      <c r="U1431" s="193">
        <v>2.4599999999999986</v>
      </c>
      <c r="V1431" s="194">
        <v>1.2599999999999993</v>
      </c>
      <c r="W1431" s="193">
        <v>0</v>
      </c>
      <c r="X1431" s="194">
        <v>0</v>
      </c>
      <c r="Y1431" s="193">
        <v>0</v>
      </c>
      <c r="Z1431" s="194">
        <v>0</v>
      </c>
      <c r="AA1431" s="193">
        <v>0</v>
      </c>
      <c r="AB1431" s="194">
        <v>0</v>
      </c>
      <c r="AC1431" s="238">
        <f>SUM(E1431:AB1431)</f>
        <v>12.402333333333337</v>
      </c>
      <c r="AD1431" s="238"/>
      <c r="AE1431" s="238"/>
    </row>
    <row r="1432" spans="2:31" x14ac:dyDescent="0.3">
      <c r="B1432" s="14" t="s">
        <v>2</v>
      </c>
      <c r="C1432" s="14"/>
      <c r="D1432" s="14"/>
      <c r="E1432" s="15">
        <f t="shared" ref="E1432:AB1432" si="77">SUM(E1383:E1431)</f>
        <v>0</v>
      </c>
      <c r="F1432" s="15">
        <f t="shared" si="77"/>
        <v>0</v>
      </c>
      <c r="G1432" s="15">
        <f t="shared" si="77"/>
        <v>0</v>
      </c>
      <c r="H1432" s="15">
        <f t="shared" si="77"/>
        <v>0</v>
      </c>
      <c r="I1432" s="15">
        <f t="shared" si="77"/>
        <v>0</v>
      </c>
      <c r="J1432" s="15">
        <f t="shared" si="77"/>
        <v>0</v>
      </c>
      <c r="K1432" s="15">
        <f t="shared" si="77"/>
        <v>0</v>
      </c>
      <c r="L1432" s="15">
        <f t="shared" si="77"/>
        <v>0</v>
      </c>
      <c r="M1432" s="15">
        <f t="shared" si="77"/>
        <v>0</v>
      </c>
      <c r="N1432" s="15">
        <f t="shared" si="77"/>
        <v>0</v>
      </c>
      <c r="O1432" s="15">
        <f t="shared" si="77"/>
        <v>0</v>
      </c>
      <c r="P1432" s="15">
        <f t="shared" si="77"/>
        <v>1.941833333333332</v>
      </c>
      <c r="Q1432" s="15">
        <f t="shared" si="77"/>
        <v>16.110666666666656</v>
      </c>
      <c r="R1432" s="15">
        <f t="shared" si="77"/>
        <v>42.81433333333333</v>
      </c>
      <c r="S1432" s="15">
        <f t="shared" si="77"/>
        <v>54.772500000000036</v>
      </c>
      <c r="T1432" s="15">
        <f t="shared" si="77"/>
        <v>117.20866666666662</v>
      </c>
      <c r="U1432" s="15">
        <f t="shared" si="77"/>
        <v>152.65783333333337</v>
      </c>
      <c r="V1432" s="15">
        <f t="shared" si="77"/>
        <v>223.28533333333331</v>
      </c>
      <c r="W1432" s="15">
        <f t="shared" si="77"/>
        <v>83.408499999999989</v>
      </c>
      <c r="X1432" s="15">
        <f t="shared" si="77"/>
        <v>0</v>
      </c>
      <c r="Y1432" s="15">
        <f t="shared" si="77"/>
        <v>0</v>
      </c>
      <c r="Z1432" s="15">
        <f t="shared" si="77"/>
        <v>0</v>
      </c>
      <c r="AA1432" s="15">
        <f t="shared" si="77"/>
        <v>0</v>
      </c>
      <c r="AB1432" s="15">
        <f t="shared" si="77"/>
        <v>0</v>
      </c>
      <c r="AC1432" s="249">
        <f>SUM(AC1383:AE1431)</f>
        <v>692.19966666666664</v>
      </c>
      <c r="AD1432" s="249"/>
      <c r="AE1432" s="249"/>
    </row>
    <row r="1433" spans="2:31" x14ac:dyDescent="0.3">
      <c r="B1433" s="16"/>
      <c r="C1433" s="17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  <c r="N1433" s="18"/>
      <c r="O1433" s="18"/>
      <c r="P1433" s="18"/>
      <c r="Q1433" s="18"/>
      <c r="R1433" s="18"/>
      <c r="S1433" s="18"/>
      <c r="T1433" s="18"/>
      <c r="U1433" s="18"/>
      <c r="V1433" s="18"/>
      <c r="W1433" s="18"/>
      <c r="X1433" s="18"/>
      <c r="Y1433" s="18"/>
      <c r="Z1433" s="18"/>
      <c r="AA1433" s="18"/>
    </row>
    <row r="1434" spans="2:31" x14ac:dyDescent="0.3">
      <c r="B1434" s="16"/>
      <c r="C1434" s="17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  <c r="X1434" s="18"/>
      <c r="Y1434" s="18"/>
      <c r="Z1434" s="18"/>
      <c r="AA1434" s="18"/>
    </row>
    <row r="1435" spans="2:31" x14ac:dyDescent="0.3">
      <c r="B1435" s="8">
        <f>'Resumen-Mensual'!$AE$22</f>
        <v>44588</v>
      </c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195"/>
      <c r="AD1435" s="195"/>
      <c r="AE1435" s="195"/>
    </row>
    <row r="1436" spans="2:31" x14ac:dyDescent="0.3">
      <c r="B1436" s="8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195"/>
      <c r="AD1436" s="195"/>
      <c r="AE1436" s="195"/>
    </row>
    <row r="1437" spans="2:31" x14ac:dyDescent="0.3">
      <c r="B1437" s="9" t="s">
        <v>81</v>
      </c>
      <c r="C1437" s="10"/>
      <c r="D1437" s="10"/>
      <c r="E1437" s="11">
        <v>1</v>
      </c>
      <c r="F1437" s="11">
        <v>2</v>
      </c>
      <c r="G1437" s="11">
        <v>3</v>
      </c>
      <c r="H1437" s="11">
        <v>4</v>
      </c>
      <c r="I1437" s="11">
        <v>5</v>
      </c>
      <c r="J1437" s="11">
        <v>6</v>
      </c>
      <c r="K1437" s="11">
        <v>7</v>
      </c>
      <c r="L1437" s="11">
        <v>8</v>
      </c>
      <c r="M1437" s="11">
        <v>9</v>
      </c>
      <c r="N1437" s="11">
        <v>10</v>
      </c>
      <c r="O1437" s="11">
        <v>11</v>
      </c>
      <c r="P1437" s="11">
        <v>12</v>
      </c>
      <c r="Q1437" s="11">
        <v>13</v>
      </c>
      <c r="R1437" s="11">
        <v>14</v>
      </c>
      <c r="S1437" s="11">
        <v>15</v>
      </c>
      <c r="T1437" s="11">
        <v>16</v>
      </c>
      <c r="U1437" s="11">
        <v>17</v>
      </c>
      <c r="V1437" s="11">
        <v>18</v>
      </c>
      <c r="W1437" s="11">
        <v>19</v>
      </c>
      <c r="X1437" s="11">
        <v>20</v>
      </c>
      <c r="Y1437" s="11">
        <v>21</v>
      </c>
      <c r="Z1437" s="11">
        <v>22</v>
      </c>
      <c r="AA1437" s="11">
        <v>23</v>
      </c>
      <c r="AB1437" s="11">
        <v>24</v>
      </c>
      <c r="AC1437" s="248" t="s">
        <v>2</v>
      </c>
      <c r="AD1437" s="248"/>
      <c r="AE1437" s="248"/>
    </row>
    <row r="1438" spans="2:31" x14ac:dyDescent="0.3">
      <c r="B1438" s="245" t="s">
        <v>37</v>
      </c>
      <c r="C1438" s="245"/>
      <c r="D1438" s="245"/>
      <c r="E1438" s="200">
        <v>0</v>
      </c>
      <c r="F1438" s="201">
        <v>0</v>
      </c>
      <c r="G1438" s="200">
        <v>0</v>
      </c>
      <c r="H1438" s="201">
        <v>0</v>
      </c>
      <c r="I1438" s="200">
        <v>0</v>
      </c>
      <c r="J1438" s="201">
        <v>0</v>
      </c>
      <c r="K1438" s="200">
        <v>0</v>
      </c>
      <c r="L1438" s="201">
        <v>0</v>
      </c>
      <c r="M1438" s="200">
        <v>0</v>
      </c>
      <c r="N1438" s="201">
        <v>0</v>
      </c>
      <c r="O1438" s="200">
        <v>0</v>
      </c>
      <c r="P1438" s="201">
        <v>0</v>
      </c>
      <c r="Q1438" s="200">
        <v>0</v>
      </c>
      <c r="R1438" s="201">
        <v>0.55200000000000005</v>
      </c>
      <c r="S1438" s="200">
        <v>0</v>
      </c>
      <c r="T1438" s="201">
        <v>0.59883333333333355</v>
      </c>
      <c r="U1438" s="200">
        <v>0.11499999999999994</v>
      </c>
      <c r="V1438" s="201">
        <v>0</v>
      </c>
      <c r="W1438" s="200">
        <v>0</v>
      </c>
      <c r="X1438" s="201">
        <v>0</v>
      </c>
      <c r="Y1438" s="200">
        <v>0</v>
      </c>
      <c r="Z1438" s="201">
        <v>0</v>
      </c>
      <c r="AA1438" s="200">
        <v>0</v>
      </c>
      <c r="AB1438" s="201">
        <v>0</v>
      </c>
      <c r="AC1438" s="238">
        <f t="shared" ref="AC1438:AC1470" si="78">SUM(E1438:AB1438)</f>
        <v>1.2658333333333336</v>
      </c>
      <c r="AD1438" s="238"/>
      <c r="AE1438" s="238"/>
    </row>
    <row r="1439" spans="2:31" x14ac:dyDescent="0.3">
      <c r="B1439" s="245" t="s">
        <v>38</v>
      </c>
      <c r="C1439" s="245"/>
      <c r="D1439" s="245"/>
      <c r="E1439" s="200">
        <v>0</v>
      </c>
      <c r="F1439" s="201">
        <v>0</v>
      </c>
      <c r="G1439" s="200">
        <v>0</v>
      </c>
      <c r="H1439" s="201">
        <v>0</v>
      </c>
      <c r="I1439" s="200">
        <v>0</v>
      </c>
      <c r="J1439" s="201">
        <v>0</v>
      </c>
      <c r="K1439" s="200">
        <v>0</v>
      </c>
      <c r="L1439" s="201">
        <v>0</v>
      </c>
      <c r="M1439" s="200">
        <v>0</v>
      </c>
      <c r="N1439" s="201">
        <v>0</v>
      </c>
      <c r="O1439" s="200">
        <v>0</v>
      </c>
      <c r="P1439" s="201">
        <v>0</v>
      </c>
      <c r="Q1439" s="200">
        <v>0</v>
      </c>
      <c r="R1439" s="201">
        <v>0.82633333333333325</v>
      </c>
      <c r="S1439" s="200">
        <v>0</v>
      </c>
      <c r="T1439" s="201">
        <v>2.1823333333333341</v>
      </c>
      <c r="U1439" s="200">
        <v>0.14266666666666658</v>
      </c>
      <c r="V1439" s="201">
        <v>0.16283333333333327</v>
      </c>
      <c r="W1439" s="200">
        <v>0</v>
      </c>
      <c r="X1439" s="201">
        <v>0</v>
      </c>
      <c r="Y1439" s="200">
        <v>0</v>
      </c>
      <c r="Z1439" s="201">
        <v>0</v>
      </c>
      <c r="AA1439" s="200">
        <v>0</v>
      </c>
      <c r="AB1439" s="201">
        <v>0</v>
      </c>
      <c r="AC1439" s="238">
        <f t="shared" si="78"/>
        <v>3.3141666666666674</v>
      </c>
      <c r="AD1439" s="238"/>
      <c r="AE1439" s="238"/>
    </row>
    <row r="1440" spans="2:31" x14ac:dyDescent="0.3">
      <c r="B1440" s="245" t="s">
        <v>39</v>
      </c>
      <c r="C1440" s="245"/>
      <c r="D1440" s="245"/>
      <c r="E1440" s="200">
        <v>0</v>
      </c>
      <c r="F1440" s="201">
        <v>0</v>
      </c>
      <c r="G1440" s="200">
        <v>0</v>
      </c>
      <c r="H1440" s="201">
        <v>0</v>
      </c>
      <c r="I1440" s="200">
        <v>0</v>
      </c>
      <c r="J1440" s="201">
        <v>0</v>
      </c>
      <c r="K1440" s="200">
        <v>0</v>
      </c>
      <c r="L1440" s="201">
        <v>0</v>
      </c>
      <c r="M1440" s="200">
        <v>0</v>
      </c>
      <c r="N1440" s="201">
        <v>0</v>
      </c>
      <c r="O1440" s="200">
        <v>0</v>
      </c>
      <c r="P1440" s="201">
        <v>0</v>
      </c>
      <c r="Q1440" s="200">
        <v>0</v>
      </c>
      <c r="R1440" s="201">
        <v>6.5000000000000092E-3</v>
      </c>
      <c r="S1440" s="200">
        <v>0</v>
      </c>
      <c r="T1440" s="201">
        <v>2.8673333333333328</v>
      </c>
      <c r="U1440" s="200">
        <v>0.80149999999999977</v>
      </c>
      <c r="V1440" s="201">
        <v>1.7830000000000006</v>
      </c>
      <c r="W1440" s="200">
        <v>0</v>
      </c>
      <c r="X1440" s="201">
        <v>0</v>
      </c>
      <c r="Y1440" s="200">
        <v>0</v>
      </c>
      <c r="Z1440" s="201">
        <v>0</v>
      </c>
      <c r="AA1440" s="200">
        <v>0</v>
      </c>
      <c r="AB1440" s="201">
        <v>0</v>
      </c>
      <c r="AC1440" s="238">
        <f t="shared" si="78"/>
        <v>5.458333333333333</v>
      </c>
      <c r="AD1440" s="238"/>
      <c r="AE1440" s="238"/>
    </row>
    <row r="1441" spans="2:31" x14ac:dyDescent="0.3">
      <c r="B1441" s="245" t="s">
        <v>40</v>
      </c>
      <c r="C1441" s="245"/>
      <c r="D1441" s="245"/>
      <c r="E1441" s="200">
        <v>0</v>
      </c>
      <c r="F1441" s="201">
        <v>0</v>
      </c>
      <c r="G1441" s="200">
        <v>0</v>
      </c>
      <c r="H1441" s="201">
        <v>0</v>
      </c>
      <c r="I1441" s="200">
        <v>0</v>
      </c>
      <c r="J1441" s="201">
        <v>0</v>
      </c>
      <c r="K1441" s="200">
        <v>0</v>
      </c>
      <c r="L1441" s="201">
        <v>0</v>
      </c>
      <c r="M1441" s="200">
        <v>0</v>
      </c>
      <c r="N1441" s="201">
        <v>0</v>
      </c>
      <c r="O1441" s="200">
        <v>0</v>
      </c>
      <c r="P1441" s="201">
        <v>0</v>
      </c>
      <c r="Q1441" s="200">
        <v>0</v>
      </c>
      <c r="R1441" s="201">
        <v>6.4333333333333562E-2</v>
      </c>
      <c r="S1441" s="200">
        <v>1.4313333333333313</v>
      </c>
      <c r="T1441" s="201">
        <v>1.0843333333333343</v>
      </c>
      <c r="U1441" s="200">
        <v>0</v>
      </c>
      <c r="V1441" s="201">
        <v>0</v>
      </c>
      <c r="W1441" s="200">
        <v>0</v>
      </c>
      <c r="X1441" s="201">
        <v>0</v>
      </c>
      <c r="Y1441" s="200">
        <v>0</v>
      </c>
      <c r="Z1441" s="201">
        <v>0</v>
      </c>
      <c r="AA1441" s="200">
        <v>0</v>
      </c>
      <c r="AB1441" s="201">
        <v>0</v>
      </c>
      <c r="AC1441" s="238">
        <f t="shared" si="78"/>
        <v>2.5799999999999992</v>
      </c>
      <c r="AD1441" s="238"/>
      <c r="AE1441" s="238"/>
    </row>
    <row r="1442" spans="2:31" x14ac:dyDescent="0.3">
      <c r="B1442" s="245" t="s">
        <v>41</v>
      </c>
      <c r="C1442" s="245"/>
      <c r="D1442" s="245"/>
      <c r="E1442" s="200">
        <v>0</v>
      </c>
      <c r="F1442" s="201">
        <v>0</v>
      </c>
      <c r="G1442" s="200">
        <v>0</v>
      </c>
      <c r="H1442" s="201">
        <v>0</v>
      </c>
      <c r="I1442" s="200">
        <v>0</v>
      </c>
      <c r="J1442" s="201">
        <v>0</v>
      </c>
      <c r="K1442" s="200">
        <v>0</v>
      </c>
      <c r="L1442" s="201">
        <v>0</v>
      </c>
      <c r="M1442" s="200">
        <v>0</v>
      </c>
      <c r="N1442" s="201">
        <v>0</v>
      </c>
      <c r="O1442" s="200">
        <v>0</v>
      </c>
      <c r="P1442" s="201">
        <v>6.2209999999999948</v>
      </c>
      <c r="Q1442" s="200">
        <v>0</v>
      </c>
      <c r="R1442" s="201">
        <v>18.184833333333327</v>
      </c>
      <c r="S1442" s="200">
        <v>15.532000000000009</v>
      </c>
      <c r="T1442" s="201">
        <v>1.4143333333333303</v>
      </c>
      <c r="U1442" s="200">
        <v>0</v>
      </c>
      <c r="V1442" s="201">
        <v>1.2341666666666664</v>
      </c>
      <c r="W1442" s="200">
        <v>0</v>
      </c>
      <c r="X1442" s="201">
        <v>0</v>
      </c>
      <c r="Y1442" s="200">
        <v>0</v>
      </c>
      <c r="Z1442" s="201">
        <v>0</v>
      </c>
      <c r="AA1442" s="200">
        <v>0</v>
      </c>
      <c r="AB1442" s="201">
        <v>0</v>
      </c>
      <c r="AC1442" s="238">
        <f t="shared" si="78"/>
        <v>42.586333333333329</v>
      </c>
      <c r="AD1442" s="238"/>
      <c r="AE1442" s="238"/>
    </row>
    <row r="1443" spans="2:31" x14ac:dyDescent="0.3">
      <c r="B1443" s="245" t="s">
        <v>42</v>
      </c>
      <c r="C1443" s="245"/>
      <c r="D1443" s="245"/>
      <c r="E1443" s="200">
        <v>0</v>
      </c>
      <c r="F1443" s="201">
        <v>0</v>
      </c>
      <c r="G1443" s="200">
        <v>0</v>
      </c>
      <c r="H1443" s="201">
        <v>0</v>
      </c>
      <c r="I1443" s="200">
        <v>0</v>
      </c>
      <c r="J1443" s="201">
        <v>0</v>
      </c>
      <c r="K1443" s="200">
        <v>0</v>
      </c>
      <c r="L1443" s="201">
        <v>0</v>
      </c>
      <c r="M1443" s="200">
        <v>0</v>
      </c>
      <c r="N1443" s="201">
        <v>0</v>
      </c>
      <c r="O1443" s="200">
        <v>0</v>
      </c>
      <c r="P1443" s="201">
        <v>0</v>
      </c>
      <c r="Q1443" s="200">
        <v>0</v>
      </c>
      <c r="R1443" s="201">
        <v>0</v>
      </c>
      <c r="S1443" s="200">
        <v>0</v>
      </c>
      <c r="T1443" s="201">
        <v>21.256166666666665</v>
      </c>
      <c r="U1443" s="200">
        <v>4.2025000000000006</v>
      </c>
      <c r="V1443" s="201">
        <v>16.667333333333339</v>
      </c>
      <c r="W1443" s="200">
        <v>0</v>
      </c>
      <c r="X1443" s="201">
        <v>0</v>
      </c>
      <c r="Y1443" s="200">
        <v>0</v>
      </c>
      <c r="Z1443" s="201">
        <v>0</v>
      </c>
      <c r="AA1443" s="200">
        <v>0</v>
      </c>
      <c r="AB1443" s="201">
        <v>0</v>
      </c>
      <c r="AC1443" s="238">
        <f t="shared" si="78"/>
        <v>42.126000000000005</v>
      </c>
      <c r="AD1443" s="238"/>
      <c r="AE1443" s="238"/>
    </row>
    <row r="1444" spans="2:31" x14ac:dyDescent="0.3">
      <c r="B1444" s="245" t="s">
        <v>43</v>
      </c>
      <c r="C1444" s="245"/>
      <c r="D1444" s="245"/>
      <c r="E1444" s="200">
        <v>0</v>
      </c>
      <c r="F1444" s="201">
        <v>0</v>
      </c>
      <c r="G1444" s="200">
        <v>0</v>
      </c>
      <c r="H1444" s="201">
        <v>0</v>
      </c>
      <c r="I1444" s="200">
        <v>0</v>
      </c>
      <c r="J1444" s="201">
        <v>0</v>
      </c>
      <c r="K1444" s="200">
        <v>0</v>
      </c>
      <c r="L1444" s="201">
        <v>0</v>
      </c>
      <c r="M1444" s="200">
        <v>0</v>
      </c>
      <c r="N1444" s="201">
        <v>0</v>
      </c>
      <c r="O1444" s="200">
        <v>0</v>
      </c>
      <c r="P1444" s="201">
        <v>0</v>
      </c>
      <c r="Q1444" s="200">
        <v>4.9620000000000033</v>
      </c>
      <c r="R1444" s="201">
        <v>0</v>
      </c>
      <c r="S1444" s="200">
        <v>15.487666666666671</v>
      </c>
      <c r="T1444" s="201">
        <v>4.2543333333333369</v>
      </c>
      <c r="U1444" s="200">
        <v>12.510499999999995</v>
      </c>
      <c r="V1444" s="201">
        <v>11.385999999999997</v>
      </c>
      <c r="W1444" s="200">
        <v>0</v>
      </c>
      <c r="X1444" s="201">
        <v>0</v>
      </c>
      <c r="Y1444" s="200">
        <v>0</v>
      </c>
      <c r="Z1444" s="201">
        <v>0</v>
      </c>
      <c r="AA1444" s="200">
        <v>0</v>
      </c>
      <c r="AB1444" s="201">
        <v>0</v>
      </c>
      <c r="AC1444" s="238">
        <f t="shared" si="78"/>
        <v>48.600499999999997</v>
      </c>
      <c r="AD1444" s="238"/>
      <c r="AE1444" s="238"/>
    </row>
    <row r="1445" spans="2:31" x14ac:dyDescent="0.3">
      <c r="B1445" s="245" t="s">
        <v>44</v>
      </c>
      <c r="C1445" s="245"/>
      <c r="D1445" s="245"/>
      <c r="E1445" s="200">
        <v>0</v>
      </c>
      <c r="F1445" s="201">
        <v>0</v>
      </c>
      <c r="G1445" s="200">
        <v>0</v>
      </c>
      <c r="H1445" s="201">
        <v>0</v>
      </c>
      <c r="I1445" s="200">
        <v>0</v>
      </c>
      <c r="J1445" s="201">
        <v>0</v>
      </c>
      <c r="K1445" s="200">
        <v>0</v>
      </c>
      <c r="L1445" s="201">
        <v>0</v>
      </c>
      <c r="M1445" s="200">
        <v>0</v>
      </c>
      <c r="N1445" s="201">
        <v>0</v>
      </c>
      <c r="O1445" s="200">
        <v>0</v>
      </c>
      <c r="P1445" s="201">
        <v>0</v>
      </c>
      <c r="Q1445" s="200">
        <v>0</v>
      </c>
      <c r="R1445" s="201">
        <v>0.32649999999999985</v>
      </c>
      <c r="S1445" s="200">
        <v>0</v>
      </c>
      <c r="T1445" s="201">
        <v>0</v>
      </c>
      <c r="U1445" s="200">
        <v>9.9838333333333296</v>
      </c>
      <c r="V1445" s="201">
        <v>1.8785000000000009</v>
      </c>
      <c r="W1445" s="200">
        <v>0</v>
      </c>
      <c r="X1445" s="201">
        <v>0</v>
      </c>
      <c r="Y1445" s="200">
        <v>0</v>
      </c>
      <c r="Z1445" s="201">
        <v>0</v>
      </c>
      <c r="AA1445" s="200">
        <v>0</v>
      </c>
      <c r="AB1445" s="201">
        <v>0</v>
      </c>
      <c r="AC1445" s="238">
        <f t="shared" si="78"/>
        <v>12.18883333333333</v>
      </c>
      <c r="AD1445" s="238"/>
      <c r="AE1445" s="238"/>
    </row>
    <row r="1446" spans="2:31" x14ac:dyDescent="0.3">
      <c r="B1446" s="245" t="s">
        <v>45</v>
      </c>
      <c r="C1446" s="245"/>
      <c r="D1446" s="245"/>
      <c r="E1446" s="200">
        <v>0</v>
      </c>
      <c r="F1446" s="201">
        <v>0</v>
      </c>
      <c r="G1446" s="200">
        <v>0</v>
      </c>
      <c r="H1446" s="201">
        <v>0</v>
      </c>
      <c r="I1446" s="200">
        <v>0</v>
      </c>
      <c r="J1446" s="201">
        <v>0</v>
      </c>
      <c r="K1446" s="200">
        <v>0</v>
      </c>
      <c r="L1446" s="201">
        <v>0</v>
      </c>
      <c r="M1446" s="200">
        <v>0</v>
      </c>
      <c r="N1446" s="201">
        <v>0</v>
      </c>
      <c r="O1446" s="200">
        <v>0</v>
      </c>
      <c r="P1446" s="201">
        <v>0</v>
      </c>
      <c r="Q1446" s="200">
        <v>1.4680000000000004</v>
      </c>
      <c r="R1446" s="201">
        <v>0</v>
      </c>
      <c r="S1446" s="200">
        <v>0</v>
      </c>
      <c r="T1446" s="201">
        <v>0</v>
      </c>
      <c r="U1446" s="200">
        <v>4.8021666666666674</v>
      </c>
      <c r="V1446" s="201">
        <v>0</v>
      </c>
      <c r="W1446" s="200">
        <v>2.3861666666666661</v>
      </c>
      <c r="X1446" s="201">
        <v>0.13433333333333336</v>
      </c>
      <c r="Y1446" s="200">
        <v>0</v>
      </c>
      <c r="Z1446" s="201">
        <v>0</v>
      </c>
      <c r="AA1446" s="200">
        <v>0</v>
      </c>
      <c r="AB1446" s="201">
        <v>0</v>
      </c>
      <c r="AC1446" s="238">
        <f t="shared" si="78"/>
        <v>8.7906666666666684</v>
      </c>
      <c r="AD1446" s="238"/>
      <c r="AE1446" s="238"/>
    </row>
    <row r="1447" spans="2:31" x14ac:dyDescent="0.3">
      <c r="B1447" s="245" t="s">
        <v>46</v>
      </c>
      <c r="C1447" s="245"/>
      <c r="D1447" s="245"/>
      <c r="E1447" s="200">
        <v>0</v>
      </c>
      <c r="F1447" s="201">
        <v>0</v>
      </c>
      <c r="G1447" s="200">
        <v>0</v>
      </c>
      <c r="H1447" s="201">
        <v>0</v>
      </c>
      <c r="I1447" s="200">
        <v>0</v>
      </c>
      <c r="J1447" s="201">
        <v>0</v>
      </c>
      <c r="K1447" s="200">
        <v>0</v>
      </c>
      <c r="L1447" s="201">
        <v>0</v>
      </c>
      <c r="M1447" s="200">
        <v>0</v>
      </c>
      <c r="N1447" s="201">
        <v>0</v>
      </c>
      <c r="O1447" s="200">
        <v>0</v>
      </c>
      <c r="P1447" s="201">
        <v>0</v>
      </c>
      <c r="Q1447" s="200">
        <v>0</v>
      </c>
      <c r="R1447" s="201">
        <v>45.823333333333281</v>
      </c>
      <c r="S1447" s="200">
        <v>45.199999999999974</v>
      </c>
      <c r="T1447" s="201">
        <v>39.5</v>
      </c>
      <c r="U1447" s="200">
        <v>0</v>
      </c>
      <c r="V1447" s="201">
        <v>2</v>
      </c>
      <c r="W1447" s="200">
        <v>0</v>
      </c>
      <c r="X1447" s="201">
        <v>0</v>
      </c>
      <c r="Y1447" s="200">
        <v>0</v>
      </c>
      <c r="Z1447" s="201">
        <v>0</v>
      </c>
      <c r="AA1447" s="200">
        <v>0</v>
      </c>
      <c r="AB1447" s="201">
        <v>0</v>
      </c>
      <c r="AC1447" s="238">
        <f t="shared" si="78"/>
        <v>132.52333333333326</v>
      </c>
      <c r="AD1447" s="238"/>
      <c r="AE1447" s="238"/>
    </row>
    <row r="1448" spans="2:31" x14ac:dyDescent="0.3">
      <c r="B1448" s="245" t="s">
        <v>47</v>
      </c>
      <c r="C1448" s="245"/>
      <c r="D1448" s="245"/>
      <c r="E1448" s="200">
        <v>0</v>
      </c>
      <c r="F1448" s="201">
        <v>0</v>
      </c>
      <c r="G1448" s="200">
        <v>0</v>
      </c>
      <c r="H1448" s="201">
        <v>0</v>
      </c>
      <c r="I1448" s="200">
        <v>0</v>
      </c>
      <c r="J1448" s="201">
        <v>0</v>
      </c>
      <c r="K1448" s="200">
        <v>0</v>
      </c>
      <c r="L1448" s="201">
        <v>0</v>
      </c>
      <c r="M1448" s="200">
        <v>0</v>
      </c>
      <c r="N1448" s="201">
        <v>0</v>
      </c>
      <c r="O1448" s="200">
        <v>0</v>
      </c>
      <c r="P1448" s="201">
        <v>0</v>
      </c>
      <c r="Q1448" s="200">
        <v>0</v>
      </c>
      <c r="R1448" s="201">
        <v>2.2893333333333334</v>
      </c>
      <c r="S1448" s="200">
        <v>0</v>
      </c>
      <c r="T1448" s="201">
        <v>0</v>
      </c>
      <c r="U1448" s="200">
        <v>4.4161666666666655</v>
      </c>
      <c r="V1448" s="201">
        <v>3.3618333333333337</v>
      </c>
      <c r="W1448" s="200">
        <v>3.3166666666666643E-2</v>
      </c>
      <c r="X1448" s="201">
        <v>0.12833333333333344</v>
      </c>
      <c r="Y1448" s="200">
        <v>0</v>
      </c>
      <c r="Z1448" s="201">
        <v>0</v>
      </c>
      <c r="AA1448" s="200">
        <v>0</v>
      </c>
      <c r="AB1448" s="201">
        <v>0</v>
      </c>
      <c r="AC1448" s="238">
        <f t="shared" si="78"/>
        <v>10.228833333333332</v>
      </c>
      <c r="AD1448" s="238"/>
      <c r="AE1448" s="238"/>
    </row>
    <row r="1449" spans="2:31" x14ac:dyDescent="0.3">
      <c r="B1449" s="245" t="s">
        <v>48</v>
      </c>
      <c r="C1449" s="245"/>
      <c r="D1449" s="245"/>
      <c r="E1449" s="200">
        <v>0</v>
      </c>
      <c r="F1449" s="201">
        <v>0</v>
      </c>
      <c r="G1449" s="200">
        <v>0</v>
      </c>
      <c r="H1449" s="201">
        <v>0</v>
      </c>
      <c r="I1449" s="200">
        <v>0</v>
      </c>
      <c r="J1449" s="201">
        <v>0</v>
      </c>
      <c r="K1449" s="200">
        <v>0</v>
      </c>
      <c r="L1449" s="201">
        <v>0</v>
      </c>
      <c r="M1449" s="200">
        <v>0</v>
      </c>
      <c r="N1449" s="201">
        <v>0</v>
      </c>
      <c r="O1449" s="200">
        <v>0</v>
      </c>
      <c r="P1449" s="201">
        <v>0</v>
      </c>
      <c r="Q1449" s="200">
        <v>0</v>
      </c>
      <c r="R1449" s="201">
        <v>2.0201666666666664</v>
      </c>
      <c r="S1449" s="200">
        <v>7.1834999999999933</v>
      </c>
      <c r="T1449" s="201">
        <v>0</v>
      </c>
      <c r="U1449" s="200">
        <v>0</v>
      </c>
      <c r="V1449" s="201">
        <v>3.2304999999999966</v>
      </c>
      <c r="W1449" s="200">
        <v>7.9499999999999987E-2</v>
      </c>
      <c r="X1449" s="201">
        <v>0.11633333333333336</v>
      </c>
      <c r="Y1449" s="200">
        <v>0</v>
      </c>
      <c r="Z1449" s="201">
        <v>0</v>
      </c>
      <c r="AA1449" s="200">
        <v>0</v>
      </c>
      <c r="AB1449" s="201">
        <v>0</v>
      </c>
      <c r="AC1449" s="238">
        <f t="shared" si="78"/>
        <v>12.629999999999988</v>
      </c>
      <c r="AD1449" s="238"/>
      <c r="AE1449" s="238"/>
    </row>
    <row r="1450" spans="2:31" x14ac:dyDescent="0.3">
      <c r="B1450" s="245" t="s">
        <v>49</v>
      </c>
      <c r="C1450" s="245"/>
      <c r="D1450" s="245"/>
      <c r="E1450" s="200">
        <v>0</v>
      </c>
      <c r="F1450" s="201">
        <v>0</v>
      </c>
      <c r="G1450" s="200">
        <v>0</v>
      </c>
      <c r="H1450" s="201">
        <v>0</v>
      </c>
      <c r="I1450" s="200">
        <v>0</v>
      </c>
      <c r="J1450" s="201">
        <v>0</v>
      </c>
      <c r="K1450" s="200">
        <v>0</v>
      </c>
      <c r="L1450" s="201">
        <v>0</v>
      </c>
      <c r="M1450" s="200">
        <v>0</v>
      </c>
      <c r="N1450" s="201">
        <v>0</v>
      </c>
      <c r="O1450" s="200">
        <v>0</v>
      </c>
      <c r="P1450" s="201">
        <v>0</v>
      </c>
      <c r="Q1450" s="200">
        <v>0</v>
      </c>
      <c r="R1450" s="201">
        <v>0</v>
      </c>
      <c r="S1450" s="200">
        <v>0</v>
      </c>
      <c r="T1450" s="201">
        <v>0</v>
      </c>
      <c r="U1450" s="200">
        <v>0</v>
      </c>
      <c r="V1450" s="201">
        <v>0</v>
      </c>
      <c r="W1450" s="200">
        <v>0</v>
      </c>
      <c r="X1450" s="201">
        <v>0</v>
      </c>
      <c r="Y1450" s="200">
        <v>0</v>
      </c>
      <c r="Z1450" s="201">
        <v>0</v>
      </c>
      <c r="AA1450" s="200">
        <v>0</v>
      </c>
      <c r="AB1450" s="201">
        <v>0</v>
      </c>
      <c r="AC1450" s="238">
        <f t="shared" si="78"/>
        <v>0</v>
      </c>
      <c r="AD1450" s="238"/>
      <c r="AE1450" s="238"/>
    </row>
    <row r="1451" spans="2:31" x14ac:dyDescent="0.3">
      <c r="B1451" s="245" t="s">
        <v>50</v>
      </c>
      <c r="C1451" s="245"/>
      <c r="D1451" s="245"/>
      <c r="E1451" s="200">
        <v>0</v>
      </c>
      <c r="F1451" s="201">
        <v>0</v>
      </c>
      <c r="G1451" s="200">
        <v>0</v>
      </c>
      <c r="H1451" s="201">
        <v>0</v>
      </c>
      <c r="I1451" s="200">
        <v>0</v>
      </c>
      <c r="J1451" s="201">
        <v>0</v>
      </c>
      <c r="K1451" s="200">
        <v>0</v>
      </c>
      <c r="L1451" s="201">
        <v>0</v>
      </c>
      <c r="M1451" s="200">
        <v>0</v>
      </c>
      <c r="N1451" s="201">
        <v>0</v>
      </c>
      <c r="O1451" s="200">
        <v>1.1000000000000062E-2</v>
      </c>
      <c r="P1451" s="201">
        <v>3.7435000000000058</v>
      </c>
      <c r="Q1451" s="200">
        <v>3.9093333333333344</v>
      </c>
      <c r="R1451" s="201">
        <v>7.5611666666666677</v>
      </c>
      <c r="S1451" s="200">
        <v>0</v>
      </c>
      <c r="T1451" s="201">
        <v>6.7018333333333304</v>
      </c>
      <c r="U1451" s="200">
        <v>4.3879999999999972</v>
      </c>
      <c r="V1451" s="201">
        <v>4.9166666666666949E-2</v>
      </c>
      <c r="W1451" s="200">
        <v>0</v>
      </c>
      <c r="X1451" s="201">
        <v>0</v>
      </c>
      <c r="Y1451" s="200">
        <v>0</v>
      </c>
      <c r="Z1451" s="201">
        <v>0</v>
      </c>
      <c r="AA1451" s="200">
        <v>0</v>
      </c>
      <c r="AB1451" s="201">
        <v>0</v>
      </c>
      <c r="AC1451" s="238">
        <f t="shared" si="78"/>
        <v>26.364000000000004</v>
      </c>
      <c r="AD1451" s="238"/>
      <c r="AE1451" s="238"/>
    </row>
    <row r="1452" spans="2:31" x14ac:dyDescent="0.3">
      <c r="B1452" s="245" t="s">
        <v>97</v>
      </c>
      <c r="C1452" s="245"/>
      <c r="D1452" s="245"/>
      <c r="E1452" s="200">
        <v>0</v>
      </c>
      <c r="F1452" s="201">
        <v>0</v>
      </c>
      <c r="G1452" s="200">
        <v>0</v>
      </c>
      <c r="H1452" s="201">
        <v>0</v>
      </c>
      <c r="I1452" s="200">
        <v>0</v>
      </c>
      <c r="J1452" s="201">
        <v>0</v>
      </c>
      <c r="K1452" s="200">
        <v>0</v>
      </c>
      <c r="L1452" s="201">
        <v>0</v>
      </c>
      <c r="M1452" s="200">
        <v>0</v>
      </c>
      <c r="N1452" s="201">
        <v>0</v>
      </c>
      <c r="O1452" s="200">
        <v>0</v>
      </c>
      <c r="P1452" s="201">
        <v>0</v>
      </c>
      <c r="Q1452" s="200">
        <v>0</v>
      </c>
      <c r="R1452" s="201">
        <v>0</v>
      </c>
      <c r="S1452" s="200">
        <v>0</v>
      </c>
      <c r="T1452" s="201">
        <v>0</v>
      </c>
      <c r="U1452" s="200">
        <v>0</v>
      </c>
      <c r="V1452" s="201">
        <v>0</v>
      </c>
      <c r="W1452" s="200">
        <v>0</v>
      </c>
      <c r="X1452" s="201">
        <v>0</v>
      </c>
      <c r="Y1452" s="200">
        <v>0</v>
      </c>
      <c r="Z1452" s="201">
        <v>0</v>
      </c>
      <c r="AA1452" s="200">
        <v>0</v>
      </c>
      <c r="AB1452" s="201">
        <v>0</v>
      </c>
      <c r="AC1452" s="238">
        <f t="shared" si="78"/>
        <v>0</v>
      </c>
      <c r="AD1452" s="238"/>
      <c r="AE1452" s="238"/>
    </row>
    <row r="1453" spans="2:31" x14ac:dyDescent="0.3">
      <c r="B1453" s="245" t="s">
        <v>51</v>
      </c>
      <c r="C1453" s="245"/>
      <c r="D1453" s="245"/>
      <c r="E1453" s="200">
        <v>0</v>
      </c>
      <c r="F1453" s="201">
        <v>0</v>
      </c>
      <c r="G1453" s="200">
        <v>0</v>
      </c>
      <c r="H1453" s="201">
        <v>0</v>
      </c>
      <c r="I1453" s="200">
        <v>0</v>
      </c>
      <c r="J1453" s="201">
        <v>0</v>
      </c>
      <c r="K1453" s="200">
        <v>0</v>
      </c>
      <c r="L1453" s="201">
        <v>0</v>
      </c>
      <c r="M1453" s="200">
        <v>0</v>
      </c>
      <c r="N1453" s="201">
        <v>0</v>
      </c>
      <c r="O1453" s="200">
        <v>0</v>
      </c>
      <c r="P1453" s="201">
        <v>0</v>
      </c>
      <c r="Q1453" s="200">
        <v>0</v>
      </c>
      <c r="R1453" s="201">
        <v>0.49483333333333307</v>
      </c>
      <c r="S1453" s="200">
        <v>1.4735</v>
      </c>
      <c r="T1453" s="201">
        <v>5.3733333333333348</v>
      </c>
      <c r="U1453" s="200">
        <v>20.886833333333335</v>
      </c>
      <c r="V1453" s="201">
        <v>0</v>
      </c>
      <c r="W1453" s="200">
        <v>0</v>
      </c>
      <c r="X1453" s="201">
        <v>0</v>
      </c>
      <c r="Y1453" s="200">
        <v>0</v>
      </c>
      <c r="Z1453" s="201">
        <v>0</v>
      </c>
      <c r="AA1453" s="200">
        <v>0</v>
      </c>
      <c r="AB1453" s="201">
        <v>0</v>
      </c>
      <c r="AC1453" s="238">
        <f t="shared" si="78"/>
        <v>28.228500000000004</v>
      </c>
      <c r="AD1453" s="238"/>
      <c r="AE1453" s="238"/>
    </row>
    <row r="1454" spans="2:31" x14ac:dyDescent="0.3">
      <c r="B1454" s="245" t="s">
        <v>52</v>
      </c>
      <c r="C1454" s="245"/>
      <c r="D1454" s="245"/>
      <c r="E1454" s="200">
        <v>0</v>
      </c>
      <c r="F1454" s="201">
        <v>0</v>
      </c>
      <c r="G1454" s="200">
        <v>0</v>
      </c>
      <c r="H1454" s="201">
        <v>0</v>
      </c>
      <c r="I1454" s="200">
        <v>0</v>
      </c>
      <c r="J1454" s="201">
        <v>0</v>
      </c>
      <c r="K1454" s="200">
        <v>0</v>
      </c>
      <c r="L1454" s="201">
        <v>0</v>
      </c>
      <c r="M1454" s="200">
        <v>0</v>
      </c>
      <c r="N1454" s="201">
        <v>0</v>
      </c>
      <c r="O1454" s="200">
        <v>0</v>
      </c>
      <c r="P1454" s="201">
        <v>0</v>
      </c>
      <c r="Q1454" s="200">
        <v>0</v>
      </c>
      <c r="R1454" s="201">
        <v>0</v>
      </c>
      <c r="S1454" s="200">
        <v>0</v>
      </c>
      <c r="T1454" s="201">
        <v>0</v>
      </c>
      <c r="U1454" s="200">
        <v>0</v>
      </c>
      <c r="V1454" s="201">
        <v>0</v>
      </c>
      <c r="W1454" s="200">
        <v>0</v>
      </c>
      <c r="X1454" s="201">
        <v>0</v>
      </c>
      <c r="Y1454" s="200">
        <v>0</v>
      </c>
      <c r="Z1454" s="201">
        <v>0</v>
      </c>
      <c r="AA1454" s="200">
        <v>0</v>
      </c>
      <c r="AB1454" s="201">
        <v>0</v>
      </c>
      <c r="AC1454" s="238">
        <f t="shared" si="78"/>
        <v>0</v>
      </c>
      <c r="AD1454" s="238"/>
      <c r="AE1454" s="238"/>
    </row>
    <row r="1455" spans="2:31" x14ac:dyDescent="0.3">
      <c r="B1455" s="245" t="s">
        <v>53</v>
      </c>
      <c r="C1455" s="245"/>
      <c r="D1455" s="245"/>
      <c r="E1455" s="200">
        <v>0</v>
      </c>
      <c r="F1455" s="201">
        <v>0</v>
      </c>
      <c r="G1455" s="200">
        <v>0</v>
      </c>
      <c r="H1455" s="201">
        <v>0</v>
      </c>
      <c r="I1455" s="200">
        <v>0</v>
      </c>
      <c r="J1455" s="201">
        <v>0</v>
      </c>
      <c r="K1455" s="200">
        <v>0</v>
      </c>
      <c r="L1455" s="201">
        <v>0</v>
      </c>
      <c r="M1455" s="200">
        <v>0</v>
      </c>
      <c r="N1455" s="201">
        <v>0</v>
      </c>
      <c r="O1455" s="200">
        <v>0</v>
      </c>
      <c r="P1455" s="201">
        <v>0</v>
      </c>
      <c r="Q1455" s="200">
        <v>0</v>
      </c>
      <c r="R1455" s="201">
        <v>0.76666666666666639</v>
      </c>
      <c r="S1455" s="200">
        <v>0</v>
      </c>
      <c r="T1455" s="201">
        <v>0</v>
      </c>
      <c r="U1455" s="200">
        <v>0</v>
      </c>
      <c r="V1455" s="201">
        <v>0</v>
      </c>
      <c r="W1455" s="200">
        <v>0</v>
      </c>
      <c r="X1455" s="201">
        <v>0</v>
      </c>
      <c r="Y1455" s="200">
        <v>0</v>
      </c>
      <c r="Z1455" s="201">
        <v>0</v>
      </c>
      <c r="AA1455" s="200">
        <v>0</v>
      </c>
      <c r="AB1455" s="201">
        <v>0</v>
      </c>
      <c r="AC1455" s="238">
        <f t="shared" si="78"/>
        <v>0.76666666666666639</v>
      </c>
      <c r="AD1455" s="238"/>
      <c r="AE1455" s="238"/>
    </row>
    <row r="1456" spans="2:31" x14ac:dyDescent="0.3">
      <c r="B1456" s="245" t="s">
        <v>54</v>
      </c>
      <c r="C1456" s="245"/>
      <c r="D1456" s="245"/>
      <c r="E1456" s="200">
        <v>0</v>
      </c>
      <c r="F1456" s="201">
        <v>0</v>
      </c>
      <c r="G1456" s="200">
        <v>0</v>
      </c>
      <c r="H1456" s="201">
        <v>0</v>
      </c>
      <c r="I1456" s="200">
        <v>0</v>
      </c>
      <c r="J1456" s="201">
        <v>0</v>
      </c>
      <c r="K1456" s="200">
        <v>0</v>
      </c>
      <c r="L1456" s="201">
        <v>0</v>
      </c>
      <c r="M1456" s="200">
        <v>0</v>
      </c>
      <c r="N1456" s="201">
        <v>0</v>
      </c>
      <c r="O1456" s="200">
        <v>0</v>
      </c>
      <c r="P1456" s="201">
        <v>0</v>
      </c>
      <c r="Q1456" s="200">
        <v>0</v>
      </c>
      <c r="R1456" s="201">
        <v>1.7599999999999996</v>
      </c>
      <c r="S1456" s="200">
        <v>8.0893333333333324</v>
      </c>
      <c r="T1456" s="201">
        <v>6.5213333333333345</v>
      </c>
      <c r="U1456" s="200">
        <v>6.1789999999999958</v>
      </c>
      <c r="V1456" s="201">
        <v>3.2310000000000039</v>
      </c>
      <c r="W1456" s="200">
        <v>0</v>
      </c>
      <c r="X1456" s="201">
        <v>0</v>
      </c>
      <c r="Y1456" s="200">
        <v>0</v>
      </c>
      <c r="Z1456" s="201">
        <v>0</v>
      </c>
      <c r="AA1456" s="200">
        <v>0</v>
      </c>
      <c r="AB1456" s="201">
        <v>0</v>
      </c>
      <c r="AC1456" s="238">
        <f t="shared" si="78"/>
        <v>25.780666666666665</v>
      </c>
      <c r="AD1456" s="238"/>
      <c r="AE1456" s="238"/>
    </row>
    <row r="1457" spans="2:31" x14ac:dyDescent="0.3">
      <c r="B1457" s="245" t="s">
        <v>55</v>
      </c>
      <c r="C1457" s="245"/>
      <c r="D1457" s="245"/>
      <c r="E1457" s="200">
        <v>0</v>
      </c>
      <c r="F1457" s="201">
        <v>0</v>
      </c>
      <c r="G1457" s="200">
        <v>0</v>
      </c>
      <c r="H1457" s="201">
        <v>0</v>
      </c>
      <c r="I1457" s="200">
        <v>0</v>
      </c>
      <c r="J1457" s="201">
        <v>0</v>
      </c>
      <c r="K1457" s="200">
        <v>0</v>
      </c>
      <c r="L1457" s="201">
        <v>0</v>
      </c>
      <c r="M1457" s="200">
        <v>0</v>
      </c>
      <c r="N1457" s="201">
        <v>0</v>
      </c>
      <c r="O1457" s="200">
        <v>0</v>
      </c>
      <c r="P1457" s="201">
        <v>0</v>
      </c>
      <c r="Q1457" s="200">
        <v>0</v>
      </c>
      <c r="R1457" s="201">
        <v>0</v>
      </c>
      <c r="S1457" s="200">
        <v>5.8231666666666682</v>
      </c>
      <c r="T1457" s="201">
        <v>5.0099999999999971</v>
      </c>
      <c r="U1457" s="200">
        <v>1.9253333333333322</v>
      </c>
      <c r="V1457" s="201">
        <v>0</v>
      </c>
      <c r="W1457" s="200">
        <v>0</v>
      </c>
      <c r="X1457" s="201">
        <v>0</v>
      </c>
      <c r="Y1457" s="200">
        <v>0</v>
      </c>
      <c r="Z1457" s="201">
        <v>0</v>
      </c>
      <c r="AA1457" s="200">
        <v>0</v>
      </c>
      <c r="AB1457" s="201">
        <v>0</v>
      </c>
      <c r="AC1457" s="238">
        <f t="shared" si="78"/>
        <v>12.758499999999998</v>
      </c>
      <c r="AD1457" s="238"/>
      <c r="AE1457" s="238"/>
    </row>
    <row r="1458" spans="2:31" x14ac:dyDescent="0.3">
      <c r="B1458" s="245" t="s">
        <v>56</v>
      </c>
      <c r="C1458" s="245"/>
      <c r="D1458" s="245"/>
      <c r="E1458" s="200">
        <v>0</v>
      </c>
      <c r="F1458" s="201">
        <v>0</v>
      </c>
      <c r="G1458" s="200">
        <v>0</v>
      </c>
      <c r="H1458" s="201">
        <v>0</v>
      </c>
      <c r="I1458" s="200">
        <v>0</v>
      </c>
      <c r="J1458" s="201">
        <v>0</v>
      </c>
      <c r="K1458" s="200">
        <v>0</v>
      </c>
      <c r="L1458" s="201">
        <v>0</v>
      </c>
      <c r="M1458" s="200">
        <v>0</v>
      </c>
      <c r="N1458" s="201">
        <v>0</v>
      </c>
      <c r="O1458" s="200">
        <v>0</v>
      </c>
      <c r="P1458" s="201">
        <v>0</v>
      </c>
      <c r="Q1458" s="200">
        <v>0</v>
      </c>
      <c r="R1458" s="201">
        <v>0</v>
      </c>
      <c r="S1458" s="200">
        <v>0</v>
      </c>
      <c r="T1458" s="201">
        <v>0</v>
      </c>
      <c r="U1458" s="200">
        <v>0</v>
      </c>
      <c r="V1458" s="201">
        <v>0</v>
      </c>
      <c r="W1458" s="200">
        <v>0</v>
      </c>
      <c r="X1458" s="201">
        <v>0</v>
      </c>
      <c r="Y1458" s="200">
        <v>0</v>
      </c>
      <c r="Z1458" s="201">
        <v>0</v>
      </c>
      <c r="AA1458" s="200">
        <v>0</v>
      </c>
      <c r="AB1458" s="201">
        <v>0</v>
      </c>
      <c r="AC1458" s="238">
        <f t="shared" si="78"/>
        <v>0</v>
      </c>
      <c r="AD1458" s="238"/>
      <c r="AE1458" s="238"/>
    </row>
    <row r="1459" spans="2:31" x14ac:dyDescent="0.3">
      <c r="B1459" s="245" t="s">
        <v>94</v>
      </c>
      <c r="C1459" s="245"/>
      <c r="D1459" s="245"/>
      <c r="E1459" s="200">
        <v>0</v>
      </c>
      <c r="F1459" s="201">
        <v>0</v>
      </c>
      <c r="G1459" s="200">
        <v>0</v>
      </c>
      <c r="H1459" s="201">
        <v>0</v>
      </c>
      <c r="I1459" s="200">
        <v>0</v>
      </c>
      <c r="J1459" s="201">
        <v>0</v>
      </c>
      <c r="K1459" s="200">
        <v>0</v>
      </c>
      <c r="L1459" s="201">
        <v>0</v>
      </c>
      <c r="M1459" s="200">
        <v>0</v>
      </c>
      <c r="N1459" s="201">
        <v>0</v>
      </c>
      <c r="O1459" s="200">
        <v>0</v>
      </c>
      <c r="P1459" s="201">
        <v>0</v>
      </c>
      <c r="Q1459" s="200">
        <v>0</v>
      </c>
      <c r="R1459" s="201">
        <v>0</v>
      </c>
      <c r="S1459" s="200">
        <v>0</v>
      </c>
      <c r="T1459" s="201">
        <v>0</v>
      </c>
      <c r="U1459" s="200">
        <v>0</v>
      </c>
      <c r="V1459" s="201">
        <v>0</v>
      </c>
      <c r="W1459" s="200">
        <v>0</v>
      </c>
      <c r="X1459" s="201">
        <v>0</v>
      </c>
      <c r="Y1459" s="200">
        <v>0</v>
      </c>
      <c r="Z1459" s="201">
        <v>0</v>
      </c>
      <c r="AA1459" s="200">
        <v>0</v>
      </c>
      <c r="AB1459" s="201">
        <v>0</v>
      </c>
      <c r="AC1459" s="238">
        <f t="shared" si="78"/>
        <v>0</v>
      </c>
      <c r="AD1459" s="238"/>
      <c r="AE1459" s="238"/>
    </row>
    <row r="1460" spans="2:31" x14ac:dyDescent="0.3">
      <c r="B1460" s="245" t="s">
        <v>57</v>
      </c>
      <c r="C1460" s="245"/>
      <c r="D1460" s="245"/>
      <c r="E1460" s="200">
        <v>0</v>
      </c>
      <c r="F1460" s="201">
        <v>0</v>
      </c>
      <c r="G1460" s="200">
        <v>0</v>
      </c>
      <c r="H1460" s="201">
        <v>0</v>
      </c>
      <c r="I1460" s="200">
        <v>0</v>
      </c>
      <c r="J1460" s="201">
        <v>0</v>
      </c>
      <c r="K1460" s="200">
        <v>0</v>
      </c>
      <c r="L1460" s="201">
        <v>0</v>
      </c>
      <c r="M1460" s="200">
        <v>0</v>
      </c>
      <c r="N1460" s="201">
        <v>0</v>
      </c>
      <c r="O1460" s="200">
        <v>0</v>
      </c>
      <c r="P1460" s="201">
        <v>0</v>
      </c>
      <c r="Q1460" s="200">
        <v>0</v>
      </c>
      <c r="R1460" s="201">
        <v>2.4500000000000039E-2</v>
      </c>
      <c r="S1460" s="200">
        <v>0.32383333333333264</v>
      </c>
      <c r="T1460" s="201">
        <v>0.10433333333333443</v>
      </c>
      <c r="U1460" s="200">
        <v>2.1666666666667095E-3</v>
      </c>
      <c r="V1460" s="201">
        <v>1.1500000000000021E-2</v>
      </c>
      <c r="W1460" s="200">
        <v>0</v>
      </c>
      <c r="X1460" s="201">
        <v>0</v>
      </c>
      <c r="Y1460" s="200">
        <v>0</v>
      </c>
      <c r="Z1460" s="201">
        <v>0</v>
      </c>
      <c r="AA1460" s="200">
        <v>0</v>
      </c>
      <c r="AB1460" s="201">
        <v>0</v>
      </c>
      <c r="AC1460" s="238">
        <f t="shared" si="78"/>
        <v>0.46633333333333382</v>
      </c>
      <c r="AD1460" s="238"/>
      <c r="AE1460" s="238"/>
    </row>
    <row r="1461" spans="2:31" x14ac:dyDescent="0.3">
      <c r="B1461" s="245" t="s">
        <v>58</v>
      </c>
      <c r="C1461" s="245"/>
      <c r="D1461" s="245"/>
      <c r="E1461" s="200">
        <v>0</v>
      </c>
      <c r="F1461" s="201">
        <v>0</v>
      </c>
      <c r="G1461" s="200">
        <v>0</v>
      </c>
      <c r="H1461" s="201">
        <v>0</v>
      </c>
      <c r="I1461" s="200">
        <v>0</v>
      </c>
      <c r="J1461" s="201">
        <v>0</v>
      </c>
      <c r="K1461" s="200">
        <v>0</v>
      </c>
      <c r="L1461" s="201">
        <v>0</v>
      </c>
      <c r="M1461" s="200">
        <v>0</v>
      </c>
      <c r="N1461" s="201">
        <v>0</v>
      </c>
      <c r="O1461" s="200">
        <v>0</v>
      </c>
      <c r="P1461" s="201">
        <v>0</v>
      </c>
      <c r="Q1461" s="200">
        <v>0</v>
      </c>
      <c r="R1461" s="201">
        <v>0</v>
      </c>
      <c r="S1461" s="200">
        <v>0</v>
      </c>
      <c r="T1461" s="201">
        <v>0</v>
      </c>
      <c r="U1461" s="200">
        <v>0</v>
      </c>
      <c r="V1461" s="201">
        <v>0</v>
      </c>
      <c r="W1461" s="200">
        <v>0</v>
      </c>
      <c r="X1461" s="201">
        <v>0</v>
      </c>
      <c r="Y1461" s="200">
        <v>0</v>
      </c>
      <c r="Z1461" s="201">
        <v>0</v>
      </c>
      <c r="AA1461" s="200">
        <v>0</v>
      </c>
      <c r="AB1461" s="201">
        <v>0</v>
      </c>
      <c r="AC1461" s="238">
        <f t="shared" si="78"/>
        <v>0</v>
      </c>
      <c r="AD1461" s="238"/>
      <c r="AE1461" s="238"/>
    </row>
    <row r="1462" spans="2:31" x14ac:dyDescent="0.3">
      <c r="B1462" s="245" t="s">
        <v>95</v>
      </c>
      <c r="C1462" s="245"/>
      <c r="D1462" s="245"/>
      <c r="E1462" s="200">
        <v>0</v>
      </c>
      <c r="F1462" s="201">
        <v>0</v>
      </c>
      <c r="G1462" s="200">
        <v>0</v>
      </c>
      <c r="H1462" s="201">
        <v>0</v>
      </c>
      <c r="I1462" s="200">
        <v>0</v>
      </c>
      <c r="J1462" s="201">
        <v>0</v>
      </c>
      <c r="K1462" s="200">
        <v>0</v>
      </c>
      <c r="L1462" s="201">
        <v>0</v>
      </c>
      <c r="M1462" s="200">
        <v>0</v>
      </c>
      <c r="N1462" s="201">
        <v>0</v>
      </c>
      <c r="O1462" s="200">
        <v>0</v>
      </c>
      <c r="P1462" s="201">
        <v>0</v>
      </c>
      <c r="Q1462" s="200">
        <v>0</v>
      </c>
      <c r="R1462" s="201">
        <v>0</v>
      </c>
      <c r="S1462" s="200">
        <v>0</v>
      </c>
      <c r="T1462" s="201">
        <v>0</v>
      </c>
      <c r="U1462" s="200">
        <v>0</v>
      </c>
      <c r="V1462" s="201">
        <v>0</v>
      </c>
      <c r="W1462" s="200">
        <v>0</v>
      </c>
      <c r="X1462" s="201">
        <v>0</v>
      </c>
      <c r="Y1462" s="200">
        <v>0</v>
      </c>
      <c r="Z1462" s="201">
        <v>0</v>
      </c>
      <c r="AA1462" s="200">
        <v>0</v>
      </c>
      <c r="AB1462" s="201">
        <v>0</v>
      </c>
      <c r="AC1462" s="238">
        <f t="shared" si="78"/>
        <v>0</v>
      </c>
      <c r="AD1462" s="238"/>
      <c r="AE1462" s="238"/>
    </row>
    <row r="1463" spans="2:31" x14ac:dyDescent="0.3">
      <c r="B1463" s="245" t="s">
        <v>59</v>
      </c>
      <c r="C1463" s="245"/>
      <c r="D1463" s="245"/>
      <c r="E1463" s="200">
        <v>0</v>
      </c>
      <c r="F1463" s="201">
        <v>0</v>
      </c>
      <c r="G1463" s="200">
        <v>0</v>
      </c>
      <c r="H1463" s="201">
        <v>0</v>
      </c>
      <c r="I1463" s="200">
        <v>0</v>
      </c>
      <c r="J1463" s="201">
        <v>0</v>
      </c>
      <c r="K1463" s="200">
        <v>0</v>
      </c>
      <c r="L1463" s="201">
        <v>0</v>
      </c>
      <c r="M1463" s="200">
        <v>0</v>
      </c>
      <c r="N1463" s="201">
        <v>0</v>
      </c>
      <c r="O1463" s="200">
        <v>0</v>
      </c>
      <c r="P1463" s="201">
        <v>0</v>
      </c>
      <c r="Q1463" s="200">
        <v>0</v>
      </c>
      <c r="R1463" s="201">
        <v>6.4711666666666652</v>
      </c>
      <c r="S1463" s="200">
        <v>16.357166666666668</v>
      </c>
      <c r="T1463" s="201">
        <v>16.201166666666666</v>
      </c>
      <c r="U1463" s="200">
        <v>15.03616666666667</v>
      </c>
      <c r="V1463" s="201">
        <v>10.467666666666663</v>
      </c>
      <c r="W1463" s="200">
        <v>0</v>
      </c>
      <c r="X1463" s="201">
        <v>0</v>
      </c>
      <c r="Y1463" s="200">
        <v>0</v>
      </c>
      <c r="Z1463" s="201">
        <v>0</v>
      </c>
      <c r="AA1463" s="200">
        <v>0</v>
      </c>
      <c r="AB1463" s="201">
        <v>0</v>
      </c>
      <c r="AC1463" s="238">
        <f t="shared" si="78"/>
        <v>64.533333333333331</v>
      </c>
      <c r="AD1463" s="238"/>
      <c r="AE1463" s="238"/>
    </row>
    <row r="1464" spans="2:31" x14ac:dyDescent="0.3">
      <c r="B1464" s="245" t="s">
        <v>60</v>
      </c>
      <c r="C1464" s="245"/>
      <c r="D1464" s="245"/>
      <c r="E1464" s="200">
        <v>0</v>
      </c>
      <c r="F1464" s="201">
        <v>0</v>
      </c>
      <c r="G1464" s="200">
        <v>0</v>
      </c>
      <c r="H1464" s="201">
        <v>0</v>
      </c>
      <c r="I1464" s="200">
        <v>0</v>
      </c>
      <c r="J1464" s="201">
        <v>0</v>
      </c>
      <c r="K1464" s="200">
        <v>0</v>
      </c>
      <c r="L1464" s="201">
        <v>0</v>
      </c>
      <c r="M1464" s="200">
        <v>0</v>
      </c>
      <c r="N1464" s="201">
        <v>0</v>
      </c>
      <c r="O1464" s="200">
        <v>0</v>
      </c>
      <c r="P1464" s="201">
        <v>0</v>
      </c>
      <c r="Q1464" s="200">
        <v>0</v>
      </c>
      <c r="R1464" s="201">
        <v>0</v>
      </c>
      <c r="S1464" s="200">
        <v>0</v>
      </c>
      <c r="T1464" s="201">
        <v>0</v>
      </c>
      <c r="U1464" s="200">
        <v>0.50683333333333225</v>
      </c>
      <c r="V1464" s="201">
        <v>9.5000000000000515E-2</v>
      </c>
      <c r="W1464" s="200">
        <v>0</v>
      </c>
      <c r="X1464" s="201">
        <v>0</v>
      </c>
      <c r="Y1464" s="200">
        <v>0</v>
      </c>
      <c r="Z1464" s="201">
        <v>0</v>
      </c>
      <c r="AA1464" s="200">
        <v>0</v>
      </c>
      <c r="AB1464" s="201">
        <v>0</v>
      </c>
      <c r="AC1464" s="238">
        <f t="shared" si="78"/>
        <v>0.60183333333333278</v>
      </c>
      <c r="AD1464" s="238"/>
      <c r="AE1464" s="238"/>
    </row>
    <row r="1465" spans="2:31" x14ac:dyDescent="0.3">
      <c r="B1465" s="245" t="s">
        <v>61</v>
      </c>
      <c r="C1465" s="245"/>
      <c r="D1465" s="245"/>
      <c r="E1465" s="200">
        <v>0</v>
      </c>
      <c r="F1465" s="201">
        <v>0</v>
      </c>
      <c r="G1465" s="200">
        <v>0</v>
      </c>
      <c r="H1465" s="201">
        <v>0</v>
      </c>
      <c r="I1465" s="200">
        <v>0</v>
      </c>
      <c r="J1465" s="201">
        <v>0</v>
      </c>
      <c r="K1465" s="200">
        <v>0</v>
      </c>
      <c r="L1465" s="201">
        <v>0</v>
      </c>
      <c r="M1465" s="200">
        <v>0</v>
      </c>
      <c r="N1465" s="201">
        <v>0</v>
      </c>
      <c r="O1465" s="200">
        <v>0</v>
      </c>
      <c r="P1465" s="201">
        <v>0</v>
      </c>
      <c r="Q1465" s="200">
        <v>0</v>
      </c>
      <c r="R1465" s="201">
        <v>0</v>
      </c>
      <c r="S1465" s="200">
        <v>0</v>
      </c>
      <c r="T1465" s="201">
        <v>0</v>
      </c>
      <c r="U1465" s="200">
        <v>0</v>
      </c>
      <c r="V1465" s="201">
        <v>0</v>
      </c>
      <c r="W1465" s="200">
        <v>0</v>
      </c>
      <c r="X1465" s="201">
        <v>0</v>
      </c>
      <c r="Y1465" s="200">
        <v>0</v>
      </c>
      <c r="Z1465" s="201">
        <v>0</v>
      </c>
      <c r="AA1465" s="200">
        <v>0</v>
      </c>
      <c r="AB1465" s="201">
        <v>0</v>
      </c>
      <c r="AC1465" s="238">
        <f t="shared" si="78"/>
        <v>0</v>
      </c>
      <c r="AD1465" s="238"/>
      <c r="AE1465" s="238"/>
    </row>
    <row r="1466" spans="2:31" x14ac:dyDescent="0.3">
      <c r="B1466" s="245" t="s">
        <v>62</v>
      </c>
      <c r="C1466" s="245"/>
      <c r="D1466" s="245"/>
      <c r="E1466" s="200">
        <v>0</v>
      </c>
      <c r="F1466" s="201">
        <v>0</v>
      </c>
      <c r="G1466" s="200">
        <v>0</v>
      </c>
      <c r="H1466" s="201">
        <v>0</v>
      </c>
      <c r="I1466" s="200">
        <v>0</v>
      </c>
      <c r="J1466" s="201">
        <v>0</v>
      </c>
      <c r="K1466" s="200">
        <v>0</v>
      </c>
      <c r="L1466" s="201">
        <v>0</v>
      </c>
      <c r="M1466" s="200">
        <v>0</v>
      </c>
      <c r="N1466" s="201">
        <v>0</v>
      </c>
      <c r="O1466" s="200">
        <v>0</v>
      </c>
      <c r="P1466" s="201">
        <v>0</v>
      </c>
      <c r="Q1466" s="200">
        <v>0</v>
      </c>
      <c r="R1466" s="201">
        <v>0.8523333333333335</v>
      </c>
      <c r="S1466" s="200">
        <v>3.5631666666666684</v>
      </c>
      <c r="T1466" s="201">
        <v>3.2338333333333273</v>
      </c>
      <c r="U1466" s="200">
        <v>0.56599999999999961</v>
      </c>
      <c r="V1466" s="201">
        <v>0</v>
      </c>
      <c r="W1466" s="200">
        <v>0</v>
      </c>
      <c r="X1466" s="201">
        <v>0</v>
      </c>
      <c r="Y1466" s="200">
        <v>0</v>
      </c>
      <c r="Z1466" s="201">
        <v>0</v>
      </c>
      <c r="AA1466" s="200">
        <v>0</v>
      </c>
      <c r="AB1466" s="201">
        <v>0</v>
      </c>
      <c r="AC1466" s="238">
        <f t="shared" si="78"/>
        <v>8.2153333333333283</v>
      </c>
      <c r="AD1466" s="238"/>
      <c r="AE1466" s="238"/>
    </row>
    <row r="1467" spans="2:31" x14ac:dyDescent="0.3">
      <c r="B1467" s="245" t="s">
        <v>63</v>
      </c>
      <c r="C1467" s="245"/>
      <c r="D1467" s="245"/>
      <c r="E1467" s="200">
        <v>0</v>
      </c>
      <c r="F1467" s="201">
        <v>0</v>
      </c>
      <c r="G1467" s="200">
        <v>0</v>
      </c>
      <c r="H1467" s="201">
        <v>0</v>
      </c>
      <c r="I1467" s="200">
        <v>0</v>
      </c>
      <c r="J1467" s="201">
        <v>0</v>
      </c>
      <c r="K1467" s="200">
        <v>0</v>
      </c>
      <c r="L1467" s="201">
        <v>0</v>
      </c>
      <c r="M1467" s="200">
        <v>0</v>
      </c>
      <c r="N1467" s="201">
        <v>0</v>
      </c>
      <c r="O1467" s="200">
        <v>0</v>
      </c>
      <c r="P1467" s="201">
        <v>0</v>
      </c>
      <c r="Q1467" s="200">
        <v>0</v>
      </c>
      <c r="R1467" s="201">
        <v>0.27866666666666667</v>
      </c>
      <c r="S1467" s="200">
        <v>0.85049999999999482</v>
      </c>
      <c r="T1467" s="201">
        <v>0.76183333333333392</v>
      </c>
      <c r="U1467" s="200">
        <v>0.55799999999999694</v>
      </c>
      <c r="V1467" s="201">
        <v>0</v>
      </c>
      <c r="W1467" s="200">
        <v>0</v>
      </c>
      <c r="X1467" s="201">
        <v>0</v>
      </c>
      <c r="Y1467" s="200">
        <v>0</v>
      </c>
      <c r="Z1467" s="201">
        <v>0</v>
      </c>
      <c r="AA1467" s="200">
        <v>0</v>
      </c>
      <c r="AB1467" s="201">
        <v>0</v>
      </c>
      <c r="AC1467" s="238">
        <f t="shared" si="78"/>
        <v>2.4489999999999927</v>
      </c>
      <c r="AD1467" s="238"/>
      <c r="AE1467" s="238"/>
    </row>
    <row r="1468" spans="2:31" x14ac:dyDescent="0.3">
      <c r="B1468" s="245" t="s">
        <v>64</v>
      </c>
      <c r="C1468" s="245"/>
      <c r="D1468" s="245"/>
      <c r="E1468" s="200">
        <v>0</v>
      </c>
      <c r="F1468" s="201">
        <v>0</v>
      </c>
      <c r="G1468" s="200">
        <v>0</v>
      </c>
      <c r="H1468" s="201">
        <v>0</v>
      </c>
      <c r="I1468" s="200">
        <v>0</v>
      </c>
      <c r="J1468" s="201">
        <v>0</v>
      </c>
      <c r="K1468" s="200">
        <v>0</v>
      </c>
      <c r="L1468" s="201">
        <v>0</v>
      </c>
      <c r="M1468" s="200">
        <v>0</v>
      </c>
      <c r="N1468" s="201">
        <v>0</v>
      </c>
      <c r="O1468" s="200">
        <v>0</v>
      </c>
      <c r="P1468" s="201">
        <v>0</v>
      </c>
      <c r="Q1468" s="200">
        <v>0</v>
      </c>
      <c r="R1468" s="201">
        <v>0.1059999999999988</v>
      </c>
      <c r="S1468" s="200">
        <v>0.37966666666666915</v>
      </c>
      <c r="T1468" s="201">
        <v>0.51966666666666361</v>
      </c>
      <c r="U1468" s="200">
        <v>0.4653333333333336</v>
      </c>
      <c r="V1468" s="201">
        <v>0</v>
      </c>
      <c r="W1468" s="200">
        <v>0</v>
      </c>
      <c r="X1468" s="201">
        <v>0</v>
      </c>
      <c r="Y1468" s="200">
        <v>0</v>
      </c>
      <c r="Z1468" s="201">
        <v>0</v>
      </c>
      <c r="AA1468" s="200">
        <v>0</v>
      </c>
      <c r="AB1468" s="201">
        <v>0</v>
      </c>
      <c r="AC1468" s="238">
        <f t="shared" si="78"/>
        <v>1.4706666666666652</v>
      </c>
      <c r="AD1468" s="238"/>
      <c r="AE1468" s="238"/>
    </row>
    <row r="1469" spans="2:31" x14ac:dyDescent="0.3">
      <c r="B1469" s="245" t="s">
        <v>96</v>
      </c>
      <c r="C1469" s="245"/>
      <c r="D1469" s="245"/>
      <c r="E1469" s="200">
        <v>0</v>
      </c>
      <c r="F1469" s="201">
        <v>0</v>
      </c>
      <c r="G1469" s="200">
        <v>0</v>
      </c>
      <c r="H1469" s="201">
        <v>0</v>
      </c>
      <c r="I1469" s="200">
        <v>0</v>
      </c>
      <c r="J1469" s="201">
        <v>0</v>
      </c>
      <c r="K1469" s="200">
        <v>0</v>
      </c>
      <c r="L1469" s="201">
        <v>0</v>
      </c>
      <c r="M1469" s="200">
        <v>0</v>
      </c>
      <c r="N1469" s="201">
        <v>0</v>
      </c>
      <c r="O1469" s="200">
        <v>0</v>
      </c>
      <c r="P1469" s="201">
        <v>0</v>
      </c>
      <c r="Q1469" s="200">
        <v>0</v>
      </c>
      <c r="R1469" s="201">
        <v>0</v>
      </c>
      <c r="S1469" s="200">
        <v>0</v>
      </c>
      <c r="T1469" s="201">
        <v>0</v>
      </c>
      <c r="U1469" s="200">
        <v>0</v>
      </c>
      <c r="V1469" s="201">
        <v>0</v>
      </c>
      <c r="W1469" s="200">
        <v>0</v>
      </c>
      <c r="X1469" s="201">
        <v>0</v>
      </c>
      <c r="Y1469" s="200">
        <v>0</v>
      </c>
      <c r="Z1469" s="201">
        <v>0</v>
      </c>
      <c r="AA1469" s="200">
        <v>0</v>
      </c>
      <c r="AB1469" s="201">
        <v>0</v>
      </c>
      <c r="AC1469" s="238">
        <f t="shared" si="78"/>
        <v>0</v>
      </c>
      <c r="AD1469" s="238"/>
      <c r="AE1469" s="238"/>
    </row>
    <row r="1470" spans="2:31" x14ac:dyDescent="0.3">
      <c r="B1470" s="245" t="s">
        <v>65</v>
      </c>
      <c r="C1470" s="245"/>
      <c r="D1470" s="245"/>
      <c r="E1470" s="200">
        <v>0</v>
      </c>
      <c r="F1470" s="201">
        <v>0</v>
      </c>
      <c r="G1470" s="200">
        <v>0</v>
      </c>
      <c r="H1470" s="201">
        <v>0</v>
      </c>
      <c r="I1470" s="200">
        <v>0</v>
      </c>
      <c r="J1470" s="201">
        <v>0</v>
      </c>
      <c r="K1470" s="200">
        <v>0</v>
      </c>
      <c r="L1470" s="201">
        <v>0</v>
      </c>
      <c r="M1470" s="200">
        <v>0</v>
      </c>
      <c r="N1470" s="201">
        <v>0</v>
      </c>
      <c r="O1470" s="200">
        <v>0</v>
      </c>
      <c r="P1470" s="201">
        <v>0</v>
      </c>
      <c r="Q1470" s="200">
        <v>0</v>
      </c>
      <c r="R1470" s="201">
        <v>0.98683333333333212</v>
      </c>
      <c r="S1470" s="200">
        <v>2.6961666666666684</v>
      </c>
      <c r="T1470" s="201">
        <v>2.3041666666666658</v>
      </c>
      <c r="U1470" s="200">
        <v>0.63400000000000223</v>
      </c>
      <c r="V1470" s="201">
        <v>0</v>
      </c>
      <c r="W1470" s="200">
        <v>0</v>
      </c>
      <c r="X1470" s="201">
        <v>0</v>
      </c>
      <c r="Y1470" s="200">
        <v>0</v>
      </c>
      <c r="Z1470" s="201">
        <v>0</v>
      </c>
      <c r="AA1470" s="200">
        <v>0</v>
      </c>
      <c r="AB1470" s="201">
        <v>0</v>
      </c>
      <c r="AC1470" s="238">
        <f t="shared" si="78"/>
        <v>6.6211666666666691</v>
      </c>
      <c r="AD1470" s="238"/>
      <c r="AE1470" s="238"/>
    </row>
    <row r="1471" spans="2:31" x14ac:dyDescent="0.3">
      <c r="B1471" s="245" t="s">
        <v>66</v>
      </c>
      <c r="C1471" s="245"/>
      <c r="D1471" s="245"/>
      <c r="E1471" s="200">
        <v>0</v>
      </c>
      <c r="F1471" s="201">
        <v>0</v>
      </c>
      <c r="G1471" s="200">
        <v>0</v>
      </c>
      <c r="H1471" s="201">
        <v>0</v>
      </c>
      <c r="I1471" s="200">
        <v>0</v>
      </c>
      <c r="J1471" s="201">
        <v>0</v>
      </c>
      <c r="K1471" s="200">
        <v>0</v>
      </c>
      <c r="L1471" s="201">
        <v>0</v>
      </c>
      <c r="M1471" s="200">
        <v>0</v>
      </c>
      <c r="N1471" s="201">
        <v>0</v>
      </c>
      <c r="O1471" s="200">
        <v>0</v>
      </c>
      <c r="P1471" s="201">
        <v>0</v>
      </c>
      <c r="Q1471" s="200">
        <v>0</v>
      </c>
      <c r="R1471" s="201">
        <v>1.5554999999999992</v>
      </c>
      <c r="S1471" s="200">
        <v>4.069999999999995</v>
      </c>
      <c r="T1471" s="201">
        <v>3.809333333333329</v>
      </c>
      <c r="U1471" s="200">
        <v>2.6233333333333317</v>
      </c>
      <c r="V1471" s="201">
        <v>0</v>
      </c>
      <c r="W1471" s="200">
        <v>0</v>
      </c>
      <c r="X1471" s="201">
        <v>0</v>
      </c>
      <c r="Y1471" s="200">
        <v>0</v>
      </c>
      <c r="Z1471" s="201">
        <v>0</v>
      </c>
      <c r="AA1471" s="200">
        <v>0</v>
      </c>
      <c r="AB1471" s="201">
        <v>0</v>
      </c>
      <c r="AC1471" s="238">
        <f>SUM(E1471:AB1471)</f>
        <v>12.058166666666654</v>
      </c>
      <c r="AD1471" s="238"/>
      <c r="AE1471" s="238"/>
    </row>
    <row r="1472" spans="2:31" x14ac:dyDescent="0.3">
      <c r="B1472" s="245" t="s">
        <v>67</v>
      </c>
      <c r="C1472" s="245"/>
      <c r="D1472" s="245"/>
      <c r="E1472" s="200">
        <v>0</v>
      </c>
      <c r="F1472" s="201">
        <v>0</v>
      </c>
      <c r="G1472" s="200">
        <v>0</v>
      </c>
      <c r="H1472" s="201">
        <v>0</v>
      </c>
      <c r="I1472" s="200">
        <v>0</v>
      </c>
      <c r="J1472" s="201">
        <v>0</v>
      </c>
      <c r="K1472" s="200">
        <v>0</v>
      </c>
      <c r="L1472" s="201">
        <v>0</v>
      </c>
      <c r="M1472" s="200">
        <v>0</v>
      </c>
      <c r="N1472" s="201">
        <v>0</v>
      </c>
      <c r="O1472" s="200">
        <v>0</v>
      </c>
      <c r="P1472" s="201">
        <v>0</v>
      </c>
      <c r="Q1472" s="200">
        <v>0</v>
      </c>
      <c r="R1472" s="201">
        <v>0.21300000000000033</v>
      </c>
      <c r="S1472" s="200">
        <v>0.98599999999999888</v>
      </c>
      <c r="T1472" s="201">
        <v>0.99483333333333457</v>
      </c>
      <c r="U1472" s="200">
        <v>1.8454999999999984</v>
      </c>
      <c r="V1472" s="201">
        <v>2.1133333333333342</v>
      </c>
      <c r="W1472" s="200">
        <v>0</v>
      </c>
      <c r="X1472" s="201">
        <v>0</v>
      </c>
      <c r="Y1472" s="200">
        <v>0</v>
      </c>
      <c r="Z1472" s="201">
        <v>0</v>
      </c>
      <c r="AA1472" s="200">
        <v>0</v>
      </c>
      <c r="AB1472" s="201">
        <v>0</v>
      </c>
      <c r="AC1472" s="238">
        <f t="shared" ref="AC1472:AC1485" si="79">SUM(E1472:AB1472)</f>
        <v>6.1526666666666667</v>
      </c>
      <c r="AD1472" s="238"/>
      <c r="AE1472" s="238"/>
    </row>
    <row r="1473" spans="2:31" x14ac:dyDescent="0.3">
      <c r="B1473" s="245" t="s">
        <v>68</v>
      </c>
      <c r="C1473" s="245"/>
      <c r="D1473" s="245"/>
      <c r="E1473" s="200">
        <v>0</v>
      </c>
      <c r="F1473" s="201">
        <v>0</v>
      </c>
      <c r="G1473" s="200">
        <v>0</v>
      </c>
      <c r="H1473" s="201">
        <v>0</v>
      </c>
      <c r="I1473" s="200">
        <v>0</v>
      </c>
      <c r="J1473" s="201">
        <v>0</v>
      </c>
      <c r="K1473" s="200">
        <v>0</v>
      </c>
      <c r="L1473" s="201">
        <v>0</v>
      </c>
      <c r="M1473" s="200">
        <v>0</v>
      </c>
      <c r="N1473" s="201">
        <v>0</v>
      </c>
      <c r="O1473" s="200">
        <v>0</v>
      </c>
      <c r="P1473" s="201">
        <v>0</v>
      </c>
      <c r="Q1473" s="200">
        <v>0</v>
      </c>
      <c r="R1473" s="201">
        <v>1.1449999999999989</v>
      </c>
      <c r="S1473" s="200">
        <v>4.3100000000000049</v>
      </c>
      <c r="T1473" s="201">
        <v>9.2908333333333299</v>
      </c>
      <c r="U1473" s="200">
        <v>16.126333333333335</v>
      </c>
      <c r="V1473" s="201">
        <v>15.132833333333332</v>
      </c>
      <c r="W1473" s="200">
        <v>0</v>
      </c>
      <c r="X1473" s="201">
        <v>0</v>
      </c>
      <c r="Y1473" s="200">
        <v>0</v>
      </c>
      <c r="Z1473" s="201">
        <v>0</v>
      </c>
      <c r="AA1473" s="200">
        <v>0</v>
      </c>
      <c r="AB1473" s="201">
        <v>0</v>
      </c>
      <c r="AC1473" s="238">
        <f t="shared" si="79"/>
        <v>46.005000000000003</v>
      </c>
      <c r="AD1473" s="238"/>
      <c r="AE1473" s="238"/>
    </row>
    <row r="1474" spans="2:31" x14ac:dyDescent="0.3">
      <c r="B1474" s="245" t="s">
        <v>69</v>
      </c>
      <c r="C1474" s="245"/>
      <c r="D1474" s="245"/>
      <c r="E1474" s="200">
        <v>0</v>
      </c>
      <c r="F1474" s="201">
        <v>0</v>
      </c>
      <c r="G1474" s="200">
        <v>0</v>
      </c>
      <c r="H1474" s="201">
        <v>0</v>
      </c>
      <c r="I1474" s="200">
        <v>0</v>
      </c>
      <c r="J1474" s="201">
        <v>0</v>
      </c>
      <c r="K1474" s="200">
        <v>0</v>
      </c>
      <c r="L1474" s="201">
        <v>0</v>
      </c>
      <c r="M1474" s="200">
        <v>0</v>
      </c>
      <c r="N1474" s="201">
        <v>0</v>
      </c>
      <c r="O1474" s="200">
        <v>0</v>
      </c>
      <c r="P1474" s="201">
        <v>0</v>
      </c>
      <c r="Q1474" s="200">
        <v>0</v>
      </c>
      <c r="R1474" s="201">
        <v>2.2719999999999994</v>
      </c>
      <c r="S1474" s="200">
        <v>6.3670000000000071</v>
      </c>
      <c r="T1474" s="201">
        <v>5.8541666666666741</v>
      </c>
      <c r="U1474" s="200">
        <v>4.1654999999999953</v>
      </c>
      <c r="V1474" s="201">
        <v>0.2860000000000002</v>
      </c>
      <c r="W1474" s="200">
        <v>0</v>
      </c>
      <c r="X1474" s="201">
        <v>0</v>
      </c>
      <c r="Y1474" s="200">
        <v>0</v>
      </c>
      <c r="Z1474" s="201">
        <v>0</v>
      </c>
      <c r="AA1474" s="200">
        <v>0</v>
      </c>
      <c r="AB1474" s="201">
        <v>0</v>
      </c>
      <c r="AC1474" s="238">
        <f t="shared" si="79"/>
        <v>18.944666666666677</v>
      </c>
      <c r="AD1474" s="238"/>
      <c r="AE1474" s="238"/>
    </row>
    <row r="1475" spans="2:31" x14ac:dyDescent="0.3">
      <c r="B1475" s="245" t="s">
        <v>70</v>
      </c>
      <c r="C1475" s="245"/>
      <c r="D1475" s="245"/>
      <c r="E1475" s="200">
        <v>0</v>
      </c>
      <c r="F1475" s="201">
        <v>0</v>
      </c>
      <c r="G1475" s="200">
        <v>0</v>
      </c>
      <c r="H1475" s="201">
        <v>0</v>
      </c>
      <c r="I1475" s="200">
        <v>0</v>
      </c>
      <c r="J1475" s="201">
        <v>0</v>
      </c>
      <c r="K1475" s="200">
        <v>0</v>
      </c>
      <c r="L1475" s="201">
        <v>0</v>
      </c>
      <c r="M1475" s="200">
        <v>0</v>
      </c>
      <c r="N1475" s="201">
        <v>0</v>
      </c>
      <c r="O1475" s="200">
        <v>0</v>
      </c>
      <c r="P1475" s="201">
        <v>0</v>
      </c>
      <c r="Q1475" s="200">
        <v>0</v>
      </c>
      <c r="R1475" s="201">
        <v>0</v>
      </c>
      <c r="S1475" s="200">
        <v>14.165500000000005</v>
      </c>
      <c r="T1475" s="201">
        <v>6.7968333333333355</v>
      </c>
      <c r="U1475" s="200">
        <v>3.8854999999999995</v>
      </c>
      <c r="V1475" s="201">
        <v>5.2975000000000039</v>
      </c>
      <c r="W1475" s="200">
        <v>0</v>
      </c>
      <c r="X1475" s="201">
        <v>0</v>
      </c>
      <c r="Y1475" s="200">
        <v>0</v>
      </c>
      <c r="Z1475" s="201">
        <v>0</v>
      </c>
      <c r="AA1475" s="200">
        <v>0</v>
      </c>
      <c r="AB1475" s="201">
        <v>0</v>
      </c>
      <c r="AC1475" s="238">
        <f t="shared" si="79"/>
        <v>30.145333333333344</v>
      </c>
      <c r="AD1475" s="238"/>
      <c r="AE1475" s="238"/>
    </row>
    <row r="1476" spans="2:31" x14ac:dyDescent="0.3">
      <c r="B1476" s="245" t="s">
        <v>71</v>
      </c>
      <c r="C1476" s="245"/>
      <c r="D1476" s="245"/>
      <c r="E1476" s="200">
        <v>0</v>
      </c>
      <c r="F1476" s="201">
        <v>0</v>
      </c>
      <c r="G1476" s="200">
        <v>0</v>
      </c>
      <c r="H1476" s="201">
        <v>0</v>
      </c>
      <c r="I1476" s="200">
        <v>0</v>
      </c>
      <c r="J1476" s="201">
        <v>0</v>
      </c>
      <c r="K1476" s="200">
        <v>0</v>
      </c>
      <c r="L1476" s="201">
        <v>0</v>
      </c>
      <c r="M1476" s="200">
        <v>0</v>
      </c>
      <c r="N1476" s="201">
        <v>0</v>
      </c>
      <c r="O1476" s="200">
        <v>0</v>
      </c>
      <c r="P1476" s="201">
        <v>0</v>
      </c>
      <c r="Q1476" s="200">
        <v>0</v>
      </c>
      <c r="R1476" s="201">
        <v>0</v>
      </c>
      <c r="S1476" s="200">
        <v>0</v>
      </c>
      <c r="T1476" s="201">
        <v>0</v>
      </c>
      <c r="U1476" s="200">
        <v>0</v>
      </c>
      <c r="V1476" s="201">
        <v>0</v>
      </c>
      <c r="W1476" s="200">
        <v>0</v>
      </c>
      <c r="X1476" s="201">
        <v>0</v>
      </c>
      <c r="Y1476" s="200">
        <v>0</v>
      </c>
      <c r="Z1476" s="201">
        <v>0</v>
      </c>
      <c r="AA1476" s="200">
        <v>0</v>
      </c>
      <c r="AB1476" s="201">
        <v>0</v>
      </c>
      <c r="AC1476" s="238">
        <f t="shared" si="79"/>
        <v>0</v>
      </c>
      <c r="AD1476" s="238"/>
      <c r="AE1476" s="238"/>
    </row>
    <row r="1477" spans="2:31" x14ac:dyDescent="0.3">
      <c r="B1477" s="245" t="s">
        <v>72</v>
      </c>
      <c r="C1477" s="245"/>
      <c r="D1477" s="245"/>
      <c r="E1477" s="200">
        <v>0</v>
      </c>
      <c r="F1477" s="201">
        <v>0</v>
      </c>
      <c r="G1477" s="200">
        <v>0</v>
      </c>
      <c r="H1477" s="201">
        <v>0</v>
      </c>
      <c r="I1477" s="200">
        <v>0</v>
      </c>
      <c r="J1477" s="201">
        <v>0</v>
      </c>
      <c r="K1477" s="200">
        <v>0</v>
      </c>
      <c r="L1477" s="201">
        <v>0</v>
      </c>
      <c r="M1477" s="200">
        <v>0</v>
      </c>
      <c r="N1477" s="201">
        <v>0</v>
      </c>
      <c r="O1477" s="200">
        <v>0</v>
      </c>
      <c r="P1477" s="201">
        <v>0</v>
      </c>
      <c r="Q1477" s="200">
        <v>0</v>
      </c>
      <c r="R1477" s="201">
        <v>0</v>
      </c>
      <c r="S1477" s="200">
        <v>0</v>
      </c>
      <c r="T1477" s="201">
        <v>0</v>
      </c>
      <c r="U1477" s="200">
        <v>0</v>
      </c>
      <c r="V1477" s="201">
        <v>0</v>
      </c>
      <c r="W1477" s="200">
        <v>0</v>
      </c>
      <c r="X1477" s="201">
        <v>0</v>
      </c>
      <c r="Y1477" s="200">
        <v>0</v>
      </c>
      <c r="Z1477" s="201">
        <v>0</v>
      </c>
      <c r="AA1477" s="200">
        <v>0</v>
      </c>
      <c r="AB1477" s="201">
        <v>0</v>
      </c>
      <c r="AC1477" s="238">
        <f t="shared" si="79"/>
        <v>0</v>
      </c>
      <c r="AD1477" s="238"/>
      <c r="AE1477" s="238"/>
    </row>
    <row r="1478" spans="2:31" x14ac:dyDescent="0.3">
      <c r="B1478" s="245" t="s">
        <v>73</v>
      </c>
      <c r="C1478" s="245"/>
      <c r="D1478" s="245"/>
      <c r="E1478" s="200">
        <v>0</v>
      </c>
      <c r="F1478" s="201">
        <v>0</v>
      </c>
      <c r="G1478" s="200">
        <v>0</v>
      </c>
      <c r="H1478" s="201">
        <v>0</v>
      </c>
      <c r="I1478" s="200">
        <v>0</v>
      </c>
      <c r="J1478" s="201">
        <v>0</v>
      </c>
      <c r="K1478" s="200">
        <v>0</v>
      </c>
      <c r="L1478" s="201">
        <v>0</v>
      </c>
      <c r="M1478" s="200">
        <v>0</v>
      </c>
      <c r="N1478" s="201">
        <v>0</v>
      </c>
      <c r="O1478" s="200">
        <v>0</v>
      </c>
      <c r="P1478" s="201">
        <v>0</v>
      </c>
      <c r="Q1478" s="200">
        <v>0</v>
      </c>
      <c r="R1478" s="201">
        <v>4.5488333333333335</v>
      </c>
      <c r="S1478" s="200">
        <v>15.05066666666667</v>
      </c>
      <c r="T1478" s="201">
        <v>15.050333333333329</v>
      </c>
      <c r="U1478" s="200">
        <v>11.413500000000001</v>
      </c>
      <c r="V1478" s="201">
        <v>5.926500000000007</v>
      </c>
      <c r="W1478" s="200">
        <v>0</v>
      </c>
      <c r="X1478" s="201">
        <v>0</v>
      </c>
      <c r="Y1478" s="200">
        <v>0</v>
      </c>
      <c r="Z1478" s="201">
        <v>0</v>
      </c>
      <c r="AA1478" s="200">
        <v>0</v>
      </c>
      <c r="AB1478" s="201">
        <v>0</v>
      </c>
      <c r="AC1478" s="238">
        <f t="shared" si="79"/>
        <v>51.989833333333337</v>
      </c>
      <c r="AD1478" s="238"/>
      <c r="AE1478" s="238"/>
    </row>
    <row r="1479" spans="2:31" x14ac:dyDescent="0.3">
      <c r="B1479" s="245" t="s">
        <v>74</v>
      </c>
      <c r="C1479" s="245"/>
      <c r="D1479" s="245"/>
      <c r="E1479" s="200">
        <v>0</v>
      </c>
      <c r="F1479" s="201">
        <v>0</v>
      </c>
      <c r="G1479" s="200">
        <v>0</v>
      </c>
      <c r="H1479" s="201">
        <v>0</v>
      </c>
      <c r="I1479" s="200">
        <v>0</v>
      </c>
      <c r="J1479" s="201">
        <v>0</v>
      </c>
      <c r="K1479" s="200">
        <v>0</v>
      </c>
      <c r="L1479" s="201">
        <v>0</v>
      </c>
      <c r="M1479" s="200">
        <v>0</v>
      </c>
      <c r="N1479" s="201">
        <v>0</v>
      </c>
      <c r="O1479" s="200">
        <v>0</v>
      </c>
      <c r="P1479" s="201">
        <v>0</v>
      </c>
      <c r="Q1479" s="200">
        <v>0</v>
      </c>
      <c r="R1479" s="201">
        <v>0.25566666666666665</v>
      </c>
      <c r="S1479" s="200">
        <v>2.5735000000000001</v>
      </c>
      <c r="T1479" s="201">
        <v>1.4096666666666657</v>
      </c>
      <c r="U1479" s="200">
        <v>1.941833333333334</v>
      </c>
      <c r="V1479" s="201">
        <v>0.58066666666666678</v>
      </c>
      <c r="W1479" s="200">
        <v>0</v>
      </c>
      <c r="X1479" s="201">
        <v>0</v>
      </c>
      <c r="Y1479" s="200">
        <v>0</v>
      </c>
      <c r="Z1479" s="201">
        <v>0</v>
      </c>
      <c r="AA1479" s="200">
        <v>0</v>
      </c>
      <c r="AB1479" s="201">
        <v>0</v>
      </c>
      <c r="AC1479" s="238">
        <f t="shared" si="79"/>
        <v>6.761333333333333</v>
      </c>
      <c r="AD1479" s="238"/>
      <c r="AE1479" s="238"/>
    </row>
    <row r="1480" spans="2:31" x14ac:dyDescent="0.3">
      <c r="B1480" s="245" t="s">
        <v>75</v>
      </c>
      <c r="C1480" s="245"/>
      <c r="D1480" s="245"/>
      <c r="E1480" s="200">
        <v>0</v>
      </c>
      <c r="F1480" s="201">
        <v>0</v>
      </c>
      <c r="G1480" s="200">
        <v>0</v>
      </c>
      <c r="H1480" s="201">
        <v>0</v>
      </c>
      <c r="I1480" s="200">
        <v>0</v>
      </c>
      <c r="J1480" s="201">
        <v>0</v>
      </c>
      <c r="K1480" s="200">
        <v>0</v>
      </c>
      <c r="L1480" s="201">
        <v>0</v>
      </c>
      <c r="M1480" s="200">
        <v>0</v>
      </c>
      <c r="N1480" s="201">
        <v>0</v>
      </c>
      <c r="O1480" s="200">
        <v>0</v>
      </c>
      <c r="P1480" s="201">
        <v>0</v>
      </c>
      <c r="Q1480" s="200">
        <v>0</v>
      </c>
      <c r="R1480" s="201">
        <v>0.20216666666666849</v>
      </c>
      <c r="S1480" s="200">
        <v>1.0416666666666652</v>
      </c>
      <c r="T1480" s="201">
        <v>7.3333333333333431E-2</v>
      </c>
      <c r="U1480" s="200">
        <v>1.6648333333333294</v>
      </c>
      <c r="V1480" s="201">
        <v>0.21100000000000088</v>
      </c>
      <c r="W1480" s="200">
        <v>0</v>
      </c>
      <c r="X1480" s="201">
        <v>0</v>
      </c>
      <c r="Y1480" s="200">
        <v>0</v>
      </c>
      <c r="Z1480" s="201">
        <v>0</v>
      </c>
      <c r="AA1480" s="200">
        <v>0</v>
      </c>
      <c r="AB1480" s="201">
        <v>0</v>
      </c>
      <c r="AC1480" s="238">
        <f t="shared" si="79"/>
        <v>3.1929999999999974</v>
      </c>
      <c r="AD1480" s="238"/>
      <c r="AE1480" s="238"/>
    </row>
    <row r="1481" spans="2:31" x14ac:dyDescent="0.3">
      <c r="B1481" s="245" t="s">
        <v>76</v>
      </c>
      <c r="C1481" s="245"/>
      <c r="D1481" s="245"/>
      <c r="E1481" s="200">
        <v>0</v>
      </c>
      <c r="F1481" s="201">
        <v>0</v>
      </c>
      <c r="G1481" s="200">
        <v>0</v>
      </c>
      <c r="H1481" s="201">
        <v>0</v>
      </c>
      <c r="I1481" s="200">
        <v>0</v>
      </c>
      <c r="J1481" s="201">
        <v>0</v>
      </c>
      <c r="K1481" s="200">
        <v>0</v>
      </c>
      <c r="L1481" s="201">
        <v>0</v>
      </c>
      <c r="M1481" s="200">
        <v>0</v>
      </c>
      <c r="N1481" s="201">
        <v>0</v>
      </c>
      <c r="O1481" s="200">
        <v>0</v>
      </c>
      <c r="P1481" s="201">
        <v>0</v>
      </c>
      <c r="Q1481" s="200">
        <v>0</v>
      </c>
      <c r="R1481" s="201">
        <v>0</v>
      </c>
      <c r="S1481" s="200">
        <v>0</v>
      </c>
      <c r="T1481" s="201">
        <v>0</v>
      </c>
      <c r="U1481" s="200">
        <v>0</v>
      </c>
      <c r="V1481" s="201">
        <v>0</v>
      </c>
      <c r="W1481" s="200">
        <v>0</v>
      </c>
      <c r="X1481" s="201">
        <v>0</v>
      </c>
      <c r="Y1481" s="200">
        <v>0</v>
      </c>
      <c r="Z1481" s="201">
        <v>0</v>
      </c>
      <c r="AA1481" s="200">
        <v>0</v>
      </c>
      <c r="AB1481" s="201">
        <v>0</v>
      </c>
      <c r="AC1481" s="238">
        <f t="shared" si="79"/>
        <v>0</v>
      </c>
      <c r="AD1481" s="238"/>
      <c r="AE1481" s="238"/>
    </row>
    <row r="1482" spans="2:31" x14ac:dyDescent="0.3">
      <c r="B1482" s="245" t="s">
        <v>77</v>
      </c>
      <c r="C1482" s="245"/>
      <c r="D1482" s="245"/>
      <c r="E1482" s="200">
        <v>0</v>
      </c>
      <c r="F1482" s="201">
        <v>0</v>
      </c>
      <c r="G1482" s="200">
        <v>0</v>
      </c>
      <c r="H1482" s="201">
        <v>0</v>
      </c>
      <c r="I1482" s="200">
        <v>0</v>
      </c>
      <c r="J1482" s="201">
        <v>0</v>
      </c>
      <c r="K1482" s="200">
        <v>0</v>
      </c>
      <c r="L1482" s="201">
        <v>0</v>
      </c>
      <c r="M1482" s="200">
        <v>0</v>
      </c>
      <c r="N1482" s="201">
        <v>0</v>
      </c>
      <c r="O1482" s="200">
        <v>0</v>
      </c>
      <c r="P1482" s="201">
        <v>0</v>
      </c>
      <c r="Q1482" s="200">
        <v>0</v>
      </c>
      <c r="R1482" s="201">
        <v>0.70150000000000001</v>
      </c>
      <c r="S1482" s="200">
        <v>2.7158333333333267</v>
      </c>
      <c r="T1482" s="201">
        <v>3.1399999999999948</v>
      </c>
      <c r="U1482" s="200">
        <v>0.71200000000000041</v>
      </c>
      <c r="V1482" s="201">
        <v>0</v>
      </c>
      <c r="W1482" s="200">
        <v>0</v>
      </c>
      <c r="X1482" s="201">
        <v>0</v>
      </c>
      <c r="Y1482" s="200">
        <v>0</v>
      </c>
      <c r="Z1482" s="201">
        <v>0</v>
      </c>
      <c r="AA1482" s="200">
        <v>0</v>
      </c>
      <c r="AB1482" s="201">
        <v>0</v>
      </c>
      <c r="AC1482" s="238">
        <f t="shared" si="79"/>
        <v>7.2693333333333223</v>
      </c>
      <c r="AD1482" s="238"/>
      <c r="AE1482" s="238"/>
    </row>
    <row r="1483" spans="2:31" x14ac:dyDescent="0.3">
      <c r="B1483" s="245" t="s">
        <v>78</v>
      </c>
      <c r="C1483" s="245"/>
      <c r="D1483" s="245"/>
      <c r="E1483" s="200">
        <v>0</v>
      </c>
      <c r="F1483" s="201">
        <v>0</v>
      </c>
      <c r="G1483" s="200">
        <v>0</v>
      </c>
      <c r="H1483" s="201">
        <v>0</v>
      </c>
      <c r="I1483" s="200">
        <v>0</v>
      </c>
      <c r="J1483" s="201">
        <v>0</v>
      </c>
      <c r="K1483" s="200">
        <v>0</v>
      </c>
      <c r="L1483" s="201">
        <v>0</v>
      </c>
      <c r="M1483" s="200">
        <v>0</v>
      </c>
      <c r="N1483" s="201">
        <v>0</v>
      </c>
      <c r="O1483" s="200">
        <v>0</v>
      </c>
      <c r="P1483" s="201">
        <v>0</v>
      </c>
      <c r="Q1483" s="200">
        <v>0</v>
      </c>
      <c r="R1483" s="201">
        <v>0</v>
      </c>
      <c r="S1483" s="200">
        <v>2.1299999999999963</v>
      </c>
      <c r="T1483" s="201">
        <v>2.4300000000000037</v>
      </c>
      <c r="U1483" s="200">
        <v>0.23000000000000043</v>
      </c>
      <c r="V1483" s="201">
        <v>0</v>
      </c>
      <c r="W1483" s="200">
        <v>0</v>
      </c>
      <c r="X1483" s="201">
        <v>0</v>
      </c>
      <c r="Y1483" s="200">
        <v>0</v>
      </c>
      <c r="Z1483" s="201">
        <v>0</v>
      </c>
      <c r="AA1483" s="200">
        <v>0</v>
      </c>
      <c r="AB1483" s="201">
        <v>0</v>
      </c>
      <c r="AC1483" s="238">
        <f t="shared" si="79"/>
        <v>4.7900000000000009</v>
      </c>
      <c r="AD1483" s="238"/>
      <c r="AE1483" s="238"/>
    </row>
    <row r="1484" spans="2:31" x14ac:dyDescent="0.3">
      <c r="B1484" s="245" t="s">
        <v>79</v>
      </c>
      <c r="C1484" s="245"/>
      <c r="D1484" s="245"/>
      <c r="E1484" s="200">
        <v>0</v>
      </c>
      <c r="F1484" s="201">
        <v>0</v>
      </c>
      <c r="G1484" s="200">
        <v>0</v>
      </c>
      <c r="H1484" s="201">
        <v>0</v>
      </c>
      <c r="I1484" s="200">
        <v>0</v>
      </c>
      <c r="J1484" s="201">
        <v>0</v>
      </c>
      <c r="K1484" s="200">
        <v>0</v>
      </c>
      <c r="L1484" s="201">
        <v>0</v>
      </c>
      <c r="M1484" s="200">
        <v>0</v>
      </c>
      <c r="N1484" s="201">
        <v>0</v>
      </c>
      <c r="O1484" s="200">
        <v>0</v>
      </c>
      <c r="P1484" s="201">
        <v>0</v>
      </c>
      <c r="Q1484" s="200">
        <v>0</v>
      </c>
      <c r="R1484" s="201">
        <v>0</v>
      </c>
      <c r="S1484" s="200">
        <v>0</v>
      </c>
      <c r="T1484" s="201">
        <v>0</v>
      </c>
      <c r="U1484" s="200">
        <v>0</v>
      </c>
      <c r="V1484" s="201">
        <v>0</v>
      </c>
      <c r="W1484" s="200">
        <v>0</v>
      </c>
      <c r="X1484" s="201">
        <v>0</v>
      </c>
      <c r="Y1484" s="200">
        <v>0</v>
      </c>
      <c r="Z1484" s="201">
        <v>0</v>
      </c>
      <c r="AA1484" s="200">
        <v>0</v>
      </c>
      <c r="AB1484" s="201">
        <v>0</v>
      </c>
      <c r="AC1484" s="238">
        <f t="shared" si="79"/>
        <v>0</v>
      </c>
      <c r="AD1484" s="238"/>
      <c r="AE1484" s="238"/>
    </row>
    <row r="1485" spans="2:31" x14ac:dyDescent="0.3">
      <c r="B1485" s="245" t="s">
        <v>80</v>
      </c>
      <c r="C1485" s="245"/>
      <c r="D1485" s="245"/>
      <c r="E1485" s="200">
        <v>0</v>
      </c>
      <c r="F1485" s="201">
        <v>0</v>
      </c>
      <c r="G1485" s="200">
        <v>0</v>
      </c>
      <c r="H1485" s="201">
        <v>0</v>
      </c>
      <c r="I1485" s="200">
        <v>0</v>
      </c>
      <c r="J1485" s="201">
        <v>0</v>
      </c>
      <c r="K1485" s="200">
        <v>0</v>
      </c>
      <c r="L1485" s="201">
        <v>0</v>
      </c>
      <c r="M1485" s="200">
        <v>0</v>
      </c>
      <c r="N1485" s="201">
        <v>0</v>
      </c>
      <c r="O1485" s="200">
        <v>0</v>
      </c>
      <c r="P1485" s="201">
        <v>0</v>
      </c>
      <c r="Q1485" s="200">
        <v>0</v>
      </c>
      <c r="R1485" s="201">
        <v>0</v>
      </c>
      <c r="S1485" s="200">
        <v>0</v>
      </c>
      <c r="T1485" s="201">
        <v>0</v>
      </c>
      <c r="U1485" s="200">
        <v>0</v>
      </c>
      <c r="V1485" s="201">
        <v>0</v>
      </c>
      <c r="W1485" s="200">
        <v>0</v>
      </c>
      <c r="X1485" s="201">
        <v>0</v>
      </c>
      <c r="Y1485" s="200">
        <v>0</v>
      </c>
      <c r="Z1485" s="201">
        <v>0</v>
      </c>
      <c r="AA1485" s="200">
        <v>0</v>
      </c>
      <c r="AB1485" s="201">
        <v>0</v>
      </c>
      <c r="AC1485" s="238">
        <f t="shared" si="79"/>
        <v>0</v>
      </c>
      <c r="AD1485" s="238"/>
      <c r="AE1485" s="238"/>
    </row>
    <row r="1486" spans="2:31" x14ac:dyDescent="0.3">
      <c r="B1486" s="245" t="s">
        <v>93</v>
      </c>
      <c r="C1486" s="245"/>
      <c r="D1486" s="245"/>
      <c r="E1486" s="200">
        <v>0</v>
      </c>
      <c r="F1486" s="201">
        <v>0</v>
      </c>
      <c r="G1486" s="200">
        <v>0</v>
      </c>
      <c r="H1486" s="201">
        <v>0</v>
      </c>
      <c r="I1486" s="200">
        <v>0</v>
      </c>
      <c r="J1486" s="201">
        <v>0</v>
      </c>
      <c r="K1486" s="200">
        <v>0</v>
      </c>
      <c r="L1486" s="201">
        <v>0</v>
      </c>
      <c r="M1486" s="200">
        <v>0</v>
      </c>
      <c r="N1486" s="201">
        <v>0</v>
      </c>
      <c r="O1486" s="200">
        <v>0</v>
      </c>
      <c r="P1486" s="201">
        <v>0</v>
      </c>
      <c r="Q1486" s="200">
        <v>0.18949999999999992</v>
      </c>
      <c r="R1486" s="201">
        <v>1.474166666666668</v>
      </c>
      <c r="S1486" s="200">
        <v>1.1888333333333321</v>
      </c>
      <c r="T1486" s="201">
        <v>0.80450000000000121</v>
      </c>
      <c r="U1486" s="200">
        <v>0.71949999999999881</v>
      </c>
      <c r="V1486" s="201">
        <v>3.483333333333348E-2</v>
      </c>
      <c r="W1486" s="200">
        <v>0</v>
      </c>
      <c r="X1486" s="201">
        <v>0</v>
      </c>
      <c r="Y1486" s="200">
        <v>0</v>
      </c>
      <c r="Z1486" s="201">
        <v>0</v>
      </c>
      <c r="AA1486" s="200">
        <v>0</v>
      </c>
      <c r="AB1486" s="201">
        <v>0</v>
      </c>
      <c r="AC1486" s="238">
        <f>SUM(E1486:AB1486)</f>
        <v>4.4113333333333333</v>
      </c>
      <c r="AD1486" s="238"/>
      <c r="AE1486" s="238"/>
    </row>
    <row r="1487" spans="2:31" x14ac:dyDescent="0.3">
      <c r="B1487" s="14" t="s">
        <v>2</v>
      </c>
      <c r="C1487" s="14"/>
      <c r="D1487" s="14"/>
      <c r="E1487" s="15">
        <f t="shared" ref="E1487:AB1487" si="80">SUM(E1438:E1486)</f>
        <v>0</v>
      </c>
      <c r="F1487" s="15">
        <f t="shared" si="80"/>
        <v>0</v>
      </c>
      <c r="G1487" s="15">
        <f t="shared" si="80"/>
        <v>0</v>
      </c>
      <c r="H1487" s="15">
        <f t="shared" si="80"/>
        <v>0</v>
      </c>
      <c r="I1487" s="15">
        <f t="shared" si="80"/>
        <v>0</v>
      </c>
      <c r="J1487" s="15">
        <f t="shared" si="80"/>
        <v>0</v>
      </c>
      <c r="K1487" s="15">
        <f t="shared" si="80"/>
        <v>0</v>
      </c>
      <c r="L1487" s="15">
        <f t="shared" si="80"/>
        <v>0</v>
      </c>
      <c r="M1487" s="15">
        <f t="shared" si="80"/>
        <v>0</v>
      </c>
      <c r="N1487" s="15">
        <f t="shared" si="80"/>
        <v>0</v>
      </c>
      <c r="O1487" s="15">
        <f t="shared" si="80"/>
        <v>1.1000000000000062E-2</v>
      </c>
      <c r="P1487" s="15">
        <f t="shared" si="80"/>
        <v>9.964500000000001</v>
      </c>
      <c r="Q1487" s="15">
        <f t="shared" si="80"/>
        <v>10.528833333333338</v>
      </c>
      <c r="R1487" s="15">
        <f t="shared" si="80"/>
        <v>101.76333333333326</v>
      </c>
      <c r="S1487" s="15">
        <f t="shared" si="80"/>
        <v>178.98999999999998</v>
      </c>
      <c r="T1487" s="15">
        <f t="shared" si="80"/>
        <v>169.54299999999992</v>
      </c>
      <c r="U1487" s="15">
        <f t="shared" si="80"/>
        <v>133.44983333333329</v>
      </c>
      <c r="V1487" s="15">
        <f t="shared" si="80"/>
        <v>85.141166666666678</v>
      </c>
      <c r="W1487" s="15">
        <f t="shared" si="80"/>
        <v>2.4988333333333328</v>
      </c>
      <c r="X1487" s="15">
        <f t="shared" si="80"/>
        <v>0.37900000000000017</v>
      </c>
      <c r="Y1487" s="15">
        <f t="shared" si="80"/>
        <v>0</v>
      </c>
      <c r="Z1487" s="15">
        <f t="shared" si="80"/>
        <v>0</v>
      </c>
      <c r="AA1487" s="15">
        <f t="shared" si="80"/>
        <v>0</v>
      </c>
      <c r="AB1487" s="15">
        <f t="shared" si="80"/>
        <v>0</v>
      </c>
      <c r="AC1487" s="249">
        <f>SUM(AC1438:AE1486)</f>
        <v>692.26949999999988</v>
      </c>
      <c r="AD1487" s="249"/>
      <c r="AE1487" s="249"/>
    </row>
    <row r="1488" spans="2:31" x14ac:dyDescent="0.3">
      <c r="B1488" s="16"/>
      <c r="C1488" s="17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  <c r="N1488" s="18"/>
      <c r="O1488" s="18"/>
      <c r="P1488" s="18"/>
      <c r="Q1488" s="18"/>
      <c r="R1488" s="18"/>
      <c r="S1488" s="18"/>
      <c r="T1488" s="18"/>
      <c r="U1488" s="18"/>
      <c r="V1488" s="18"/>
      <c r="W1488" s="18"/>
      <c r="X1488" s="18"/>
      <c r="Y1488" s="18"/>
      <c r="Z1488" s="18"/>
      <c r="AA1488" s="18"/>
    </row>
    <row r="1489" spans="2:31" x14ac:dyDescent="0.3">
      <c r="B1489" s="16"/>
      <c r="C1489" s="17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  <c r="N1489" s="18"/>
      <c r="O1489" s="18"/>
      <c r="P1489" s="18"/>
      <c r="Q1489" s="18"/>
      <c r="R1489" s="18"/>
      <c r="S1489" s="18"/>
      <c r="T1489" s="18"/>
      <c r="U1489" s="18"/>
      <c r="V1489" s="18"/>
      <c r="W1489" s="18"/>
      <c r="X1489" s="18"/>
      <c r="Y1489" s="18"/>
      <c r="Z1489" s="18"/>
      <c r="AA1489" s="18"/>
    </row>
    <row r="1490" spans="2:31" x14ac:dyDescent="0.3">
      <c r="B1490" s="8">
        <f>'Resumen-Mensual'!$AF$22</f>
        <v>44589</v>
      </c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202"/>
      <c r="AD1490" s="202"/>
      <c r="AE1490" s="202"/>
    </row>
    <row r="1491" spans="2:31" x14ac:dyDescent="0.3">
      <c r="B1491" s="8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202"/>
      <c r="AD1491" s="202"/>
      <c r="AE1491" s="202"/>
    </row>
    <row r="1492" spans="2:31" x14ac:dyDescent="0.3">
      <c r="B1492" s="9" t="s">
        <v>81</v>
      </c>
      <c r="C1492" s="10"/>
      <c r="D1492" s="10"/>
      <c r="E1492" s="11">
        <v>1</v>
      </c>
      <c r="F1492" s="11">
        <v>2</v>
      </c>
      <c r="G1492" s="11">
        <v>3</v>
      </c>
      <c r="H1492" s="11">
        <v>4</v>
      </c>
      <c r="I1492" s="11">
        <v>5</v>
      </c>
      <c r="J1492" s="11">
        <v>6</v>
      </c>
      <c r="K1492" s="11">
        <v>7</v>
      </c>
      <c r="L1492" s="11">
        <v>8</v>
      </c>
      <c r="M1492" s="11">
        <v>9</v>
      </c>
      <c r="N1492" s="11">
        <v>10</v>
      </c>
      <c r="O1492" s="11">
        <v>11</v>
      </c>
      <c r="P1492" s="11">
        <v>12</v>
      </c>
      <c r="Q1492" s="11">
        <v>13</v>
      </c>
      <c r="R1492" s="11">
        <v>14</v>
      </c>
      <c r="S1492" s="11">
        <v>15</v>
      </c>
      <c r="T1492" s="11">
        <v>16</v>
      </c>
      <c r="U1492" s="11">
        <v>17</v>
      </c>
      <c r="V1492" s="11">
        <v>18</v>
      </c>
      <c r="W1492" s="11">
        <v>19</v>
      </c>
      <c r="X1492" s="11">
        <v>20</v>
      </c>
      <c r="Y1492" s="11">
        <v>21</v>
      </c>
      <c r="Z1492" s="11">
        <v>22</v>
      </c>
      <c r="AA1492" s="11">
        <v>23</v>
      </c>
      <c r="AB1492" s="11">
        <v>24</v>
      </c>
      <c r="AC1492" s="248" t="s">
        <v>2</v>
      </c>
      <c r="AD1492" s="248"/>
      <c r="AE1492" s="248"/>
    </row>
    <row r="1493" spans="2:31" x14ac:dyDescent="0.3">
      <c r="B1493" s="245" t="s">
        <v>37</v>
      </c>
      <c r="C1493" s="245"/>
      <c r="D1493" s="245"/>
      <c r="E1493" s="207">
        <v>0</v>
      </c>
      <c r="F1493" s="208">
        <v>0</v>
      </c>
      <c r="G1493" s="207">
        <v>0</v>
      </c>
      <c r="H1493" s="208">
        <v>0</v>
      </c>
      <c r="I1493" s="207">
        <v>0</v>
      </c>
      <c r="J1493" s="208">
        <v>0</v>
      </c>
      <c r="K1493" s="207">
        <v>0</v>
      </c>
      <c r="L1493" s="208">
        <v>0</v>
      </c>
      <c r="M1493" s="207">
        <v>0</v>
      </c>
      <c r="N1493" s="208">
        <v>0</v>
      </c>
      <c r="O1493" s="207">
        <v>0</v>
      </c>
      <c r="P1493" s="208">
        <v>0</v>
      </c>
      <c r="Q1493" s="207">
        <v>0</v>
      </c>
      <c r="R1493" s="208">
        <v>0</v>
      </c>
      <c r="S1493" s="207">
        <v>0</v>
      </c>
      <c r="T1493" s="208">
        <v>0</v>
      </c>
      <c r="U1493" s="207">
        <v>0</v>
      </c>
      <c r="V1493" s="208">
        <v>8.7333333333333249E-2</v>
      </c>
      <c r="W1493" s="207">
        <v>0</v>
      </c>
      <c r="X1493" s="208">
        <v>0</v>
      </c>
      <c r="Y1493" s="207">
        <v>0</v>
      </c>
      <c r="Z1493" s="208">
        <v>0</v>
      </c>
      <c r="AA1493" s="207">
        <v>0</v>
      </c>
      <c r="AB1493" s="208">
        <v>0</v>
      </c>
      <c r="AC1493" s="238">
        <f t="shared" ref="AC1493:AC1525" si="81">SUM(E1493:AB1493)</f>
        <v>8.7333333333333249E-2</v>
      </c>
      <c r="AD1493" s="238"/>
      <c r="AE1493" s="238"/>
    </row>
    <row r="1494" spans="2:31" x14ac:dyDescent="0.3">
      <c r="B1494" s="245" t="s">
        <v>38</v>
      </c>
      <c r="C1494" s="245"/>
      <c r="D1494" s="245"/>
      <c r="E1494" s="207">
        <v>0</v>
      </c>
      <c r="F1494" s="208">
        <v>0</v>
      </c>
      <c r="G1494" s="207">
        <v>0</v>
      </c>
      <c r="H1494" s="208">
        <v>0</v>
      </c>
      <c r="I1494" s="207">
        <v>0</v>
      </c>
      <c r="J1494" s="208">
        <v>0</v>
      </c>
      <c r="K1494" s="207">
        <v>0</v>
      </c>
      <c r="L1494" s="208">
        <v>0</v>
      </c>
      <c r="M1494" s="207">
        <v>0</v>
      </c>
      <c r="N1494" s="208">
        <v>0</v>
      </c>
      <c r="O1494" s="207">
        <v>0</v>
      </c>
      <c r="P1494" s="208">
        <v>0</v>
      </c>
      <c r="Q1494" s="207">
        <v>0</v>
      </c>
      <c r="R1494" s="208">
        <v>0</v>
      </c>
      <c r="S1494" s="207">
        <v>0</v>
      </c>
      <c r="T1494" s="208">
        <v>2.0961666666666656</v>
      </c>
      <c r="U1494" s="207">
        <v>1.9815000000000007</v>
      </c>
      <c r="V1494" s="208">
        <v>1.6853333333333345</v>
      </c>
      <c r="W1494" s="207">
        <v>0.91649999999999998</v>
      </c>
      <c r="X1494" s="208">
        <v>0</v>
      </c>
      <c r="Y1494" s="207">
        <v>0</v>
      </c>
      <c r="Z1494" s="208">
        <v>0</v>
      </c>
      <c r="AA1494" s="207">
        <v>0</v>
      </c>
      <c r="AB1494" s="208">
        <v>0</v>
      </c>
      <c r="AC1494" s="238">
        <f t="shared" si="81"/>
        <v>6.6795000000000009</v>
      </c>
      <c r="AD1494" s="238"/>
      <c r="AE1494" s="238"/>
    </row>
    <row r="1495" spans="2:31" x14ac:dyDescent="0.3">
      <c r="B1495" s="245" t="s">
        <v>39</v>
      </c>
      <c r="C1495" s="245"/>
      <c r="D1495" s="245"/>
      <c r="E1495" s="207">
        <v>0</v>
      </c>
      <c r="F1495" s="208">
        <v>0</v>
      </c>
      <c r="G1495" s="207">
        <v>0</v>
      </c>
      <c r="H1495" s="208">
        <v>0</v>
      </c>
      <c r="I1495" s="207">
        <v>0</v>
      </c>
      <c r="J1495" s="208">
        <v>0</v>
      </c>
      <c r="K1495" s="207">
        <v>0</v>
      </c>
      <c r="L1495" s="208">
        <v>0</v>
      </c>
      <c r="M1495" s="207">
        <v>0</v>
      </c>
      <c r="N1495" s="208">
        <v>0</v>
      </c>
      <c r="O1495" s="207">
        <v>0</v>
      </c>
      <c r="P1495" s="208">
        <v>0</v>
      </c>
      <c r="Q1495" s="207">
        <v>0</v>
      </c>
      <c r="R1495" s="208">
        <v>0</v>
      </c>
      <c r="S1495" s="207">
        <v>0</v>
      </c>
      <c r="T1495" s="208">
        <v>1.0534999999999988</v>
      </c>
      <c r="U1495" s="207">
        <v>0.4720000000000007</v>
      </c>
      <c r="V1495" s="208">
        <v>0.38783333333333364</v>
      </c>
      <c r="W1495" s="207">
        <v>0</v>
      </c>
      <c r="X1495" s="208">
        <v>0</v>
      </c>
      <c r="Y1495" s="207">
        <v>0</v>
      </c>
      <c r="Z1495" s="208">
        <v>0</v>
      </c>
      <c r="AA1495" s="207">
        <v>0</v>
      </c>
      <c r="AB1495" s="208">
        <v>0</v>
      </c>
      <c r="AC1495" s="238">
        <f t="shared" si="81"/>
        <v>1.9133333333333331</v>
      </c>
      <c r="AD1495" s="238"/>
      <c r="AE1495" s="238"/>
    </row>
    <row r="1496" spans="2:31" x14ac:dyDescent="0.3">
      <c r="B1496" s="245" t="s">
        <v>40</v>
      </c>
      <c r="C1496" s="245"/>
      <c r="D1496" s="245"/>
      <c r="E1496" s="207">
        <v>0</v>
      </c>
      <c r="F1496" s="208">
        <v>0</v>
      </c>
      <c r="G1496" s="207">
        <v>0</v>
      </c>
      <c r="H1496" s="208">
        <v>0</v>
      </c>
      <c r="I1496" s="207">
        <v>0</v>
      </c>
      <c r="J1496" s="208">
        <v>0</v>
      </c>
      <c r="K1496" s="207">
        <v>0</v>
      </c>
      <c r="L1496" s="208">
        <v>0</v>
      </c>
      <c r="M1496" s="207">
        <v>0</v>
      </c>
      <c r="N1496" s="208">
        <v>0</v>
      </c>
      <c r="O1496" s="207">
        <v>0</v>
      </c>
      <c r="P1496" s="208">
        <v>0</v>
      </c>
      <c r="Q1496" s="207">
        <v>0</v>
      </c>
      <c r="R1496" s="208">
        <v>0</v>
      </c>
      <c r="S1496" s="207">
        <v>0</v>
      </c>
      <c r="T1496" s="208">
        <v>0</v>
      </c>
      <c r="U1496" s="207">
        <v>0</v>
      </c>
      <c r="V1496" s="208">
        <v>4.3833333333333731E-2</v>
      </c>
      <c r="W1496" s="207">
        <v>1.7486666666666675</v>
      </c>
      <c r="X1496" s="208">
        <v>0</v>
      </c>
      <c r="Y1496" s="207">
        <v>0</v>
      </c>
      <c r="Z1496" s="208">
        <v>0</v>
      </c>
      <c r="AA1496" s="207">
        <v>0</v>
      </c>
      <c r="AB1496" s="208">
        <v>0</v>
      </c>
      <c r="AC1496" s="238">
        <f t="shared" si="81"/>
        <v>1.7925000000000013</v>
      </c>
      <c r="AD1496" s="238"/>
      <c r="AE1496" s="238"/>
    </row>
    <row r="1497" spans="2:31" x14ac:dyDescent="0.3">
      <c r="B1497" s="245" t="s">
        <v>41</v>
      </c>
      <c r="C1497" s="245"/>
      <c r="D1497" s="245"/>
      <c r="E1497" s="207">
        <v>0</v>
      </c>
      <c r="F1497" s="208">
        <v>0</v>
      </c>
      <c r="G1497" s="207">
        <v>0</v>
      </c>
      <c r="H1497" s="208">
        <v>0</v>
      </c>
      <c r="I1497" s="207">
        <v>0</v>
      </c>
      <c r="J1497" s="208">
        <v>0</v>
      </c>
      <c r="K1497" s="207">
        <v>0</v>
      </c>
      <c r="L1497" s="208">
        <v>0</v>
      </c>
      <c r="M1497" s="207">
        <v>0</v>
      </c>
      <c r="N1497" s="208">
        <v>0</v>
      </c>
      <c r="O1497" s="207">
        <v>0</v>
      </c>
      <c r="P1497" s="208">
        <v>0</v>
      </c>
      <c r="Q1497" s="207">
        <v>0</v>
      </c>
      <c r="R1497" s="208">
        <v>0</v>
      </c>
      <c r="S1497" s="207">
        <v>0</v>
      </c>
      <c r="T1497" s="208">
        <v>0</v>
      </c>
      <c r="U1497" s="207">
        <v>0</v>
      </c>
      <c r="V1497" s="208">
        <v>1.9999999999999575E-3</v>
      </c>
      <c r="W1497" s="207">
        <v>7.1333333333333235E-2</v>
      </c>
      <c r="X1497" s="208">
        <v>0</v>
      </c>
      <c r="Y1497" s="207">
        <v>0</v>
      </c>
      <c r="Z1497" s="208">
        <v>0</v>
      </c>
      <c r="AA1497" s="207">
        <v>0</v>
      </c>
      <c r="AB1497" s="208">
        <v>0</v>
      </c>
      <c r="AC1497" s="238">
        <f t="shared" si="81"/>
        <v>7.3333333333333195E-2</v>
      </c>
      <c r="AD1497" s="238"/>
      <c r="AE1497" s="238"/>
    </row>
    <row r="1498" spans="2:31" x14ac:dyDescent="0.3">
      <c r="B1498" s="245" t="s">
        <v>42</v>
      </c>
      <c r="C1498" s="245"/>
      <c r="D1498" s="245"/>
      <c r="E1498" s="207">
        <v>0</v>
      </c>
      <c r="F1498" s="208">
        <v>0</v>
      </c>
      <c r="G1498" s="207">
        <v>0</v>
      </c>
      <c r="H1498" s="208">
        <v>0</v>
      </c>
      <c r="I1498" s="207">
        <v>0</v>
      </c>
      <c r="J1498" s="208">
        <v>0</v>
      </c>
      <c r="K1498" s="207">
        <v>0</v>
      </c>
      <c r="L1498" s="208">
        <v>0</v>
      </c>
      <c r="M1498" s="207">
        <v>0</v>
      </c>
      <c r="N1498" s="208">
        <v>0</v>
      </c>
      <c r="O1498" s="207">
        <v>0</v>
      </c>
      <c r="P1498" s="208">
        <v>0</v>
      </c>
      <c r="Q1498" s="207">
        <v>0</v>
      </c>
      <c r="R1498" s="208">
        <v>0</v>
      </c>
      <c r="S1498" s="207">
        <v>0</v>
      </c>
      <c r="T1498" s="208">
        <v>0</v>
      </c>
      <c r="U1498" s="207">
        <v>8.4538333333333338</v>
      </c>
      <c r="V1498" s="208">
        <v>2.7833333333333363E-2</v>
      </c>
      <c r="W1498" s="207">
        <v>10.01633333333333</v>
      </c>
      <c r="X1498" s="208">
        <v>0</v>
      </c>
      <c r="Y1498" s="207">
        <v>0</v>
      </c>
      <c r="Z1498" s="208">
        <v>0</v>
      </c>
      <c r="AA1498" s="207">
        <v>0</v>
      </c>
      <c r="AB1498" s="208">
        <v>0</v>
      </c>
      <c r="AC1498" s="238">
        <f t="shared" si="81"/>
        <v>18.497999999999998</v>
      </c>
      <c r="AD1498" s="238"/>
      <c r="AE1498" s="238"/>
    </row>
    <row r="1499" spans="2:31" x14ac:dyDescent="0.3">
      <c r="B1499" s="245" t="s">
        <v>43</v>
      </c>
      <c r="C1499" s="245"/>
      <c r="D1499" s="245"/>
      <c r="E1499" s="207">
        <v>0</v>
      </c>
      <c r="F1499" s="208">
        <v>0</v>
      </c>
      <c r="G1499" s="207">
        <v>0</v>
      </c>
      <c r="H1499" s="208">
        <v>0</v>
      </c>
      <c r="I1499" s="207">
        <v>0</v>
      </c>
      <c r="J1499" s="208">
        <v>0</v>
      </c>
      <c r="K1499" s="207">
        <v>0</v>
      </c>
      <c r="L1499" s="208">
        <v>0</v>
      </c>
      <c r="M1499" s="207">
        <v>0</v>
      </c>
      <c r="N1499" s="208">
        <v>0</v>
      </c>
      <c r="O1499" s="207">
        <v>0</v>
      </c>
      <c r="P1499" s="208">
        <v>4.1471666666666653</v>
      </c>
      <c r="Q1499" s="207">
        <v>7.6863333333333319</v>
      </c>
      <c r="R1499" s="208">
        <v>11.650000000000007</v>
      </c>
      <c r="S1499" s="207">
        <v>0</v>
      </c>
      <c r="T1499" s="208">
        <v>4.5278333333333274</v>
      </c>
      <c r="U1499" s="207">
        <v>14.105333333333332</v>
      </c>
      <c r="V1499" s="208">
        <v>12.43116666666668</v>
      </c>
      <c r="W1499" s="207">
        <v>6.7163333333333304</v>
      </c>
      <c r="X1499" s="208">
        <v>0</v>
      </c>
      <c r="Y1499" s="207">
        <v>0</v>
      </c>
      <c r="Z1499" s="208">
        <v>0</v>
      </c>
      <c r="AA1499" s="207">
        <v>0</v>
      </c>
      <c r="AB1499" s="208">
        <v>0</v>
      </c>
      <c r="AC1499" s="238">
        <f t="shared" si="81"/>
        <v>61.264166666666675</v>
      </c>
      <c r="AD1499" s="238"/>
      <c r="AE1499" s="238"/>
    </row>
    <row r="1500" spans="2:31" x14ac:dyDescent="0.3">
      <c r="B1500" s="245" t="s">
        <v>44</v>
      </c>
      <c r="C1500" s="245"/>
      <c r="D1500" s="245"/>
      <c r="E1500" s="207">
        <v>0</v>
      </c>
      <c r="F1500" s="208">
        <v>0</v>
      </c>
      <c r="G1500" s="207">
        <v>0</v>
      </c>
      <c r="H1500" s="208">
        <v>0</v>
      </c>
      <c r="I1500" s="207">
        <v>0</v>
      </c>
      <c r="J1500" s="208">
        <v>0</v>
      </c>
      <c r="K1500" s="207">
        <v>0</v>
      </c>
      <c r="L1500" s="208">
        <v>0</v>
      </c>
      <c r="M1500" s="207">
        <v>0</v>
      </c>
      <c r="N1500" s="208">
        <v>0</v>
      </c>
      <c r="O1500" s="207">
        <v>0</v>
      </c>
      <c r="P1500" s="208">
        <v>0</v>
      </c>
      <c r="Q1500" s="207">
        <v>0</v>
      </c>
      <c r="R1500" s="208">
        <v>0</v>
      </c>
      <c r="S1500" s="207">
        <v>0</v>
      </c>
      <c r="T1500" s="208">
        <v>0</v>
      </c>
      <c r="U1500" s="207">
        <v>0</v>
      </c>
      <c r="V1500" s="208">
        <v>7.1083333333333325</v>
      </c>
      <c r="W1500" s="207">
        <v>0.91416666666666657</v>
      </c>
      <c r="X1500" s="208">
        <v>0</v>
      </c>
      <c r="Y1500" s="207">
        <v>0</v>
      </c>
      <c r="Z1500" s="208">
        <v>0</v>
      </c>
      <c r="AA1500" s="207">
        <v>0</v>
      </c>
      <c r="AB1500" s="208">
        <v>0</v>
      </c>
      <c r="AC1500" s="238">
        <f t="shared" si="81"/>
        <v>8.0224999999999991</v>
      </c>
      <c r="AD1500" s="238"/>
      <c r="AE1500" s="238"/>
    </row>
    <row r="1501" spans="2:31" x14ac:dyDescent="0.3">
      <c r="B1501" s="245" t="s">
        <v>45</v>
      </c>
      <c r="C1501" s="245"/>
      <c r="D1501" s="245"/>
      <c r="E1501" s="207">
        <v>0</v>
      </c>
      <c r="F1501" s="208">
        <v>0</v>
      </c>
      <c r="G1501" s="207">
        <v>0</v>
      </c>
      <c r="H1501" s="208">
        <v>0</v>
      </c>
      <c r="I1501" s="207">
        <v>0</v>
      </c>
      <c r="J1501" s="208">
        <v>0</v>
      </c>
      <c r="K1501" s="207">
        <v>0</v>
      </c>
      <c r="L1501" s="208">
        <v>0</v>
      </c>
      <c r="M1501" s="207">
        <v>0</v>
      </c>
      <c r="N1501" s="208">
        <v>0</v>
      </c>
      <c r="O1501" s="207">
        <v>0</v>
      </c>
      <c r="P1501" s="208">
        <v>0</v>
      </c>
      <c r="Q1501" s="207">
        <v>0</v>
      </c>
      <c r="R1501" s="208">
        <v>8.9208333333333361</v>
      </c>
      <c r="S1501" s="207">
        <v>9.0949999999999989</v>
      </c>
      <c r="T1501" s="208">
        <v>7.6695000000000011</v>
      </c>
      <c r="U1501" s="207">
        <v>2.8400000000000025</v>
      </c>
      <c r="V1501" s="208">
        <v>2.9476666666666675</v>
      </c>
      <c r="W1501" s="207">
        <v>0</v>
      </c>
      <c r="X1501" s="208">
        <v>0</v>
      </c>
      <c r="Y1501" s="207">
        <v>0</v>
      </c>
      <c r="Z1501" s="208">
        <v>0</v>
      </c>
      <c r="AA1501" s="207">
        <v>0</v>
      </c>
      <c r="AB1501" s="208">
        <v>0</v>
      </c>
      <c r="AC1501" s="238">
        <f t="shared" si="81"/>
        <v>31.473000000000003</v>
      </c>
      <c r="AD1501" s="238"/>
      <c r="AE1501" s="238"/>
    </row>
    <row r="1502" spans="2:31" x14ac:dyDescent="0.3">
      <c r="B1502" s="245" t="s">
        <v>46</v>
      </c>
      <c r="C1502" s="245"/>
      <c r="D1502" s="245"/>
      <c r="E1502" s="207">
        <v>0</v>
      </c>
      <c r="F1502" s="208">
        <v>0</v>
      </c>
      <c r="G1502" s="207">
        <v>0</v>
      </c>
      <c r="H1502" s="208">
        <v>0</v>
      </c>
      <c r="I1502" s="207">
        <v>0</v>
      </c>
      <c r="J1502" s="208">
        <v>0</v>
      </c>
      <c r="K1502" s="207">
        <v>0</v>
      </c>
      <c r="L1502" s="208">
        <v>0</v>
      </c>
      <c r="M1502" s="207">
        <v>0</v>
      </c>
      <c r="N1502" s="208">
        <v>0</v>
      </c>
      <c r="O1502" s="207">
        <v>0</v>
      </c>
      <c r="P1502" s="208">
        <v>0</v>
      </c>
      <c r="Q1502" s="207">
        <v>0</v>
      </c>
      <c r="R1502" s="208">
        <v>0</v>
      </c>
      <c r="S1502" s="207">
        <v>0</v>
      </c>
      <c r="T1502" s="208">
        <v>0</v>
      </c>
      <c r="U1502" s="207">
        <v>0</v>
      </c>
      <c r="V1502" s="208">
        <v>0</v>
      </c>
      <c r="W1502" s="207">
        <v>0</v>
      </c>
      <c r="X1502" s="208">
        <v>3.3333333333333333E-2</v>
      </c>
      <c r="Y1502" s="207">
        <v>0</v>
      </c>
      <c r="Z1502" s="208">
        <v>0</v>
      </c>
      <c r="AA1502" s="207">
        <v>0</v>
      </c>
      <c r="AB1502" s="208">
        <v>0</v>
      </c>
      <c r="AC1502" s="238">
        <f t="shared" si="81"/>
        <v>3.3333333333333333E-2</v>
      </c>
      <c r="AD1502" s="238"/>
      <c r="AE1502" s="238"/>
    </row>
    <row r="1503" spans="2:31" x14ac:dyDescent="0.3">
      <c r="B1503" s="245" t="s">
        <v>47</v>
      </c>
      <c r="C1503" s="245"/>
      <c r="D1503" s="245"/>
      <c r="E1503" s="207">
        <v>0</v>
      </c>
      <c r="F1503" s="208">
        <v>0</v>
      </c>
      <c r="G1503" s="207">
        <v>0</v>
      </c>
      <c r="H1503" s="208">
        <v>0</v>
      </c>
      <c r="I1503" s="207">
        <v>0</v>
      </c>
      <c r="J1503" s="208">
        <v>0</v>
      </c>
      <c r="K1503" s="207">
        <v>0</v>
      </c>
      <c r="L1503" s="208">
        <v>0</v>
      </c>
      <c r="M1503" s="207">
        <v>0</v>
      </c>
      <c r="N1503" s="208">
        <v>0</v>
      </c>
      <c r="O1503" s="207">
        <v>0</v>
      </c>
      <c r="P1503" s="208">
        <v>0</v>
      </c>
      <c r="Q1503" s="207">
        <v>0</v>
      </c>
      <c r="R1503" s="208">
        <v>4.3419999999999961</v>
      </c>
      <c r="S1503" s="207">
        <v>5.3741666666666656</v>
      </c>
      <c r="T1503" s="208">
        <v>5.7200000000000069</v>
      </c>
      <c r="U1503" s="207">
        <v>5.419999999999999</v>
      </c>
      <c r="V1503" s="208">
        <v>0</v>
      </c>
      <c r="W1503" s="207">
        <v>8.0000000000000071E-3</v>
      </c>
      <c r="X1503" s="208">
        <v>0.13816666666666666</v>
      </c>
      <c r="Y1503" s="207">
        <v>0</v>
      </c>
      <c r="Z1503" s="208">
        <v>0</v>
      </c>
      <c r="AA1503" s="207">
        <v>0</v>
      </c>
      <c r="AB1503" s="208">
        <v>0</v>
      </c>
      <c r="AC1503" s="238">
        <f t="shared" si="81"/>
        <v>21.002333333333333</v>
      </c>
      <c r="AD1503" s="238"/>
      <c r="AE1503" s="238"/>
    </row>
    <row r="1504" spans="2:31" x14ac:dyDescent="0.3">
      <c r="B1504" s="245" t="s">
        <v>48</v>
      </c>
      <c r="C1504" s="245"/>
      <c r="D1504" s="245"/>
      <c r="E1504" s="207">
        <v>0</v>
      </c>
      <c r="F1504" s="208">
        <v>0</v>
      </c>
      <c r="G1504" s="207">
        <v>0</v>
      </c>
      <c r="H1504" s="208">
        <v>0</v>
      </c>
      <c r="I1504" s="207">
        <v>0</v>
      </c>
      <c r="J1504" s="208">
        <v>0</v>
      </c>
      <c r="K1504" s="207">
        <v>0</v>
      </c>
      <c r="L1504" s="208">
        <v>0</v>
      </c>
      <c r="M1504" s="207">
        <v>0</v>
      </c>
      <c r="N1504" s="208">
        <v>0</v>
      </c>
      <c r="O1504" s="207">
        <v>0</v>
      </c>
      <c r="P1504" s="208">
        <v>0</v>
      </c>
      <c r="Q1504" s="207">
        <v>0</v>
      </c>
      <c r="R1504" s="208">
        <v>4.0708333333333337</v>
      </c>
      <c r="S1504" s="207">
        <v>4.8430000000000026</v>
      </c>
      <c r="T1504" s="208">
        <v>5.0299999999999967</v>
      </c>
      <c r="U1504" s="207">
        <v>0</v>
      </c>
      <c r="V1504" s="208">
        <v>0</v>
      </c>
      <c r="W1504" s="207">
        <v>0.13416666666666691</v>
      </c>
      <c r="X1504" s="208">
        <v>0.10950000000000003</v>
      </c>
      <c r="Y1504" s="207">
        <v>0</v>
      </c>
      <c r="Z1504" s="208">
        <v>0</v>
      </c>
      <c r="AA1504" s="207">
        <v>0</v>
      </c>
      <c r="AB1504" s="208">
        <v>0</v>
      </c>
      <c r="AC1504" s="238">
        <f t="shared" si="81"/>
        <v>14.187500000000002</v>
      </c>
      <c r="AD1504" s="238"/>
      <c r="AE1504" s="238"/>
    </row>
    <row r="1505" spans="2:31" x14ac:dyDescent="0.3">
      <c r="B1505" s="245" t="s">
        <v>49</v>
      </c>
      <c r="C1505" s="245"/>
      <c r="D1505" s="245"/>
      <c r="E1505" s="207">
        <v>0</v>
      </c>
      <c r="F1505" s="208">
        <v>0</v>
      </c>
      <c r="G1505" s="207">
        <v>0</v>
      </c>
      <c r="H1505" s="208">
        <v>0</v>
      </c>
      <c r="I1505" s="207">
        <v>0</v>
      </c>
      <c r="J1505" s="208">
        <v>0</v>
      </c>
      <c r="K1505" s="207">
        <v>0</v>
      </c>
      <c r="L1505" s="208">
        <v>0</v>
      </c>
      <c r="M1505" s="207">
        <v>0</v>
      </c>
      <c r="N1505" s="208">
        <v>0</v>
      </c>
      <c r="O1505" s="207">
        <v>0</v>
      </c>
      <c r="P1505" s="208">
        <v>0</v>
      </c>
      <c r="Q1505" s="207">
        <v>0</v>
      </c>
      <c r="R1505" s="208">
        <v>0</v>
      </c>
      <c r="S1505" s="207">
        <v>0</v>
      </c>
      <c r="T1505" s="208">
        <v>0</v>
      </c>
      <c r="U1505" s="207">
        <v>0</v>
      </c>
      <c r="V1505" s="208">
        <v>0</v>
      </c>
      <c r="W1505" s="207">
        <v>0</v>
      </c>
      <c r="X1505" s="208">
        <v>0</v>
      </c>
      <c r="Y1505" s="207">
        <v>0</v>
      </c>
      <c r="Z1505" s="208">
        <v>0</v>
      </c>
      <c r="AA1505" s="207">
        <v>0</v>
      </c>
      <c r="AB1505" s="208">
        <v>0</v>
      </c>
      <c r="AC1505" s="238">
        <f t="shared" si="81"/>
        <v>0</v>
      </c>
      <c r="AD1505" s="238"/>
      <c r="AE1505" s="238"/>
    </row>
    <row r="1506" spans="2:31" x14ac:dyDescent="0.3">
      <c r="B1506" s="245" t="s">
        <v>50</v>
      </c>
      <c r="C1506" s="245"/>
      <c r="D1506" s="245"/>
      <c r="E1506" s="207">
        <v>0</v>
      </c>
      <c r="F1506" s="208">
        <v>0</v>
      </c>
      <c r="G1506" s="207">
        <v>0</v>
      </c>
      <c r="H1506" s="208">
        <v>0</v>
      </c>
      <c r="I1506" s="207">
        <v>0</v>
      </c>
      <c r="J1506" s="208">
        <v>0</v>
      </c>
      <c r="K1506" s="207">
        <v>0</v>
      </c>
      <c r="L1506" s="208">
        <v>0</v>
      </c>
      <c r="M1506" s="207">
        <v>0</v>
      </c>
      <c r="N1506" s="208">
        <v>0</v>
      </c>
      <c r="O1506" s="207">
        <v>0</v>
      </c>
      <c r="P1506" s="208">
        <v>0</v>
      </c>
      <c r="Q1506" s="207">
        <v>0</v>
      </c>
      <c r="R1506" s="208">
        <v>0</v>
      </c>
      <c r="S1506" s="207">
        <v>6.8715000000000019</v>
      </c>
      <c r="T1506" s="208">
        <v>7.18983333333333</v>
      </c>
      <c r="U1506" s="207">
        <v>2.9228333333333318</v>
      </c>
      <c r="V1506" s="208">
        <v>0</v>
      </c>
      <c r="W1506" s="207">
        <v>0.48083333333333395</v>
      </c>
      <c r="X1506" s="208">
        <v>0</v>
      </c>
      <c r="Y1506" s="207">
        <v>0</v>
      </c>
      <c r="Z1506" s="208">
        <v>0</v>
      </c>
      <c r="AA1506" s="207">
        <v>0</v>
      </c>
      <c r="AB1506" s="208">
        <v>0</v>
      </c>
      <c r="AC1506" s="238">
        <f t="shared" si="81"/>
        <v>17.464999999999996</v>
      </c>
      <c r="AD1506" s="238"/>
      <c r="AE1506" s="238"/>
    </row>
    <row r="1507" spans="2:31" x14ac:dyDescent="0.3">
      <c r="B1507" s="245" t="s">
        <v>97</v>
      </c>
      <c r="C1507" s="245"/>
      <c r="D1507" s="245"/>
      <c r="E1507" s="207">
        <v>0</v>
      </c>
      <c r="F1507" s="208">
        <v>0</v>
      </c>
      <c r="G1507" s="207">
        <v>0</v>
      </c>
      <c r="H1507" s="208">
        <v>0</v>
      </c>
      <c r="I1507" s="207">
        <v>0</v>
      </c>
      <c r="J1507" s="208">
        <v>0</v>
      </c>
      <c r="K1507" s="207">
        <v>0</v>
      </c>
      <c r="L1507" s="208">
        <v>0</v>
      </c>
      <c r="M1507" s="207">
        <v>0</v>
      </c>
      <c r="N1507" s="208">
        <v>0</v>
      </c>
      <c r="O1507" s="207">
        <v>0</v>
      </c>
      <c r="P1507" s="208">
        <v>0</v>
      </c>
      <c r="Q1507" s="207">
        <v>0</v>
      </c>
      <c r="R1507" s="208">
        <v>0</v>
      </c>
      <c r="S1507" s="207">
        <v>0</v>
      </c>
      <c r="T1507" s="208">
        <v>0</v>
      </c>
      <c r="U1507" s="207">
        <v>0</v>
      </c>
      <c r="V1507" s="208">
        <v>0</v>
      </c>
      <c r="W1507" s="207">
        <v>0</v>
      </c>
      <c r="X1507" s="208">
        <v>0</v>
      </c>
      <c r="Y1507" s="207">
        <v>0</v>
      </c>
      <c r="Z1507" s="208">
        <v>0</v>
      </c>
      <c r="AA1507" s="207">
        <v>0</v>
      </c>
      <c r="AB1507" s="208">
        <v>0</v>
      </c>
      <c r="AC1507" s="238">
        <f t="shared" si="81"/>
        <v>0</v>
      </c>
      <c r="AD1507" s="238"/>
      <c r="AE1507" s="238"/>
    </row>
    <row r="1508" spans="2:31" x14ac:dyDescent="0.3">
      <c r="B1508" s="245" t="s">
        <v>51</v>
      </c>
      <c r="C1508" s="245"/>
      <c r="D1508" s="245"/>
      <c r="E1508" s="207">
        <v>0</v>
      </c>
      <c r="F1508" s="208">
        <v>0</v>
      </c>
      <c r="G1508" s="207">
        <v>0</v>
      </c>
      <c r="H1508" s="208">
        <v>0</v>
      </c>
      <c r="I1508" s="207">
        <v>0</v>
      </c>
      <c r="J1508" s="208">
        <v>0</v>
      </c>
      <c r="K1508" s="207">
        <v>0</v>
      </c>
      <c r="L1508" s="208">
        <v>0</v>
      </c>
      <c r="M1508" s="207">
        <v>0</v>
      </c>
      <c r="N1508" s="208">
        <v>0</v>
      </c>
      <c r="O1508" s="207">
        <v>0</v>
      </c>
      <c r="P1508" s="208">
        <v>0</v>
      </c>
      <c r="Q1508" s="207">
        <v>0</v>
      </c>
      <c r="R1508" s="208">
        <v>0.82700000000000029</v>
      </c>
      <c r="S1508" s="207">
        <v>9.4201666666666668</v>
      </c>
      <c r="T1508" s="208">
        <v>13.321500000000007</v>
      </c>
      <c r="U1508" s="207">
        <v>13.261999999999999</v>
      </c>
      <c r="V1508" s="208">
        <v>11.174166666666673</v>
      </c>
      <c r="W1508" s="207">
        <v>5.2943333333333289</v>
      </c>
      <c r="X1508" s="208">
        <v>0</v>
      </c>
      <c r="Y1508" s="207">
        <v>0</v>
      </c>
      <c r="Z1508" s="208">
        <v>0</v>
      </c>
      <c r="AA1508" s="207">
        <v>0</v>
      </c>
      <c r="AB1508" s="208">
        <v>0</v>
      </c>
      <c r="AC1508" s="238">
        <f t="shared" si="81"/>
        <v>53.299166666666672</v>
      </c>
      <c r="AD1508" s="238"/>
      <c r="AE1508" s="238"/>
    </row>
    <row r="1509" spans="2:31" x14ac:dyDescent="0.3">
      <c r="B1509" s="245" t="s">
        <v>52</v>
      </c>
      <c r="C1509" s="245"/>
      <c r="D1509" s="245"/>
      <c r="E1509" s="207">
        <v>0</v>
      </c>
      <c r="F1509" s="208">
        <v>0</v>
      </c>
      <c r="G1509" s="207">
        <v>0</v>
      </c>
      <c r="H1509" s="208">
        <v>0</v>
      </c>
      <c r="I1509" s="207">
        <v>0</v>
      </c>
      <c r="J1509" s="208">
        <v>0</v>
      </c>
      <c r="K1509" s="207">
        <v>0</v>
      </c>
      <c r="L1509" s="208">
        <v>0</v>
      </c>
      <c r="M1509" s="207">
        <v>0</v>
      </c>
      <c r="N1509" s="208">
        <v>0</v>
      </c>
      <c r="O1509" s="207">
        <v>0</v>
      </c>
      <c r="P1509" s="208">
        <v>0</v>
      </c>
      <c r="Q1509" s="207">
        <v>0</v>
      </c>
      <c r="R1509" s="208">
        <v>0</v>
      </c>
      <c r="S1509" s="207">
        <v>0</v>
      </c>
      <c r="T1509" s="208">
        <v>0</v>
      </c>
      <c r="U1509" s="207">
        <v>0</v>
      </c>
      <c r="V1509" s="208">
        <v>0</v>
      </c>
      <c r="W1509" s="207">
        <v>0</v>
      </c>
      <c r="X1509" s="208">
        <v>0</v>
      </c>
      <c r="Y1509" s="207">
        <v>0</v>
      </c>
      <c r="Z1509" s="208">
        <v>0</v>
      </c>
      <c r="AA1509" s="207">
        <v>0</v>
      </c>
      <c r="AB1509" s="208">
        <v>0</v>
      </c>
      <c r="AC1509" s="238">
        <f t="shared" si="81"/>
        <v>0</v>
      </c>
      <c r="AD1509" s="238"/>
      <c r="AE1509" s="238"/>
    </row>
    <row r="1510" spans="2:31" x14ac:dyDescent="0.3">
      <c r="B1510" s="245" t="s">
        <v>53</v>
      </c>
      <c r="C1510" s="245"/>
      <c r="D1510" s="245"/>
      <c r="E1510" s="207">
        <v>0</v>
      </c>
      <c r="F1510" s="208">
        <v>0</v>
      </c>
      <c r="G1510" s="207">
        <v>0</v>
      </c>
      <c r="H1510" s="208">
        <v>0</v>
      </c>
      <c r="I1510" s="207">
        <v>0</v>
      </c>
      <c r="J1510" s="208">
        <v>0</v>
      </c>
      <c r="K1510" s="207">
        <v>0</v>
      </c>
      <c r="L1510" s="208">
        <v>0</v>
      </c>
      <c r="M1510" s="207">
        <v>0</v>
      </c>
      <c r="N1510" s="208">
        <v>0</v>
      </c>
      <c r="O1510" s="207">
        <v>0</v>
      </c>
      <c r="P1510" s="208">
        <v>0</v>
      </c>
      <c r="Q1510" s="207">
        <v>0</v>
      </c>
      <c r="R1510" s="208">
        <v>0.19566666666666682</v>
      </c>
      <c r="S1510" s="207">
        <v>0</v>
      </c>
      <c r="T1510" s="208">
        <v>0</v>
      </c>
      <c r="U1510" s="207">
        <v>0</v>
      </c>
      <c r="V1510" s="208">
        <v>0</v>
      </c>
      <c r="W1510" s="207">
        <v>0</v>
      </c>
      <c r="X1510" s="208">
        <v>0</v>
      </c>
      <c r="Y1510" s="207">
        <v>0</v>
      </c>
      <c r="Z1510" s="208">
        <v>0</v>
      </c>
      <c r="AA1510" s="207">
        <v>0</v>
      </c>
      <c r="AB1510" s="208">
        <v>0</v>
      </c>
      <c r="AC1510" s="238">
        <f t="shared" si="81"/>
        <v>0.19566666666666682</v>
      </c>
      <c r="AD1510" s="238"/>
      <c r="AE1510" s="238"/>
    </row>
    <row r="1511" spans="2:31" x14ac:dyDescent="0.3">
      <c r="B1511" s="245" t="s">
        <v>54</v>
      </c>
      <c r="C1511" s="245"/>
      <c r="D1511" s="245"/>
      <c r="E1511" s="207">
        <v>0</v>
      </c>
      <c r="F1511" s="208">
        <v>0</v>
      </c>
      <c r="G1511" s="207">
        <v>0</v>
      </c>
      <c r="H1511" s="208">
        <v>0</v>
      </c>
      <c r="I1511" s="207">
        <v>0</v>
      </c>
      <c r="J1511" s="208">
        <v>0</v>
      </c>
      <c r="K1511" s="207">
        <v>0</v>
      </c>
      <c r="L1511" s="208">
        <v>0</v>
      </c>
      <c r="M1511" s="207">
        <v>0</v>
      </c>
      <c r="N1511" s="208">
        <v>0</v>
      </c>
      <c r="O1511" s="207">
        <v>0</v>
      </c>
      <c r="P1511" s="208">
        <v>0</v>
      </c>
      <c r="Q1511" s="207">
        <v>0</v>
      </c>
      <c r="R1511" s="208">
        <v>0.77050000000000007</v>
      </c>
      <c r="S1511" s="207">
        <v>9.722333333333335</v>
      </c>
      <c r="T1511" s="208">
        <v>12.597833333333336</v>
      </c>
      <c r="U1511" s="207">
        <v>12.599000000000002</v>
      </c>
      <c r="V1511" s="208">
        <v>12.615833333333335</v>
      </c>
      <c r="W1511" s="207">
        <v>17.946833333333327</v>
      </c>
      <c r="X1511" s="208">
        <v>0</v>
      </c>
      <c r="Y1511" s="207">
        <v>0</v>
      </c>
      <c r="Z1511" s="208">
        <v>0</v>
      </c>
      <c r="AA1511" s="207">
        <v>0</v>
      </c>
      <c r="AB1511" s="208">
        <v>0</v>
      </c>
      <c r="AC1511" s="238">
        <f t="shared" si="81"/>
        <v>66.25233333333334</v>
      </c>
      <c r="AD1511" s="238"/>
      <c r="AE1511" s="238"/>
    </row>
    <row r="1512" spans="2:31" x14ac:dyDescent="0.3">
      <c r="B1512" s="245" t="s">
        <v>55</v>
      </c>
      <c r="C1512" s="245"/>
      <c r="D1512" s="245"/>
      <c r="E1512" s="207">
        <v>0</v>
      </c>
      <c r="F1512" s="208">
        <v>0</v>
      </c>
      <c r="G1512" s="207">
        <v>0</v>
      </c>
      <c r="H1512" s="208">
        <v>0</v>
      </c>
      <c r="I1512" s="207">
        <v>0</v>
      </c>
      <c r="J1512" s="208">
        <v>0</v>
      </c>
      <c r="K1512" s="207">
        <v>0</v>
      </c>
      <c r="L1512" s="208">
        <v>0</v>
      </c>
      <c r="M1512" s="207">
        <v>0</v>
      </c>
      <c r="N1512" s="208">
        <v>0</v>
      </c>
      <c r="O1512" s="207">
        <v>0</v>
      </c>
      <c r="P1512" s="208">
        <v>0</v>
      </c>
      <c r="Q1512" s="207">
        <v>0</v>
      </c>
      <c r="R1512" s="208">
        <v>1.7955000000000014</v>
      </c>
      <c r="S1512" s="207">
        <v>18.634166666666658</v>
      </c>
      <c r="T1512" s="208">
        <v>21.730000000000011</v>
      </c>
      <c r="U1512" s="207">
        <v>19.830000000000002</v>
      </c>
      <c r="V1512" s="208">
        <v>17.961833333333335</v>
      </c>
      <c r="W1512" s="207">
        <v>5.0806666666666631</v>
      </c>
      <c r="X1512" s="208">
        <v>0</v>
      </c>
      <c r="Y1512" s="207">
        <v>0</v>
      </c>
      <c r="Z1512" s="208">
        <v>0</v>
      </c>
      <c r="AA1512" s="207">
        <v>0</v>
      </c>
      <c r="AB1512" s="208">
        <v>0</v>
      </c>
      <c r="AC1512" s="238">
        <f t="shared" si="81"/>
        <v>85.032166666666654</v>
      </c>
      <c r="AD1512" s="238"/>
      <c r="AE1512" s="238"/>
    </row>
    <row r="1513" spans="2:31" x14ac:dyDescent="0.3">
      <c r="B1513" s="245" t="s">
        <v>56</v>
      </c>
      <c r="C1513" s="245"/>
      <c r="D1513" s="245"/>
      <c r="E1513" s="207">
        <v>0</v>
      </c>
      <c r="F1513" s="208">
        <v>0</v>
      </c>
      <c r="G1513" s="207">
        <v>0</v>
      </c>
      <c r="H1513" s="208">
        <v>0</v>
      </c>
      <c r="I1513" s="207">
        <v>0</v>
      </c>
      <c r="J1513" s="208">
        <v>0</v>
      </c>
      <c r="K1513" s="207">
        <v>0</v>
      </c>
      <c r="L1513" s="208">
        <v>0</v>
      </c>
      <c r="M1513" s="207">
        <v>0</v>
      </c>
      <c r="N1513" s="208">
        <v>0</v>
      </c>
      <c r="O1513" s="207">
        <v>0</v>
      </c>
      <c r="P1513" s="208">
        <v>0</v>
      </c>
      <c r="Q1513" s="207">
        <v>0</v>
      </c>
      <c r="R1513" s="208">
        <v>0</v>
      </c>
      <c r="S1513" s="207">
        <v>0.86366666666666936</v>
      </c>
      <c r="T1513" s="208">
        <v>2.9638333333333313</v>
      </c>
      <c r="U1513" s="207">
        <v>2.4068333333333309</v>
      </c>
      <c r="V1513" s="208">
        <v>0.88216666666666954</v>
      </c>
      <c r="W1513" s="207">
        <v>0.88616666666666677</v>
      </c>
      <c r="X1513" s="208">
        <v>0</v>
      </c>
      <c r="Y1513" s="207">
        <v>0</v>
      </c>
      <c r="Z1513" s="208">
        <v>0</v>
      </c>
      <c r="AA1513" s="207">
        <v>0</v>
      </c>
      <c r="AB1513" s="208">
        <v>0</v>
      </c>
      <c r="AC1513" s="238">
        <f t="shared" si="81"/>
        <v>8.0026666666666681</v>
      </c>
      <c r="AD1513" s="238"/>
      <c r="AE1513" s="238"/>
    </row>
    <row r="1514" spans="2:31" x14ac:dyDescent="0.3">
      <c r="B1514" s="245" t="s">
        <v>94</v>
      </c>
      <c r="C1514" s="245"/>
      <c r="D1514" s="245"/>
      <c r="E1514" s="207">
        <v>0</v>
      </c>
      <c r="F1514" s="208">
        <v>0</v>
      </c>
      <c r="G1514" s="207">
        <v>0</v>
      </c>
      <c r="H1514" s="208">
        <v>0</v>
      </c>
      <c r="I1514" s="207">
        <v>0</v>
      </c>
      <c r="J1514" s="208">
        <v>0</v>
      </c>
      <c r="K1514" s="207">
        <v>0</v>
      </c>
      <c r="L1514" s="208">
        <v>0</v>
      </c>
      <c r="M1514" s="207">
        <v>0</v>
      </c>
      <c r="N1514" s="208">
        <v>0</v>
      </c>
      <c r="O1514" s="207">
        <v>0</v>
      </c>
      <c r="P1514" s="208">
        <v>0</v>
      </c>
      <c r="Q1514" s="207">
        <v>0</v>
      </c>
      <c r="R1514" s="208">
        <v>0</v>
      </c>
      <c r="S1514" s="207">
        <v>0</v>
      </c>
      <c r="T1514" s="208">
        <v>0</v>
      </c>
      <c r="U1514" s="207">
        <v>0</v>
      </c>
      <c r="V1514" s="208">
        <v>0</v>
      </c>
      <c r="W1514" s="207">
        <v>0</v>
      </c>
      <c r="X1514" s="208">
        <v>0</v>
      </c>
      <c r="Y1514" s="207">
        <v>0</v>
      </c>
      <c r="Z1514" s="208">
        <v>0</v>
      </c>
      <c r="AA1514" s="207">
        <v>0</v>
      </c>
      <c r="AB1514" s="208">
        <v>0</v>
      </c>
      <c r="AC1514" s="238">
        <f t="shared" si="81"/>
        <v>0</v>
      </c>
      <c r="AD1514" s="238"/>
      <c r="AE1514" s="238"/>
    </row>
    <row r="1515" spans="2:31" x14ac:dyDescent="0.3">
      <c r="B1515" s="245" t="s">
        <v>57</v>
      </c>
      <c r="C1515" s="245"/>
      <c r="D1515" s="245"/>
      <c r="E1515" s="207">
        <v>0</v>
      </c>
      <c r="F1515" s="208">
        <v>0</v>
      </c>
      <c r="G1515" s="207">
        <v>0</v>
      </c>
      <c r="H1515" s="208">
        <v>0</v>
      </c>
      <c r="I1515" s="207">
        <v>0</v>
      </c>
      <c r="J1515" s="208">
        <v>0</v>
      </c>
      <c r="K1515" s="207">
        <v>0</v>
      </c>
      <c r="L1515" s="208">
        <v>0</v>
      </c>
      <c r="M1515" s="207">
        <v>0</v>
      </c>
      <c r="N1515" s="208">
        <v>0</v>
      </c>
      <c r="O1515" s="207">
        <v>0</v>
      </c>
      <c r="P1515" s="208">
        <v>0</v>
      </c>
      <c r="Q1515" s="207">
        <v>0</v>
      </c>
      <c r="R1515" s="208">
        <v>0.19916666666666646</v>
      </c>
      <c r="S1515" s="207">
        <v>4.2363333333333335</v>
      </c>
      <c r="T1515" s="208">
        <v>4.8831666666666642</v>
      </c>
      <c r="U1515" s="207">
        <v>4.8076666666666705</v>
      </c>
      <c r="V1515" s="208">
        <v>4.611666666666669</v>
      </c>
      <c r="W1515" s="207">
        <v>1.3198333333333339</v>
      </c>
      <c r="X1515" s="208">
        <v>0</v>
      </c>
      <c r="Y1515" s="207">
        <v>0</v>
      </c>
      <c r="Z1515" s="208">
        <v>0</v>
      </c>
      <c r="AA1515" s="207">
        <v>0</v>
      </c>
      <c r="AB1515" s="208">
        <v>0</v>
      </c>
      <c r="AC1515" s="238">
        <f t="shared" si="81"/>
        <v>20.057833333333338</v>
      </c>
      <c r="AD1515" s="238"/>
      <c r="AE1515" s="238"/>
    </row>
    <row r="1516" spans="2:31" x14ac:dyDescent="0.3">
      <c r="B1516" s="245" t="s">
        <v>58</v>
      </c>
      <c r="C1516" s="245"/>
      <c r="D1516" s="245"/>
      <c r="E1516" s="207">
        <v>0</v>
      </c>
      <c r="F1516" s="208">
        <v>0</v>
      </c>
      <c r="G1516" s="207">
        <v>0</v>
      </c>
      <c r="H1516" s="208">
        <v>0</v>
      </c>
      <c r="I1516" s="207">
        <v>0</v>
      </c>
      <c r="J1516" s="208">
        <v>0</v>
      </c>
      <c r="K1516" s="207">
        <v>0</v>
      </c>
      <c r="L1516" s="208">
        <v>0</v>
      </c>
      <c r="M1516" s="207">
        <v>0</v>
      </c>
      <c r="N1516" s="208">
        <v>0</v>
      </c>
      <c r="O1516" s="207">
        <v>0</v>
      </c>
      <c r="P1516" s="208">
        <v>0</v>
      </c>
      <c r="Q1516" s="207">
        <v>0</v>
      </c>
      <c r="R1516" s="208">
        <v>0</v>
      </c>
      <c r="S1516" s="207">
        <v>0.81399999999999961</v>
      </c>
      <c r="T1516" s="208">
        <v>2.019999999999996</v>
      </c>
      <c r="U1516" s="207">
        <v>1.8200000000000074</v>
      </c>
      <c r="V1516" s="208">
        <v>1.1200000000000045</v>
      </c>
      <c r="W1516" s="207">
        <v>5.0333333333333147E-2</v>
      </c>
      <c r="X1516" s="208">
        <v>0</v>
      </c>
      <c r="Y1516" s="207">
        <v>0</v>
      </c>
      <c r="Z1516" s="208">
        <v>0</v>
      </c>
      <c r="AA1516" s="207">
        <v>0</v>
      </c>
      <c r="AB1516" s="208">
        <v>0</v>
      </c>
      <c r="AC1516" s="238">
        <f t="shared" si="81"/>
        <v>5.8243333333333416</v>
      </c>
      <c r="AD1516" s="238"/>
      <c r="AE1516" s="238"/>
    </row>
    <row r="1517" spans="2:31" x14ac:dyDescent="0.3">
      <c r="B1517" s="245" t="s">
        <v>95</v>
      </c>
      <c r="C1517" s="245"/>
      <c r="D1517" s="245"/>
      <c r="E1517" s="207">
        <v>0</v>
      </c>
      <c r="F1517" s="208">
        <v>0</v>
      </c>
      <c r="G1517" s="207">
        <v>0</v>
      </c>
      <c r="H1517" s="208">
        <v>0</v>
      </c>
      <c r="I1517" s="207">
        <v>0</v>
      </c>
      <c r="J1517" s="208">
        <v>0</v>
      </c>
      <c r="K1517" s="207">
        <v>0</v>
      </c>
      <c r="L1517" s="208">
        <v>0</v>
      </c>
      <c r="M1517" s="207">
        <v>0</v>
      </c>
      <c r="N1517" s="208">
        <v>0</v>
      </c>
      <c r="O1517" s="207">
        <v>0</v>
      </c>
      <c r="P1517" s="208">
        <v>0</v>
      </c>
      <c r="Q1517" s="207">
        <v>0</v>
      </c>
      <c r="R1517" s="208">
        <v>0</v>
      </c>
      <c r="S1517" s="207">
        <v>0</v>
      </c>
      <c r="T1517" s="208">
        <v>0</v>
      </c>
      <c r="U1517" s="207">
        <v>0</v>
      </c>
      <c r="V1517" s="208">
        <v>0</v>
      </c>
      <c r="W1517" s="207">
        <v>0</v>
      </c>
      <c r="X1517" s="208">
        <v>0</v>
      </c>
      <c r="Y1517" s="207">
        <v>0</v>
      </c>
      <c r="Z1517" s="208">
        <v>0</v>
      </c>
      <c r="AA1517" s="207">
        <v>0</v>
      </c>
      <c r="AB1517" s="208">
        <v>0</v>
      </c>
      <c r="AC1517" s="238">
        <f t="shared" si="81"/>
        <v>0</v>
      </c>
      <c r="AD1517" s="238"/>
      <c r="AE1517" s="238"/>
    </row>
    <row r="1518" spans="2:31" x14ac:dyDescent="0.3">
      <c r="B1518" s="245" t="s">
        <v>59</v>
      </c>
      <c r="C1518" s="245"/>
      <c r="D1518" s="245"/>
      <c r="E1518" s="207">
        <v>0</v>
      </c>
      <c r="F1518" s="208">
        <v>0</v>
      </c>
      <c r="G1518" s="207">
        <v>0</v>
      </c>
      <c r="H1518" s="208">
        <v>0</v>
      </c>
      <c r="I1518" s="207">
        <v>0</v>
      </c>
      <c r="J1518" s="208">
        <v>0</v>
      </c>
      <c r="K1518" s="207">
        <v>0</v>
      </c>
      <c r="L1518" s="208">
        <v>0</v>
      </c>
      <c r="M1518" s="207">
        <v>0</v>
      </c>
      <c r="N1518" s="208">
        <v>0</v>
      </c>
      <c r="O1518" s="207">
        <v>0</v>
      </c>
      <c r="P1518" s="208">
        <v>0</v>
      </c>
      <c r="Q1518" s="207">
        <v>0</v>
      </c>
      <c r="R1518" s="208">
        <v>2.4549999999999996</v>
      </c>
      <c r="S1518" s="207">
        <v>17.660833333333319</v>
      </c>
      <c r="T1518" s="208">
        <v>18.744833333333339</v>
      </c>
      <c r="U1518" s="207">
        <v>8.3435000000000006</v>
      </c>
      <c r="V1518" s="208">
        <v>16.876166666666666</v>
      </c>
      <c r="W1518" s="207">
        <v>9.4170000000000069</v>
      </c>
      <c r="X1518" s="208">
        <v>0</v>
      </c>
      <c r="Y1518" s="207">
        <v>0</v>
      </c>
      <c r="Z1518" s="208">
        <v>0</v>
      </c>
      <c r="AA1518" s="207">
        <v>0</v>
      </c>
      <c r="AB1518" s="208">
        <v>0</v>
      </c>
      <c r="AC1518" s="238">
        <f t="shared" si="81"/>
        <v>73.49733333333333</v>
      </c>
      <c r="AD1518" s="238"/>
      <c r="AE1518" s="238"/>
    </row>
    <row r="1519" spans="2:31" x14ac:dyDescent="0.3">
      <c r="B1519" s="245" t="s">
        <v>60</v>
      </c>
      <c r="C1519" s="245"/>
      <c r="D1519" s="245"/>
      <c r="E1519" s="207">
        <v>0</v>
      </c>
      <c r="F1519" s="208">
        <v>0</v>
      </c>
      <c r="G1519" s="207">
        <v>0</v>
      </c>
      <c r="H1519" s="208">
        <v>0</v>
      </c>
      <c r="I1519" s="207">
        <v>0</v>
      </c>
      <c r="J1519" s="208">
        <v>0</v>
      </c>
      <c r="K1519" s="207">
        <v>0</v>
      </c>
      <c r="L1519" s="208">
        <v>0</v>
      </c>
      <c r="M1519" s="207">
        <v>0</v>
      </c>
      <c r="N1519" s="208">
        <v>0</v>
      </c>
      <c r="O1519" s="207">
        <v>0</v>
      </c>
      <c r="P1519" s="208">
        <v>0</v>
      </c>
      <c r="Q1519" s="207">
        <v>0</v>
      </c>
      <c r="R1519" s="208">
        <v>0.219</v>
      </c>
      <c r="S1519" s="207">
        <v>4.019499999999999</v>
      </c>
      <c r="T1519" s="208">
        <v>6.5623333333333358</v>
      </c>
      <c r="U1519" s="207">
        <v>6.5239999999999929</v>
      </c>
      <c r="V1519" s="208">
        <v>5.7351666666666814</v>
      </c>
      <c r="W1519" s="207">
        <v>0</v>
      </c>
      <c r="X1519" s="208">
        <v>0</v>
      </c>
      <c r="Y1519" s="207">
        <v>0</v>
      </c>
      <c r="Z1519" s="208">
        <v>0</v>
      </c>
      <c r="AA1519" s="207">
        <v>0</v>
      </c>
      <c r="AB1519" s="208">
        <v>0</v>
      </c>
      <c r="AC1519" s="238">
        <f t="shared" si="81"/>
        <v>23.060000000000009</v>
      </c>
      <c r="AD1519" s="238"/>
      <c r="AE1519" s="238"/>
    </row>
    <row r="1520" spans="2:31" x14ac:dyDescent="0.3">
      <c r="B1520" s="245" t="s">
        <v>61</v>
      </c>
      <c r="C1520" s="245"/>
      <c r="D1520" s="245"/>
      <c r="E1520" s="207">
        <v>0</v>
      </c>
      <c r="F1520" s="208">
        <v>0</v>
      </c>
      <c r="G1520" s="207">
        <v>0</v>
      </c>
      <c r="H1520" s="208">
        <v>0</v>
      </c>
      <c r="I1520" s="207">
        <v>0</v>
      </c>
      <c r="J1520" s="208">
        <v>0</v>
      </c>
      <c r="K1520" s="207">
        <v>0</v>
      </c>
      <c r="L1520" s="208">
        <v>0</v>
      </c>
      <c r="M1520" s="207">
        <v>0</v>
      </c>
      <c r="N1520" s="208">
        <v>0</v>
      </c>
      <c r="O1520" s="207">
        <v>0</v>
      </c>
      <c r="P1520" s="208">
        <v>0</v>
      </c>
      <c r="Q1520" s="207">
        <v>0</v>
      </c>
      <c r="R1520" s="208">
        <v>0</v>
      </c>
      <c r="S1520" s="207">
        <v>1.1821666666666666</v>
      </c>
      <c r="T1520" s="208">
        <v>0.62866666666666071</v>
      </c>
      <c r="U1520" s="207">
        <v>0</v>
      </c>
      <c r="V1520" s="208">
        <v>2.3333333333333426E-3</v>
      </c>
      <c r="W1520" s="207">
        <v>6.433333333333309E-2</v>
      </c>
      <c r="X1520" s="208">
        <v>0</v>
      </c>
      <c r="Y1520" s="207">
        <v>0</v>
      </c>
      <c r="Z1520" s="208">
        <v>0</v>
      </c>
      <c r="AA1520" s="207">
        <v>0</v>
      </c>
      <c r="AB1520" s="208">
        <v>0</v>
      </c>
      <c r="AC1520" s="238">
        <f t="shared" si="81"/>
        <v>1.8774999999999937</v>
      </c>
      <c r="AD1520" s="238"/>
      <c r="AE1520" s="238"/>
    </row>
    <row r="1521" spans="2:31" x14ac:dyDescent="0.3">
      <c r="B1521" s="245" t="s">
        <v>62</v>
      </c>
      <c r="C1521" s="245"/>
      <c r="D1521" s="245"/>
      <c r="E1521" s="207">
        <v>0</v>
      </c>
      <c r="F1521" s="208">
        <v>0</v>
      </c>
      <c r="G1521" s="207">
        <v>0</v>
      </c>
      <c r="H1521" s="208">
        <v>0</v>
      </c>
      <c r="I1521" s="207">
        <v>0</v>
      </c>
      <c r="J1521" s="208">
        <v>0</v>
      </c>
      <c r="K1521" s="207">
        <v>0</v>
      </c>
      <c r="L1521" s="208">
        <v>0</v>
      </c>
      <c r="M1521" s="207">
        <v>0</v>
      </c>
      <c r="N1521" s="208">
        <v>0</v>
      </c>
      <c r="O1521" s="207">
        <v>0</v>
      </c>
      <c r="P1521" s="208">
        <v>0</v>
      </c>
      <c r="Q1521" s="207">
        <v>0</v>
      </c>
      <c r="R1521" s="208">
        <v>0</v>
      </c>
      <c r="S1521" s="207">
        <v>2.0375000000000019</v>
      </c>
      <c r="T1521" s="208">
        <v>3.0789999999999984</v>
      </c>
      <c r="U1521" s="207">
        <v>2.3058333333333336</v>
      </c>
      <c r="V1521" s="208">
        <v>0.97883333333333644</v>
      </c>
      <c r="W1521" s="207">
        <v>0</v>
      </c>
      <c r="X1521" s="208">
        <v>0</v>
      </c>
      <c r="Y1521" s="207">
        <v>0</v>
      </c>
      <c r="Z1521" s="208">
        <v>0</v>
      </c>
      <c r="AA1521" s="207">
        <v>0</v>
      </c>
      <c r="AB1521" s="208">
        <v>0</v>
      </c>
      <c r="AC1521" s="238">
        <f t="shared" si="81"/>
        <v>8.4011666666666702</v>
      </c>
      <c r="AD1521" s="238"/>
      <c r="AE1521" s="238"/>
    </row>
    <row r="1522" spans="2:31" x14ac:dyDescent="0.3">
      <c r="B1522" s="245" t="s">
        <v>63</v>
      </c>
      <c r="C1522" s="245"/>
      <c r="D1522" s="245"/>
      <c r="E1522" s="207">
        <v>0</v>
      </c>
      <c r="F1522" s="208">
        <v>0</v>
      </c>
      <c r="G1522" s="207">
        <v>0</v>
      </c>
      <c r="H1522" s="208">
        <v>0</v>
      </c>
      <c r="I1522" s="207">
        <v>0</v>
      </c>
      <c r="J1522" s="208">
        <v>0</v>
      </c>
      <c r="K1522" s="207">
        <v>0</v>
      </c>
      <c r="L1522" s="208">
        <v>0</v>
      </c>
      <c r="M1522" s="207">
        <v>0</v>
      </c>
      <c r="N1522" s="208">
        <v>0</v>
      </c>
      <c r="O1522" s="207">
        <v>0</v>
      </c>
      <c r="P1522" s="208">
        <v>0</v>
      </c>
      <c r="Q1522" s="207">
        <v>0</v>
      </c>
      <c r="R1522" s="208">
        <v>0</v>
      </c>
      <c r="S1522" s="207">
        <v>3.4834999999999954</v>
      </c>
      <c r="T1522" s="208">
        <v>7.9061666666666701</v>
      </c>
      <c r="U1522" s="207">
        <v>9.3544999999999892</v>
      </c>
      <c r="V1522" s="208">
        <v>7.738999999999999</v>
      </c>
      <c r="W1522" s="207">
        <v>3.6286666666666609</v>
      </c>
      <c r="X1522" s="208">
        <v>0</v>
      </c>
      <c r="Y1522" s="207">
        <v>0</v>
      </c>
      <c r="Z1522" s="208">
        <v>0</v>
      </c>
      <c r="AA1522" s="207">
        <v>0</v>
      </c>
      <c r="AB1522" s="208">
        <v>0</v>
      </c>
      <c r="AC1522" s="238">
        <f t="shared" si="81"/>
        <v>32.111833333333315</v>
      </c>
      <c r="AD1522" s="238"/>
      <c r="AE1522" s="238"/>
    </row>
    <row r="1523" spans="2:31" x14ac:dyDescent="0.3">
      <c r="B1523" s="245" t="s">
        <v>64</v>
      </c>
      <c r="C1523" s="245"/>
      <c r="D1523" s="245"/>
      <c r="E1523" s="207">
        <v>0</v>
      </c>
      <c r="F1523" s="208">
        <v>0</v>
      </c>
      <c r="G1523" s="207">
        <v>0</v>
      </c>
      <c r="H1523" s="208">
        <v>0</v>
      </c>
      <c r="I1523" s="207">
        <v>0</v>
      </c>
      <c r="J1523" s="208">
        <v>0</v>
      </c>
      <c r="K1523" s="207">
        <v>0</v>
      </c>
      <c r="L1523" s="208">
        <v>0</v>
      </c>
      <c r="M1523" s="207">
        <v>0</v>
      </c>
      <c r="N1523" s="208">
        <v>0</v>
      </c>
      <c r="O1523" s="207">
        <v>0</v>
      </c>
      <c r="P1523" s="208">
        <v>0</v>
      </c>
      <c r="Q1523" s="207">
        <v>0</v>
      </c>
      <c r="R1523" s="208">
        <v>0</v>
      </c>
      <c r="S1523" s="207">
        <v>1.3593333333333335</v>
      </c>
      <c r="T1523" s="208">
        <v>2.7450000000000019</v>
      </c>
      <c r="U1523" s="207">
        <v>4.349999999999997</v>
      </c>
      <c r="V1523" s="208">
        <v>3.2554999999999952</v>
      </c>
      <c r="W1523" s="207">
        <v>0.13999999999999985</v>
      </c>
      <c r="X1523" s="208">
        <v>0</v>
      </c>
      <c r="Y1523" s="207">
        <v>0</v>
      </c>
      <c r="Z1523" s="208">
        <v>0</v>
      </c>
      <c r="AA1523" s="207">
        <v>0</v>
      </c>
      <c r="AB1523" s="208">
        <v>0</v>
      </c>
      <c r="AC1523" s="238">
        <f t="shared" si="81"/>
        <v>11.849833333333329</v>
      </c>
      <c r="AD1523" s="238"/>
      <c r="AE1523" s="238"/>
    </row>
    <row r="1524" spans="2:31" x14ac:dyDescent="0.3">
      <c r="B1524" s="245" t="s">
        <v>96</v>
      </c>
      <c r="C1524" s="245"/>
      <c r="D1524" s="245"/>
      <c r="E1524" s="207">
        <v>0</v>
      </c>
      <c r="F1524" s="208">
        <v>0</v>
      </c>
      <c r="G1524" s="207">
        <v>0</v>
      </c>
      <c r="H1524" s="208">
        <v>0</v>
      </c>
      <c r="I1524" s="207">
        <v>0</v>
      </c>
      <c r="J1524" s="208">
        <v>0</v>
      </c>
      <c r="K1524" s="207">
        <v>0</v>
      </c>
      <c r="L1524" s="208">
        <v>0</v>
      </c>
      <c r="M1524" s="207">
        <v>0</v>
      </c>
      <c r="N1524" s="208">
        <v>0</v>
      </c>
      <c r="O1524" s="207">
        <v>0</v>
      </c>
      <c r="P1524" s="208">
        <v>0</v>
      </c>
      <c r="Q1524" s="207">
        <v>0</v>
      </c>
      <c r="R1524" s="208">
        <v>0</v>
      </c>
      <c r="S1524" s="207">
        <v>0</v>
      </c>
      <c r="T1524" s="208">
        <v>0</v>
      </c>
      <c r="U1524" s="207">
        <v>0</v>
      </c>
      <c r="V1524" s="208">
        <v>0</v>
      </c>
      <c r="W1524" s="207">
        <v>0</v>
      </c>
      <c r="X1524" s="208">
        <v>0</v>
      </c>
      <c r="Y1524" s="207">
        <v>0</v>
      </c>
      <c r="Z1524" s="208">
        <v>0</v>
      </c>
      <c r="AA1524" s="207">
        <v>0</v>
      </c>
      <c r="AB1524" s="208">
        <v>0</v>
      </c>
      <c r="AC1524" s="238">
        <f t="shared" si="81"/>
        <v>0</v>
      </c>
      <c r="AD1524" s="238"/>
      <c r="AE1524" s="238"/>
    </row>
    <row r="1525" spans="2:31" x14ac:dyDescent="0.3">
      <c r="B1525" s="245" t="s">
        <v>65</v>
      </c>
      <c r="C1525" s="245"/>
      <c r="D1525" s="245"/>
      <c r="E1525" s="207">
        <v>0</v>
      </c>
      <c r="F1525" s="208">
        <v>0</v>
      </c>
      <c r="G1525" s="207">
        <v>0</v>
      </c>
      <c r="H1525" s="208">
        <v>0</v>
      </c>
      <c r="I1525" s="207">
        <v>0</v>
      </c>
      <c r="J1525" s="208">
        <v>0</v>
      </c>
      <c r="K1525" s="207">
        <v>0</v>
      </c>
      <c r="L1525" s="208">
        <v>0</v>
      </c>
      <c r="M1525" s="207">
        <v>0</v>
      </c>
      <c r="N1525" s="208">
        <v>0</v>
      </c>
      <c r="O1525" s="207">
        <v>0</v>
      </c>
      <c r="P1525" s="208">
        <v>0</v>
      </c>
      <c r="Q1525" s="207">
        <v>0</v>
      </c>
      <c r="R1525" s="208">
        <v>0.23450000000000024</v>
      </c>
      <c r="S1525" s="207">
        <v>2.5443333333333338</v>
      </c>
      <c r="T1525" s="208">
        <v>3.2293333333333361</v>
      </c>
      <c r="U1525" s="207">
        <v>2.5900000000000012</v>
      </c>
      <c r="V1525" s="208">
        <v>0.94400000000000006</v>
      </c>
      <c r="W1525" s="207">
        <v>0.60916666666666619</v>
      </c>
      <c r="X1525" s="208">
        <v>0</v>
      </c>
      <c r="Y1525" s="207">
        <v>0</v>
      </c>
      <c r="Z1525" s="208">
        <v>0</v>
      </c>
      <c r="AA1525" s="207">
        <v>0</v>
      </c>
      <c r="AB1525" s="208">
        <v>0</v>
      </c>
      <c r="AC1525" s="238">
        <f t="shared" si="81"/>
        <v>10.151333333333339</v>
      </c>
      <c r="AD1525" s="238"/>
      <c r="AE1525" s="238"/>
    </row>
    <row r="1526" spans="2:31" x14ac:dyDescent="0.3">
      <c r="B1526" s="245" t="s">
        <v>66</v>
      </c>
      <c r="C1526" s="245"/>
      <c r="D1526" s="245"/>
      <c r="E1526" s="207">
        <v>0</v>
      </c>
      <c r="F1526" s="208">
        <v>0</v>
      </c>
      <c r="G1526" s="207">
        <v>0</v>
      </c>
      <c r="H1526" s="208">
        <v>0</v>
      </c>
      <c r="I1526" s="207">
        <v>0</v>
      </c>
      <c r="J1526" s="208">
        <v>0</v>
      </c>
      <c r="K1526" s="207">
        <v>0</v>
      </c>
      <c r="L1526" s="208">
        <v>0</v>
      </c>
      <c r="M1526" s="207">
        <v>0</v>
      </c>
      <c r="N1526" s="208">
        <v>0</v>
      </c>
      <c r="O1526" s="207">
        <v>0</v>
      </c>
      <c r="P1526" s="208">
        <v>0</v>
      </c>
      <c r="Q1526" s="207">
        <v>0</v>
      </c>
      <c r="R1526" s="208">
        <v>0.83200000000000041</v>
      </c>
      <c r="S1526" s="207">
        <v>6.5581666666666658</v>
      </c>
      <c r="T1526" s="208">
        <v>7.0449999999999999</v>
      </c>
      <c r="U1526" s="207">
        <v>5.8695000000000022</v>
      </c>
      <c r="V1526" s="208">
        <v>4.5363333333333316</v>
      </c>
      <c r="W1526" s="207">
        <v>6.8666666666667098E-2</v>
      </c>
      <c r="X1526" s="208">
        <v>0</v>
      </c>
      <c r="Y1526" s="207">
        <v>0</v>
      </c>
      <c r="Z1526" s="208">
        <v>0</v>
      </c>
      <c r="AA1526" s="207">
        <v>0</v>
      </c>
      <c r="AB1526" s="208">
        <v>0</v>
      </c>
      <c r="AC1526" s="238">
        <f>SUM(E1526:AB1526)</f>
        <v>24.909666666666666</v>
      </c>
      <c r="AD1526" s="238"/>
      <c r="AE1526" s="238"/>
    </row>
    <row r="1527" spans="2:31" x14ac:dyDescent="0.3">
      <c r="B1527" s="245" t="s">
        <v>67</v>
      </c>
      <c r="C1527" s="245"/>
      <c r="D1527" s="245"/>
      <c r="E1527" s="207">
        <v>0</v>
      </c>
      <c r="F1527" s="208">
        <v>0</v>
      </c>
      <c r="G1527" s="207">
        <v>0</v>
      </c>
      <c r="H1527" s="208">
        <v>0</v>
      </c>
      <c r="I1527" s="207">
        <v>0</v>
      </c>
      <c r="J1527" s="208">
        <v>0</v>
      </c>
      <c r="K1527" s="207">
        <v>0</v>
      </c>
      <c r="L1527" s="208">
        <v>0</v>
      </c>
      <c r="M1527" s="207">
        <v>0</v>
      </c>
      <c r="N1527" s="208">
        <v>0</v>
      </c>
      <c r="O1527" s="207">
        <v>0</v>
      </c>
      <c r="P1527" s="208">
        <v>0</v>
      </c>
      <c r="Q1527" s="207">
        <v>0</v>
      </c>
      <c r="R1527" s="208">
        <v>0</v>
      </c>
      <c r="S1527" s="207">
        <v>0.234666666666667</v>
      </c>
      <c r="T1527" s="208">
        <v>0.35633333333333478</v>
      </c>
      <c r="U1527" s="207">
        <v>1.4596666666666669</v>
      </c>
      <c r="V1527" s="208">
        <v>3.5756666666666654</v>
      </c>
      <c r="W1527" s="207">
        <v>2.0183333333333322</v>
      </c>
      <c r="X1527" s="208">
        <v>0</v>
      </c>
      <c r="Y1527" s="207">
        <v>0</v>
      </c>
      <c r="Z1527" s="208">
        <v>0</v>
      </c>
      <c r="AA1527" s="207">
        <v>0</v>
      </c>
      <c r="AB1527" s="208">
        <v>0</v>
      </c>
      <c r="AC1527" s="238">
        <f t="shared" ref="AC1527:AC1540" si="82">SUM(E1527:AB1527)</f>
        <v>7.6446666666666658</v>
      </c>
      <c r="AD1527" s="238"/>
      <c r="AE1527" s="238"/>
    </row>
    <row r="1528" spans="2:31" x14ac:dyDescent="0.3">
      <c r="B1528" s="245" t="s">
        <v>68</v>
      </c>
      <c r="C1528" s="245"/>
      <c r="D1528" s="245"/>
      <c r="E1528" s="207">
        <v>0</v>
      </c>
      <c r="F1528" s="208">
        <v>0</v>
      </c>
      <c r="G1528" s="207">
        <v>0</v>
      </c>
      <c r="H1528" s="208">
        <v>0</v>
      </c>
      <c r="I1528" s="207">
        <v>0</v>
      </c>
      <c r="J1528" s="208">
        <v>0</v>
      </c>
      <c r="K1528" s="207">
        <v>0</v>
      </c>
      <c r="L1528" s="208">
        <v>0</v>
      </c>
      <c r="M1528" s="207">
        <v>0</v>
      </c>
      <c r="N1528" s="208">
        <v>0</v>
      </c>
      <c r="O1528" s="207">
        <v>0</v>
      </c>
      <c r="P1528" s="208">
        <v>0</v>
      </c>
      <c r="Q1528" s="207">
        <v>0</v>
      </c>
      <c r="R1528" s="208">
        <v>5.8333333333334042E-2</v>
      </c>
      <c r="S1528" s="207">
        <v>1.5325000000000022</v>
      </c>
      <c r="T1528" s="208">
        <v>6.6448333333333292</v>
      </c>
      <c r="U1528" s="207">
        <v>13.327999999999999</v>
      </c>
      <c r="V1528" s="208">
        <v>20.729833333333328</v>
      </c>
      <c r="W1528" s="207">
        <v>18.738499999999998</v>
      </c>
      <c r="X1528" s="208">
        <v>0</v>
      </c>
      <c r="Y1528" s="207">
        <v>0</v>
      </c>
      <c r="Z1528" s="208">
        <v>0</v>
      </c>
      <c r="AA1528" s="207">
        <v>0</v>
      </c>
      <c r="AB1528" s="208">
        <v>0</v>
      </c>
      <c r="AC1528" s="238">
        <f t="shared" si="82"/>
        <v>61.031999999999996</v>
      </c>
      <c r="AD1528" s="238"/>
      <c r="AE1528" s="238"/>
    </row>
    <row r="1529" spans="2:31" x14ac:dyDescent="0.3">
      <c r="B1529" s="245" t="s">
        <v>69</v>
      </c>
      <c r="C1529" s="245"/>
      <c r="D1529" s="245"/>
      <c r="E1529" s="207">
        <v>0</v>
      </c>
      <c r="F1529" s="208">
        <v>0</v>
      </c>
      <c r="G1529" s="207">
        <v>0</v>
      </c>
      <c r="H1529" s="208">
        <v>0</v>
      </c>
      <c r="I1529" s="207">
        <v>0</v>
      </c>
      <c r="J1529" s="208">
        <v>0</v>
      </c>
      <c r="K1529" s="207">
        <v>0</v>
      </c>
      <c r="L1529" s="208">
        <v>0</v>
      </c>
      <c r="M1529" s="207">
        <v>0</v>
      </c>
      <c r="N1529" s="208">
        <v>0</v>
      </c>
      <c r="O1529" s="207">
        <v>0</v>
      </c>
      <c r="P1529" s="208">
        <v>0</v>
      </c>
      <c r="Q1529" s="207">
        <v>0</v>
      </c>
      <c r="R1529" s="208">
        <v>1.2038333333333326</v>
      </c>
      <c r="S1529" s="207">
        <v>11.12383333333333</v>
      </c>
      <c r="T1529" s="208">
        <v>13.812000000000006</v>
      </c>
      <c r="U1529" s="207">
        <v>12.002999999999989</v>
      </c>
      <c r="V1529" s="208">
        <v>7.8128333333333391</v>
      </c>
      <c r="W1529" s="207">
        <v>0.95066666666666633</v>
      </c>
      <c r="X1529" s="208">
        <v>0</v>
      </c>
      <c r="Y1529" s="207">
        <v>0</v>
      </c>
      <c r="Z1529" s="208">
        <v>0</v>
      </c>
      <c r="AA1529" s="207">
        <v>0</v>
      </c>
      <c r="AB1529" s="208">
        <v>0</v>
      </c>
      <c r="AC1529" s="238">
        <f t="shared" si="82"/>
        <v>46.906166666666657</v>
      </c>
      <c r="AD1529" s="238"/>
      <c r="AE1529" s="238"/>
    </row>
    <row r="1530" spans="2:31" x14ac:dyDescent="0.3">
      <c r="B1530" s="245" t="s">
        <v>70</v>
      </c>
      <c r="C1530" s="245"/>
      <c r="D1530" s="245"/>
      <c r="E1530" s="207">
        <v>0</v>
      </c>
      <c r="F1530" s="208">
        <v>0</v>
      </c>
      <c r="G1530" s="207">
        <v>0</v>
      </c>
      <c r="H1530" s="208">
        <v>0</v>
      </c>
      <c r="I1530" s="207">
        <v>0</v>
      </c>
      <c r="J1530" s="208">
        <v>0</v>
      </c>
      <c r="K1530" s="207">
        <v>0</v>
      </c>
      <c r="L1530" s="208">
        <v>0</v>
      </c>
      <c r="M1530" s="207">
        <v>0</v>
      </c>
      <c r="N1530" s="208">
        <v>0</v>
      </c>
      <c r="O1530" s="207">
        <v>0</v>
      </c>
      <c r="P1530" s="208">
        <v>0</v>
      </c>
      <c r="Q1530" s="207">
        <v>0</v>
      </c>
      <c r="R1530" s="208">
        <v>3.4633333333333316</v>
      </c>
      <c r="S1530" s="207">
        <v>2.3978333333333373</v>
      </c>
      <c r="T1530" s="208">
        <v>0</v>
      </c>
      <c r="U1530" s="207">
        <v>7.2609999999999983</v>
      </c>
      <c r="V1530" s="208">
        <v>18.71683333333333</v>
      </c>
      <c r="W1530" s="207">
        <v>0.14100000000000038</v>
      </c>
      <c r="X1530" s="208">
        <v>0</v>
      </c>
      <c r="Y1530" s="207">
        <v>0</v>
      </c>
      <c r="Z1530" s="208">
        <v>0</v>
      </c>
      <c r="AA1530" s="207">
        <v>0</v>
      </c>
      <c r="AB1530" s="208">
        <v>0</v>
      </c>
      <c r="AC1530" s="238">
        <f t="shared" si="82"/>
        <v>31.98</v>
      </c>
      <c r="AD1530" s="238"/>
      <c r="AE1530" s="238"/>
    </row>
    <row r="1531" spans="2:31" x14ac:dyDescent="0.3">
      <c r="B1531" s="245" t="s">
        <v>71</v>
      </c>
      <c r="C1531" s="245"/>
      <c r="D1531" s="245"/>
      <c r="E1531" s="207">
        <v>0</v>
      </c>
      <c r="F1531" s="208">
        <v>0</v>
      </c>
      <c r="G1531" s="207">
        <v>0</v>
      </c>
      <c r="H1531" s="208">
        <v>0</v>
      </c>
      <c r="I1531" s="207">
        <v>0</v>
      </c>
      <c r="J1531" s="208">
        <v>0</v>
      </c>
      <c r="K1531" s="207">
        <v>0</v>
      </c>
      <c r="L1531" s="208">
        <v>0</v>
      </c>
      <c r="M1531" s="207">
        <v>0</v>
      </c>
      <c r="N1531" s="208">
        <v>0</v>
      </c>
      <c r="O1531" s="207">
        <v>0</v>
      </c>
      <c r="P1531" s="208">
        <v>0</v>
      </c>
      <c r="Q1531" s="207">
        <v>0</v>
      </c>
      <c r="R1531" s="208">
        <v>0</v>
      </c>
      <c r="S1531" s="207">
        <v>1.0248333333333361</v>
      </c>
      <c r="T1531" s="208">
        <v>1.5315000000000059</v>
      </c>
      <c r="U1531" s="207">
        <v>0.31266666666666865</v>
      </c>
      <c r="V1531" s="208">
        <v>0</v>
      </c>
      <c r="W1531" s="207">
        <v>0</v>
      </c>
      <c r="X1531" s="208">
        <v>0</v>
      </c>
      <c r="Y1531" s="207">
        <v>0</v>
      </c>
      <c r="Z1531" s="208">
        <v>0</v>
      </c>
      <c r="AA1531" s="207">
        <v>0</v>
      </c>
      <c r="AB1531" s="208">
        <v>0</v>
      </c>
      <c r="AC1531" s="238">
        <f t="shared" si="82"/>
        <v>2.8690000000000104</v>
      </c>
      <c r="AD1531" s="238"/>
      <c r="AE1531" s="238"/>
    </row>
    <row r="1532" spans="2:31" x14ac:dyDescent="0.3">
      <c r="B1532" s="245" t="s">
        <v>72</v>
      </c>
      <c r="C1532" s="245"/>
      <c r="D1532" s="245"/>
      <c r="E1532" s="207">
        <v>0</v>
      </c>
      <c r="F1532" s="208">
        <v>0</v>
      </c>
      <c r="G1532" s="207">
        <v>0</v>
      </c>
      <c r="H1532" s="208">
        <v>0</v>
      </c>
      <c r="I1532" s="207">
        <v>0</v>
      </c>
      <c r="J1532" s="208">
        <v>0</v>
      </c>
      <c r="K1532" s="207">
        <v>0</v>
      </c>
      <c r="L1532" s="208">
        <v>0</v>
      </c>
      <c r="M1532" s="207">
        <v>0</v>
      </c>
      <c r="N1532" s="208">
        <v>0</v>
      </c>
      <c r="O1532" s="207">
        <v>0</v>
      </c>
      <c r="P1532" s="208">
        <v>0</v>
      </c>
      <c r="Q1532" s="207">
        <v>0</v>
      </c>
      <c r="R1532" s="208">
        <v>1.8833333333333611E-2</v>
      </c>
      <c r="S1532" s="207">
        <v>0.10583333333333336</v>
      </c>
      <c r="T1532" s="208">
        <v>0.18566666666666526</v>
      </c>
      <c r="U1532" s="207">
        <v>0</v>
      </c>
      <c r="V1532" s="208">
        <v>0</v>
      </c>
      <c r="W1532" s="207">
        <v>0</v>
      </c>
      <c r="X1532" s="208">
        <v>0</v>
      </c>
      <c r="Y1532" s="207">
        <v>0</v>
      </c>
      <c r="Z1532" s="208">
        <v>0</v>
      </c>
      <c r="AA1532" s="207">
        <v>0</v>
      </c>
      <c r="AB1532" s="208">
        <v>0</v>
      </c>
      <c r="AC1532" s="238">
        <f t="shared" si="82"/>
        <v>0.31033333333333224</v>
      </c>
      <c r="AD1532" s="238"/>
      <c r="AE1532" s="238"/>
    </row>
    <row r="1533" spans="2:31" x14ac:dyDescent="0.3">
      <c r="B1533" s="245" t="s">
        <v>73</v>
      </c>
      <c r="C1533" s="245"/>
      <c r="D1533" s="245"/>
      <c r="E1533" s="207">
        <v>0</v>
      </c>
      <c r="F1533" s="208">
        <v>0</v>
      </c>
      <c r="G1533" s="207">
        <v>0</v>
      </c>
      <c r="H1533" s="208">
        <v>0</v>
      </c>
      <c r="I1533" s="207">
        <v>0</v>
      </c>
      <c r="J1533" s="208">
        <v>0</v>
      </c>
      <c r="K1533" s="207">
        <v>0</v>
      </c>
      <c r="L1533" s="208">
        <v>0</v>
      </c>
      <c r="M1533" s="207">
        <v>0</v>
      </c>
      <c r="N1533" s="208">
        <v>0</v>
      </c>
      <c r="O1533" s="207">
        <v>0</v>
      </c>
      <c r="P1533" s="208">
        <v>0</v>
      </c>
      <c r="Q1533" s="207">
        <v>0</v>
      </c>
      <c r="R1533" s="208">
        <v>3.1210000000000009</v>
      </c>
      <c r="S1533" s="207">
        <v>21.178333333333338</v>
      </c>
      <c r="T1533" s="208">
        <v>25.148833333333325</v>
      </c>
      <c r="U1533" s="207">
        <v>25.053999999999998</v>
      </c>
      <c r="V1533" s="208">
        <v>23.078166666666675</v>
      </c>
      <c r="W1533" s="207">
        <v>5.3020000000000032</v>
      </c>
      <c r="X1533" s="208">
        <v>0</v>
      </c>
      <c r="Y1533" s="207">
        <v>0</v>
      </c>
      <c r="Z1533" s="208">
        <v>0</v>
      </c>
      <c r="AA1533" s="207">
        <v>0</v>
      </c>
      <c r="AB1533" s="208">
        <v>0</v>
      </c>
      <c r="AC1533" s="238">
        <f t="shared" si="82"/>
        <v>102.88233333333335</v>
      </c>
      <c r="AD1533" s="238"/>
      <c r="AE1533" s="238"/>
    </row>
    <row r="1534" spans="2:31" x14ac:dyDescent="0.3">
      <c r="B1534" s="245" t="s">
        <v>74</v>
      </c>
      <c r="C1534" s="245"/>
      <c r="D1534" s="245"/>
      <c r="E1534" s="207">
        <v>0</v>
      </c>
      <c r="F1534" s="208">
        <v>0</v>
      </c>
      <c r="G1534" s="207">
        <v>0</v>
      </c>
      <c r="H1534" s="208">
        <v>0</v>
      </c>
      <c r="I1534" s="207">
        <v>0</v>
      </c>
      <c r="J1534" s="208">
        <v>0</v>
      </c>
      <c r="K1534" s="207">
        <v>0</v>
      </c>
      <c r="L1534" s="208">
        <v>0</v>
      </c>
      <c r="M1534" s="207">
        <v>0</v>
      </c>
      <c r="N1534" s="208">
        <v>0</v>
      </c>
      <c r="O1534" s="207">
        <v>0</v>
      </c>
      <c r="P1534" s="208">
        <v>0</v>
      </c>
      <c r="Q1534" s="207">
        <v>0</v>
      </c>
      <c r="R1534" s="208">
        <v>0</v>
      </c>
      <c r="S1534" s="207">
        <v>6.719666666666666</v>
      </c>
      <c r="T1534" s="208">
        <v>1.7899999999999998</v>
      </c>
      <c r="U1534" s="207">
        <v>1.4436666666666669</v>
      </c>
      <c r="V1534" s="208">
        <v>0.70033333333333359</v>
      </c>
      <c r="W1534" s="207">
        <v>1.1463333333333336</v>
      </c>
      <c r="X1534" s="208">
        <v>0</v>
      </c>
      <c r="Y1534" s="207">
        <v>0</v>
      </c>
      <c r="Z1534" s="208">
        <v>0</v>
      </c>
      <c r="AA1534" s="207">
        <v>0</v>
      </c>
      <c r="AB1534" s="208">
        <v>0</v>
      </c>
      <c r="AC1534" s="238">
        <f t="shared" si="82"/>
        <v>11.8</v>
      </c>
      <c r="AD1534" s="238"/>
      <c r="AE1534" s="238"/>
    </row>
    <row r="1535" spans="2:31" x14ac:dyDescent="0.3">
      <c r="B1535" s="245" t="s">
        <v>75</v>
      </c>
      <c r="C1535" s="245"/>
      <c r="D1535" s="245"/>
      <c r="E1535" s="207">
        <v>0</v>
      </c>
      <c r="F1535" s="208">
        <v>0</v>
      </c>
      <c r="G1535" s="207">
        <v>0</v>
      </c>
      <c r="H1535" s="208">
        <v>0</v>
      </c>
      <c r="I1535" s="207">
        <v>0</v>
      </c>
      <c r="J1535" s="208">
        <v>0</v>
      </c>
      <c r="K1535" s="207">
        <v>0</v>
      </c>
      <c r="L1535" s="208">
        <v>0</v>
      </c>
      <c r="M1535" s="207">
        <v>0</v>
      </c>
      <c r="N1535" s="208">
        <v>0</v>
      </c>
      <c r="O1535" s="207">
        <v>0</v>
      </c>
      <c r="P1535" s="208">
        <v>0</v>
      </c>
      <c r="Q1535" s="207">
        <v>0</v>
      </c>
      <c r="R1535" s="208">
        <v>0.22283333333333388</v>
      </c>
      <c r="S1535" s="207">
        <v>14.454499999999992</v>
      </c>
      <c r="T1535" s="208">
        <v>16.129333333333317</v>
      </c>
      <c r="U1535" s="207">
        <v>1.6069999999999973</v>
      </c>
      <c r="V1535" s="208">
        <v>3.9958333333333331</v>
      </c>
      <c r="W1535" s="207">
        <v>5.1018333333333334</v>
      </c>
      <c r="X1535" s="208">
        <v>0</v>
      </c>
      <c r="Y1535" s="207">
        <v>0</v>
      </c>
      <c r="Z1535" s="208">
        <v>0</v>
      </c>
      <c r="AA1535" s="207">
        <v>0</v>
      </c>
      <c r="AB1535" s="208">
        <v>0</v>
      </c>
      <c r="AC1535" s="238">
        <f t="shared" si="82"/>
        <v>41.511333333333305</v>
      </c>
      <c r="AD1535" s="238"/>
      <c r="AE1535" s="238"/>
    </row>
    <row r="1536" spans="2:31" x14ac:dyDescent="0.3">
      <c r="B1536" s="245" t="s">
        <v>76</v>
      </c>
      <c r="C1536" s="245"/>
      <c r="D1536" s="245"/>
      <c r="E1536" s="207">
        <v>0</v>
      </c>
      <c r="F1536" s="208">
        <v>0</v>
      </c>
      <c r="G1536" s="207">
        <v>0</v>
      </c>
      <c r="H1536" s="208">
        <v>0</v>
      </c>
      <c r="I1536" s="207">
        <v>0</v>
      </c>
      <c r="J1536" s="208">
        <v>0</v>
      </c>
      <c r="K1536" s="207">
        <v>0</v>
      </c>
      <c r="L1536" s="208">
        <v>0</v>
      </c>
      <c r="M1536" s="207">
        <v>0</v>
      </c>
      <c r="N1536" s="208">
        <v>0</v>
      </c>
      <c r="O1536" s="207">
        <v>0</v>
      </c>
      <c r="P1536" s="208">
        <v>0</v>
      </c>
      <c r="Q1536" s="207">
        <v>0</v>
      </c>
      <c r="R1536" s="208">
        <v>0</v>
      </c>
      <c r="S1536" s="207">
        <v>0</v>
      </c>
      <c r="T1536" s="208">
        <v>0</v>
      </c>
      <c r="U1536" s="207">
        <v>0</v>
      </c>
      <c r="V1536" s="208">
        <v>0</v>
      </c>
      <c r="W1536" s="207">
        <v>0</v>
      </c>
      <c r="X1536" s="208">
        <v>0</v>
      </c>
      <c r="Y1536" s="207">
        <v>0</v>
      </c>
      <c r="Z1536" s="208">
        <v>0</v>
      </c>
      <c r="AA1536" s="207">
        <v>0</v>
      </c>
      <c r="AB1536" s="208">
        <v>0</v>
      </c>
      <c r="AC1536" s="238">
        <f t="shared" si="82"/>
        <v>0</v>
      </c>
      <c r="AD1536" s="238"/>
      <c r="AE1536" s="238"/>
    </row>
    <row r="1537" spans="2:31" x14ac:dyDescent="0.3">
      <c r="B1537" s="245" t="s">
        <v>77</v>
      </c>
      <c r="C1537" s="245"/>
      <c r="D1537" s="245"/>
      <c r="E1537" s="207">
        <v>0</v>
      </c>
      <c r="F1537" s="208">
        <v>0</v>
      </c>
      <c r="G1537" s="207">
        <v>0</v>
      </c>
      <c r="H1537" s="208">
        <v>0</v>
      </c>
      <c r="I1537" s="207">
        <v>0</v>
      </c>
      <c r="J1537" s="208">
        <v>0</v>
      </c>
      <c r="K1537" s="207">
        <v>0</v>
      </c>
      <c r="L1537" s="208">
        <v>0</v>
      </c>
      <c r="M1537" s="207">
        <v>0</v>
      </c>
      <c r="N1537" s="208">
        <v>0</v>
      </c>
      <c r="O1537" s="207">
        <v>0</v>
      </c>
      <c r="P1537" s="208">
        <v>0</v>
      </c>
      <c r="Q1537" s="207">
        <v>0</v>
      </c>
      <c r="R1537" s="208">
        <v>0.20816666666666611</v>
      </c>
      <c r="S1537" s="207">
        <v>5.2468333333333383</v>
      </c>
      <c r="T1537" s="208">
        <v>8.2471666666666668</v>
      </c>
      <c r="U1537" s="207">
        <v>7.991500000000002</v>
      </c>
      <c r="V1537" s="208">
        <v>4.9458333333333293</v>
      </c>
      <c r="W1537" s="207">
        <v>0.78366666666666629</v>
      </c>
      <c r="X1537" s="208">
        <v>0</v>
      </c>
      <c r="Y1537" s="207">
        <v>0</v>
      </c>
      <c r="Z1537" s="208">
        <v>0</v>
      </c>
      <c r="AA1537" s="207">
        <v>0</v>
      </c>
      <c r="AB1537" s="208">
        <v>0</v>
      </c>
      <c r="AC1537" s="238">
        <f t="shared" si="82"/>
        <v>27.423166666666667</v>
      </c>
      <c r="AD1537" s="238"/>
      <c r="AE1537" s="238"/>
    </row>
    <row r="1538" spans="2:31" x14ac:dyDescent="0.3">
      <c r="B1538" s="245" t="s">
        <v>78</v>
      </c>
      <c r="C1538" s="245"/>
      <c r="D1538" s="245"/>
      <c r="E1538" s="207">
        <v>0</v>
      </c>
      <c r="F1538" s="208">
        <v>0</v>
      </c>
      <c r="G1538" s="207">
        <v>0</v>
      </c>
      <c r="H1538" s="208">
        <v>0</v>
      </c>
      <c r="I1538" s="207">
        <v>0</v>
      </c>
      <c r="J1538" s="208">
        <v>0</v>
      </c>
      <c r="K1538" s="207">
        <v>0</v>
      </c>
      <c r="L1538" s="208">
        <v>0</v>
      </c>
      <c r="M1538" s="207">
        <v>0</v>
      </c>
      <c r="N1538" s="208">
        <v>0</v>
      </c>
      <c r="O1538" s="207">
        <v>0</v>
      </c>
      <c r="P1538" s="208">
        <v>0</v>
      </c>
      <c r="Q1538" s="207">
        <v>0</v>
      </c>
      <c r="R1538" s="208">
        <v>0.69449999999999978</v>
      </c>
      <c r="S1538" s="207">
        <v>7.1299999999999963</v>
      </c>
      <c r="T1538" s="208">
        <v>6.430000000000005</v>
      </c>
      <c r="U1538" s="207">
        <v>2.1299999999999963</v>
      </c>
      <c r="V1538" s="208">
        <v>0</v>
      </c>
      <c r="W1538" s="207">
        <v>0</v>
      </c>
      <c r="X1538" s="208">
        <v>0</v>
      </c>
      <c r="Y1538" s="207">
        <v>0</v>
      </c>
      <c r="Z1538" s="208">
        <v>0</v>
      </c>
      <c r="AA1538" s="207">
        <v>0</v>
      </c>
      <c r="AB1538" s="208">
        <v>0</v>
      </c>
      <c r="AC1538" s="238">
        <f t="shared" si="82"/>
        <v>16.384499999999996</v>
      </c>
      <c r="AD1538" s="238"/>
      <c r="AE1538" s="238"/>
    </row>
    <row r="1539" spans="2:31" x14ac:dyDescent="0.3">
      <c r="B1539" s="245" t="s">
        <v>79</v>
      </c>
      <c r="C1539" s="245"/>
      <c r="D1539" s="245"/>
      <c r="E1539" s="207">
        <v>0</v>
      </c>
      <c r="F1539" s="208">
        <v>0</v>
      </c>
      <c r="G1539" s="207">
        <v>0</v>
      </c>
      <c r="H1539" s="208">
        <v>0</v>
      </c>
      <c r="I1539" s="207">
        <v>0</v>
      </c>
      <c r="J1539" s="208">
        <v>0</v>
      </c>
      <c r="K1539" s="207">
        <v>0</v>
      </c>
      <c r="L1539" s="208">
        <v>0</v>
      </c>
      <c r="M1539" s="207">
        <v>0</v>
      </c>
      <c r="N1539" s="208">
        <v>0</v>
      </c>
      <c r="O1539" s="207">
        <v>0</v>
      </c>
      <c r="P1539" s="208">
        <v>0</v>
      </c>
      <c r="Q1539" s="207">
        <v>0</v>
      </c>
      <c r="R1539" s="208">
        <v>0</v>
      </c>
      <c r="S1539" s="207">
        <v>0</v>
      </c>
      <c r="T1539" s="208">
        <v>0</v>
      </c>
      <c r="U1539" s="207">
        <v>0</v>
      </c>
      <c r="V1539" s="208">
        <v>23.349000000000007</v>
      </c>
      <c r="W1539" s="207">
        <v>27.98416666666667</v>
      </c>
      <c r="X1539" s="208">
        <v>0</v>
      </c>
      <c r="Y1539" s="207">
        <v>0</v>
      </c>
      <c r="Z1539" s="208">
        <v>0</v>
      </c>
      <c r="AA1539" s="207">
        <v>0</v>
      </c>
      <c r="AB1539" s="208">
        <v>0</v>
      </c>
      <c r="AC1539" s="238">
        <f t="shared" si="82"/>
        <v>51.333166666666678</v>
      </c>
      <c r="AD1539" s="238"/>
      <c r="AE1539" s="238"/>
    </row>
    <row r="1540" spans="2:31" x14ac:dyDescent="0.3">
      <c r="B1540" s="245" t="s">
        <v>80</v>
      </c>
      <c r="C1540" s="245"/>
      <c r="D1540" s="245"/>
      <c r="E1540" s="207">
        <v>0</v>
      </c>
      <c r="F1540" s="208">
        <v>0</v>
      </c>
      <c r="G1540" s="207">
        <v>0</v>
      </c>
      <c r="H1540" s="208">
        <v>0</v>
      </c>
      <c r="I1540" s="207">
        <v>0</v>
      </c>
      <c r="J1540" s="208">
        <v>0</v>
      </c>
      <c r="K1540" s="207">
        <v>0</v>
      </c>
      <c r="L1540" s="208">
        <v>0</v>
      </c>
      <c r="M1540" s="207">
        <v>0</v>
      </c>
      <c r="N1540" s="208">
        <v>0</v>
      </c>
      <c r="O1540" s="207">
        <v>0</v>
      </c>
      <c r="P1540" s="208">
        <v>0</v>
      </c>
      <c r="Q1540" s="207">
        <v>0</v>
      </c>
      <c r="R1540" s="208">
        <v>0</v>
      </c>
      <c r="S1540" s="207">
        <v>0</v>
      </c>
      <c r="T1540" s="208">
        <v>0</v>
      </c>
      <c r="U1540" s="207">
        <v>0</v>
      </c>
      <c r="V1540" s="208">
        <v>6.5411666666666504</v>
      </c>
      <c r="W1540" s="207">
        <v>9.09999999999999E-2</v>
      </c>
      <c r="X1540" s="208">
        <v>0</v>
      </c>
      <c r="Y1540" s="207">
        <v>0</v>
      </c>
      <c r="Z1540" s="208">
        <v>0</v>
      </c>
      <c r="AA1540" s="207">
        <v>0</v>
      </c>
      <c r="AB1540" s="208">
        <v>0</v>
      </c>
      <c r="AC1540" s="238">
        <f t="shared" si="82"/>
        <v>6.6321666666666506</v>
      </c>
      <c r="AD1540" s="238"/>
      <c r="AE1540" s="238"/>
    </row>
    <row r="1541" spans="2:31" x14ac:dyDescent="0.3">
      <c r="B1541" s="245" t="s">
        <v>93</v>
      </c>
      <c r="C1541" s="245"/>
      <c r="D1541" s="245"/>
      <c r="E1541" s="207">
        <v>0</v>
      </c>
      <c r="F1541" s="208">
        <v>0</v>
      </c>
      <c r="G1541" s="207">
        <v>0</v>
      </c>
      <c r="H1541" s="208">
        <v>0</v>
      </c>
      <c r="I1541" s="207">
        <v>0</v>
      </c>
      <c r="J1541" s="208">
        <v>0</v>
      </c>
      <c r="K1541" s="207">
        <v>0</v>
      </c>
      <c r="L1541" s="208">
        <v>0</v>
      </c>
      <c r="M1541" s="207">
        <v>0</v>
      </c>
      <c r="N1541" s="208">
        <v>0</v>
      </c>
      <c r="O1541" s="207">
        <v>0</v>
      </c>
      <c r="P1541" s="208">
        <v>0</v>
      </c>
      <c r="Q1541" s="207">
        <v>0</v>
      </c>
      <c r="R1541" s="208">
        <v>0.48533333333333378</v>
      </c>
      <c r="S1541" s="207">
        <v>0.96566666666666778</v>
      </c>
      <c r="T1541" s="208">
        <v>1.0066666666666675</v>
      </c>
      <c r="U1541" s="207">
        <v>1.0475000000000003</v>
      </c>
      <c r="V1541" s="208">
        <v>0.88866666666666572</v>
      </c>
      <c r="W1541" s="207">
        <v>9.866666666666675E-2</v>
      </c>
      <c r="X1541" s="208">
        <v>0</v>
      </c>
      <c r="Y1541" s="207">
        <v>0</v>
      </c>
      <c r="Z1541" s="208">
        <v>0</v>
      </c>
      <c r="AA1541" s="207">
        <v>0</v>
      </c>
      <c r="AB1541" s="208">
        <v>0</v>
      </c>
      <c r="AC1541" s="238">
        <f>SUM(E1541:AB1541)</f>
        <v>4.4925000000000015</v>
      </c>
      <c r="AD1541" s="238"/>
      <c r="AE1541" s="238"/>
    </row>
    <row r="1542" spans="2:31" x14ac:dyDescent="0.3">
      <c r="B1542" s="14" t="s">
        <v>2</v>
      </c>
      <c r="C1542" s="14"/>
      <c r="D1542" s="14"/>
      <c r="E1542" s="15">
        <f t="shared" ref="E1542:AB1542" si="83">SUM(E1493:E1541)</f>
        <v>0</v>
      </c>
      <c r="F1542" s="15">
        <f t="shared" si="83"/>
        <v>0</v>
      </c>
      <c r="G1542" s="15">
        <f t="shared" si="83"/>
        <v>0</v>
      </c>
      <c r="H1542" s="15">
        <f t="shared" si="83"/>
        <v>0</v>
      </c>
      <c r="I1542" s="15">
        <f t="shared" si="83"/>
        <v>0</v>
      </c>
      <c r="J1542" s="15">
        <f t="shared" si="83"/>
        <v>0</v>
      </c>
      <c r="K1542" s="15">
        <f t="shared" si="83"/>
        <v>0</v>
      </c>
      <c r="L1542" s="15">
        <f t="shared" si="83"/>
        <v>0</v>
      </c>
      <c r="M1542" s="15">
        <f t="shared" si="83"/>
        <v>0</v>
      </c>
      <c r="N1542" s="15">
        <f t="shared" si="83"/>
        <v>0</v>
      </c>
      <c r="O1542" s="15">
        <f t="shared" si="83"/>
        <v>0</v>
      </c>
      <c r="P1542" s="15">
        <f t="shared" si="83"/>
        <v>4.1471666666666653</v>
      </c>
      <c r="Q1542" s="15">
        <f t="shared" si="83"/>
        <v>7.6863333333333319</v>
      </c>
      <c r="R1542" s="15">
        <f t="shared" si="83"/>
        <v>45.988166666666672</v>
      </c>
      <c r="S1542" s="15">
        <f t="shared" si="83"/>
        <v>180.83416666666662</v>
      </c>
      <c r="T1542" s="15">
        <f t="shared" si="83"/>
        <v>222.02583333333328</v>
      </c>
      <c r="U1542" s="15">
        <f t="shared" si="83"/>
        <v>203.89633333333333</v>
      </c>
      <c r="V1542" s="15">
        <f t="shared" si="83"/>
        <v>227.48850000000004</v>
      </c>
      <c r="W1542" s="15">
        <f t="shared" si="83"/>
        <v>127.8685</v>
      </c>
      <c r="X1542" s="15">
        <f t="shared" si="83"/>
        <v>0.28100000000000003</v>
      </c>
      <c r="Y1542" s="15">
        <f t="shared" si="83"/>
        <v>0</v>
      </c>
      <c r="Z1542" s="15">
        <f t="shared" si="83"/>
        <v>0</v>
      </c>
      <c r="AA1542" s="15">
        <f t="shared" si="83"/>
        <v>0</v>
      </c>
      <c r="AB1542" s="15">
        <f t="shared" si="83"/>
        <v>0</v>
      </c>
      <c r="AC1542" s="249">
        <f>SUM(AC1493:AE1541)</f>
        <v>1020.2159999999999</v>
      </c>
      <c r="AD1542" s="249"/>
      <c r="AE1542" s="249"/>
    </row>
    <row r="1543" spans="2:31" x14ac:dyDescent="0.3">
      <c r="B1543" s="16"/>
      <c r="C1543" s="17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  <c r="N1543" s="18"/>
      <c r="O1543" s="18"/>
      <c r="P1543" s="18"/>
      <c r="Q1543" s="18"/>
      <c r="R1543" s="18"/>
      <c r="S1543" s="18"/>
      <c r="T1543" s="18"/>
      <c r="U1543" s="18"/>
      <c r="V1543" s="18"/>
      <c r="W1543" s="18"/>
      <c r="X1543" s="18"/>
      <c r="Y1543" s="18"/>
      <c r="Z1543" s="18"/>
      <c r="AA1543" s="18"/>
    </row>
    <row r="1544" spans="2:31" x14ac:dyDescent="0.3">
      <c r="B1544" s="16"/>
      <c r="C1544" s="17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  <c r="N1544" s="18"/>
      <c r="O1544" s="18"/>
      <c r="P1544" s="18"/>
      <c r="Q1544" s="18"/>
      <c r="R1544" s="18"/>
      <c r="S1544" s="18"/>
      <c r="T1544" s="18"/>
      <c r="U1544" s="18"/>
      <c r="V1544" s="18"/>
      <c r="W1544" s="18"/>
      <c r="X1544" s="18"/>
      <c r="Y1544" s="18"/>
      <c r="Z1544" s="18"/>
      <c r="AA1544" s="18"/>
    </row>
    <row r="1545" spans="2:31" x14ac:dyDescent="0.3">
      <c r="B1545" s="8">
        <f>'Resumen-Mensual'!$AG$22</f>
        <v>44590</v>
      </c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209"/>
      <c r="AD1545" s="209"/>
      <c r="AE1545" s="209"/>
    </row>
    <row r="1546" spans="2:31" x14ac:dyDescent="0.3">
      <c r="B1546" s="8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209"/>
      <c r="AD1546" s="209"/>
      <c r="AE1546" s="209"/>
    </row>
    <row r="1547" spans="2:31" x14ac:dyDescent="0.3">
      <c r="B1547" s="9" t="s">
        <v>81</v>
      </c>
      <c r="C1547" s="10"/>
      <c r="D1547" s="10"/>
      <c r="E1547" s="11">
        <v>1</v>
      </c>
      <c r="F1547" s="11">
        <v>2</v>
      </c>
      <c r="G1547" s="11">
        <v>3</v>
      </c>
      <c r="H1547" s="11">
        <v>4</v>
      </c>
      <c r="I1547" s="11">
        <v>5</v>
      </c>
      <c r="J1547" s="11">
        <v>6</v>
      </c>
      <c r="K1547" s="11">
        <v>7</v>
      </c>
      <c r="L1547" s="11">
        <v>8</v>
      </c>
      <c r="M1547" s="11">
        <v>9</v>
      </c>
      <c r="N1547" s="11">
        <v>10</v>
      </c>
      <c r="O1547" s="11">
        <v>11</v>
      </c>
      <c r="P1547" s="11">
        <v>12</v>
      </c>
      <c r="Q1547" s="11">
        <v>13</v>
      </c>
      <c r="R1547" s="11">
        <v>14</v>
      </c>
      <c r="S1547" s="11">
        <v>15</v>
      </c>
      <c r="T1547" s="11">
        <v>16</v>
      </c>
      <c r="U1547" s="11">
        <v>17</v>
      </c>
      <c r="V1547" s="11">
        <v>18</v>
      </c>
      <c r="W1547" s="11">
        <v>19</v>
      </c>
      <c r="X1547" s="11">
        <v>20</v>
      </c>
      <c r="Y1547" s="11">
        <v>21</v>
      </c>
      <c r="Z1547" s="11">
        <v>22</v>
      </c>
      <c r="AA1547" s="11">
        <v>23</v>
      </c>
      <c r="AB1547" s="11">
        <v>24</v>
      </c>
      <c r="AC1547" s="248" t="s">
        <v>2</v>
      </c>
      <c r="AD1547" s="248"/>
      <c r="AE1547" s="248"/>
    </row>
    <row r="1548" spans="2:31" x14ac:dyDescent="0.3">
      <c r="B1548" s="245" t="s">
        <v>37</v>
      </c>
      <c r="C1548" s="245"/>
      <c r="D1548" s="245"/>
      <c r="E1548" s="214">
        <v>0</v>
      </c>
      <c r="F1548" s="215">
        <v>0</v>
      </c>
      <c r="G1548" s="214">
        <v>0</v>
      </c>
      <c r="H1548" s="215">
        <v>0</v>
      </c>
      <c r="I1548" s="214">
        <v>0</v>
      </c>
      <c r="J1548" s="215">
        <v>0</v>
      </c>
      <c r="K1548" s="214">
        <v>0</v>
      </c>
      <c r="L1548" s="215">
        <v>0</v>
      </c>
      <c r="M1548" s="214">
        <v>0</v>
      </c>
      <c r="N1548" s="215">
        <v>0</v>
      </c>
      <c r="O1548" s="214">
        <v>0</v>
      </c>
      <c r="P1548" s="215">
        <v>0</v>
      </c>
      <c r="Q1548" s="214">
        <v>0</v>
      </c>
      <c r="R1548" s="215">
        <v>0.20533333333333326</v>
      </c>
      <c r="S1548" s="214">
        <v>1.3541666666666667</v>
      </c>
      <c r="T1548" s="215">
        <v>1.5836666666666666</v>
      </c>
      <c r="U1548" s="214">
        <v>1.6724999999999992</v>
      </c>
      <c r="V1548" s="215">
        <v>1.8131666666666668</v>
      </c>
      <c r="W1548" s="214">
        <v>0.73283333333333345</v>
      </c>
      <c r="X1548" s="215">
        <v>0</v>
      </c>
      <c r="Y1548" s="214">
        <v>0</v>
      </c>
      <c r="Z1548" s="215">
        <v>0</v>
      </c>
      <c r="AA1548" s="214">
        <v>0</v>
      </c>
      <c r="AB1548" s="215">
        <v>0</v>
      </c>
      <c r="AC1548" s="238">
        <f t="shared" ref="AC1548:AC1580" si="84">SUM(E1548:AB1548)</f>
        <v>7.3616666666666664</v>
      </c>
      <c r="AD1548" s="238"/>
      <c r="AE1548" s="238"/>
    </row>
    <row r="1549" spans="2:31" x14ac:dyDescent="0.3">
      <c r="B1549" s="245" t="s">
        <v>38</v>
      </c>
      <c r="C1549" s="245"/>
      <c r="D1549" s="245"/>
      <c r="E1549" s="214">
        <v>0</v>
      </c>
      <c r="F1549" s="215">
        <v>0</v>
      </c>
      <c r="G1549" s="214">
        <v>0</v>
      </c>
      <c r="H1549" s="215">
        <v>0</v>
      </c>
      <c r="I1549" s="214">
        <v>0</v>
      </c>
      <c r="J1549" s="215">
        <v>0</v>
      </c>
      <c r="K1549" s="214">
        <v>0</v>
      </c>
      <c r="L1549" s="215">
        <v>0</v>
      </c>
      <c r="M1549" s="214">
        <v>0</v>
      </c>
      <c r="N1549" s="215">
        <v>0</v>
      </c>
      <c r="O1549" s="214">
        <v>0</v>
      </c>
      <c r="P1549" s="215">
        <v>0</v>
      </c>
      <c r="Q1549" s="214">
        <v>0</v>
      </c>
      <c r="R1549" s="215">
        <v>0</v>
      </c>
      <c r="S1549" s="214">
        <v>1.1805000000000008</v>
      </c>
      <c r="T1549" s="215">
        <v>1.2949999999999982</v>
      </c>
      <c r="U1549" s="214">
        <v>1.109666666666667</v>
      </c>
      <c r="V1549" s="215">
        <v>1.1778333333333344</v>
      </c>
      <c r="W1549" s="214">
        <v>0.34916666666666657</v>
      </c>
      <c r="X1549" s="215">
        <v>0</v>
      </c>
      <c r="Y1549" s="214">
        <v>0</v>
      </c>
      <c r="Z1549" s="215">
        <v>0</v>
      </c>
      <c r="AA1549" s="214">
        <v>0</v>
      </c>
      <c r="AB1549" s="215">
        <v>0</v>
      </c>
      <c r="AC1549" s="238">
        <f t="shared" si="84"/>
        <v>5.1121666666666661</v>
      </c>
      <c r="AD1549" s="238"/>
      <c r="AE1549" s="238"/>
    </row>
    <row r="1550" spans="2:31" x14ac:dyDescent="0.3">
      <c r="B1550" s="245" t="s">
        <v>39</v>
      </c>
      <c r="C1550" s="245"/>
      <c r="D1550" s="245"/>
      <c r="E1550" s="214">
        <v>0</v>
      </c>
      <c r="F1550" s="215">
        <v>0</v>
      </c>
      <c r="G1550" s="214">
        <v>0</v>
      </c>
      <c r="H1550" s="215">
        <v>0</v>
      </c>
      <c r="I1550" s="214">
        <v>0</v>
      </c>
      <c r="J1550" s="215">
        <v>0</v>
      </c>
      <c r="K1550" s="214">
        <v>0</v>
      </c>
      <c r="L1550" s="215">
        <v>0</v>
      </c>
      <c r="M1550" s="214">
        <v>0</v>
      </c>
      <c r="N1550" s="215">
        <v>0</v>
      </c>
      <c r="O1550" s="214">
        <v>0</v>
      </c>
      <c r="P1550" s="215">
        <v>0</v>
      </c>
      <c r="Q1550" s="214">
        <v>0</v>
      </c>
      <c r="R1550" s="215">
        <v>0</v>
      </c>
      <c r="S1550" s="214">
        <v>0.83033333333333526</v>
      </c>
      <c r="T1550" s="215">
        <v>0.3598333333333345</v>
      </c>
      <c r="U1550" s="214">
        <v>0.30050000000000027</v>
      </c>
      <c r="V1550" s="215">
        <v>0.4236666666666668</v>
      </c>
      <c r="W1550" s="214">
        <v>0.43583333333333341</v>
      </c>
      <c r="X1550" s="215">
        <v>0</v>
      </c>
      <c r="Y1550" s="214">
        <v>0</v>
      </c>
      <c r="Z1550" s="215">
        <v>0</v>
      </c>
      <c r="AA1550" s="214">
        <v>0</v>
      </c>
      <c r="AB1550" s="215">
        <v>0</v>
      </c>
      <c r="AC1550" s="238">
        <f t="shared" si="84"/>
        <v>2.3501666666666701</v>
      </c>
      <c r="AD1550" s="238"/>
      <c r="AE1550" s="238"/>
    </row>
    <row r="1551" spans="2:31" x14ac:dyDescent="0.3">
      <c r="B1551" s="245" t="s">
        <v>40</v>
      </c>
      <c r="C1551" s="245"/>
      <c r="D1551" s="245"/>
      <c r="E1551" s="214">
        <v>0</v>
      </c>
      <c r="F1551" s="215">
        <v>0</v>
      </c>
      <c r="G1551" s="214">
        <v>0</v>
      </c>
      <c r="H1551" s="215">
        <v>0</v>
      </c>
      <c r="I1551" s="214">
        <v>0</v>
      </c>
      <c r="J1551" s="215">
        <v>0</v>
      </c>
      <c r="K1551" s="214">
        <v>0</v>
      </c>
      <c r="L1551" s="215">
        <v>0</v>
      </c>
      <c r="M1551" s="214">
        <v>0</v>
      </c>
      <c r="N1551" s="215">
        <v>0</v>
      </c>
      <c r="O1551" s="214">
        <v>0</v>
      </c>
      <c r="P1551" s="215">
        <v>0</v>
      </c>
      <c r="Q1551" s="214">
        <v>0</v>
      </c>
      <c r="R1551" s="215">
        <v>0</v>
      </c>
      <c r="S1551" s="214">
        <v>0</v>
      </c>
      <c r="T1551" s="215">
        <v>0.17016666666666727</v>
      </c>
      <c r="U1551" s="214">
        <v>0</v>
      </c>
      <c r="V1551" s="215">
        <v>0</v>
      </c>
      <c r="W1551" s="214">
        <v>0</v>
      </c>
      <c r="X1551" s="215">
        <v>0</v>
      </c>
      <c r="Y1551" s="214">
        <v>0</v>
      </c>
      <c r="Z1551" s="215">
        <v>0</v>
      </c>
      <c r="AA1551" s="214">
        <v>0</v>
      </c>
      <c r="AB1551" s="215">
        <v>0</v>
      </c>
      <c r="AC1551" s="238">
        <f t="shared" si="84"/>
        <v>0.17016666666666727</v>
      </c>
      <c r="AD1551" s="238"/>
      <c r="AE1551" s="238"/>
    </row>
    <row r="1552" spans="2:31" x14ac:dyDescent="0.3">
      <c r="B1552" s="245" t="s">
        <v>41</v>
      </c>
      <c r="C1552" s="245"/>
      <c r="D1552" s="245"/>
      <c r="E1552" s="214">
        <v>0</v>
      </c>
      <c r="F1552" s="215">
        <v>0</v>
      </c>
      <c r="G1552" s="214">
        <v>0</v>
      </c>
      <c r="H1552" s="215">
        <v>0</v>
      </c>
      <c r="I1552" s="214">
        <v>0</v>
      </c>
      <c r="J1552" s="215">
        <v>0</v>
      </c>
      <c r="K1552" s="214">
        <v>0</v>
      </c>
      <c r="L1552" s="215">
        <v>0</v>
      </c>
      <c r="M1552" s="214">
        <v>0</v>
      </c>
      <c r="N1552" s="215">
        <v>0</v>
      </c>
      <c r="O1552" s="214">
        <v>0</v>
      </c>
      <c r="P1552" s="215">
        <v>0</v>
      </c>
      <c r="Q1552" s="214">
        <v>12.200833333333332</v>
      </c>
      <c r="R1552" s="215">
        <v>0.86466666666666891</v>
      </c>
      <c r="S1552" s="214">
        <v>24.112666666666666</v>
      </c>
      <c r="T1552" s="215">
        <v>23.211666666666666</v>
      </c>
      <c r="U1552" s="214">
        <v>0</v>
      </c>
      <c r="V1552" s="215">
        <v>0</v>
      </c>
      <c r="W1552" s="214">
        <v>6.1931666666666665</v>
      </c>
      <c r="X1552" s="215">
        <v>0</v>
      </c>
      <c r="Y1552" s="214">
        <v>0</v>
      </c>
      <c r="Z1552" s="215">
        <v>0</v>
      </c>
      <c r="AA1552" s="214">
        <v>0</v>
      </c>
      <c r="AB1552" s="215">
        <v>0</v>
      </c>
      <c r="AC1552" s="238">
        <f t="shared" si="84"/>
        <v>66.582999999999998</v>
      </c>
      <c r="AD1552" s="238"/>
      <c r="AE1552" s="238"/>
    </row>
    <row r="1553" spans="2:31" x14ac:dyDescent="0.3">
      <c r="B1553" s="245" t="s">
        <v>42</v>
      </c>
      <c r="C1553" s="245"/>
      <c r="D1553" s="245"/>
      <c r="E1553" s="214">
        <v>0</v>
      </c>
      <c r="F1553" s="215">
        <v>0</v>
      </c>
      <c r="G1553" s="214">
        <v>0</v>
      </c>
      <c r="H1553" s="215">
        <v>0</v>
      </c>
      <c r="I1553" s="214">
        <v>0</v>
      </c>
      <c r="J1553" s="215">
        <v>0</v>
      </c>
      <c r="K1553" s="214">
        <v>0</v>
      </c>
      <c r="L1553" s="215">
        <v>0</v>
      </c>
      <c r="M1553" s="214">
        <v>0</v>
      </c>
      <c r="N1553" s="215">
        <v>0</v>
      </c>
      <c r="O1553" s="214">
        <v>0</v>
      </c>
      <c r="P1553" s="215">
        <v>0</v>
      </c>
      <c r="Q1553" s="214">
        <v>0</v>
      </c>
      <c r="R1553" s="215">
        <v>0</v>
      </c>
      <c r="S1553" s="214">
        <v>0</v>
      </c>
      <c r="T1553" s="215">
        <v>0</v>
      </c>
      <c r="U1553" s="214">
        <v>0</v>
      </c>
      <c r="V1553" s="215">
        <v>0</v>
      </c>
      <c r="W1553" s="214">
        <v>0</v>
      </c>
      <c r="X1553" s="215">
        <v>0</v>
      </c>
      <c r="Y1553" s="214">
        <v>0</v>
      </c>
      <c r="Z1553" s="215">
        <v>0</v>
      </c>
      <c r="AA1553" s="214">
        <v>0</v>
      </c>
      <c r="AB1553" s="215">
        <v>0</v>
      </c>
      <c r="AC1553" s="238">
        <f t="shared" si="84"/>
        <v>0</v>
      </c>
      <c r="AD1553" s="238"/>
      <c r="AE1553" s="238"/>
    </row>
    <row r="1554" spans="2:31" x14ac:dyDescent="0.3">
      <c r="B1554" s="245" t="s">
        <v>43</v>
      </c>
      <c r="C1554" s="245"/>
      <c r="D1554" s="245"/>
      <c r="E1554" s="214">
        <v>0</v>
      </c>
      <c r="F1554" s="215">
        <v>0</v>
      </c>
      <c r="G1554" s="214">
        <v>0</v>
      </c>
      <c r="H1554" s="215">
        <v>0</v>
      </c>
      <c r="I1554" s="214">
        <v>0</v>
      </c>
      <c r="J1554" s="215">
        <v>0</v>
      </c>
      <c r="K1554" s="214">
        <v>0</v>
      </c>
      <c r="L1554" s="215">
        <v>0</v>
      </c>
      <c r="M1554" s="214">
        <v>0</v>
      </c>
      <c r="N1554" s="215">
        <v>0</v>
      </c>
      <c r="O1554" s="214">
        <v>1.3261666666666694</v>
      </c>
      <c r="P1554" s="215">
        <v>10.834333333333355</v>
      </c>
      <c r="Q1554" s="214">
        <v>5.0221666666666733</v>
      </c>
      <c r="R1554" s="215">
        <v>19.021499999999982</v>
      </c>
      <c r="S1554" s="214">
        <v>18.658333333333356</v>
      </c>
      <c r="T1554" s="215">
        <v>7.9276666666666697</v>
      </c>
      <c r="U1554" s="214">
        <v>15.087333333333339</v>
      </c>
      <c r="V1554" s="215">
        <v>12.678999999999991</v>
      </c>
      <c r="W1554" s="214">
        <v>1.5478333333333352</v>
      </c>
      <c r="X1554" s="215">
        <v>0</v>
      </c>
      <c r="Y1554" s="214">
        <v>0</v>
      </c>
      <c r="Z1554" s="215">
        <v>0</v>
      </c>
      <c r="AA1554" s="214">
        <v>0</v>
      </c>
      <c r="AB1554" s="215">
        <v>0</v>
      </c>
      <c r="AC1554" s="238">
        <f t="shared" si="84"/>
        <v>92.104333333333358</v>
      </c>
      <c r="AD1554" s="238"/>
      <c r="AE1554" s="238"/>
    </row>
    <row r="1555" spans="2:31" x14ac:dyDescent="0.3">
      <c r="B1555" s="245" t="s">
        <v>44</v>
      </c>
      <c r="C1555" s="245"/>
      <c r="D1555" s="245"/>
      <c r="E1555" s="214">
        <v>0</v>
      </c>
      <c r="F1555" s="215">
        <v>0</v>
      </c>
      <c r="G1555" s="214">
        <v>0</v>
      </c>
      <c r="H1555" s="215">
        <v>0</v>
      </c>
      <c r="I1555" s="214">
        <v>0</v>
      </c>
      <c r="J1555" s="215">
        <v>0</v>
      </c>
      <c r="K1555" s="214">
        <v>0</v>
      </c>
      <c r="L1555" s="215">
        <v>0</v>
      </c>
      <c r="M1555" s="214">
        <v>0</v>
      </c>
      <c r="N1555" s="215">
        <v>0</v>
      </c>
      <c r="O1555" s="214">
        <v>0</v>
      </c>
      <c r="P1555" s="215">
        <v>0</v>
      </c>
      <c r="Q1555" s="214">
        <v>0</v>
      </c>
      <c r="R1555" s="215">
        <v>1.0905000000000016</v>
      </c>
      <c r="S1555" s="214">
        <v>0.20299999999999774</v>
      </c>
      <c r="T1555" s="215">
        <v>0</v>
      </c>
      <c r="U1555" s="214">
        <v>0</v>
      </c>
      <c r="V1555" s="215">
        <v>2.3999999999999726E-2</v>
      </c>
      <c r="W1555" s="214">
        <v>0</v>
      </c>
      <c r="X1555" s="215">
        <v>0</v>
      </c>
      <c r="Y1555" s="214">
        <v>0</v>
      </c>
      <c r="Z1555" s="215">
        <v>0</v>
      </c>
      <c r="AA1555" s="214">
        <v>0</v>
      </c>
      <c r="AB1555" s="215">
        <v>0</v>
      </c>
      <c r="AC1555" s="238">
        <f t="shared" si="84"/>
        <v>1.3174999999999992</v>
      </c>
      <c r="AD1555" s="238"/>
      <c r="AE1555" s="238"/>
    </row>
    <row r="1556" spans="2:31" x14ac:dyDescent="0.3">
      <c r="B1556" s="245" t="s">
        <v>45</v>
      </c>
      <c r="C1556" s="245"/>
      <c r="D1556" s="245"/>
      <c r="E1556" s="214">
        <v>0</v>
      </c>
      <c r="F1556" s="215">
        <v>0</v>
      </c>
      <c r="G1556" s="214">
        <v>0</v>
      </c>
      <c r="H1556" s="215">
        <v>0</v>
      </c>
      <c r="I1556" s="214">
        <v>0</v>
      </c>
      <c r="J1556" s="215">
        <v>0</v>
      </c>
      <c r="K1556" s="214">
        <v>0</v>
      </c>
      <c r="L1556" s="215">
        <v>0</v>
      </c>
      <c r="M1556" s="214">
        <v>0</v>
      </c>
      <c r="N1556" s="215">
        <v>0</v>
      </c>
      <c r="O1556" s="214">
        <v>0</v>
      </c>
      <c r="P1556" s="215">
        <v>0</v>
      </c>
      <c r="Q1556" s="214">
        <v>0</v>
      </c>
      <c r="R1556" s="215">
        <v>23.630000000000031</v>
      </c>
      <c r="S1556" s="214">
        <v>0</v>
      </c>
      <c r="T1556" s="215">
        <v>0</v>
      </c>
      <c r="U1556" s="214">
        <v>17.02999999999998</v>
      </c>
      <c r="V1556" s="215">
        <v>5.0379999999999985</v>
      </c>
      <c r="W1556" s="214">
        <v>1.1553333333333333</v>
      </c>
      <c r="X1556" s="215">
        <v>0.14450000000000002</v>
      </c>
      <c r="Y1556" s="214">
        <v>0</v>
      </c>
      <c r="Z1556" s="215">
        <v>0</v>
      </c>
      <c r="AA1556" s="214">
        <v>0</v>
      </c>
      <c r="AB1556" s="215">
        <v>0</v>
      </c>
      <c r="AC1556" s="238">
        <f t="shared" si="84"/>
        <v>46.99783333333334</v>
      </c>
      <c r="AD1556" s="238"/>
      <c r="AE1556" s="238"/>
    </row>
    <row r="1557" spans="2:31" x14ac:dyDescent="0.3">
      <c r="B1557" s="245" t="s">
        <v>46</v>
      </c>
      <c r="C1557" s="245"/>
      <c r="D1557" s="245"/>
      <c r="E1557" s="214">
        <v>0</v>
      </c>
      <c r="F1557" s="215">
        <v>0</v>
      </c>
      <c r="G1557" s="214">
        <v>0</v>
      </c>
      <c r="H1557" s="215">
        <v>0</v>
      </c>
      <c r="I1557" s="214">
        <v>0</v>
      </c>
      <c r="J1557" s="215">
        <v>0</v>
      </c>
      <c r="K1557" s="214">
        <v>0</v>
      </c>
      <c r="L1557" s="215">
        <v>0</v>
      </c>
      <c r="M1557" s="214">
        <v>0</v>
      </c>
      <c r="N1557" s="215">
        <v>0</v>
      </c>
      <c r="O1557" s="214">
        <v>0</v>
      </c>
      <c r="P1557" s="215">
        <v>0</v>
      </c>
      <c r="Q1557" s="214">
        <v>26.71849999999997</v>
      </c>
      <c r="R1557" s="215">
        <v>0</v>
      </c>
      <c r="S1557" s="214">
        <v>28.802333333333301</v>
      </c>
      <c r="T1557" s="215">
        <v>8.6020000000000145</v>
      </c>
      <c r="U1557" s="214">
        <v>0</v>
      </c>
      <c r="V1557" s="215">
        <v>0</v>
      </c>
      <c r="W1557" s="214">
        <v>0</v>
      </c>
      <c r="X1557" s="215">
        <v>0</v>
      </c>
      <c r="Y1557" s="214">
        <v>0</v>
      </c>
      <c r="Z1557" s="215">
        <v>0</v>
      </c>
      <c r="AA1557" s="214">
        <v>0</v>
      </c>
      <c r="AB1557" s="215">
        <v>0</v>
      </c>
      <c r="AC1557" s="238">
        <f t="shared" si="84"/>
        <v>64.12283333333329</v>
      </c>
      <c r="AD1557" s="238"/>
      <c r="AE1557" s="238"/>
    </row>
    <row r="1558" spans="2:31" x14ac:dyDescent="0.3">
      <c r="B1558" s="245" t="s">
        <v>47</v>
      </c>
      <c r="C1558" s="245"/>
      <c r="D1558" s="245"/>
      <c r="E1558" s="214">
        <v>0</v>
      </c>
      <c r="F1558" s="215">
        <v>0</v>
      </c>
      <c r="G1558" s="214">
        <v>0</v>
      </c>
      <c r="H1558" s="215">
        <v>0</v>
      </c>
      <c r="I1558" s="214">
        <v>0</v>
      </c>
      <c r="J1558" s="215">
        <v>0</v>
      </c>
      <c r="K1558" s="214">
        <v>0</v>
      </c>
      <c r="L1558" s="215">
        <v>0</v>
      </c>
      <c r="M1558" s="214">
        <v>0</v>
      </c>
      <c r="N1558" s="215">
        <v>0</v>
      </c>
      <c r="O1558" s="214">
        <v>0</v>
      </c>
      <c r="P1558" s="215">
        <v>0</v>
      </c>
      <c r="Q1558" s="214">
        <v>7.1311666666666591</v>
      </c>
      <c r="R1558" s="215">
        <v>9.2400000000000055</v>
      </c>
      <c r="S1558" s="214">
        <v>7.7400000000000055</v>
      </c>
      <c r="T1558" s="215">
        <v>9.8399999999999945</v>
      </c>
      <c r="U1558" s="214">
        <v>9.4400000000000013</v>
      </c>
      <c r="V1558" s="215">
        <v>8.7400000000000055</v>
      </c>
      <c r="W1558" s="214">
        <v>2.6899999999999955</v>
      </c>
      <c r="X1558" s="215">
        <v>3.7999999999999992E-2</v>
      </c>
      <c r="Y1558" s="214">
        <v>0</v>
      </c>
      <c r="Z1558" s="215">
        <v>0</v>
      </c>
      <c r="AA1558" s="214">
        <v>0</v>
      </c>
      <c r="AB1558" s="215">
        <v>0</v>
      </c>
      <c r="AC1558" s="238">
        <f t="shared" si="84"/>
        <v>54.859166666666667</v>
      </c>
      <c r="AD1558" s="238"/>
      <c r="AE1558" s="238"/>
    </row>
    <row r="1559" spans="2:31" x14ac:dyDescent="0.3">
      <c r="B1559" s="245" t="s">
        <v>48</v>
      </c>
      <c r="C1559" s="245"/>
      <c r="D1559" s="245"/>
      <c r="E1559" s="214">
        <v>0</v>
      </c>
      <c r="F1559" s="215">
        <v>0</v>
      </c>
      <c r="G1559" s="214">
        <v>0</v>
      </c>
      <c r="H1559" s="215">
        <v>0</v>
      </c>
      <c r="I1559" s="214">
        <v>0</v>
      </c>
      <c r="J1559" s="215">
        <v>0</v>
      </c>
      <c r="K1559" s="214">
        <v>0</v>
      </c>
      <c r="L1559" s="215">
        <v>0</v>
      </c>
      <c r="M1559" s="214">
        <v>0</v>
      </c>
      <c r="N1559" s="215">
        <v>0</v>
      </c>
      <c r="O1559" s="214">
        <v>0</v>
      </c>
      <c r="P1559" s="215">
        <v>0</v>
      </c>
      <c r="Q1559" s="214">
        <v>6.1064999999999978</v>
      </c>
      <c r="R1559" s="215">
        <v>7.9200000000000044</v>
      </c>
      <c r="S1559" s="214">
        <v>0</v>
      </c>
      <c r="T1559" s="215">
        <v>8.4200000000000053</v>
      </c>
      <c r="U1559" s="214">
        <v>8.1200000000000028</v>
      </c>
      <c r="V1559" s="215">
        <v>7.6200000000000037</v>
      </c>
      <c r="W1559" s="214">
        <v>2.9075000000000006</v>
      </c>
      <c r="X1559" s="215">
        <v>2.4166666666666638E-2</v>
      </c>
      <c r="Y1559" s="214">
        <v>0</v>
      </c>
      <c r="Z1559" s="215">
        <v>0</v>
      </c>
      <c r="AA1559" s="214">
        <v>0</v>
      </c>
      <c r="AB1559" s="215">
        <v>0</v>
      </c>
      <c r="AC1559" s="238">
        <f t="shared" si="84"/>
        <v>41.118166666666681</v>
      </c>
      <c r="AD1559" s="238"/>
      <c r="AE1559" s="238"/>
    </row>
    <row r="1560" spans="2:31" x14ac:dyDescent="0.3">
      <c r="B1560" s="245" t="s">
        <v>49</v>
      </c>
      <c r="C1560" s="245"/>
      <c r="D1560" s="245"/>
      <c r="E1560" s="214">
        <v>0</v>
      </c>
      <c r="F1560" s="215">
        <v>0</v>
      </c>
      <c r="G1560" s="214">
        <v>0</v>
      </c>
      <c r="H1560" s="215">
        <v>0</v>
      </c>
      <c r="I1560" s="214">
        <v>0</v>
      </c>
      <c r="J1560" s="215">
        <v>0</v>
      </c>
      <c r="K1560" s="214">
        <v>0</v>
      </c>
      <c r="L1560" s="215">
        <v>0</v>
      </c>
      <c r="M1560" s="214">
        <v>0</v>
      </c>
      <c r="N1560" s="215">
        <v>0</v>
      </c>
      <c r="O1560" s="214">
        <v>0</v>
      </c>
      <c r="P1560" s="215">
        <v>0</v>
      </c>
      <c r="Q1560" s="214">
        <v>0</v>
      </c>
      <c r="R1560" s="215">
        <v>0</v>
      </c>
      <c r="S1560" s="214">
        <v>0</v>
      </c>
      <c r="T1560" s="215">
        <v>0</v>
      </c>
      <c r="U1560" s="214">
        <v>0</v>
      </c>
      <c r="V1560" s="215">
        <v>0</v>
      </c>
      <c r="W1560" s="214">
        <v>0</v>
      </c>
      <c r="X1560" s="215">
        <v>0</v>
      </c>
      <c r="Y1560" s="214">
        <v>0</v>
      </c>
      <c r="Z1560" s="215">
        <v>0</v>
      </c>
      <c r="AA1560" s="214">
        <v>0</v>
      </c>
      <c r="AB1560" s="215">
        <v>0</v>
      </c>
      <c r="AC1560" s="238">
        <f t="shared" si="84"/>
        <v>0</v>
      </c>
      <c r="AD1560" s="238"/>
      <c r="AE1560" s="238"/>
    </row>
    <row r="1561" spans="2:31" x14ac:dyDescent="0.3">
      <c r="B1561" s="245" t="s">
        <v>50</v>
      </c>
      <c r="C1561" s="245"/>
      <c r="D1561" s="245"/>
      <c r="E1561" s="214">
        <v>0</v>
      </c>
      <c r="F1561" s="215">
        <v>0</v>
      </c>
      <c r="G1561" s="214">
        <v>0</v>
      </c>
      <c r="H1561" s="215">
        <v>0</v>
      </c>
      <c r="I1561" s="214">
        <v>0</v>
      </c>
      <c r="J1561" s="215">
        <v>0</v>
      </c>
      <c r="K1561" s="214">
        <v>0</v>
      </c>
      <c r="L1561" s="215">
        <v>0</v>
      </c>
      <c r="M1561" s="214">
        <v>0</v>
      </c>
      <c r="N1561" s="215">
        <v>0</v>
      </c>
      <c r="O1561" s="214">
        <v>1.3644999999999996</v>
      </c>
      <c r="P1561" s="215">
        <v>0</v>
      </c>
      <c r="Q1561" s="214">
        <v>3.9138333333333359</v>
      </c>
      <c r="R1561" s="215">
        <v>6.6523333333333294</v>
      </c>
      <c r="S1561" s="214">
        <v>0</v>
      </c>
      <c r="T1561" s="215">
        <v>7.9244999999999992</v>
      </c>
      <c r="U1561" s="214">
        <v>2.8166666666667693E-2</v>
      </c>
      <c r="V1561" s="215">
        <v>4.1945000000000006</v>
      </c>
      <c r="W1561" s="214">
        <v>6.6666666666666428E-3</v>
      </c>
      <c r="X1561" s="215">
        <v>0</v>
      </c>
      <c r="Y1561" s="214">
        <v>0</v>
      </c>
      <c r="Z1561" s="215">
        <v>0</v>
      </c>
      <c r="AA1561" s="214">
        <v>0</v>
      </c>
      <c r="AB1561" s="215">
        <v>0</v>
      </c>
      <c r="AC1561" s="238">
        <f t="shared" si="84"/>
        <v>24.084500000000002</v>
      </c>
      <c r="AD1561" s="238"/>
      <c r="AE1561" s="238"/>
    </row>
    <row r="1562" spans="2:31" x14ac:dyDescent="0.3">
      <c r="B1562" s="245" t="s">
        <v>97</v>
      </c>
      <c r="C1562" s="245"/>
      <c r="D1562" s="245"/>
      <c r="E1562" s="214">
        <v>0</v>
      </c>
      <c r="F1562" s="215">
        <v>0</v>
      </c>
      <c r="G1562" s="214">
        <v>0</v>
      </c>
      <c r="H1562" s="215">
        <v>0</v>
      </c>
      <c r="I1562" s="214">
        <v>0</v>
      </c>
      <c r="J1562" s="215">
        <v>0</v>
      </c>
      <c r="K1562" s="214">
        <v>0</v>
      </c>
      <c r="L1562" s="215">
        <v>0</v>
      </c>
      <c r="M1562" s="214">
        <v>0</v>
      </c>
      <c r="N1562" s="215">
        <v>0</v>
      </c>
      <c r="O1562" s="214">
        <v>0</v>
      </c>
      <c r="P1562" s="215">
        <v>0</v>
      </c>
      <c r="Q1562" s="214">
        <v>0</v>
      </c>
      <c r="R1562" s="215">
        <v>0</v>
      </c>
      <c r="S1562" s="214">
        <v>0</v>
      </c>
      <c r="T1562" s="215">
        <v>0</v>
      </c>
      <c r="U1562" s="214">
        <v>0</v>
      </c>
      <c r="V1562" s="215">
        <v>0</v>
      </c>
      <c r="W1562" s="214">
        <v>0</v>
      </c>
      <c r="X1562" s="215">
        <v>0</v>
      </c>
      <c r="Y1562" s="214">
        <v>0</v>
      </c>
      <c r="Z1562" s="215">
        <v>0</v>
      </c>
      <c r="AA1562" s="214">
        <v>0</v>
      </c>
      <c r="AB1562" s="215">
        <v>0</v>
      </c>
      <c r="AC1562" s="238">
        <f t="shared" si="84"/>
        <v>0</v>
      </c>
      <c r="AD1562" s="238"/>
      <c r="AE1562" s="238"/>
    </row>
    <row r="1563" spans="2:31" x14ac:dyDescent="0.3">
      <c r="B1563" s="245" t="s">
        <v>51</v>
      </c>
      <c r="C1563" s="245"/>
      <c r="D1563" s="245"/>
      <c r="E1563" s="214">
        <v>0</v>
      </c>
      <c r="F1563" s="215">
        <v>0</v>
      </c>
      <c r="G1563" s="214">
        <v>0</v>
      </c>
      <c r="H1563" s="215">
        <v>0</v>
      </c>
      <c r="I1563" s="214">
        <v>0</v>
      </c>
      <c r="J1563" s="215">
        <v>0</v>
      </c>
      <c r="K1563" s="214">
        <v>0</v>
      </c>
      <c r="L1563" s="215">
        <v>0</v>
      </c>
      <c r="M1563" s="214">
        <v>0</v>
      </c>
      <c r="N1563" s="215">
        <v>0</v>
      </c>
      <c r="O1563" s="214">
        <v>0</v>
      </c>
      <c r="P1563" s="215">
        <v>0</v>
      </c>
      <c r="Q1563" s="214">
        <v>0</v>
      </c>
      <c r="R1563" s="215">
        <v>12.363499999999998</v>
      </c>
      <c r="S1563" s="214">
        <v>35.141500000000001</v>
      </c>
      <c r="T1563" s="215">
        <v>34.466666666666676</v>
      </c>
      <c r="U1563" s="214">
        <v>30.535499999999995</v>
      </c>
      <c r="V1563" s="215">
        <v>26.933499999999999</v>
      </c>
      <c r="W1563" s="214">
        <v>17.416833333333333</v>
      </c>
      <c r="X1563" s="215">
        <v>0</v>
      </c>
      <c r="Y1563" s="214">
        <v>0</v>
      </c>
      <c r="Z1563" s="215">
        <v>0</v>
      </c>
      <c r="AA1563" s="214">
        <v>0</v>
      </c>
      <c r="AB1563" s="215">
        <v>0</v>
      </c>
      <c r="AC1563" s="238">
        <f t="shared" si="84"/>
        <v>156.85749999999999</v>
      </c>
      <c r="AD1563" s="238"/>
      <c r="AE1563" s="238"/>
    </row>
    <row r="1564" spans="2:31" x14ac:dyDescent="0.3">
      <c r="B1564" s="245" t="s">
        <v>52</v>
      </c>
      <c r="C1564" s="245"/>
      <c r="D1564" s="245"/>
      <c r="E1564" s="214">
        <v>0</v>
      </c>
      <c r="F1564" s="215">
        <v>0</v>
      </c>
      <c r="G1564" s="214">
        <v>0</v>
      </c>
      <c r="H1564" s="215">
        <v>0</v>
      </c>
      <c r="I1564" s="214">
        <v>0</v>
      </c>
      <c r="J1564" s="215">
        <v>0</v>
      </c>
      <c r="K1564" s="214">
        <v>0</v>
      </c>
      <c r="L1564" s="215">
        <v>0</v>
      </c>
      <c r="M1564" s="214">
        <v>0</v>
      </c>
      <c r="N1564" s="215">
        <v>0</v>
      </c>
      <c r="O1564" s="214">
        <v>0</v>
      </c>
      <c r="P1564" s="215">
        <v>0</v>
      </c>
      <c r="Q1564" s="214">
        <v>0</v>
      </c>
      <c r="R1564" s="215">
        <v>0</v>
      </c>
      <c r="S1564" s="214">
        <v>0</v>
      </c>
      <c r="T1564" s="215">
        <v>0</v>
      </c>
      <c r="U1564" s="214">
        <v>0</v>
      </c>
      <c r="V1564" s="215">
        <v>0</v>
      </c>
      <c r="W1564" s="214">
        <v>0</v>
      </c>
      <c r="X1564" s="215">
        <v>0</v>
      </c>
      <c r="Y1564" s="214">
        <v>0</v>
      </c>
      <c r="Z1564" s="215">
        <v>0</v>
      </c>
      <c r="AA1564" s="214">
        <v>0</v>
      </c>
      <c r="AB1564" s="215">
        <v>0</v>
      </c>
      <c r="AC1564" s="238">
        <f t="shared" si="84"/>
        <v>0</v>
      </c>
      <c r="AD1564" s="238"/>
      <c r="AE1564" s="238"/>
    </row>
    <row r="1565" spans="2:31" x14ac:dyDescent="0.3">
      <c r="B1565" s="245" t="s">
        <v>53</v>
      </c>
      <c r="C1565" s="245"/>
      <c r="D1565" s="245"/>
      <c r="E1565" s="214">
        <v>0</v>
      </c>
      <c r="F1565" s="215">
        <v>0</v>
      </c>
      <c r="G1565" s="214">
        <v>0</v>
      </c>
      <c r="H1565" s="215">
        <v>0</v>
      </c>
      <c r="I1565" s="214">
        <v>0</v>
      </c>
      <c r="J1565" s="215">
        <v>0</v>
      </c>
      <c r="K1565" s="214">
        <v>0</v>
      </c>
      <c r="L1565" s="215">
        <v>0</v>
      </c>
      <c r="M1565" s="214">
        <v>0</v>
      </c>
      <c r="N1565" s="215">
        <v>0</v>
      </c>
      <c r="O1565" s="214">
        <v>0</v>
      </c>
      <c r="P1565" s="215">
        <v>0</v>
      </c>
      <c r="Q1565" s="214">
        <v>0</v>
      </c>
      <c r="R1565" s="215">
        <v>0</v>
      </c>
      <c r="S1565" s="214">
        <v>0</v>
      </c>
      <c r="T1565" s="215">
        <v>0</v>
      </c>
      <c r="U1565" s="214">
        <v>0</v>
      </c>
      <c r="V1565" s="215">
        <v>0</v>
      </c>
      <c r="W1565" s="214">
        <v>0</v>
      </c>
      <c r="X1565" s="215">
        <v>0</v>
      </c>
      <c r="Y1565" s="214">
        <v>0</v>
      </c>
      <c r="Z1565" s="215">
        <v>0</v>
      </c>
      <c r="AA1565" s="214">
        <v>0</v>
      </c>
      <c r="AB1565" s="215">
        <v>0</v>
      </c>
      <c r="AC1565" s="238">
        <f t="shared" si="84"/>
        <v>0</v>
      </c>
      <c r="AD1565" s="238"/>
      <c r="AE1565" s="238"/>
    </row>
    <row r="1566" spans="2:31" x14ac:dyDescent="0.3">
      <c r="B1566" s="245" t="s">
        <v>54</v>
      </c>
      <c r="C1566" s="245"/>
      <c r="D1566" s="245"/>
      <c r="E1566" s="214">
        <v>0</v>
      </c>
      <c r="F1566" s="215">
        <v>0</v>
      </c>
      <c r="G1566" s="214">
        <v>0</v>
      </c>
      <c r="H1566" s="215">
        <v>0</v>
      </c>
      <c r="I1566" s="214">
        <v>0</v>
      </c>
      <c r="J1566" s="215">
        <v>0</v>
      </c>
      <c r="K1566" s="214">
        <v>0</v>
      </c>
      <c r="L1566" s="215">
        <v>0</v>
      </c>
      <c r="M1566" s="214">
        <v>0</v>
      </c>
      <c r="N1566" s="215">
        <v>0</v>
      </c>
      <c r="O1566" s="214">
        <v>0</v>
      </c>
      <c r="P1566" s="215">
        <v>0</v>
      </c>
      <c r="Q1566" s="214">
        <v>0</v>
      </c>
      <c r="R1566" s="215">
        <v>3.8296666666666672</v>
      </c>
      <c r="S1566" s="214">
        <v>12.548500000000002</v>
      </c>
      <c r="T1566" s="215">
        <v>12.97216666666667</v>
      </c>
      <c r="U1566" s="214">
        <v>15.622999999999998</v>
      </c>
      <c r="V1566" s="215">
        <v>15.662500000000003</v>
      </c>
      <c r="W1566" s="214">
        <v>13.507999999999994</v>
      </c>
      <c r="X1566" s="215">
        <v>0</v>
      </c>
      <c r="Y1566" s="214">
        <v>0</v>
      </c>
      <c r="Z1566" s="215">
        <v>0</v>
      </c>
      <c r="AA1566" s="214">
        <v>0</v>
      </c>
      <c r="AB1566" s="215">
        <v>0</v>
      </c>
      <c r="AC1566" s="238">
        <f t="shared" si="84"/>
        <v>74.143833333333333</v>
      </c>
      <c r="AD1566" s="238"/>
      <c r="AE1566" s="238"/>
    </row>
    <row r="1567" spans="2:31" x14ac:dyDescent="0.3">
      <c r="B1567" s="245" t="s">
        <v>55</v>
      </c>
      <c r="C1567" s="245"/>
      <c r="D1567" s="245"/>
      <c r="E1567" s="214">
        <v>0</v>
      </c>
      <c r="F1567" s="215">
        <v>0</v>
      </c>
      <c r="G1567" s="214">
        <v>0</v>
      </c>
      <c r="H1567" s="215">
        <v>0</v>
      </c>
      <c r="I1567" s="214">
        <v>0</v>
      </c>
      <c r="J1567" s="215">
        <v>0</v>
      </c>
      <c r="K1567" s="214">
        <v>0</v>
      </c>
      <c r="L1567" s="215">
        <v>0</v>
      </c>
      <c r="M1567" s="214">
        <v>0</v>
      </c>
      <c r="N1567" s="215">
        <v>0</v>
      </c>
      <c r="O1567" s="214">
        <v>0</v>
      </c>
      <c r="P1567" s="215">
        <v>0</v>
      </c>
      <c r="Q1567" s="214">
        <v>0</v>
      </c>
      <c r="R1567" s="215">
        <v>0.82266666666666688</v>
      </c>
      <c r="S1567" s="214">
        <v>5.8699999999999992</v>
      </c>
      <c r="T1567" s="215">
        <v>6.311833333333329</v>
      </c>
      <c r="U1567" s="214">
        <v>8.3700000000000045</v>
      </c>
      <c r="V1567" s="215">
        <v>6.3540000000000108</v>
      </c>
      <c r="W1567" s="214">
        <v>0.89766666666666739</v>
      </c>
      <c r="X1567" s="215">
        <v>0</v>
      </c>
      <c r="Y1567" s="214">
        <v>0</v>
      </c>
      <c r="Z1567" s="215">
        <v>0</v>
      </c>
      <c r="AA1567" s="214">
        <v>0</v>
      </c>
      <c r="AB1567" s="215">
        <v>0</v>
      </c>
      <c r="AC1567" s="238">
        <f t="shared" si="84"/>
        <v>28.626166666666673</v>
      </c>
      <c r="AD1567" s="238"/>
      <c r="AE1567" s="238"/>
    </row>
    <row r="1568" spans="2:31" x14ac:dyDescent="0.3">
      <c r="B1568" s="245" t="s">
        <v>56</v>
      </c>
      <c r="C1568" s="245"/>
      <c r="D1568" s="245"/>
      <c r="E1568" s="214">
        <v>0</v>
      </c>
      <c r="F1568" s="215">
        <v>0</v>
      </c>
      <c r="G1568" s="214">
        <v>0</v>
      </c>
      <c r="H1568" s="215">
        <v>0</v>
      </c>
      <c r="I1568" s="214">
        <v>0</v>
      </c>
      <c r="J1568" s="215">
        <v>0</v>
      </c>
      <c r="K1568" s="214">
        <v>0</v>
      </c>
      <c r="L1568" s="215">
        <v>0</v>
      </c>
      <c r="M1568" s="214">
        <v>0</v>
      </c>
      <c r="N1568" s="215">
        <v>0</v>
      </c>
      <c r="O1568" s="214">
        <v>0</v>
      </c>
      <c r="P1568" s="215">
        <v>0</v>
      </c>
      <c r="Q1568" s="214">
        <v>0</v>
      </c>
      <c r="R1568" s="215">
        <v>6.3666666666666677E-2</v>
      </c>
      <c r="S1568" s="214">
        <v>2.2930000000000024</v>
      </c>
      <c r="T1568" s="215">
        <v>2.8080000000000016</v>
      </c>
      <c r="U1568" s="214">
        <v>3.3106666666666693</v>
      </c>
      <c r="V1568" s="215">
        <v>1.8483333333333365</v>
      </c>
      <c r="W1568" s="214">
        <v>0</v>
      </c>
      <c r="X1568" s="215">
        <v>0</v>
      </c>
      <c r="Y1568" s="214">
        <v>0</v>
      </c>
      <c r="Z1568" s="215">
        <v>0</v>
      </c>
      <c r="AA1568" s="214">
        <v>0</v>
      </c>
      <c r="AB1568" s="215">
        <v>0</v>
      </c>
      <c r="AC1568" s="238">
        <f t="shared" si="84"/>
        <v>10.323666666666677</v>
      </c>
      <c r="AD1568" s="238"/>
      <c r="AE1568" s="238"/>
    </row>
    <row r="1569" spans="2:31" x14ac:dyDescent="0.3">
      <c r="B1569" s="245" t="s">
        <v>94</v>
      </c>
      <c r="C1569" s="245"/>
      <c r="D1569" s="245"/>
      <c r="E1569" s="214">
        <v>0</v>
      </c>
      <c r="F1569" s="215">
        <v>0</v>
      </c>
      <c r="G1569" s="214">
        <v>0</v>
      </c>
      <c r="H1569" s="215">
        <v>0</v>
      </c>
      <c r="I1569" s="214">
        <v>0</v>
      </c>
      <c r="J1569" s="215">
        <v>0</v>
      </c>
      <c r="K1569" s="214">
        <v>0</v>
      </c>
      <c r="L1569" s="215">
        <v>0</v>
      </c>
      <c r="M1569" s="214">
        <v>0</v>
      </c>
      <c r="N1569" s="215">
        <v>0</v>
      </c>
      <c r="O1569" s="214">
        <v>0</v>
      </c>
      <c r="P1569" s="215">
        <v>0</v>
      </c>
      <c r="Q1569" s="214">
        <v>0</v>
      </c>
      <c r="R1569" s="215">
        <v>0</v>
      </c>
      <c r="S1569" s="214">
        <v>0</v>
      </c>
      <c r="T1569" s="215">
        <v>0</v>
      </c>
      <c r="U1569" s="214">
        <v>0</v>
      </c>
      <c r="V1569" s="215">
        <v>0</v>
      </c>
      <c r="W1569" s="214">
        <v>0</v>
      </c>
      <c r="X1569" s="215">
        <v>0</v>
      </c>
      <c r="Y1569" s="214">
        <v>0</v>
      </c>
      <c r="Z1569" s="215">
        <v>0</v>
      </c>
      <c r="AA1569" s="214">
        <v>0</v>
      </c>
      <c r="AB1569" s="215">
        <v>0</v>
      </c>
      <c r="AC1569" s="238">
        <f t="shared" si="84"/>
        <v>0</v>
      </c>
      <c r="AD1569" s="238"/>
      <c r="AE1569" s="238"/>
    </row>
    <row r="1570" spans="2:31" x14ac:dyDescent="0.3">
      <c r="B1570" s="245" t="s">
        <v>57</v>
      </c>
      <c r="C1570" s="245"/>
      <c r="D1570" s="245"/>
      <c r="E1570" s="214">
        <v>0</v>
      </c>
      <c r="F1570" s="215">
        <v>0</v>
      </c>
      <c r="G1570" s="214">
        <v>0</v>
      </c>
      <c r="H1570" s="215">
        <v>0</v>
      </c>
      <c r="I1570" s="214">
        <v>0</v>
      </c>
      <c r="J1570" s="215">
        <v>0</v>
      </c>
      <c r="K1570" s="214">
        <v>0</v>
      </c>
      <c r="L1570" s="215">
        <v>0</v>
      </c>
      <c r="M1570" s="214">
        <v>0</v>
      </c>
      <c r="N1570" s="215">
        <v>0</v>
      </c>
      <c r="O1570" s="214">
        <v>0</v>
      </c>
      <c r="P1570" s="215">
        <v>0</v>
      </c>
      <c r="Q1570" s="214">
        <v>0</v>
      </c>
      <c r="R1570" s="215">
        <v>0.3448333333333336</v>
      </c>
      <c r="S1570" s="214">
        <v>2.1568333333333336</v>
      </c>
      <c r="T1570" s="215">
        <v>2.2058333333333322</v>
      </c>
      <c r="U1570" s="214">
        <v>2.8950000000000022</v>
      </c>
      <c r="V1570" s="215">
        <v>2.5988333333333316</v>
      </c>
      <c r="W1570" s="214">
        <v>1.2000000000000011E-2</v>
      </c>
      <c r="X1570" s="215">
        <v>0</v>
      </c>
      <c r="Y1570" s="214">
        <v>0</v>
      </c>
      <c r="Z1570" s="215">
        <v>0</v>
      </c>
      <c r="AA1570" s="214">
        <v>0</v>
      </c>
      <c r="AB1570" s="215">
        <v>0</v>
      </c>
      <c r="AC1570" s="238">
        <f t="shared" si="84"/>
        <v>10.213333333333335</v>
      </c>
      <c r="AD1570" s="238"/>
      <c r="AE1570" s="238"/>
    </row>
    <row r="1571" spans="2:31" x14ac:dyDescent="0.3">
      <c r="B1571" s="245" t="s">
        <v>58</v>
      </c>
      <c r="C1571" s="245"/>
      <c r="D1571" s="245"/>
      <c r="E1571" s="214">
        <v>0</v>
      </c>
      <c r="F1571" s="215">
        <v>0</v>
      </c>
      <c r="G1571" s="214">
        <v>0</v>
      </c>
      <c r="H1571" s="215">
        <v>0</v>
      </c>
      <c r="I1571" s="214">
        <v>0</v>
      </c>
      <c r="J1571" s="215">
        <v>0</v>
      </c>
      <c r="K1571" s="214">
        <v>0</v>
      </c>
      <c r="L1571" s="215">
        <v>0</v>
      </c>
      <c r="M1571" s="214">
        <v>0</v>
      </c>
      <c r="N1571" s="215">
        <v>0</v>
      </c>
      <c r="O1571" s="214">
        <v>0</v>
      </c>
      <c r="P1571" s="215">
        <v>0</v>
      </c>
      <c r="Q1571" s="214">
        <v>0</v>
      </c>
      <c r="R1571" s="215">
        <v>1.0000000000002748E-3</v>
      </c>
      <c r="S1571" s="214">
        <v>0</v>
      </c>
      <c r="T1571" s="215">
        <v>0.377999999999998</v>
      </c>
      <c r="U1571" s="214">
        <v>1.0369999999999961</v>
      </c>
      <c r="V1571" s="215">
        <v>0.17733333333333429</v>
      </c>
      <c r="W1571" s="214">
        <v>0</v>
      </c>
      <c r="X1571" s="215">
        <v>0</v>
      </c>
      <c r="Y1571" s="214">
        <v>0</v>
      </c>
      <c r="Z1571" s="215">
        <v>0</v>
      </c>
      <c r="AA1571" s="214">
        <v>0</v>
      </c>
      <c r="AB1571" s="215">
        <v>0</v>
      </c>
      <c r="AC1571" s="238">
        <f t="shared" si="84"/>
        <v>1.5933333333333286</v>
      </c>
      <c r="AD1571" s="238"/>
      <c r="AE1571" s="238"/>
    </row>
    <row r="1572" spans="2:31" x14ac:dyDescent="0.3">
      <c r="B1572" s="245" t="s">
        <v>95</v>
      </c>
      <c r="C1572" s="245"/>
      <c r="D1572" s="245"/>
      <c r="E1572" s="214">
        <v>0</v>
      </c>
      <c r="F1572" s="215">
        <v>0</v>
      </c>
      <c r="G1572" s="214">
        <v>0</v>
      </c>
      <c r="H1572" s="215">
        <v>0</v>
      </c>
      <c r="I1572" s="214">
        <v>0</v>
      </c>
      <c r="J1572" s="215">
        <v>0</v>
      </c>
      <c r="K1572" s="214">
        <v>0</v>
      </c>
      <c r="L1572" s="215">
        <v>0</v>
      </c>
      <c r="M1572" s="214">
        <v>0</v>
      </c>
      <c r="N1572" s="215">
        <v>0</v>
      </c>
      <c r="O1572" s="214">
        <v>0</v>
      </c>
      <c r="P1572" s="215">
        <v>0</v>
      </c>
      <c r="Q1572" s="214">
        <v>0</v>
      </c>
      <c r="R1572" s="215">
        <v>0</v>
      </c>
      <c r="S1572" s="214">
        <v>0</v>
      </c>
      <c r="T1572" s="215">
        <v>0</v>
      </c>
      <c r="U1572" s="214">
        <v>0</v>
      </c>
      <c r="V1572" s="215">
        <v>0</v>
      </c>
      <c r="W1572" s="214">
        <v>0</v>
      </c>
      <c r="X1572" s="215">
        <v>0</v>
      </c>
      <c r="Y1572" s="214">
        <v>0</v>
      </c>
      <c r="Z1572" s="215">
        <v>0</v>
      </c>
      <c r="AA1572" s="214">
        <v>0</v>
      </c>
      <c r="AB1572" s="215">
        <v>0</v>
      </c>
      <c r="AC1572" s="238">
        <f t="shared" si="84"/>
        <v>0</v>
      </c>
      <c r="AD1572" s="238"/>
      <c r="AE1572" s="238"/>
    </row>
    <row r="1573" spans="2:31" x14ac:dyDescent="0.3">
      <c r="B1573" s="245" t="s">
        <v>59</v>
      </c>
      <c r="C1573" s="245"/>
      <c r="D1573" s="245"/>
      <c r="E1573" s="214">
        <v>0</v>
      </c>
      <c r="F1573" s="215">
        <v>0</v>
      </c>
      <c r="G1573" s="214">
        <v>0</v>
      </c>
      <c r="H1573" s="215">
        <v>0</v>
      </c>
      <c r="I1573" s="214">
        <v>0</v>
      </c>
      <c r="J1573" s="215">
        <v>0</v>
      </c>
      <c r="K1573" s="214">
        <v>0</v>
      </c>
      <c r="L1573" s="215">
        <v>0</v>
      </c>
      <c r="M1573" s="214">
        <v>0</v>
      </c>
      <c r="N1573" s="215">
        <v>0</v>
      </c>
      <c r="O1573" s="214">
        <v>0</v>
      </c>
      <c r="P1573" s="215">
        <v>0</v>
      </c>
      <c r="Q1573" s="214">
        <v>0</v>
      </c>
      <c r="R1573" s="215">
        <v>8.2261666666666731</v>
      </c>
      <c r="S1573" s="214">
        <v>17.336333333333343</v>
      </c>
      <c r="T1573" s="215">
        <v>17.610000000000007</v>
      </c>
      <c r="U1573" s="214">
        <v>4.908333333333335</v>
      </c>
      <c r="V1573" s="215">
        <v>0</v>
      </c>
      <c r="W1573" s="214">
        <v>0</v>
      </c>
      <c r="X1573" s="215">
        <v>0</v>
      </c>
      <c r="Y1573" s="214">
        <v>0</v>
      </c>
      <c r="Z1573" s="215">
        <v>0</v>
      </c>
      <c r="AA1573" s="214">
        <v>0</v>
      </c>
      <c r="AB1573" s="215">
        <v>0</v>
      </c>
      <c r="AC1573" s="238">
        <f t="shared" si="84"/>
        <v>48.080833333333359</v>
      </c>
      <c r="AD1573" s="238"/>
      <c r="AE1573" s="238"/>
    </row>
    <row r="1574" spans="2:31" x14ac:dyDescent="0.3">
      <c r="B1574" s="245" t="s">
        <v>60</v>
      </c>
      <c r="C1574" s="245"/>
      <c r="D1574" s="245"/>
      <c r="E1574" s="214">
        <v>0</v>
      </c>
      <c r="F1574" s="215">
        <v>0</v>
      </c>
      <c r="G1574" s="214">
        <v>0</v>
      </c>
      <c r="H1574" s="215">
        <v>0</v>
      </c>
      <c r="I1574" s="214">
        <v>0</v>
      </c>
      <c r="J1574" s="215">
        <v>0</v>
      </c>
      <c r="K1574" s="214">
        <v>0</v>
      </c>
      <c r="L1574" s="215">
        <v>0</v>
      </c>
      <c r="M1574" s="214">
        <v>0</v>
      </c>
      <c r="N1574" s="215">
        <v>0</v>
      </c>
      <c r="O1574" s="214">
        <v>0</v>
      </c>
      <c r="P1574" s="215">
        <v>0</v>
      </c>
      <c r="Q1574" s="214">
        <v>0</v>
      </c>
      <c r="R1574" s="215">
        <v>0.14966666666666661</v>
      </c>
      <c r="S1574" s="214">
        <v>3.4646666666666635</v>
      </c>
      <c r="T1574" s="215">
        <v>3.7844999999999995</v>
      </c>
      <c r="U1574" s="214">
        <v>5.5</v>
      </c>
      <c r="V1574" s="215">
        <v>0</v>
      </c>
      <c r="W1574" s="214">
        <v>0</v>
      </c>
      <c r="X1574" s="215">
        <v>0</v>
      </c>
      <c r="Y1574" s="214">
        <v>0</v>
      </c>
      <c r="Z1574" s="215">
        <v>0</v>
      </c>
      <c r="AA1574" s="214">
        <v>0</v>
      </c>
      <c r="AB1574" s="215">
        <v>0</v>
      </c>
      <c r="AC1574" s="238">
        <f t="shared" si="84"/>
        <v>12.898833333333329</v>
      </c>
      <c r="AD1574" s="238"/>
      <c r="AE1574" s="238"/>
    </row>
    <row r="1575" spans="2:31" x14ac:dyDescent="0.3">
      <c r="B1575" s="245" t="s">
        <v>61</v>
      </c>
      <c r="C1575" s="245"/>
      <c r="D1575" s="245"/>
      <c r="E1575" s="214">
        <v>0</v>
      </c>
      <c r="F1575" s="215">
        <v>0</v>
      </c>
      <c r="G1575" s="214">
        <v>0</v>
      </c>
      <c r="H1575" s="215">
        <v>0</v>
      </c>
      <c r="I1575" s="214">
        <v>0</v>
      </c>
      <c r="J1575" s="215">
        <v>0</v>
      </c>
      <c r="K1575" s="214">
        <v>0</v>
      </c>
      <c r="L1575" s="215">
        <v>0</v>
      </c>
      <c r="M1575" s="214">
        <v>0</v>
      </c>
      <c r="N1575" s="215">
        <v>0</v>
      </c>
      <c r="O1575" s="214">
        <v>0</v>
      </c>
      <c r="P1575" s="215">
        <v>0</v>
      </c>
      <c r="Q1575" s="214">
        <v>0</v>
      </c>
      <c r="R1575" s="215">
        <v>0.66500000000000037</v>
      </c>
      <c r="S1575" s="214">
        <v>4.9895000000000032</v>
      </c>
      <c r="T1575" s="215">
        <v>3.5063333333333264</v>
      </c>
      <c r="U1575" s="214">
        <v>0</v>
      </c>
      <c r="V1575" s="215">
        <v>0</v>
      </c>
      <c r="W1575" s="214">
        <v>0</v>
      </c>
      <c r="X1575" s="215">
        <v>0</v>
      </c>
      <c r="Y1575" s="214">
        <v>0</v>
      </c>
      <c r="Z1575" s="215">
        <v>0</v>
      </c>
      <c r="AA1575" s="214">
        <v>0</v>
      </c>
      <c r="AB1575" s="215">
        <v>0</v>
      </c>
      <c r="AC1575" s="238">
        <f t="shared" si="84"/>
        <v>9.1608333333333292</v>
      </c>
      <c r="AD1575" s="238"/>
      <c r="AE1575" s="238"/>
    </row>
    <row r="1576" spans="2:31" x14ac:dyDescent="0.3">
      <c r="B1576" s="245" t="s">
        <v>62</v>
      </c>
      <c r="C1576" s="245"/>
      <c r="D1576" s="245"/>
      <c r="E1576" s="214">
        <v>0</v>
      </c>
      <c r="F1576" s="215">
        <v>0</v>
      </c>
      <c r="G1576" s="214">
        <v>0</v>
      </c>
      <c r="H1576" s="215">
        <v>0</v>
      </c>
      <c r="I1576" s="214">
        <v>0</v>
      </c>
      <c r="J1576" s="215">
        <v>0</v>
      </c>
      <c r="K1576" s="214">
        <v>0</v>
      </c>
      <c r="L1576" s="215">
        <v>0</v>
      </c>
      <c r="M1576" s="214">
        <v>0</v>
      </c>
      <c r="N1576" s="215">
        <v>0</v>
      </c>
      <c r="O1576" s="214">
        <v>0</v>
      </c>
      <c r="P1576" s="215">
        <v>0</v>
      </c>
      <c r="Q1576" s="214">
        <v>0</v>
      </c>
      <c r="R1576" s="215">
        <v>0</v>
      </c>
      <c r="S1576" s="214">
        <v>0</v>
      </c>
      <c r="T1576" s="215">
        <v>0</v>
      </c>
      <c r="U1576" s="214">
        <v>0</v>
      </c>
      <c r="V1576" s="215">
        <v>0</v>
      </c>
      <c r="W1576" s="214">
        <v>0</v>
      </c>
      <c r="X1576" s="215">
        <v>0</v>
      </c>
      <c r="Y1576" s="214">
        <v>0</v>
      </c>
      <c r="Z1576" s="215">
        <v>0</v>
      </c>
      <c r="AA1576" s="214">
        <v>0</v>
      </c>
      <c r="AB1576" s="215">
        <v>0</v>
      </c>
      <c r="AC1576" s="238">
        <f t="shared" si="84"/>
        <v>0</v>
      </c>
      <c r="AD1576" s="238"/>
      <c r="AE1576" s="238"/>
    </row>
    <row r="1577" spans="2:31" x14ac:dyDescent="0.3">
      <c r="B1577" s="245" t="s">
        <v>63</v>
      </c>
      <c r="C1577" s="245"/>
      <c r="D1577" s="245"/>
      <c r="E1577" s="214">
        <v>0</v>
      </c>
      <c r="F1577" s="215">
        <v>0</v>
      </c>
      <c r="G1577" s="214">
        <v>0</v>
      </c>
      <c r="H1577" s="215">
        <v>0</v>
      </c>
      <c r="I1577" s="214">
        <v>0</v>
      </c>
      <c r="J1577" s="215">
        <v>0</v>
      </c>
      <c r="K1577" s="214">
        <v>0</v>
      </c>
      <c r="L1577" s="215">
        <v>0</v>
      </c>
      <c r="M1577" s="214">
        <v>0</v>
      </c>
      <c r="N1577" s="215">
        <v>0</v>
      </c>
      <c r="O1577" s="214">
        <v>0</v>
      </c>
      <c r="P1577" s="215">
        <v>0</v>
      </c>
      <c r="Q1577" s="214">
        <v>0</v>
      </c>
      <c r="R1577" s="215">
        <v>1.962999999999999</v>
      </c>
      <c r="S1577" s="214">
        <v>9.8428333333333207</v>
      </c>
      <c r="T1577" s="215">
        <v>10.698999999999996</v>
      </c>
      <c r="U1577" s="214">
        <v>16.497833333333308</v>
      </c>
      <c r="V1577" s="215">
        <v>15.654000000000016</v>
      </c>
      <c r="W1577" s="214">
        <v>11.598666666666682</v>
      </c>
      <c r="X1577" s="215">
        <v>0</v>
      </c>
      <c r="Y1577" s="214">
        <v>0</v>
      </c>
      <c r="Z1577" s="215">
        <v>0</v>
      </c>
      <c r="AA1577" s="214">
        <v>0</v>
      </c>
      <c r="AB1577" s="215">
        <v>0</v>
      </c>
      <c r="AC1577" s="238">
        <f t="shared" si="84"/>
        <v>66.255333333333326</v>
      </c>
      <c r="AD1577" s="238"/>
      <c r="AE1577" s="238"/>
    </row>
    <row r="1578" spans="2:31" x14ac:dyDescent="0.3">
      <c r="B1578" s="245" t="s">
        <v>64</v>
      </c>
      <c r="C1578" s="245"/>
      <c r="D1578" s="245"/>
      <c r="E1578" s="214">
        <v>0</v>
      </c>
      <c r="F1578" s="215">
        <v>0</v>
      </c>
      <c r="G1578" s="214">
        <v>0</v>
      </c>
      <c r="H1578" s="215">
        <v>0</v>
      </c>
      <c r="I1578" s="214">
        <v>0</v>
      </c>
      <c r="J1578" s="215">
        <v>0</v>
      </c>
      <c r="K1578" s="214">
        <v>0</v>
      </c>
      <c r="L1578" s="215">
        <v>0</v>
      </c>
      <c r="M1578" s="214">
        <v>0</v>
      </c>
      <c r="N1578" s="215">
        <v>0</v>
      </c>
      <c r="O1578" s="214">
        <v>0</v>
      </c>
      <c r="P1578" s="215">
        <v>0</v>
      </c>
      <c r="Q1578" s="214">
        <v>0</v>
      </c>
      <c r="R1578" s="215">
        <v>0.25299999999999978</v>
      </c>
      <c r="S1578" s="214">
        <v>2.9499999999999988</v>
      </c>
      <c r="T1578" s="215">
        <v>3.0500000000000012</v>
      </c>
      <c r="U1578" s="214">
        <v>4.2581666666666598</v>
      </c>
      <c r="V1578" s="215">
        <v>3.4600000000000057</v>
      </c>
      <c r="W1578" s="214">
        <v>5.616666666666674E-2</v>
      </c>
      <c r="X1578" s="215">
        <v>0</v>
      </c>
      <c r="Y1578" s="214">
        <v>0</v>
      </c>
      <c r="Z1578" s="215">
        <v>0</v>
      </c>
      <c r="AA1578" s="214">
        <v>0</v>
      </c>
      <c r="AB1578" s="215">
        <v>0</v>
      </c>
      <c r="AC1578" s="238">
        <f t="shared" si="84"/>
        <v>14.027333333333333</v>
      </c>
      <c r="AD1578" s="238"/>
      <c r="AE1578" s="238"/>
    </row>
    <row r="1579" spans="2:31" x14ac:dyDescent="0.3">
      <c r="B1579" s="245" t="s">
        <v>96</v>
      </c>
      <c r="C1579" s="245"/>
      <c r="D1579" s="245"/>
      <c r="E1579" s="214">
        <v>0</v>
      </c>
      <c r="F1579" s="215">
        <v>0</v>
      </c>
      <c r="G1579" s="214">
        <v>0</v>
      </c>
      <c r="H1579" s="215">
        <v>0</v>
      </c>
      <c r="I1579" s="214">
        <v>0</v>
      </c>
      <c r="J1579" s="215">
        <v>0</v>
      </c>
      <c r="K1579" s="214">
        <v>0</v>
      </c>
      <c r="L1579" s="215">
        <v>0</v>
      </c>
      <c r="M1579" s="214">
        <v>0</v>
      </c>
      <c r="N1579" s="215">
        <v>0</v>
      </c>
      <c r="O1579" s="214">
        <v>0</v>
      </c>
      <c r="P1579" s="215">
        <v>0</v>
      </c>
      <c r="Q1579" s="214">
        <v>0</v>
      </c>
      <c r="R1579" s="215">
        <v>0</v>
      </c>
      <c r="S1579" s="214">
        <v>0</v>
      </c>
      <c r="T1579" s="215">
        <v>0</v>
      </c>
      <c r="U1579" s="214">
        <v>0</v>
      </c>
      <c r="V1579" s="215">
        <v>0</v>
      </c>
      <c r="W1579" s="214">
        <v>0</v>
      </c>
      <c r="X1579" s="215">
        <v>0</v>
      </c>
      <c r="Y1579" s="214">
        <v>0</v>
      </c>
      <c r="Z1579" s="215">
        <v>0</v>
      </c>
      <c r="AA1579" s="214">
        <v>0</v>
      </c>
      <c r="AB1579" s="215">
        <v>0</v>
      </c>
      <c r="AC1579" s="238">
        <f t="shared" si="84"/>
        <v>0</v>
      </c>
      <c r="AD1579" s="238"/>
      <c r="AE1579" s="238"/>
    </row>
    <row r="1580" spans="2:31" x14ac:dyDescent="0.3">
      <c r="B1580" s="245" t="s">
        <v>65</v>
      </c>
      <c r="C1580" s="245"/>
      <c r="D1580" s="245"/>
      <c r="E1580" s="214">
        <v>0</v>
      </c>
      <c r="F1580" s="215">
        <v>0</v>
      </c>
      <c r="G1580" s="214">
        <v>0</v>
      </c>
      <c r="H1580" s="215">
        <v>0</v>
      </c>
      <c r="I1580" s="214">
        <v>0</v>
      </c>
      <c r="J1580" s="215">
        <v>0</v>
      </c>
      <c r="K1580" s="214">
        <v>0</v>
      </c>
      <c r="L1580" s="215">
        <v>0</v>
      </c>
      <c r="M1580" s="214">
        <v>0</v>
      </c>
      <c r="N1580" s="215">
        <v>0</v>
      </c>
      <c r="O1580" s="214">
        <v>0</v>
      </c>
      <c r="P1580" s="215">
        <v>0</v>
      </c>
      <c r="Q1580" s="214">
        <v>0</v>
      </c>
      <c r="R1580" s="215">
        <v>0.66849999999999943</v>
      </c>
      <c r="S1580" s="214">
        <v>3.5428333333333324</v>
      </c>
      <c r="T1580" s="215">
        <v>3.636166666666667</v>
      </c>
      <c r="U1580" s="214">
        <v>3.9000000000000039</v>
      </c>
      <c r="V1580" s="215">
        <v>2.1868333333333356</v>
      </c>
      <c r="W1580" s="214">
        <v>1.1148333333333327</v>
      </c>
      <c r="X1580" s="215">
        <v>0</v>
      </c>
      <c r="Y1580" s="214">
        <v>0</v>
      </c>
      <c r="Z1580" s="215">
        <v>0</v>
      </c>
      <c r="AA1580" s="214">
        <v>0</v>
      </c>
      <c r="AB1580" s="215">
        <v>0</v>
      </c>
      <c r="AC1580" s="238">
        <f t="shared" si="84"/>
        <v>15.049166666666672</v>
      </c>
      <c r="AD1580" s="238"/>
      <c r="AE1580" s="238"/>
    </row>
    <row r="1581" spans="2:31" x14ac:dyDescent="0.3">
      <c r="B1581" s="245" t="s">
        <v>66</v>
      </c>
      <c r="C1581" s="245"/>
      <c r="D1581" s="245"/>
      <c r="E1581" s="214">
        <v>0</v>
      </c>
      <c r="F1581" s="215">
        <v>0</v>
      </c>
      <c r="G1581" s="214">
        <v>0</v>
      </c>
      <c r="H1581" s="215">
        <v>0</v>
      </c>
      <c r="I1581" s="214">
        <v>0</v>
      </c>
      <c r="J1581" s="215">
        <v>0</v>
      </c>
      <c r="K1581" s="214">
        <v>0</v>
      </c>
      <c r="L1581" s="215">
        <v>0</v>
      </c>
      <c r="M1581" s="214">
        <v>0</v>
      </c>
      <c r="N1581" s="215">
        <v>0</v>
      </c>
      <c r="O1581" s="214">
        <v>0</v>
      </c>
      <c r="P1581" s="215">
        <v>0</v>
      </c>
      <c r="Q1581" s="214">
        <v>0</v>
      </c>
      <c r="R1581" s="215">
        <v>1.4731666666666663</v>
      </c>
      <c r="S1581" s="214">
        <v>6.7591666666666601</v>
      </c>
      <c r="T1581" s="215">
        <v>6.2826666666666693</v>
      </c>
      <c r="U1581" s="214">
        <v>6.8261666666666692</v>
      </c>
      <c r="V1581" s="215">
        <v>0</v>
      </c>
      <c r="W1581" s="214">
        <v>3.7166666666666855E-2</v>
      </c>
      <c r="X1581" s="215">
        <v>0</v>
      </c>
      <c r="Y1581" s="214">
        <v>0</v>
      </c>
      <c r="Z1581" s="215">
        <v>0</v>
      </c>
      <c r="AA1581" s="214">
        <v>0</v>
      </c>
      <c r="AB1581" s="215">
        <v>0</v>
      </c>
      <c r="AC1581" s="238">
        <f>SUM(E1581:AB1581)</f>
        <v>21.378333333333334</v>
      </c>
      <c r="AD1581" s="238"/>
      <c r="AE1581" s="238"/>
    </row>
    <row r="1582" spans="2:31" x14ac:dyDescent="0.3">
      <c r="B1582" s="245" t="s">
        <v>67</v>
      </c>
      <c r="C1582" s="245"/>
      <c r="D1582" s="245"/>
      <c r="E1582" s="214">
        <v>0</v>
      </c>
      <c r="F1582" s="215">
        <v>0</v>
      </c>
      <c r="G1582" s="214">
        <v>0</v>
      </c>
      <c r="H1582" s="215">
        <v>0</v>
      </c>
      <c r="I1582" s="214">
        <v>0</v>
      </c>
      <c r="J1582" s="215">
        <v>0</v>
      </c>
      <c r="K1582" s="214">
        <v>0</v>
      </c>
      <c r="L1582" s="215">
        <v>0</v>
      </c>
      <c r="M1582" s="214">
        <v>0</v>
      </c>
      <c r="N1582" s="215">
        <v>0</v>
      </c>
      <c r="O1582" s="214">
        <v>0</v>
      </c>
      <c r="P1582" s="215">
        <v>0</v>
      </c>
      <c r="Q1582" s="214">
        <v>0</v>
      </c>
      <c r="R1582" s="215">
        <v>1.7666666666666647E-2</v>
      </c>
      <c r="S1582" s="214">
        <v>0.66516666666666757</v>
      </c>
      <c r="T1582" s="215">
        <v>0.86750000000000171</v>
      </c>
      <c r="U1582" s="214">
        <v>1.9633333333333318</v>
      </c>
      <c r="V1582" s="215">
        <v>0</v>
      </c>
      <c r="W1582" s="214">
        <v>3.0138333333333325</v>
      </c>
      <c r="X1582" s="215">
        <v>0</v>
      </c>
      <c r="Y1582" s="214">
        <v>0</v>
      </c>
      <c r="Z1582" s="215">
        <v>0</v>
      </c>
      <c r="AA1582" s="214">
        <v>0</v>
      </c>
      <c r="AB1582" s="215">
        <v>0</v>
      </c>
      <c r="AC1582" s="238">
        <f t="shared" ref="AC1582:AC1595" si="85">SUM(E1582:AB1582)</f>
        <v>6.5274999999999999</v>
      </c>
      <c r="AD1582" s="238"/>
      <c r="AE1582" s="238"/>
    </row>
    <row r="1583" spans="2:31" x14ac:dyDescent="0.3">
      <c r="B1583" s="245" t="s">
        <v>68</v>
      </c>
      <c r="C1583" s="245"/>
      <c r="D1583" s="245"/>
      <c r="E1583" s="214">
        <v>0</v>
      </c>
      <c r="F1583" s="215">
        <v>0</v>
      </c>
      <c r="G1583" s="214">
        <v>0</v>
      </c>
      <c r="H1583" s="215">
        <v>0</v>
      </c>
      <c r="I1583" s="214">
        <v>0</v>
      </c>
      <c r="J1583" s="215">
        <v>0</v>
      </c>
      <c r="K1583" s="214">
        <v>0</v>
      </c>
      <c r="L1583" s="215">
        <v>0</v>
      </c>
      <c r="M1583" s="214">
        <v>0</v>
      </c>
      <c r="N1583" s="215">
        <v>0</v>
      </c>
      <c r="O1583" s="214">
        <v>0</v>
      </c>
      <c r="P1583" s="215">
        <v>0</v>
      </c>
      <c r="Q1583" s="214">
        <v>0</v>
      </c>
      <c r="R1583" s="215">
        <v>0</v>
      </c>
      <c r="S1583" s="214">
        <v>0.3279999999999994</v>
      </c>
      <c r="T1583" s="215">
        <v>5.3665000000000003</v>
      </c>
      <c r="U1583" s="214">
        <v>13.283333333333337</v>
      </c>
      <c r="V1583" s="215">
        <v>20.961666666666666</v>
      </c>
      <c r="W1583" s="214">
        <v>21.203999999999983</v>
      </c>
      <c r="X1583" s="215">
        <v>2.1321666666666661</v>
      </c>
      <c r="Y1583" s="214">
        <v>0</v>
      </c>
      <c r="Z1583" s="215">
        <v>0</v>
      </c>
      <c r="AA1583" s="214">
        <v>0</v>
      </c>
      <c r="AB1583" s="215">
        <v>0</v>
      </c>
      <c r="AC1583" s="238">
        <f t="shared" si="85"/>
        <v>63.275666666666652</v>
      </c>
      <c r="AD1583" s="238"/>
      <c r="AE1583" s="238"/>
    </row>
    <row r="1584" spans="2:31" x14ac:dyDescent="0.3">
      <c r="B1584" s="245" t="s">
        <v>69</v>
      </c>
      <c r="C1584" s="245"/>
      <c r="D1584" s="245"/>
      <c r="E1584" s="214">
        <v>0</v>
      </c>
      <c r="F1584" s="215">
        <v>0</v>
      </c>
      <c r="G1584" s="214">
        <v>0</v>
      </c>
      <c r="H1584" s="215">
        <v>0</v>
      </c>
      <c r="I1584" s="214">
        <v>0</v>
      </c>
      <c r="J1584" s="215">
        <v>0</v>
      </c>
      <c r="K1584" s="214">
        <v>0</v>
      </c>
      <c r="L1584" s="215">
        <v>0</v>
      </c>
      <c r="M1584" s="214">
        <v>0</v>
      </c>
      <c r="N1584" s="215">
        <v>0</v>
      </c>
      <c r="O1584" s="214">
        <v>0</v>
      </c>
      <c r="P1584" s="215">
        <v>0</v>
      </c>
      <c r="Q1584" s="214">
        <v>0</v>
      </c>
      <c r="R1584" s="215">
        <v>1.645333333333336</v>
      </c>
      <c r="S1584" s="214">
        <v>9.9599999999999902</v>
      </c>
      <c r="T1584" s="215">
        <v>9.6745000000000054</v>
      </c>
      <c r="U1584" s="214">
        <v>10.573666666666671</v>
      </c>
      <c r="V1584" s="215">
        <v>6.0483333333333364</v>
      </c>
      <c r="W1584" s="214">
        <v>1.8851666666666669</v>
      </c>
      <c r="X1584" s="215">
        <v>0</v>
      </c>
      <c r="Y1584" s="214">
        <v>0</v>
      </c>
      <c r="Z1584" s="215">
        <v>0</v>
      </c>
      <c r="AA1584" s="214">
        <v>0</v>
      </c>
      <c r="AB1584" s="215">
        <v>0</v>
      </c>
      <c r="AC1584" s="238">
        <f t="shared" si="85"/>
        <v>39.787000000000013</v>
      </c>
      <c r="AD1584" s="238"/>
      <c r="AE1584" s="238"/>
    </row>
    <row r="1585" spans="2:31" x14ac:dyDescent="0.3">
      <c r="B1585" s="245" t="s">
        <v>70</v>
      </c>
      <c r="C1585" s="245"/>
      <c r="D1585" s="245"/>
      <c r="E1585" s="214">
        <v>0</v>
      </c>
      <c r="F1585" s="215">
        <v>0</v>
      </c>
      <c r="G1585" s="214">
        <v>0</v>
      </c>
      <c r="H1585" s="215">
        <v>0</v>
      </c>
      <c r="I1585" s="214">
        <v>0</v>
      </c>
      <c r="J1585" s="215">
        <v>0</v>
      </c>
      <c r="K1585" s="214">
        <v>0</v>
      </c>
      <c r="L1585" s="215">
        <v>0</v>
      </c>
      <c r="M1585" s="214">
        <v>0</v>
      </c>
      <c r="N1585" s="215">
        <v>0</v>
      </c>
      <c r="O1585" s="214">
        <v>0</v>
      </c>
      <c r="P1585" s="215">
        <v>0</v>
      </c>
      <c r="Q1585" s="214">
        <v>0</v>
      </c>
      <c r="R1585" s="215">
        <v>2.1405000000000003</v>
      </c>
      <c r="S1585" s="214">
        <v>9.7913333333333252</v>
      </c>
      <c r="T1585" s="215">
        <v>14.269999999999994</v>
      </c>
      <c r="U1585" s="214">
        <v>17.245166666666666</v>
      </c>
      <c r="V1585" s="215">
        <v>14.251500000000004</v>
      </c>
      <c r="W1585" s="214">
        <v>0.52983333333333438</v>
      </c>
      <c r="X1585" s="215">
        <v>0</v>
      </c>
      <c r="Y1585" s="214">
        <v>0</v>
      </c>
      <c r="Z1585" s="215">
        <v>0</v>
      </c>
      <c r="AA1585" s="214">
        <v>0</v>
      </c>
      <c r="AB1585" s="215">
        <v>0</v>
      </c>
      <c r="AC1585" s="238">
        <f t="shared" si="85"/>
        <v>58.228333333333332</v>
      </c>
      <c r="AD1585" s="238"/>
      <c r="AE1585" s="238"/>
    </row>
    <row r="1586" spans="2:31" x14ac:dyDescent="0.3">
      <c r="B1586" s="245" t="s">
        <v>71</v>
      </c>
      <c r="C1586" s="245"/>
      <c r="D1586" s="245"/>
      <c r="E1586" s="214">
        <v>0</v>
      </c>
      <c r="F1586" s="215">
        <v>0</v>
      </c>
      <c r="G1586" s="214">
        <v>0</v>
      </c>
      <c r="H1586" s="215">
        <v>0</v>
      </c>
      <c r="I1586" s="214">
        <v>0</v>
      </c>
      <c r="J1586" s="215">
        <v>0</v>
      </c>
      <c r="K1586" s="214">
        <v>0</v>
      </c>
      <c r="L1586" s="215">
        <v>0</v>
      </c>
      <c r="M1586" s="214">
        <v>0</v>
      </c>
      <c r="N1586" s="215">
        <v>0</v>
      </c>
      <c r="O1586" s="214">
        <v>0</v>
      </c>
      <c r="P1586" s="215">
        <v>0</v>
      </c>
      <c r="Q1586" s="214">
        <v>0</v>
      </c>
      <c r="R1586" s="215">
        <v>0</v>
      </c>
      <c r="S1586" s="214">
        <v>0</v>
      </c>
      <c r="T1586" s="215">
        <v>2.2500000000000617E-2</v>
      </c>
      <c r="U1586" s="214">
        <v>0</v>
      </c>
      <c r="V1586" s="215">
        <v>0</v>
      </c>
      <c r="W1586" s="214">
        <v>0</v>
      </c>
      <c r="X1586" s="215">
        <v>0</v>
      </c>
      <c r="Y1586" s="214">
        <v>0</v>
      </c>
      <c r="Z1586" s="215">
        <v>0</v>
      </c>
      <c r="AA1586" s="214">
        <v>0</v>
      </c>
      <c r="AB1586" s="215">
        <v>0</v>
      </c>
      <c r="AC1586" s="238">
        <f t="shared" si="85"/>
        <v>2.2500000000000617E-2</v>
      </c>
      <c r="AD1586" s="238"/>
      <c r="AE1586" s="238"/>
    </row>
    <row r="1587" spans="2:31" x14ac:dyDescent="0.3">
      <c r="B1587" s="245" t="s">
        <v>72</v>
      </c>
      <c r="C1587" s="245"/>
      <c r="D1587" s="245"/>
      <c r="E1587" s="214">
        <v>0</v>
      </c>
      <c r="F1587" s="215">
        <v>0</v>
      </c>
      <c r="G1587" s="214">
        <v>0</v>
      </c>
      <c r="H1587" s="215">
        <v>0</v>
      </c>
      <c r="I1587" s="214">
        <v>0</v>
      </c>
      <c r="J1587" s="215">
        <v>0</v>
      </c>
      <c r="K1587" s="214">
        <v>0</v>
      </c>
      <c r="L1587" s="215">
        <v>0</v>
      </c>
      <c r="M1587" s="214">
        <v>0</v>
      </c>
      <c r="N1587" s="215">
        <v>0</v>
      </c>
      <c r="O1587" s="214">
        <v>0</v>
      </c>
      <c r="P1587" s="215">
        <v>0</v>
      </c>
      <c r="Q1587" s="214">
        <v>0</v>
      </c>
      <c r="R1587" s="215">
        <v>5.0370000000000017</v>
      </c>
      <c r="S1587" s="214">
        <v>0</v>
      </c>
      <c r="T1587" s="215">
        <v>3.1149999999999993</v>
      </c>
      <c r="U1587" s="214">
        <v>14.677499999999979</v>
      </c>
      <c r="V1587" s="215">
        <v>13.191500000000016</v>
      </c>
      <c r="W1587" s="214">
        <v>5.804000000000002</v>
      </c>
      <c r="X1587" s="215">
        <v>0</v>
      </c>
      <c r="Y1587" s="214">
        <v>0</v>
      </c>
      <c r="Z1587" s="215">
        <v>0</v>
      </c>
      <c r="AA1587" s="214">
        <v>0</v>
      </c>
      <c r="AB1587" s="215">
        <v>0</v>
      </c>
      <c r="AC1587" s="238">
        <f t="shared" si="85"/>
        <v>41.825000000000003</v>
      </c>
      <c r="AD1587" s="238"/>
      <c r="AE1587" s="238"/>
    </row>
    <row r="1588" spans="2:31" x14ac:dyDescent="0.3">
      <c r="B1588" s="245" t="s">
        <v>73</v>
      </c>
      <c r="C1588" s="245"/>
      <c r="D1588" s="245"/>
      <c r="E1588" s="214">
        <v>0</v>
      </c>
      <c r="F1588" s="215">
        <v>0</v>
      </c>
      <c r="G1588" s="214">
        <v>0</v>
      </c>
      <c r="H1588" s="215">
        <v>0</v>
      </c>
      <c r="I1588" s="214">
        <v>0</v>
      </c>
      <c r="J1588" s="215">
        <v>0</v>
      </c>
      <c r="K1588" s="214">
        <v>0</v>
      </c>
      <c r="L1588" s="215">
        <v>0</v>
      </c>
      <c r="M1588" s="214">
        <v>0</v>
      </c>
      <c r="N1588" s="215">
        <v>0</v>
      </c>
      <c r="O1588" s="214">
        <v>0</v>
      </c>
      <c r="P1588" s="215">
        <v>0</v>
      </c>
      <c r="Q1588" s="214">
        <v>0</v>
      </c>
      <c r="R1588" s="215">
        <v>0</v>
      </c>
      <c r="S1588" s="214">
        <v>0</v>
      </c>
      <c r="T1588" s="215">
        <v>0</v>
      </c>
      <c r="U1588" s="214">
        <v>0</v>
      </c>
      <c r="V1588" s="215">
        <v>0</v>
      </c>
      <c r="W1588" s="214">
        <v>0</v>
      </c>
      <c r="X1588" s="215">
        <v>0</v>
      </c>
      <c r="Y1588" s="214">
        <v>0</v>
      </c>
      <c r="Z1588" s="215">
        <v>0</v>
      </c>
      <c r="AA1588" s="214">
        <v>0</v>
      </c>
      <c r="AB1588" s="215">
        <v>0</v>
      </c>
      <c r="AC1588" s="238">
        <f t="shared" si="85"/>
        <v>0</v>
      </c>
      <c r="AD1588" s="238"/>
      <c r="AE1588" s="238"/>
    </row>
    <row r="1589" spans="2:31" x14ac:dyDescent="0.3">
      <c r="B1589" s="245" t="s">
        <v>74</v>
      </c>
      <c r="C1589" s="245"/>
      <c r="D1589" s="245"/>
      <c r="E1589" s="214">
        <v>0</v>
      </c>
      <c r="F1589" s="215">
        <v>0</v>
      </c>
      <c r="G1589" s="214">
        <v>0</v>
      </c>
      <c r="H1589" s="215">
        <v>0</v>
      </c>
      <c r="I1589" s="214">
        <v>0</v>
      </c>
      <c r="J1589" s="215">
        <v>0</v>
      </c>
      <c r="K1589" s="214">
        <v>0</v>
      </c>
      <c r="L1589" s="215">
        <v>0</v>
      </c>
      <c r="M1589" s="214">
        <v>0</v>
      </c>
      <c r="N1589" s="215">
        <v>0</v>
      </c>
      <c r="O1589" s="214">
        <v>0</v>
      </c>
      <c r="P1589" s="215">
        <v>0</v>
      </c>
      <c r="Q1589" s="214">
        <v>0</v>
      </c>
      <c r="R1589" s="215">
        <v>0.37433333333333335</v>
      </c>
      <c r="S1589" s="214">
        <v>10.85333333333333</v>
      </c>
      <c r="T1589" s="215">
        <v>12.620833333333326</v>
      </c>
      <c r="U1589" s="214">
        <v>4.2378333333333336</v>
      </c>
      <c r="V1589" s="215">
        <v>2.0143333333333335</v>
      </c>
      <c r="W1589" s="214">
        <v>1.2866666666666666</v>
      </c>
      <c r="X1589" s="215">
        <v>3.9999999999999994E-2</v>
      </c>
      <c r="Y1589" s="214">
        <v>0</v>
      </c>
      <c r="Z1589" s="215">
        <v>0</v>
      </c>
      <c r="AA1589" s="214">
        <v>0</v>
      </c>
      <c r="AB1589" s="215">
        <v>0</v>
      </c>
      <c r="AC1589" s="238">
        <f t="shared" si="85"/>
        <v>31.427333333333319</v>
      </c>
      <c r="AD1589" s="238"/>
      <c r="AE1589" s="238"/>
    </row>
    <row r="1590" spans="2:31" x14ac:dyDescent="0.3">
      <c r="B1590" s="245" t="s">
        <v>75</v>
      </c>
      <c r="C1590" s="245"/>
      <c r="D1590" s="245"/>
      <c r="E1590" s="214">
        <v>0</v>
      </c>
      <c r="F1590" s="215">
        <v>0</v>
      </c>
      <c r="G1590" s="214">
        <v>0</v>
      </c>
      <c r="H1590" s="215">
        <v>0</v>
      </c>
      <c r="I1590" s="214">
        <v>0</v>
      </c>
      <c r="J1590" s="215">
        <v>0</v>
      </c>
      <c r="K1590" s="214">
        <v>0</v>
      </c>
      <c r="L1590" s="215">
        <v>0</v>
      </c>
      <c r="M1590" s="214">
        <v>0</v>
      </c>
      <c r="N1590" s="215">
        <v>0</v>
      </c>
      <c r="O1590" s="214">
        <v>0</v>
      </c>
      <c r="P1590" s="215">
        <v>0</v>
      </c>
      <c r="Q1590" s="214">
        <v>0</v>
      </c>
      <c r="R1590" s="215">
        <v>1.9740000000000013</v>
      </c>
      <c r="S1590" s="214">
        <v>10.140999999999991</v>
      </c>
      <c r="T1590" s="215">
        <v>8.8921666666666557</v>
      </c>
      <c r="U1590" s="214">
        <v>1.1938333333333324</v>
      </c>
      <c r="V1590" s="215">
        <v>2.924333333333331</v>
      </c>
      <c r="W1590" s="214">
        <v>7.0848333333333366</v>
      </c>
      <c r="X1590" s="215">
        <v>0</v>
      </c>
      <c r="Y1590" s="214">
        <v>0</v>
      </c>
      <c r="Z1590" s="215">
        <v>0</v>
      </c>
      <c r="AA1590" s="214">
        <v>0</v>
      </c>
      <c r="AB1590" s="215">
        <v>0</v>
      </c>
      <c r="AC1590" s="238">
        <f t="shared" si="85"/>
        <v>32.210166666666652</v>
      </c>
      <c r="AD1590" s="238"/>
      <c r="AE1590" s="238"/>
    </row>
    <row r="1591" spans="2:31" x14ac:dyDescent="0.3">
      <c r="B1591" s="245" t="s">
        <v>76</v>
      </c>
      <c r="C1591" s="245"/>
      <c r="D1591" s="245"/>
      <c r="E1591" s="214">
        <v>0</v>
      </c>
      <c r="F1591" s="215">
        <v>0</v>
      </c>
      <c r="G1591" s="214">
        <v>0</v>
      </c>
      <c r="H1591" s="215">
        <v>0</v>
      </c>
      <c r="I1591" s="214">
        <v>0</v>
      </c>
      <c r="J1591" s="215">
        <v>0</v>
      </c>
      <c r="K1591" s="214">
        <v>0</v>
      </c>
      <c r="L1591" s="215">
        <v>0</v>
      </c>
      <c r="M1591" s="214">
        <v>0</v>
      </c>
      <c r="N1591" s="215">
        <v>0</v>
      </c>
      <c r="O1591" s="214">
        <v>0</v>
      </c>
      <c r="P1591" s="215">
        <v>0</v>
      </c>
      <c r="Q1591" s="214">
        <v>0</v>
      </c>
      <c r="R1591" s="215">
        <v>0</v>
      </c>
      <c r="S1591" s="214">
        <v>0</v>
      </c>
      <c r="T1591" s="215">
        <v>0</v>
      </c>
      <c r="U1591" s="214">
        <v>0</v>
      </c>
      <c r="V1591" s="215">
        <v>0</v>
      </c>
      <c r="W1591" s="214">
        <v>0</v>
      </c>
      <c r="X1591" s="215">
        <v>0</v>
      </c>
      <c r="Y1591" s="214">
        <v>0</v>
      </c>
      <c r="Z1591" s="215">
        <v>0</v>
      </c>
      <c r="AA1591" s="214">
        <v>0</v>
      </c>
      <c r="AB1591" s="215">
        <v>0</v>
      </c>
      <c r="AC1591" s="238">
        <f t="shared" si="85"/>
        <v>0</v>
      </c>
      <c r="AD1591" s="238"/>
      <c r="AE1591" s="238"/>
    </row>
    <row r="1592" spans="2:31" x14ac:dyDescent="0.3">
      <c r="B1592" s="245" t="s">
        <v>77</v>
      </c>
      <c r="C1592" s="245"/>
      <c r="D1592" s="245"/>
      <c r="E1592" s="214">
        <v>0</v>
      </c>
      <c r="F1592" s="215">
        <v>0</v>
      </c>
      <c r="G1592" s="214">
        <v>0</v>
      </c>
      <c r="H1592" s="215">
        <v>0</v>
      </c>
      <c r="I1592" s="214">
        <v>0</v>
      </c>
      <c r="J1592" s="215">
        <v>0</v>
      </c>
      <c r="K1592" s="214">
        <v>0</v>
      </c>
      <c r="L1592" s="215">
        <v>0</v>
      </c>
      <c r="M1592" s="214">
        <v>0</v>
      </c>
      <c r="N1592" s="215">
        <v>0</v>
      </c>
      <c r="O1592" s="214">
        <v>0</v>
      </c>
      <c r="P1592" s="215">
        <v>0</v>
      </c>
      <c r="Q1592" s="214">
        <v>0</v>
      </c>
      <c r="R1592" s="215">
        <v>0</v>
      </c>
      <c r="S1592" s="214">
        <v>5.9441666666666704</v>
      </c>
      <c r="T1592" s="215">
        <v>7.0226666666666677</v>
      </c>
      <c r="U1592" s="214">
        <v>6.8758333333333272</v>
      </c>
      <c r="V1592" s="215">
        <v>3.7213333333333289</v>
      </c>
      <c r="W1592" s="214">
        <v>1.6548333333333327</v>
      </c>
      <c r="X1592" s="215">
        <v>0</v>
      </c>
      <c r="Y1592" s="214">
        <v>0</v>
      </c>
      <c r="Z1592" s="215">
        <v>0</v>
      </c>
      <c r="AA1592" s="214">
        <v>0</v>
      </c>
      <c r="AB1592" s="215">
        <v>0</v>
      </c>
      <c r="AC1592" s="238">
        <f t="shared" si="85"/>
        <v>25.218833333333329</v>
      </c>
      <c r="AD1592" s="238"/>
      <c r="AE1592" s="238"/>
    </row>
    <row r="1593" spans="2:31" x14ac:dyDescent="0.3">
      <c r="B1593" s="245" t="s">
        <v>78</v>
      </c>
      <c r="C1593" s="245"/>
      <c r="D1593" s="245"/>
      <c r="E1593" s="214">
        <v>0</v>
      </c>
      <c r="F1593" s="215">
        <v>0</v>
      </c>
      <c r="G1593" s="214">
        <v>0</v>
      </c>
      <c r="H1593" s="215">
        <v>0</v>
      </c>
      <c r="I1593" s="214">
        <v>0</v>
      </c>
      <c r="J1593" s="215">
        <v>0</v>
      </c>
      <c r="K1593" s="214">
        <v>0</v>
      </c>
      <c r="L1593" s="215">
        <v>0</v>
      </c>
      <c r="M1593" s="214">
        <v>0</v>
      </c>
      <c r="N1593" s="215">
        <v>0</v>
      </c>
      <c r="O1593" s="214">
        <v>0</v>
      </c>
      <c r="P1593" s="215">
        <v>0</v>
      </c>
      <c r="Q1593" s="214">
        <v>0</v>
      </c>
      <c r="R1593" s="215">
        <v>0</v>
      </c>
      <c r="S1593" s="214">
        <v>0</v>
      </c>
      <c r="T1593" s="215">
        <v>0</v>
      </c>
      <c r="U1593" s="214">
        <v>0</v>
      </c>
      <c r="V1593" s="215">
        <v>0</v>
      </c>
      <c r="W1593" s="214">
        <v>0</v>
      </c>
      <c r="X1593" s="215">
        <v>0</v>
      </c>
      <c r="Y1593" s="214">
        <v>0</v>
      </c>
      <c r="Z1593" s="215">
        <v>0</v>
      </c>
      <c r="AA1593" s="214">
        <v>0</v>
      </c>
      <c r="AB1593" s="215">
        <v>0</v>
      </c>
      <c r="AC1593" s="238">
        <f t="shared" si="85"/>
        <v>0</v>
      </c>
      <c r="AD1593" s="238"/>
      <c r="AE1593" s="238"/>
    </row>
    <row r="1594" spans="2:31" x14ac:dyDescent="0.3">
      <c r="B1594" s="245" t="s">
        <v>79</v>
      </c>
      <c r="C1594" s="245"/>
      <c r="D1594" s="245"/>
      <c r="E1594" s="214">
        <v>0</v>
      </c>
      <c r="F1594" s="215">
        <v>0</v>
      </c>
      <c r="G1594" s="214">
        <v>0</v>
      </c>
      <c r="H1594" s="215">
        <v>0</v>
      </c>
      <c r="I1594" s="214">
        <v>0</v>
      </c>
      <c r="J1594" s="215">
        <v>0</v>
      </c>
      <c r="K1594" s="214">
        <v>0</v>
      </c>
      <c r="L1594" s="215">
        <v>0</v>
      </c>
      <c r="M1594" s="214">
        <v>0</v>
      </c>
      <c r="N1594" s="215">
        <v>0</v>
      </c>
      <c r="O1594" s="214">
        <v>0</v>
      </c>
      <c r="P1594" s="215">
        <v>0</v>
      </c>
      <c r="Q1594" s="214">
        <v>0</v>
      </c>
      <c r="R1594" s="215">
        <v>5.7156666666666638</v>
      </c>
      <c r="S1594" s="214">
        <v>11.237500000000004</v>
      </c>
      <c r="T1594" s="215">
        <v>12.061333333333327</v>
      </c>
      <c r="U1594" s="214">
        <v>14.562833333333339</v>
      </c>
      <c r="V1594" s="215">
        <v>23.906000000000002</v>
      </c>
      <c r="W1594" s="214">
        <v>30.873500000000003</v>
      </c>
      <c r="X1594" s="215">
        <v>4.0238333333333332</v>
      </c>
      <c r="Y1594" s="214">
        <v>0</v>
      </c>
      <c r="Z1594" s="215">
        <v>0</v>
      </c>
      <c r="AA1594" s="214">
        <v>0</v>
      </c>
      <c r="AB1594" s="215">
        <v>0</v>
      </c>
      <c r="AC1594" s="238">
        <f t="shared" si="85"/>
        <v>102.38066666666667</v>
      </c>
      <c r="AD1594" s="238"/>
      <c r="AE1594" s="238"/>
    </row>
    <row r="1595" spans="2:31" x14ac:dyDescent="0.3">
      <c r="B1595" s="245" t="s">
        <v>80</v>
      </c>
      <c r="C1595" s="245"/>
      <c r="D1595" s="245"/>
      <c r="E1595" s="214">
        <v>0</v>
      </c>
      <c r="F1595" s="215">
        <v>0</v>
      </c>
      <c r="G1595" s="214">
        <v>0</v>
      </c>
      <c r="H1595" s="215">
        <v>0</v>
      </c>
      <c r="I1595" s="214">
        <v>0</v>
      </c>
      <c r="J1595" s="215">
        <v>0</v>
      </c>
      <c r="K1595" s="214">
        <v>0</v>
      </c>
      <c r="L1595" s="215">
        <v>0</v>
      </c>
      <c r="M1595" s="214">
        <v>0</v>
      </c>
      <c r="N1595" s="215">
        <v>0</v>
      </c>
      <c r="O1595" s="214">
        <v>0</v>
      </c>
      <c r="P1595" s="215">
        <v>0</v>
      </c>
      <c r="Q1595" s="214">
        <v>0</v>
      </c>
      <c r="R1595" s="215">
        <v>21.277999999999999</v>
      </c>
      <c r="S1595" s="214">
        <v>7.5439999999999925</v>
      </c>
      <c r="T1595" s="215">
        <v>6.6424999999999947</v>
      </c>
      <c r="U1595" s="214">
        <v>8.4599999999999831</v>
      </c>
      <c r="V1595" s="215">
        <v>4.2599999999999989</v>
      </c>
      <c r="W1595" s="214">
        <v>1.4563333333333341</v>
      </c>
      <c r="X1595" s="215">
        <v>0</v>
      </c>
      <c r="Y1595" s="214">
        <v>0</v>
      </c>
      <c r="Z1595" s="215">
        <v>0</v>
      </c>
      <c r="AA1595" s="214">
        <v>0</v>
      </c>
      <c r="AB1595" s="215">
        <v>0</v>
      </c>
      <c r="AC1595" s="238">
        <f t="shared" si="85"/>
        <v>49.640833333333298</v>
      </c>
      <c r="AD1595" s="238"/>
      <c r="AE1595" s="238"/>
    </row>
    <row r="1596" spans="2:31" x14ac:dyDescent="0.3">
      <c r="B1596" s="245" t="s">
        <v>93</v>
      </c>
      <c r="C1596" s="245"/>
      <c r="D1596" s="245"/>
      <c r="E1596" s="214">
        <v>0</v>
      </c>
      <c r="F1596" s="215">
        <v>0</v>
      </c>
      <c r="G1596" s="214">
        <v>0</v>
      </c>
      <c r="H1596" s="215">
        <v>0</v>
      </c>
      <c r="I1596" s="214">
        <v>0</v>
      </c>
      <c r="J1596" s="215">
        <v>0</v>
      </c>
      <c r="K1596" s="214">
        <v>0</v>
      </c>
      <c r="L1596" s="215">
        <v>0</v>
      </c>
      <c r="M1596" s="214">
        <v>0</v>
      </c>
      <c r="N1596" s="215">
        <v>0</v>
      </c>
      <c r="O1596" s="214">
        <v>0</v>
      </c>
      <c r="P1596" s="215">
        <v>0</v>
      </c>
      <c r="Q1596" s="214">
        <v>0.64400000000000135</v>
      </c>
      <c r="R1596" s="215">
        <v>0.96483333333333321</v>
      </c>
      <c r="S1596" s="214">
        <v>0.9833333333333345</v>
      </c>
      <c r="T1596" s="215">
        <v>1.0016666666666663</v>
      </c>
      <c r="U1596" s="214">
        <v>1.0200000000000011</v>
      </c>
      <c r="V1596" s="215">
        <v>0.83833333333333415</v>
      </c>
      <c r="W1596" s="214">
        <v>0</v>
      </c>
      <c r="X1596" s="215">
        <v>0</v>
      </c>
      <c r="Y1596" s="214">
        <v>0</v>
      </c>
      <c r="Z1596" s="215">
        <v>0</v>
      </c>
      <c r="AA1596" s="214">
        <v>0</v>
      </c>
      <c r="AB1596" s="215">
        <v>0</v>
      </c>
      <c r="AC1596" s="238">
        <f>SUM(E1596:AB1596)</f>
        <v>5.4521666666666704</v>
      </c>
      <c r="AD1596" s="238"/>
      <c r="AE1596" s="238"/>
    </row>
    <row r="1597" spans="2:31" x14ac:dyDescent="0.3">
      <c r="B1597" s="14" t="s">
        <v>2</v>
      </c>
      <c r="C1597" s="14"/>
      <c r="D1597" s="14"/>
      <c r="E1597" s="15">
        <f t="shared" ref="E1597:AB1597" si="86">SUM(E1548:E1596)</f>
        <v>0</v>
      </c>
      <c r="F1597" s="15">
        <f t="shared" si="86"/>
        <v>0</v>
      </c>
      <c r="G1597" s="15">
        <f t="shared" si="86"/>
        <v>0</v>
      </c>
      <c r="H1597" s="15">
        <f t="shared" si="86"/>
        <v>0</v>
      </c>
      <c r="I1597" s="15">
        <f t="shared" si="86"/>
        <v>0</v>
      </c>
      <c r="J1597" s="15">
        <f t="shared" si="86"/>
        <v>0</v>
      </c>
      <c r="K1597" s="15">
        <f t="shared" si="86"/>
        <v>0</v>
      </c>
      <c r="L1597" s="15">
        <f t="shared" si="86"/>
        <v>0</v>
      </c>
      <c r="M1597" s="15">
        <f t="shared" si="86"/>
        <v>0</v>
      </c>
      <c r="N1597" s="15">
        <f t="shared" si="86"/>
        <v>0</v>
      </c>
      <c r="O1597" s="15">
        <f t="shared" si="86"/>
        <v>2.6906666666666688</v>
      </c>
      <c r="P1597" s="15">
        <f t="shared" si="86"/>
        <v>10.834333333333355</v>
      </c>
      <c r="Q1597" s="15">
        <f t="shared" si="86"/>
        <v>61.736999999999966</v>
      </c>
      <c r="R1597" s="15">
        <f t="shared" si="86"/>
        <v>138.59550000000004</v>
      </c>
      <c r="S1597" s="15">
        <f t="shared" si="86"/>
        <v>257.22433333333328</v>
      </c>
      <c r="T1597" s="15">
        <f t="shared" si="86"/>
        <v>258.60283333333336</v>
      </c>
      <c r="U1597" s="15">
        <f t="shared" si="86"/>
        <v>250.54316666666662</v>
      </c>
      <c r="V1597" s="15">
        <f t="shared" si="86"/>
        <v>208.70283333333339</v>
      </c>
      <c r="W1597" s="15">
        <f t="shared" si="86"/>
        <v>135.45266666666663</v>
      </c>
      <c r="X1597" s="15">
        <f t="shared" si="86"/>
        <v>6.4026666666666658</v>
      </c>
      <c r="Y1597" s="15">
        <f t="shared" si="86"/>
        <v>0</v>
      </c>
      <c r="Z1597" s="15">
        <f t="shared" si="86"/>
        <v>0</v>
      </c>
      <c r="AA1597" s="15">
        <f t="shared" si="86"/>
        <v>0</v>
      </c>
      <c r="AB1597" s="15">
        <f t="shared" si="86"/>
        <v>0</v>
      </c>
      <c r="AC1597" s="249">
        <f>SUM(AC1548:AE1596)</f>
        <v>1330.7860000000003</v>
      </c>
      <c r="AD1597" s="249"/>
      <c r="AE1597" s="249"/>
    </row>
    <row r="1598" spans="2:31" x14ac:dyDescent="0.3">
      <c r="B1598" s="16"/>
      <c r="C1598" s="17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  <c r="N1598" s="18"/>
      <c r="O1598" s="18"/>
      <c r="P1598" s="18"/>
      <c r="Q1598" s="18"/>
      <c r="R1598" s="18"/>
      <c r="S1598" s="18"/>
      <c r="T1598" s="18"/>
      <c r="U1598" s="18"/>
      <c r="V1598" s="18"/>
      <c r="W1598" s="18"/>
      <c r="X1598" s="18"/>
      <c r="Y1598" s="18"/>
      <c r="Z1598" s="18"/>
      <c r="AA1598" s="18"/>
    </row>
    <row r="1599" spans="2:31" x14ac:dyDescent="0.3">
      <c r="B1599" s="16"/>
      <c r="C1599" s="17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  <c r="N1599" s="18"/>
      <c r="O1599" s="18"/>
      <c r="P1599" s="18"/>
      <c r="Q1599" s="18"/>
      <c r="R1599" s="18"/>
      <c r="S1599" s="18"/>
      <c r="T1599" s="18"/>
      <c r="U1599" s="18"/>
      <c r="V1599" s="18"/>
      <c r="W1599" s="18"/>
      <c r="X1599" s="18"/>
      <c r="Y1599" s="18"/>
      <c r="Z1599" s="18"/>
      <c r="AA1599" s="18"/>
    </row>
    <row r="1600" spans="2:31" x14ac:dyDescent="0.3">
      <c r="B1600" s="8">
        <f>'Resumen-Mensual'!$AH$22</f>
        <v>44591</v>
      </c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216"/>
      <c r="AD1600" s="216"/>
      <c r="AE1600" s="216"/>
    </row>
    <row r="1601" spans="2:31" x14ac:dyDescent="0.3">
      <c r="B1601" s="8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216"/>
      <c r="AD1601" s="216"/>
      <c r="AE1601" s="216"/>
    </row>
    <row r="1602" spans="2:31" x14ac:dyDescent="0.3">
      <c r="B1602" s="9" t="s">
        <v>81</v>
      </c>
      <c r="C1602" s="10"/>
      <c r="D1602" s="10"/>
      <c r="E1602" s="11">
        <v>1</v>
      </c>
      <c r="F1602" s="11">
        <v>2</v>
      </c>
      <c r="G1602" s="11">
        <v>3</v>
      </c>
      <c r="H1602" s="11">
        <v>4</v>
      </c>
      <c r="I1602" s="11">
        <v>5</v>
      </c>
      <c r="J1602" s="11">
        <v>6</v>
      </c>
      <c r="K1602" s="11">
        <v>7</v>
      </c>
      <c r="L1602" s="11">
        <v>8</v>
      </c>
      <c r="M1602" s="11">
        <v>9</v>
      </c>
      <c r="N1602" s="11">
        <v>10</v>
      </c>
      <c r="O1602" s="11">
        <v>11</v>
      </c>
      <c r="P1602" s="11">
        <v>12</v>
      </c>
      <c r="Q1602" s="11">
        <v>13</v>
      </c>
      <c r="R1602" s="11">
        <v>14</v>
      </c>
      <c r="S1602" s="11">
        <v>15</v>
      </c>
      <c r="T1602" s="11">
        <v>16</v>
      </c>
      <c r="U1602" s="11">
        <v>17</v>
      </c>
      <c r="V1602" s="11">
        <v>18</v>
      </c>
      <c r="W1602" s="11">
        <v>19</v>
      </c>
      <c r="X1602" s="11">
        <v>20</v>
      </c>
      <c r="Y1602" s="11">
        <v>21</v>
      </c>
      <c r="Z1602" s="11">
        <v>22</v>
      </c>
      <c r="AA1602" s="11">
        <v>23</v>
      </c>
      <c r="AB1602" s="11">
        <v>24</v>
      </c>
      <c r="AC1602" s="248" t="s">
        <v>2</v>
      </c>
      <c r="AD1602" s="248"/>
      <c r="AE1602" s="248"/>
    </row>
    <row r="1603" spans="2:31" x14ac:dyDescent="0.3">
      <c r="B1603" s="245" t="s">
        <v>37</v>
      </c>
      <c r="C1603" s="245"/>
      <c r="D1603" s="245"/>
      <c r="E1603" s="221">
        <v>0</v>
      </c>
      <c r="F1603" s="222">
        <v>0</v>
      </c>
      <c r="G1603" s="221">
        <v>0</v>
      </c>
      <c r="H1603" s="222">
        <v>0</v>
      </c>
      <c r="I1603" s="221">
        <v>0</v>
      </c>
      <c r="J1603" s="222">
        <v>0</v>
      </c>
      <c r="K1603" s="221">
        <v>0</v>
      </c>
      <c r="L1603" s="222">
        <v>0</v>
      </c>
      <c r="M1603" s="221">
        <v>0</v>
      </c>
      <c r="N1603" s="222">
        <v>0</v>
      </c>
      <c r="O1603" s="221">
        <v>0.44366666666666649</v>
      </c>
      <c r="P1603" s="222">
        <v>0.79666666666666752</v>
      </c>
      <c r="Q1603" s="221">
        <v>0.15100000000000036</v>
      </c>
      <c r="R1603" s="222">
        <v>0</v>
      </c>
      <c r="S1603" s="221">
        <v>0</v>
      </c>
      <c r="T1603" s="222">
        <v>0.43300000000000033</v>
      </c>
      <c r="U1603" s="221">
        <v>1.0613333333333335</v>
      </c>
      <c r="V1603" s="222">
        <v>1.1896666666666671</v>
      </c>
      <c r="W1603" s="221">
        <v>0.1590000000000002</v>
      </c>
      <c r="X1603" s="222">
        <v>0</v>
      </c>
      <c r="Y1603" s="221">
        <v>0</v>
      </c>
      <c r="Z1603" s="222">
        <v>0</v>
      </c>
      <c r="AA1603" s="221">
        <v>0</v>
      </c>
      <c r="AB1603" s="222">
        <v>0</v>
      </c>
      <c r="AC1603" s="238">
        <f t="shared" ref="AC1603:AC1635" si="87">SUM(E1603:AB1603)</f>
        <v>4.2343333333333346</v>
      </c>
      <c r="AD1603" s="238"/>
      <c r="AE1603" s="238"/>
    </row>
    <row r="1604" spans="2:31" x14ac:dyDescent="0.3">
      <c r="B1604" s="245" t="s">
        <v>38</v>
      </c>
      <c r="C1604" s="245"/>
      <c r="D1604" s="245"/>
      <c r="E1604" s="221">
        <v>0</v>
      </c>
      <c r="F1604" s="222">
        <v>0</v>
      </c>
      <c r="G1604" s="221">
        <v>0</v>
      </c>
      <c r="H1604" s="222">
        <v>0</v>
      </c>
      <c r="I1604" s="221">
        <v>0</v>
      </c>
      <c r="J1604" s="222">
        <v>0</v>
      </c>
      <c r="K1604" s="221">
        <v>0</v>
      </c>
      <c r="L1604" s="222">
        <v>0</v>
      </c>
      <c r="M1604" s="221">
        <v>0</v>
      </c>
      <c r="N1604" s="222">
        <v>0</v>
      </c>
      <c r="O1604" s="221">
        <v>0.43716666666666631</v>
      </c>
      <c r="P1604" s="222">
        <v>1.476</v>
      </c>
      <c r="Q1604" s="221">
        <v>1.2663333333333326</v>
      </c>
      <c r="R1604" s="222">
        <v>1.1086666666666669</v>
      </c>
      <c r="S1604" s="221">
        <v>0</v>
      </c>
      <c r="T1604" s="222">
        <v>0.79083333333333239</v>
      </c>
      <c r="U1604" s="221">
        <v>1.2023333333333335</v>
      </c>
      <c r="V1604" s="222">
        <v>0.67416666666666625</v>
      </c>
      <c r="W1604" s="221">
        <v>8.2666666666666735E-2</v>
      </c>
      <c r="X1604" s="222">
        <v>0</v>
      </c>
      <c r="Y1604" s="221">
        <v>0</v>
      </c>
      <c r="Z1604" s="222">
        <v>0</v>
      </c>
      <c r="AA1604" s="221">
        <v>0</v>
      </c>
      <c r="AB1604" s="222">
        <v>0</v>
      </c>
      <c r="AC1604" s="238">
        <f t="shared" si="87"/>
        <v>7.0381666666666653</v>
      </c>
      <c r="AD1604" s="238"/>
      <c r="AE1604" s="238"/>
    </row>
    <row r="1605" spans="2:31" x14ac:dyDescent="0.3">
      <c r="B1605" s="245" t="s">
        <v>39</v>
      </c>
      <c r="C1605" s="245"/>
      <c r="D1605" s="245"/>
      <c r="E1605" s="221">
        <v>0</v>
      </c>
      <c r="F1605" s="222">
        <v>0</v>
      </c>
      <c r="G1605" s="221">
        <v>0</v>
      </c>
      <c r="H1605" s="222">
        <v>0</v>
      </c>
      <c r="I1605" s="221">
        <v>0</v>
      </c>
      <c r="J1605" s="222">
        <v>0</v>
      </c>
      <c r="K1605" s="221">
        <v>0</v>
      </c>
      <c r="L1605" s="222">
        <v>0</v>
      </c>
      <c r="M1605" s="221">
        <v>0</v>
      </c>
      <c r="N1605" s="222">
        <v>0</v>
      </c>
      <c r="O1605" s="221">
        <v>0.66133333333333344</v>
      </c>
      <c r="P1605" s="222">
        <v>8.0541666666666671</v>
      </c>
      <c r="Q1605" s="221">
        <v>11.027833333333341</v>
      </c>
      <c r="R1605" s="222">
        <v>11.542999999999999</v>
      </c>
      <c r="S1605" s="221">
        <v>0</v>
      </c>
      <c r="T1605" s="222">
        <v>10.221166666666667</v>
      </c>
      <c r="U1605" s="221">
        <v>8.3108333333333331</v>
      </c>
      <c r="V1605" s="222">
        <v>3.5735000000000006</v>
      </c>
      <c r="W1605" s="221">
        <v>0.6463333333333332</v>
      </c>
      <c r="X1605" s="222">
        <v>0</v>
      </c>
      <c r="Y1605" s="221">
        <v>0</v>
      </c>
      <c r="Z1605" s="222">
        <v>0</v>
      </c>
      <c r="AA1605" s="221">
        <v>0</v>
      </c>
      <c r="AB1605" s="222">
        <v>0</v>
      </c>
      <c r="AC1605" s="238">
        <f t="shared" si="87"/>
        <v>54.038166666666676</v>
      </c>
      <c r="AD1605" s="238"/>
      <c r="AE1605" s="238"/>
    </row>
    <row r="1606" spans="2:31" x14ac:dyDescent="0.3">
      <c r="B1606" s="245" t="s">
        <v>40</v>
      </c>
      <c r="C1606" s="245"/>
      <c r="D1606" s="245"/>
      <c r="E1606" s="221">
        <v>0</v>
      </c>
      <c r="F1606" s="222">
        <v>0</v>
      </c>
      <c r="G1606" s="221">
        <v>0</v>
      </c>
      <c r="H1606" s="222">
        <v>0</v>
      </c>
      <c r="I1606" s="221">
        <v>0</v>
      </c>
      <c r="J1606" s="222">
        <v>0</v>
      </c>
      <c r="K1606" s="221">
        <v>0</v>
      </c>
      <c r="L1606" s="222">
        <v>0</v>
      </c>
      <c r="M1606" s="221">
        <v>0</v>
      </c>
      <c r="N1606" s="222">
        <v>0</v>
      </c>
      <c r="O1606" s="221">
        <v>0</v>
      </c>
      <c r="P1606" s="222">
        <v>0</v>
      </c>
      <c r="Q1606" s="221">
        <v>0.74883333333332158</v>
      </c>
      <c r="R1606" s="222">
        <v>2.8103333333333245</v>
      </c>
      <c r="S1606" s="221">
        <v>9.3061666666666731</v>
      </c>
      <c r="T1606" s="222">
        <v>22.928999999999981</v>
      </c>
      <c r="U1606" s="221">
        <v>0</v>
      </c>
      <c r="V1606" s="222">
        <v>0</v>
      </c>
      <c r="W1606" s="221">
        <v>0</v>
      </c>
      <c r="X1606" s="222">
        <v>0</v>
      </c>
      <c r="Y1606" s="221">
        <v>0</v>
      </c>
      <c r="Z1606" s="222">
        <v>0</v>
      </c>
      <c r="AA1606" s="221">
        <v>0</v>
      </c>
      <c r="AB1606" s="222">
        <v>0</v>
      </c>
      <c r="AC1606" s="238">
        <f t="shared" si="87"/>
        <v>35.794333333333299</v>
      </c>
      <c r="AD1606" s="238"/>
      <c r="AE1606" s="238"/>
    </row>
    <row r="1607" spans="2:31" x14ac:dyDescent="0.3">
      <c r="B1607" s="245" t="s">
        <v>41</v>
      </c>
      <c r="C1607" s="245"/>
      <c r="D1607" s="245"/>
      <c r="E1607" s="221">
        <v>0</v>
      </c>
      <c r="F1607" s="222">
        <v>0</v>
      </c>
      <c r="G1607" s="221">
        <v>0</v>
      </c>
      <c r="H1607" s="222">
        <v>0</v>
      </c>
      <c r="I1607" s="221">
        <v>0</v>
      </c>
      <c r="J1607" s="222">
        <v>0</v>
      </c>
      <c r="K1607" s="221">
        <v>0</v>
      </c>
      <c r="L1607" s="222">
        <v>0</v>
      </c>
      <c r="M1607" s="221">
        <v>0</v>
      </c>
      <c r="N1607" s="222">
        <v>0</v>
      </c>
      <c r="O1607" s="221">
        <v>0</v>
      </c>
      <c r="P1607" s="222">
        <v>0</v>
      </c>
      <c r="Q1607" s="221">
        <v>0</v>
      </c>
      <c r="R1607" s="222">
        <v>8.4459999999999926</v>
      </c>
      <c r="S1607" s="221">
        <v>0</v>
      </c>
      <c r="T1607" s="222">
        <v>0</v>
      </c>
      <c r="U1607" s="221">
        <v>0</v>
      </c>
      <c r="V1607" s="222">
        <v>0</v>
      </c>
      <c r="W1607" s="221">
        <v>0</v>
      </c>
      <c r="X1607" s="222">
        <v>0</v>
      </c>
      <c r="Y1607" s="221">
        <v>0</v>
      </c>
      <c r="Z1607" s="222">
        <v>0</v>
      </c>
      <c r="AA1607" s="221">
        <v>0</v>
      </c>
      <c r="AB1607" s="222">
        <v>0</v>
      </c>
      <c r="AC1607" s="238">
        <f t="shared" si="87"/>
        <v>8.4459999999999926</v>
      </c>
      <c r="AD1607" s="238"/>
      <c r="AE1607" s="238"/>
    </row>
    <row r="1608" spans="2:31" x14ac:dyDescent="0.3">
      <c r="B1608" s="245" t="s">
        <v>42</v>
      </c>
      <c r="C1608" s="245"/>
      <c r="D1608" s="245"/>
      <c r="E1608" s="221">
        <v>0</v>
      </c>
      <c r="F1608" s="222">
        <v>0</v>
      </c>
      <c r="G1608" s="221">
        <v>0</v>
      </c>
      <c r="H1608" s="222">
        <v>0</v>
      </c>
      <c r="I1608" s="221">
        <v>0</v>
      </c>
      <c r="J1608" s="222">
        <v>0</v>
      </c>
      <c r="K1608" s="221">
        <v>0</v>
      </c>
      <c r="L1608" s="222">
        <v>0</v>
      </c>
      <c r="M1608" s="221">
        <v>0</v>
      </c>
      <c r="N1608" s="222">
        <v>0</v>
      </c>
      <c r="O1608" s="221">
        <v>0</v>
      </c>
      <c r="P1608" s="222">
        <v>0</v>
      </c>
      <c r="Q1608" s="221">
        <v>0</v>
      </c>
      <c r="R1608" s="222">
        <v>0</v>
      </c>
      <c r="S1608" s="221">
        <v>0</v>
      </c>
      <c r="T1608" s="222">
        <v>0</v>
      </c>
      <c r="U1608" s="221">
        <v>0</v>
      </c>
      <c r="V1608" s="222">
        <v>0</v>
      </c>
      <c r="W1608" s="221">
        <v>0</v>
      </c>
      <c r="X1608" s="222">
        <v>0</v>
      </c>
      <c r="Y1608" s="221">
        <v>0</v>
      </c>
      <c r="Z1608" s="222">
        <v>0</v>
      </c>
      <c r="AA1608" s="221">
        <v>0</v>
      </c>
      <c r="AB1608" s="222">
        <v>0</v>
      </c>
      <c r="AC1608" s="238">
        <f t="shared" si="87"/>
        <v>0</v>
      </c>
      <c r="AD1608" s="238"/>
      <c r="AE1608" s="238"/>
    </row>
    <row r="1609" spans="2:31" x14ac:dyDescent="0.3">
      <c r="B1609" s="245" t="s">
        <v>43</v>
      </c>
      <c r="C1609" s="245"/>
      <c r="D1609" s="245"/>
      <c r="E1609" s="221">
        <v>0</v>
      </c>
      <c r="F1609" s="222">
        <v>0</v>
      </c>
      <c r="G1609" s="221">
        <v>0</v>
      </c>
      <c r="H1609" s="222">
        <v>0</v>
      </c>
      <c r="I1609" s="221">
        <v>0</v>
      </c>
      <c r="J1609" s="222">
        <v>0</v>
      </c>
      <c r="K1609" s="221">
        <v>0</v>
      </c>
      <c r="L1609" s="222">
        <v>0</v>
      </c>
      <c r="M1609" s="221">
        <v>0</v>
      </c>
      <c r="N1609" s="222">
        <v>0</v>
      </c>
      <c r="O1609" s="221">
        <v>5.8333333333332862E-2</v>
      </c>
      <c r="P1609" s="222">
        <v>0</v>
      </c>
      <c r="Q1609" s="221">
        <v>1.8168333333333415</v>
      </c>
      <c r="R1609" s="222">
        <v>2.520333333333328</v>
      </c>
      <c r="S1609" s="221">
        <v>4.2986666666666613</v>
      </c>
      <c r="T1609" s="222">
        <v>14.854999999999999</v>
      </c>
      <c r="U1609" s="221">
        <v>18.130333333333333</v>
      </c>
      <c r="V1609" s="222">
        <v>17.368000000000006</v>
      </c>
      <c r="W1609" s="221">
        <v>4.7670000000000003</v>
      </c>
      <c r="X1609" s="222">
        <v>0</v>
      </c>
      <c r="Y1609" s="221">
        <v>0</v>
      </c>
      <c r="Z1609" s="222">
        <v>0</v>
      </c>
      <c r="AA1609" s="221">
        <v>0</v>
      </c>
      <c r="AB1609" s="222">
        <v>0</v>
      </c>
      <c r="AC1609" s="238">
        <f t="shared" si="87"/>
        <v>63.814500000000002</v>
      </c>
      <c r="AD1609" s="238"/>
      <c r="AE1609" s="238"/>
    </row>
    <row r="1610" spans="2:31" x14ac:dyDescent="0.3">
      <c r="B1610" s="245" t="s">
        <v>44</v>
      </c>
      <c r="C1610" s="245"/>
      <c r="D1610" s="245"/>
      <c r="E1610" s="221">
        <v>0</v>
      </c>
      <c r="F1610" s="222">
        <v>0</v>
      </c>
      <c r="G1610" s="221">
        <v>0</v>
      </c>
      <c r="H1610" s="222">
        <v>0</v>
      </c>
      <c r="I1610" s="221">
        <v>0</v>
      </c>
      <c r="J1610" s="222">
        <v>0</v>
      </c>
      <c r="K1610" s="221">
        <v>0</v>
      </c>
      <c r="L1610" s="222">
        <v>0</v>
      </c>
      <c r="M1610" s="221">
        <v>0</v>
      </c>
      <c r="N1610" s="222">
        <v>0</v>
      </c>
      <c r="O1610" s="221">
        <v>0.24733333333333388</v>
      </c>
      <c r="P1610" s="222">
        <v>0</v>
      </c>
      <c r="Q1610" s="221">
        <v>0</v>
      </c>
      <c r="R1610" s="222">
        <v>0</v>
      </c>
      <c r="S1610" s="221">
        <v>14.498499999999995</v>
      </c>
      <c r="T1610" s="222">
        <v>23.830666666666687</v>
      </c>
      <c r="U1610" s="221">
        <v>0</v>
      </c>
      <c r="V1610" s="222">
        <v>0</v>
      </c>
      <c r="W1610" s="221">
        <v>7.2975000000000056</v>
      </c>
      <c r="X1610" s="222">
        <v>0</v>
      </c>
      <c r="Y1610" s="221">
        <v>0</v>
      </c>
      <c r="Z1610" s="222">
        <v>0</v>
      </c>
      <c r="AA1610" s="221">
        <v>0</v>
      </c>
      <c r="AB1610" s="222">
        <v>0</v>
      </c>
      <c r="AC1610" s="238">
        <f t="shared" si="87"/>
        <v>45.874000000000024</v>
      </c>
      <c r="AD1610" s="238"/>
      <c r="AE1610" s="238"/>
    </row>
    <row r="1611" spans="2:31" x14ac:dyDescent="0.3">
      <c r="B1611" s="245" t="s">
        <v>45</v>
      </c>
      <c r="C1611" s="245"/>
      <c r="D1611" s="245"/>
      <c r="E1611" s="221">
        <v>0</v>
      </c>
      <c r="F1611" s="222">
        <v>0</v>
      </c>
      <c r="G1611" s="221">
        <v>0</v>
      </c>
      <c r="H1611" s="222">
        <v>0</v>
      </c>
      <c r="I1611" s="221">
        <v>0</v>
      </c>
      <c r="J1611" s="222">
        <v>0</v>
      </c>
      <c r="K1611" s="221">
        <v>0</v>
      </c>
      <c r="L1611" s="222">
        <v>0</v>
      </c>
      <c r="M1611" s="221">
        <v>0</v>
      </c>
      <c r="N1611" s="222">
        <v>0</v>
      </c>
      <c r="O1611" s="221">
        <v>3.3621666666666643</v>
      </c>
      <c r="P1611" s="222">
        <v>15.639999999999988</v>
      </c>
      <c r="Q1611" s="221">
        <v>0</v>
      </c>
      <c r="R1611" s="222">
        <v>21.437333333333335</v>
      </c>
      <c r="S1611" s="221">
        <v>0</v>
      </c>
      <c r="T1611" s="222">
        <v>27.079999999999981</v>
      </c>
      <c r="U1611" s="221">
        <v>0</v>
      </c>
      <c r="V1611" s="222">
        <v>9.0799999999999912</v>
      </c>
      <c r="W1611" s="221">
        <v>1.1371666666666662</v>
      </c>
      <c r="X1611" s="222">
        <v>0</v>
      </c>
      <c r="Y1611" s="221">
        <v>0</v>
      </c>
      <c r="Z1611" s="222">
        <v>0</v>
      </c>
      <c r="AA1611" s="221">
        <v>0</v>
      </c>
      <c r="AB1611" s="222">
        <v>0</v>
      </c>
      <c r="AC1611" s="238">
        <f t="shared" si="87"/>
        <v>77.736666666666622</v>
      </c>
      <c r="AD1611" s="238"/>
      <c r="AE1611" s="238"/>
    </row>
    <row r="1612" spans="2:31" x14ac:dyDescent="0.3">
      <c r="B1612" s="245" t="s">
        <v>46</v>
      </c>
      <c r="C1612" s="245"/>
      <c r="D1612" s="245"/>
      <c r="E1612" s="221">
        <v>0</v>
      </c>
      <c r="F1612" s="222">
        <v>0</v>
      </c>
      <c r="G1612" s="221">
        <v>0</v>
      </c>
      <c r="H1612" s="222">
        <v>0</v>
      </c>
      <c r="I1612" s="221">
        <v>0</v>
      </c>
      <c r="J1612" s="222">
        <v>0</v>
      </c>
      <c r="K1612" s="221">
        <v>0</v>
      </c>
      <c r="L1612" s="222">
        <v>0</v>
      </c>
      <c r="M1612" s="221">
        <v>0</v>
      </c>
      <c r="N1612" s="222">
        <v>0</v>
      </c>
      <c r="O1612" s="221">
        <v>0</v>
      </c>
      <c r="P1612" s="222">
        <v>1.2131666666666707</v>
      </c>
      <c r="Q1612" s="221">
        <v>3.2108333333333339</v>
      </c>
      <c r="R1612" s="222">
        <v>13.288666666666677</v>
      </c>
      <c r="S1612" s="221">
        <v>40.831999999999972</v>
      </c>
      <c r="T1612" s="222">
        <v>0</v>
      </c>
      <c r="U1612" s="221">
        <v>0</v>
      </c>
      <c r="V1612" s="222">
        <v>10.44666666666666</v>
      </c>
      <c r="W1612" s="221">
        <v>0</v>
      </c>
      <c r="X1612" s="222">
        <v>0</v>
      </c>
      <c r="Y1612" s="221">
        <v>0</v>
      </c>
      <c r="Z1612" s="222">
        <v>0</v>
      </c>
      <c r="AA1612" s="221">
        <v>0</v>
      </c>
      <c r="AB1612" s="222">
        <v>0</v>
      </c>
      <c r="AC1612" s="238">
        <f t="shared" si="87"/>
        <v>68.991333333333316</v>
      </c>
      <c r="AD1612" s="238"/>
      <c r="AE1612" s="238"/>
    </row>
    <row r="1613" spans="2:31" x14ac:dyDescent="0.3">
      <c r="B1613" s="245" t="s">
        <v>47</v>
      </c>
      <c r="C1613" s="245"/>
      <c r="D1613" s="245"/>
      <c r="E1613" s="221">
        <v>0</v>
      </c>
      <c r="F1613" s="222">
        <v>0</v>
      </c>
      <c r="G1613" s="221">
        <v>0</v>
      </c>
      <c r="H1613" s="222">
        <v>0</v>
      </c>
      <c r="I1613" s="221">
        <v>0</v>
      </c>
      <c r="J1613" s="222">
        <v>0</v>
      </c>
      <c r="K1613" s="221">
        <v>0</v>
      </c>
      <c r="L1613" s="222">
        <v>0</v>
      </c>
      <c r="M1613" s="221">
        <v>0</v>
      </c>
      <c r="N1613" s="222">
        <v>0</v>
      </c>
      <c r="O1613" s="221">
        <v>0</v>
      </c>
      <c r="P1613" s="222">
        <v>0</v>
      </c>
      <c r="Q1613" s="221">
        <v>0</v>
      </c>
      <c r="R1613" s="222">
        <v>2.3343333333333329</v>
      </c>
      <c r="S1613" s="221">
        <v>10.580000000000004</v>
      </c>
      <c r="T1613" s="222">
        <v>10.980000000000009</v>
      </c>
      <c r="U1613" s="221">
        <v>0</v>
      </c>
      <c r="V1613" s="222">
        <v>0</v>
      </c>
      <c r="W1613" s="221">
        <v>3.8001666666666689</v>
      </c>
      <c r="X1613" s="222">
        <v>0</v>
      </c>
      <c r="Y1613" s="221">
        <v>0</v>
      </c>
      <c r="Z1613" s="222">
        <v>0</v>
      </c>
      <c r="AA1613" s="221">
        <v>0</v>
      </c>
      <c r="AB1613" s="222">
        <v>0</v>
      </c>
      <c r="AC1613" s="238">
        <f t="shared" si="87"/>
        <v>27.694500000000016</v>
      </c>
      <c r="AD1613" s="238"/>
      <c r="AE1613" s="238"/>
    </row>
    <row r="1614" spans="2:31" x14ac:dyDescent="0.3">
      <c r="B1614" s="245" t="s">
        <v>48</v>
      </c>
      <c r="C1614" s="245"/>
      <c r="D1614" s="245"/>
      <c r="E1614" s="221">
        <v>0</v>
      </c>
      <c r="F1614" s="222">
        <v>0</v>
      </c>
      <c r="G1614" s="221">
        <v>0</v>
      </c>
      <c r="H1614" s="222">
        <v>0</v>
      </c>
      <c r="I1614" s="221">
        <v>0</v>
      </c>
      <c r="J1614" s="222">
        <v>0</v>
      </c>
      <c r="K1614" s="221">
        <v>0</v>
      </c>
      <c r="L1614" s="222">
        <v>0</v>
      </c>
      <c r="M1614" s="221">
        <v>0</v>
      </c>
      <c r="N1614" s="222">
        <v>0</v>
      </c>
      <c r="O1614" s="221">
        <v>0</v>
      </c>
      <c r="P1614" s="222">
        <v>0</v>
      </c>
      <c r="Q1614" s="221">
        <v>0</v>
      </c>
      <c r="R1614" s="222">
        <v>1.7093333333333336</v>
      </c>
      <c r="S1614" s="221">
        <v>8.6600000000000126</v>
      </c>
      <c r="T1614" s="222">
        <v>8.9599999999999955</v>
      </c>
      <c r="U1614" s="221">
        <v>0</v>
      </c>
      <c r="V1614" s="222">
        <v>8.06</v>
      </c>
      <c r="W1614" s="221">
        <v>3.3850000000000056</v>
      </c>
      <c r="X1614" s="222">
        <v>0</v>
      </c>
      <c r="Y1614" s="221">
        <v>0</v>
      </c>
      <c r="Z1614" s="222">
        <v>0</v>
      </c>
      <c r="AA1614" s="221">
        <v>0</v>
      </c>
      <c r="AB1614" s="222">
        <v>0</v>
      </c>
      <c r="AC1614" s="238">
        <f t="shared" si="87"/>
        <v>30.774333333333345</v>
      </c>
      <c r="AD1614" s="238"/>
      <c r="AE1614" s="238"/>
    </row>
    <row r="1615" spans="2:31" x14ac:dyDescent="0.3">
      <c r="B1615" s="245" t="s">
        <v>49</v>
      </c>
      <c r="C1615" s="245"/>
      <c r="D1615" s="245"/>
      <c r="E1615" s="221">
        <v>0</v>
      </c>
      <c r="F1615" s="222">
        <v>0</v>
      </c>
      <c r="G1615" s="221">
        <v>0</v>
      </c>
      <c r="H1615" s="222">
        <v>0</v>
      </c>
      <c r="I1615" s="221">
        <v>0</v>
      </c>
      <c r="J1615" s="222">
        <v>0</v>
      </c>
      <c r="K1615" s="221">
        <v>0</v>
      </c>
      <c r="L1615" s="222">
        <v>0</v>
      </c>
      <c r="M1615" s="221">
        <v>0</v>
      </c>
      <c r="N1615" s="222">
        <v>0</v>
      </c>
      <c r="O1615" s="221">
        <v>0</v>
      </c>
      <c r="P1615" s="222">
        <v>0</v>
      </c>
      <c r="Q1615" s="221">
        <v>0</v>
      </c>
      <c r="R1615" s="222">
        <v>0</v>
      </c>
      <c r="S1615" s="221">
        <v>0</v>
      </c>
      <c r="T1615" s="222">
        <v>0</v>
      </c>
      <c r="U1615" s="221">
        <v>0</v>
      </c>
      <c r="V1615" s="222">
        <v>0</v>
      </c>
      <c r="W1615" s="221">
        <v>0</v>
      </c>
      <c r="X1615" s="222">
        <v>0</v>
      </c>
      <c r="Y1615" s="221">
        <v>0</v>
      </c>
      <c r="Z1615" s="222">
        <v>0</v>
      </c>
      <c r="AA1615" s="221">
        <v>0</v>
      </c>
      <c r="AB1615" s="222">
        <v>0</v>
      </c>
      <c r="AC1615" s="238">
        <f t="shared" si="87"/>
        <v>0</v>
      </c>
      <c r="AD1615" s="238"/>
      <c r="AE1615" s="238"/>
    </row>
    <row r="1616" spans="2:31" x14ac:dyDescent="0.3">
      <c r="B1616" s="245" t="s">
        <v>50</v>
      </c>
      <c r="C1616" s="245"/>
      <c r="D1616" s="245"/>
      <c r="E1616" s="221">
        <v>0</v>
      </c>
      <c r="F1616" s="222">
        <v>0</v>
      </c>
      <c r="G1616" s="221">
        <v>0</v>
      </c>
      <c r="H1616" s="222">
        <v>0</v>
      </c>
      <c r="I1616" s="221">
        <v>0</v>
      </c>
      <c r="J1616" s="222">
        <v>0</v>
      </c>
      <c r="K1616" s="221">
        <v>0</v>
      </c>
      <c r="L1616" s="222">
        <v>0</v>
      </c>
      <c r="M1616" s="221">
        <v>0</v>
      </c>
      <c r="N1616" s="222">
        <v>0</v>
      </c>
      <c r="O1616" s="221">
        <v>11.894999999999992</v>
      </c>
      <c r="P1616" s="222">
        <v>13.063499999999983</v>
      </c>
      <c r="Q1616" s="221">
        <v>5.3505000000000003</v>
      </c>
      <c r="R1616" s="222">
        <v>12.028166666666657</v>
      </c>
      <c r="S1616" s="221">
        <v>16.131500000000003</v>
      </c>
      <c r="T1616" s="222">
        <v>9.3949999999999996</v>
      </c>
      <c r="U1616" s="221">
        <v>1.6500000000000032E-2</v>
      </c>
      <c r="V1616" s="222">
        <v>19.530166666666673</v>
      </c>
      <c r="W1616" s="221">
        <v>10.496333333333336</v>
      </c>
      <c r="X1616" s="222">
        <v>0</v>
      </c>
      <c r="Y1616" s="221">
        <v>0</v>
      </c>
      <c r="Z1616" s="222">
        <v>0</v>
      </c>
      <c r="AA1616" s="221">
        <v>0</v>
      </c>
      <c r="AB1616" s="222">
        <v>0</v>
      </c>
      <c r="AC1616" s="238">
        <f t="shared" si="87"/>
        <v>97.906666666666638</v>
      </c>
      <c r="AD1616" s="238"/>
      <c r="AE1616" s="238"/>
    </row>
    <row r="1617" spans="2:31" x14ac:dyDescent="0.3">
      <c r="B1617" s="245" t="s">
        <v>97</v>
      </c>
      <c r="C1617" s="245"/>
      <c r="D1617" s="245"/>
      <c r="E1617" s="221">
        <v>0</v>
      </c>
      <c r="F1617" s="222">
        <v>0</v>
      </c>
      <c r="G1617" s="221">
        <v>0</v>
      </c>
      <c r="H1617" s="222">
        <v>0</v>
      </c>
      <c r="I1617" s="221">
        <v>0</v>
      </c>
      <c r="J1617" s="222">
        <v>0</v>
      </c>
      <c r="K1617" s="221">
        <v>0</v>
      </c>
      <c r="L1617" s="222">
        <v>0</v>
      </c>
      <c r="M1617" s="221">
        <v>0</v>
      </c>
      <c r="N1617" s="222">
        <v>0</v>
      </c>
      <c r="O1617" s="221">
        <v>0</v>
      </c>
      <c r="P1617" s="222">
        <v>0</v>
      </c>
      <c r="Q1617" s="221">
        <v>0</v>
      </c>
      <c r="R1617" s="222">
        <v>0</v>
      </c>
      <c r="S1617" s="221">
        <v>0</v>
      </c>
      <c r="T1617" s="222">
        <v>0</v>
      </c>
      <c r="U1617" s="221">
        <v>0</v>
      </c>
      <c r="V1617" s="222">
        <v>0</v>
      </c>
      <c r="W1617" s="221">
        <v>0</v>
      </c>
      <c r="X1617" s="222">
        <v>0</v>
      </c>
      <c r="Y1617" s="221">
        <v>0</v>
      </c>
      <c r="Z1617" s="222">
        <v>0</v>
      </c>
      <c r="AA1617" s="221">
        <v>0</v>
      </c>
      <c r="AB1617" s="222">
        <v>0</v>
      </c>
      <c r="AC1617" s="238">
        <f t="shared" si="87"/>
        <v>0</v>
      </c>
      <c r="AD1617" s="238"/>
      <c r="AE1617" s="238"/>
    </row>
    <row r="1618" spans="2:31" x14ac:dyDescent="0.3">
      <c r="B1618" s="245" t="s">
        <v>51</v>
      </c>
      <c r="C1618" s="245"/>
      <c r="D1618" s="245"/>
      <c r="E1618" s="221">
        <v>0</v>
      </c>
      <c r="F1618" s="222">
        <v>0</v>
      </c>
      <c r="G1618" s="221">
        <v>0</v>
      </c>
      <c r="H1618" s="222">
        <v>0</v>
      </c>
      <c r="I1618" s="221">
        <v>0</v>
      </c>
      <c r="J1618" s="222">
        <v>0</v>
      </c>
      <c r="K1618" s="221">
        <v>0</v>
      </c>
      <c r="L1618" s="222">
        <v>0</v>
      </c>
      <c r="M1618" s="221">
        <v>0</v>
      </c>
      <c r="N1618" s="222">
        <v>0</v>
      </c>
      <c r="O1618" s="221">
        <v>19.064333333333334</v>
      </c>
      <c r="P1618" s="222">
        <v>39.722499999999982</v>
      </c>
      <c r="Q1618" s="221">
        <v>39.73716666666666</v>
      </c>
      <c r="R1618" s="222">
        <v>39.708833333333338</v>
      </c>
      <c r="S1618" s="221">
        <v>43.029499999999985</v>
      </c>
      <c r="T1618" s="222">
        <v>45.980333333333334</v>
      </c>
      <c r="U1618" s="221">
        <v>49.024499999999982</v>
      </c>
      <c r="V1618" s="222">
        <v>45.562166666666641</v>
      </c>
      <c r="W1618" s="221">
        <v>27.301666666666662</v>
      </c>
      <c r="X1618" s="222">
        <v>0</v>
      </c>
      <c r="Y1618" s="221">
        <v>0</v>
      </c>
      <c r="Z1618" s="222">
        <v>0</v>
      </c>
      <c r="AA1618" s="221">
        <v>0</v>
      </c>
      <c r="AB1618" s="222">
        <v>0</v>
      </c>
      <c r="AC1618" s="238">
        <f t="shared" si="87"/>
        <v>349.13099999999991</v>
      </c>
      <c r="AD1618" s="238"/>
      <c r="AE1618" s="238"/>
    </row>
    <row r="1619" spans="2:31" x14ac:dyDescent="0.3">
      <c r="B1619" s="245" t="s">
        <v>52</v>
      </c>
      <c r="C1619" s="245"/>
      <c r="D1619" s="245"/>
      <c r="E1619" s="221">
        <v>0</v>
      </c>
      <c r="F1619" s="222">
        <v>0</v>
      </c>
      <c r="G1619" s="221">
        <v>0</v>
      </c>
      <c r="H1619" s="222">
        <v>0</v>
      </c>
      <c r="I1619" s="221">
        <v>0</v>
      </c>
      <c r="J1619" s="222">
        <v>0</v>
      </c>
      <c r="K1619" s="221">
        <v>0</v>
      </c>
      <c r="L1619" s="222">
        <v>0</v>
      </c>
      <c r="M1619" s="221">
        <v>0</v>
      </c>
      <c r="N1619" s="222">
        <v>0</v>
      </c>
      <c r="O1619" s="221">
        <v>0</v>
      </c>
      <c r="P1619" s="222">
        <v>0</v>
      </c>
      <c r="Q1619" s="221">
        <v>0</v>
      </c>
      <c r="R1619" s="222">
        <v>0</v>
      </c>
      <c r="S1619" s="221">
        <v>0</v>
      </c>
      <c r="T1619" s="222">
        <v>0</v>
      </c>
      <c r="U1619" s="221">
        <v>0</v>
      </c>
      <c r="V1619" s="222">
        <v>0</v>
      </c>
      <c r="W1619" s="221">
        <v>0</v>
      </c>
      <c r="X1619" s="222">
        <v>0</v>
      </c>
      <c r="Y1619" s="221">
        <v>0</v>
      </c>
      <c r="Z1619" s="222">
        <v>0</v>
      </c>
      <c r="AA1619" s="221">
        <v>0</v>
      </c>
      <c r="AB1619" s="222">
        <v>0</v>
      </c>
      <c r="AC1619" s="238">
        <f t="shared" si="87"/>
        <v>0</v>
      </c>
      <c r="AD1619" s="238"/>
      <c r="AE1619" s="238"/>
    </row>
    <row r="1620" spans="2:31" x14ac:dyDescent="0.3">
      <c r="B1620" s="245" t="s">
        <v>53</v>
      </c>
      <c r="C1620" s="245"/>
      <c r="D1620" s="245"/>
      <c r="E1620" s="221">
        <v>0</v>
      </c>
      <c r="F1620" s="222">
        <v>0</v>
      </c>
      <c r="G1620" s="221">
        <v>0</v>
      </c>
      <c r="H1620" s="222">
        <v>0</v>
      </c>
      <c r="I1620" s="221">
        <v>0</v>
      </c>
      <c r="J1620" s="222">
        <v>0</v>
      </c>
      <c r="K1620" s="221">
        <v>0</v>
      </c>
      <c r="L1620" s="222">
        <v>0</v>
      </c>
      <c r="M1620" s="221">
        <v>0</v>
      </c>
      <c r="N1620" s="222">
        <v>0</v>
      </c>
      <c r="O1620" s="221">
        <v>0</v>
      </c>
      <c r="P1620" s="222">
        <v>0</v>
      </c>
      <c r="Q1620" s="221">
        <v>0</v>
      </c>
      <c r="R1620" s="222">
        <v>0.18216666666666845</v>
      </c>
      <c r="S1620" s="221">
        <v>0.48016666666666669</v>
      </c>
      <c r="T1620" s="222">
        <v>0.13883333333333378</v>
      </c>
      <c r="U1620" s="221">
        <v>0</v>
      </c>
      <c r="V1620" s="222">
        <v>0</v>
      </c>
      <c r="W1620" s="221">
        <v>0</v>
      </c>
      <c r="X1620" s="222">
        <v>0</v>
      </c>
      <c r="Y1620" s="221">
        <v>0</v>
      </c>
      <c r="Z1620" s="222">
        <v>0</v>
      </c>
      <c r="AA1620" s="221">
        <v>0</v>
      </c>
      <c r="AB1620" s="222">
        <v>0</v>
      </c>
      <c r="AC1620" s="238">
        <f t="shared" si="87"/>
        <v>0.80116666666666891</v>
      </c>
      <c r="AD1620" s="238"/>
      <c r="AE1620" s="238"/>
    </row>
    <row r="1621" spans="2:31" x14ac:dyDescent="0.3">
      <c r="B1621" s="245" t="s">
        <v>54</v>
      </c>
      <c r="C1621" s="245"/>
      <c r="D1621" s="245"/>
      <c r="E1621" s="221">
        <v>0</v>
      </c>
      <c r="F1621" s="222">
        <v>0</v>
      </c>
      <c r="G1621" s="221">
        <v>0</v>
      </c>
      <c r="H1621" s="222">
        <v>0</v>
      </c>
      <c r="I1621" s="221">
        <v>0</v>
      </c>
      <c r="J1621" s="222">
        <v>0</v>
      </c>
      <c r="K1621" s="221">
        <v>0</v>
      </c>
      <c r="L1621" s="222">
        <v>0</v>
      </c>
      <c r="M1621" s="221">
        <v>0</v>
      </c>
      <c r="N1621" s="222">
        <v>0</v>
      </c>
      <c r="O1621" s="221">
        <v>4.8776666666666664</v>
      </c>
      <c r="P1621" s="222">
        <v>13.579499999999996</v>
      </c>
      <c r="Q1621" s="221">
        <v>14.990166666666671</v>
      </c>
      <c r="R1621" s="222">
        <v>13.598166666666666</v>
      </c>
      <c r="S1621" s="221">
        <v>14.361333333333336</v>
      </c>
      <c r="T1621" s="222">
        <v>21.843333333333327</v>
      </c>
      <c r="U1621" s="221">
        <v>25.650166666666674</v>
      </c>
      <c r="V1621" s="222">
        <v>25.649999999999995</v>
      </c>
      <c r="W1621" s="221">
        <v>22.390666666666664</v>
      </c>
      <c r="X1621" s="222">
        <v>0</v>
      </c>
      <c r="Y1621" s="221">
        <v>0</v>
      </c>
      <c r="Z1621" s="222">
        <v>0</v>
      </c>
      <c r="AA1621" s="221">
        <v>0</v>
      </c>
      <c r="AB1621" s="222">
        <v>0</v>
      </c>
      <c r="AC1621" s="238">
        <f t="shared" si="87"/>
        <v>156.941</v>
      </c>
      <c r="AD1621" s="238"/>
      <c r="AE1621" s="238"/>
    </row>
    <row r="1622" spans="2:31" x14ac:dyDescent="0.3">
      <c r="B1622" s="245" t="s">
        <v>55</v>
      </c>
      <c r="C1622" s="245"/>
      <c r="D1622" s="245"/>
      <c r="E1622" s="221">
        <v>0</v>
      </c>
      <c r="F1622" s="222">
        <v>0</v>
      </c>
      <c r="G1622" s="221">
        <v>0</v>
      </c>
      <c r="H1622" s="222">
        <v>0</v>
      </c>
      <c r="I1622" s="221">
        <v>0</v>
      </c>
      <c r="J1622" s="222">
        <v>0</v>
      </c>
      <c r="K1622" s="221">
        <v>0</v>
      </c>
      <c r="L1622" s="222">
        <v>0</v>
      </c>
      <c r="M1622" s="221">
        <v>0</v>
      </c>
      <c r="N1622" s="222">
        <v>0</v>
      </c>
      <c r="O1622" s="221">
        <v>1.3133333333333372</v>
      </c>
      <c r="P1622" s="222">
        <v>10.940000000000014</v>
      </c>
      <c r="Q1622" s="221">
        <v>15.840000000000025</v>
      </c>
      <c r="R1622" s="222">
        <v>16.039999999999992</v>
      </c>
      <c r="S1622" s="221">
        <v>21.330166666666663</v>
      </c>
      <c r="T1622" s="222">
        <v>30.364499999999982</v>
      </c>
      <c r="U1622" s="221">
        <v>34.819999999999958</v>
      </c>
      <c r="V1622" s="222">
        <v>32.72000000000002</v>
      </c>
      <c r="W1622" s="221">
        <v>17.631500000000006</v>
      </c>
      <c r="X1622" s="222">
        <v>0</v>
      </c>
      <c r="Y1622" s="221">
        <v>0</v>
      </c>
      <c r="Z1622" s="222">
        <v>0</v>
      </c>
      <c r="AA1622" s="221">
        <v>0</v>
      </c>
      <c r="AB1622" s="222">
        <v>0</v>
      </c>
      <c r="AC1622" s="238">
        <f t="shared" si="87"/>
        <v>180.99950000000001</v>
      </c>
      <c r="AD1622" s="238"/>
      <c r="AE1622" s="238"/>
    </row>
    <row r="1623" spans="2:31" x14ac:dyDescent="0.3">
      <c r="B1623" s="245" t="s">
        <v>56</v>
      </c>
      <c r="C1623" s="245"/>
      <c r="D1623" s="245"/>
      <c r="E1623" s="221">
        <v>0</v>
      </c>
      <c r="F1623" s="222">
        <v>0</v>
      </c>
      <c r="G1623" s="221">
        <v>0</v>
      </c>
      <c r="H1623" s="222">
        <v>0</v>
      </c>
      <c r="I1623" s="221">
        <v>0</v>
      </c>
      <c r="J1623" s="222">
        <v>0</v>
      </c>
      <c r="K1623" s="221">
        <v>0</v>
      </c>
      <c r="L1623" s="222">
        <v>0</v>
      </c>
      <c r="M1623" s="221">
        <v>0</v>
      </c>
      <c r="N1623" s="222">
        <v>0</v>
      </c>
      <c r="O1623" s="221">
        <v>1.1883333333333326</v>
      </c>
      <c r="P1623" s="222">
        <v>8.2596666666666696</v>
      </c>
      <c r="Q1623" s="221">
        <v>8.5571666666666673</v>
      </c>
      <c r="R1623" s="222">
        <v>9.0579999999999963</v>
      </c>
      <c r="S1623" s="221">
        <v>11.142666666666663</v>
      </c>
      <c r="T1623" s="222">
        <v>15.077499999999999</v>
      </c>
      <c r="U1623" s="221">
        <v>16.075333333333333</v>
      </c>
      <c r="V1623" s="222">
        <v>15.205499999999999</v>
      </c>
      <c r="W1623" s="221">
        <v>7.1906666666666688</v>
      </c>
      <c r="X1623" s="222">
        <v>0</v>
      </c>
      <c r="Y1623" s="221">
        <v>0</v>
      </c>
      <c r="Z1623" s="222">
        <v>0</v>
      </c>
      <c r="AA1623" s="221">
        <v>0</v>
      </c>
      <c r="AB1623" s="222">
        <v>0</v>
      </c>
      <c r="AC1623" s="238">
        <f t="shared" si="87"/>
        <v>91.754833333333337</v>
      </c>
      <c r="AD1623" s="238"/>
      <c r="AE1623" s="238"/>
    </row>
    <row r="1624" spans="2:31" x14ac:dyDescent="0.3">
      <c r="B1624" s="245" t="s">
        <v>94</v>
      </c>
      <c r="C1624" s="245"/>
      <c r="D1624" s="245"/>
      <c r="E1624" s="221">
        <v>0</v>
      </c>
      <c r="F1624" s="222">
        <v>0</v>
      </c>
      <c r="G1624" s="221">
        <v>0</v>
      </c>
      <c r="H1624" s="222">
        <v>0</v>
      </c>
      <c r="I1624" s="221">
        <v>0</v>
      </c>
      <c r="J1624" s="222">
        <v>0</v>
      </c>
      <c r="K1624" s="221">
        <v>0</v>
      </c>
      <c r="L1624" s="222">
        <v>0</v>
      </c>
      <c r="M1624" s="221">
        <v>0</v>
      </c>
      <c r="N1624" s="222">
        <v>0</v>
      </c>
      <c r="O1624" s="221">
        <v>0</v>
      </c>
      <c r="P1624" s="222">
        <v>0</v>
      </c>
      <c r="Q1624" s="221">
        <v>0</v>
      </c>
      <c r="R1624" s="222">
        <v>0</v>
      </c>
      <c r="S1624" s="221">
        <v>0</v>
      </c>
      <c r="T1624" s="222">
        <v>0</v>
      </c>
      <c r="U1624" s="221">
        <v>0</v>
      </c>
      <c r="V1624" s="222">
        <v>0</v>
      </c>
      <c r="W1624" s="221">
        <v>0</v>
      </c>
      <c r="X1624" s="222">
        <v>0</v>
      </c>
      <c r="Y1624" s="221">
        <v>0</v>
      </c>
      <c r="Z1624" s="222">
        <v>0</v>
      </c>
      <c r="AA1624" s="221">
        <v>0</v>
      </c>
      <c r="AB1624" s="222">
        <v>0</v>
      </c>
      <c r="AC1624" s="238">
        <f t="shared" si="87"/>
        <v>0</v>
      </c>
      <c r="AD1624" s="238"/>
      <c r="AE1624" s="238"/>
    </row>
    <row r="1625" spans="2:31" x14ac:dyDescent="0.3">
      <c r="B1625" s="245" t="s">
        <v>57</v>
      </c>
      <c r="C1625" s="245"/>
      <c r="D1625" s="245"/>
      <c r="E1625" s="221">
        <v>0</v>
      </c>
      <c r="F1625" s="222">
        <v>0</v>
      </c>
      <c r="G1625" s="221">
        <v>0</v>
      </c>
      <c r="H1625" s="222">
        <v>0</v>
      </c>
      <c r="I1625" s="221">
        <v>0</v>
      </c>
      <c r="J1625" s="222">
        <v>0</v>
      </c>
      <c r="K1625" s="221">
        <v>0</v>
      </c>
      <c r="L1625" s="222">
        <v>0</v>
      </c>
      <c r="M1625" s="221">
        <v>0</v>
      </c>
      <c r="N1625" s="222">
        <v>0</v>
      </c>
      <c r="O1625" s="221">
        <v>1.6319999999999986</v>
      </c>
      <c r="P1625" s="222">
        <v>3.9161666666666672</v>
      </c>
      <c r="Q1625" s="221">
        <v>4.1181666666666654</v>
      </c>
      <c r="R1625" s="222">
        <v>4.1034999999999995</v>
      </c>
      <c r="S1625" s="221">
        <v>5.1253333333333329</v>
      </c>
      <c r="T1625" s="222">
        <v>6.0963333333333338</v>
      </c>
      <c r="U1625" s="221">
        <v>6.7329999999999988</v>
      </c>
      <c r="V1625" s="222">
        <v>6.5539999999999985</v>
      </c>
      <c r="W1625" s="221">
        <v>3.2023333333333333</v>
      </c>
      <c r="X1625" s="222">
        <v>0</v>
      </c>
      <c r="Y1625" s="221">
        <v>0</v>
      </c>
      <c r="Z1625" s="222">
        <v>0</v>
      </c>
      <c r="AA1625" s="221">
        <v>0</v>
      </c>
      <c r="AB1625" s="222">
        <v>0</v>
      </c>
      <c r="AC1625" s="238">
        <f t="shared" si="87"/>
        <v>41.480833333333329</v>
      </c>
      <c r="AD1625" s="238"/>
      <c r="AE1625" s="238"/>
    </row>
    <row r="1626" spans="2:31" x14ac:dyDescent="0.3">
      <c r="B1626" s="245" t="s">
        <v>58</v>
      </c>
      <c r="C1626" s="245"/>
      <c r="D1626" s="245"/>
      <c r="E1626" s="221">
        <v>0</v>
      </c>
      <c r="F1626" s="222">
        <v>0</v>
      </c>
      <c r="G1626" s="221">
        <v>0</v>
      </c>
      <c r="H1626" s="222">
        <v>0</v>
      </c>
      <c r="I1626" s="221">
        <v>0</v>
      </c>
      <c r="J1626" s="222">
        <v>0</v>
      </c>
      <c r="K1626" s="221">
        <v>0</v>
      </c>
      <c r="L1626" s="222">
        <v>0</v>
      </c>
      <c r="M1626" s="221">
        <v>0</v>
      </c>
      <c r="N1626" s="222">
        <v>0</v>
      </c>
      <c r="O1626" s="221">
        <v>3.0126666666666684</v>
      </c>
      <c r="P1626" s="222">
        <v>8.1093333333333355</v>
      </c>
      <c r="Q1626" s="221">
        <v>8.9523333333333319</v>
      </c>
      <c r="R1626" s="222">
        <v>8.4958333333333318</v>
      </c>
      <c r="S1626" s="221">
        <v>11.54783333333333</v>
      </c>
      <c r="T1626" s="222">
        <v>15.86183333333333</v>
      </c>
      <c r="U1626" s="221">
        <v>18.416333333333316</v>
      </c>
      <c r="V1626" s="222">
        <v>17.535333333333309</v>
      </c>
      <c r="W1626" s="221">
        <v>5.7216666666666596</v>
      </c>
      <c r="X1626" s="222">
        <v>0</v>
      </c>
      <c r="Y1626" s="221">
        <v>0</v>
      </c>
      <c r="Z1626" s="222">
        <v>0</v>
      </c>
      <c r="AA1626" s="221">
        <v>0</v>
      </c>
      <c r="AB1626" s="222">
        <v>0</v>
      </c>
      <c r="AC1626" s="238">
        <f t="shared" si="87"/>
        <v>97.653166666666621</v>
      </c>
      <c r="AD1626" s="238"/>
      <c r="AE1626" s="238"/>
    </row>
    <row r="1627" spans="2:31" x14ac:dyDescent="0.3">
      <c r="B1627" s="245" t="s">
        <v>95</v>
      </c>
      <c r="C1627" s="245"/>
      <c r="D1627" s="245"/>
      <c r="E1627" s="221">
        <v>0</v>
      </c>
      <c r="F1627" s="222">
        <v>0</v>
      </c>
      <c r="G1627" s="221">
        <v>0</v>
      </c>
      <c r="H1627" s="222">
        <v>0</v>
      </c>
      <c r="I1627" s="221">
        <v>0</v>
      </c>
      <c r="J1627" s="222">
        <v>0</v>
      </c>
      <c r="K1627" s="221">
        <v>0</v>
      </c>
      <c r="L1627" s="222">
        <v>0</v>
      </c>
      <c r="M1627" s="221">
        <v>0</v>
      </c>
      <c r="N1627" s="222">
        <v>0</v>
      </c>
      <c r="O1627" s="221">
        <v>0</v>
      </c>
      <c r="P1627" s="222">
        <v>0</v>
      </c>
      <c r="Q1627" s="221">
        <v>0</v>
      </c>
      <c r="R1627" s="222">
        <v>0</v>
      </c>
      <c r="S1627" s="221">
        <v>0</v>
      </c>
      <c r="T1627" s="222">
        <v>0</v>
      </c>
      <c r="U1627" s="221">
        <v>0</v>
      </c>
      <c r="V1627" s="222">
        <v>0</v>
      </c>
      <c r="W1627" s="221">
        <v>0</v>
      </c>
      <c r="X1627" s="222">
        <v>0</v>
      </c>
      <c r="Y1627" s="221">
        <v>0</v>
      </c>
      <c r="Z1627" s="222">
        <v>0</v>
      </c>
      <c r="AA1627" s="221">
        <v>0</v>
      </c>
      <c r="AB1627" s="222">
        <v>0</v>
      </c>
      <c r="AC1627" s="238">
        <f t="shared" si="87"/>
        <v>0</v>
      </c>
      <c r="AD1627" s="238"/>
      <c r="AE1627" s="238"/>
    </row>
    <row r="1628" spans="2:31" x14ac:dyDescent="0.3">
      <c r="B1628" s="245" t="s">
        <v>59</v>
      </c>
      <c r="C1628" s="245"/>
      <c r="D1628" s="245"/>
      <c r="E1628" s="221">
        <v>0</v>
      </c>
      <c r="F1628" s="222">
        <v>0</v>
      </c>
      <c r="G1628" s="221">
        <v>0</v>
      </c>
      <c r="H1628" s="222">
        <v>0</v>
      </c>
      <c r="I1628" s="221">
        <v>0</v>
      </c>
      <c r="J1628" s="222">
        <v>0</v>
      </c>
      <c r="K1628" s="221">
        <v>0</v>
      </c>
      <c r="L1628" s="222">
        <v>0</v>
      </c>
      <c r="M1628" s="221">
        <v>0</v>
      </c>
      <c r="N1628" s="222">
        <v>0</v>
      </c>
      <c r="O1628" s="221">
        <v>11.70116666666666</v>
      </c>
      <c r="P1628" s="222">
        <v>21.702000000000019</v>
      </c>
      <c r="Q1628" s="221">
        <v>23.032666666666646</v>
      </c>
      <c r="R1628" s="222">
        <v>23.571833333333327</v>
      </c>
      <c r="S1628" s="221">
        <v>0</v>
      </c>
      <c r="T1628" s="222">
        <v>0</v>
      </c>
      <c r="U1628" s="221">
        <v>31.114666666666629</v>
      </c>
      <c r="V1628" s="222">
        <v>0</v>
      </c>
      <c r="W1628" s="221">
        <v>0</v>
      </c>
      <c r="X1628" s="222">
        <v>0</v>
      </c>
      <c r="Y1628" s="221">
        <v>0</v>
      </c>
      <c r="Z1628" s="222">
        <v>0</v>
      </c>
      <c r="AA1628" s="221">
        <v>0</v>
      </c>
      <c r="AB1628" s="222">
        <v>0</v>
      </c>
      <c r="AC1628" s="238">
        <f t="shared" si="87"/>
        <v>111.12233333333327</v>
      </c>
      <c r="AD1628" s="238"/>
      <c r="AE1628" s="238"/>
    </row>
    <row r="1629" spans="2:31" x14ac:dyDescent="0.3">
      <c r="B1629" s="245" t="s">
        <v>60</v>
      </c>
      <c r="C1629" s="245"/>
      <c r="D1629" s="245"/>
      <c r="E1629" s="221">
        <v>0</v>
      </c>
      <c r="F1629" s="222">
        <v>0</v>
      </c>
      <c r="G1629" s="221">
        <v>0</v>
      </c>
      <c r="H1629" s="222">
        <v>0</v>
      </c>
      <c r="I1629" s="221">
        <v>0</v>
      </c>
      <c r="J1629" s="222">
        <v>0</v>
      </c>
      <c r="K1629" s="221">
        <v>0</v>
      </c>
      <c r="L1629" s="222">
        <v>0</v>
      </c>
      <c r="M1629" s="221">
        <v>0</v>
      </c>
      <c r="N1629" s="222">
        <v>0</v>
      </c>
      <c r="O1629" s="221">
        <v>1.4993333333333325</v>
      </c>
      <c r="P1629" s="222">
        <v>8.5489999999999977</v>
      </c>
      <c r="Q1629" s="221">
        <v>9.5654999999999895</v>
      </c>
      <c r="R1629" s="222">
        <v>9.5268333333333235</v>
      </c>
      <c r="S1629" s="221">
        <v>0</v>
      </c>
      <c r="T1629" s="222">
        <v>0</v>
      </c>
      <c r="U1629" s="221">
        <v>22.543333333333315</v>
      </c>
      <c r="V1629" s="222">
        <v>0</v>
      </c>
      <c r="W1629" s="221">
        <v>0</v>
      </c>
      <c r="X1629" s="222">
        <v>0</v>
      </c>
      <c r="Y1629" s="221">
        <v>0</v>
      </c>
      <c r="Z1629" s="222">
        <v>0</v>
      </c>
      <c r="AA1629" s="221">
        <v>0</v>
      </c>
      <c r="AB1629" s="222">
        <v>0</v>
      </c>
      <c r="AC1629" s="238">
        <f t="shared" si="87"/>
        <v>51.683999999999955</v>
      </c>
      <c r="AD1629" s="238"/>
      <c r="AE1629" s="238"/>
    </row>
    <row r="1630" spans="2:31" x14ac:dyDescent="0.3">
      <c r="B1630" s="245" t="s">
        <v>61</v>
      </c>
      <c r="C1630" s="245"/>
      <c r="D1630" s="245"/>
      <c r="E1630" s="221">
        <v>0</v>
      </c>
      <c r="F1630" s="222">
        <v>0</v>
      </c>
      <c r="G1630" s="221">
        <v>0</v>
      </c>
      <c r="H1630" s="222">
        <v>0</v>
      </c>
      <c r="I1630" s="221">
        <v>0</v>
      </c>
      <c r="J1630" s="222">
        <v>0</v>
      </c>
      <c r="K1630" s="221">
        <v>0</v>
      </c>
      <c r="L1630" s="222">
        <v>0</v>
      </c>
      <c r="M1630" s="221">
        <v>0</v>
      </c>
      <c r="N1630" s="222">
        <v>0</v>
      </c>
      <c r="O1630" s="221">
        <v>0</v>
      </c>
      <c r="P1630" s="222">
        <v>1.9796666666666733</v>
      </c>
      <c r="Q1630" s="221">
        <v>4.6899999999999977</v>
      </c>
      <c r="R1630" s="222">
        <v>0</v>
      </c>
      <c r="S1630" s="221">
        <v>0</v>
      </c>
      <c r="T1630" s="222">
        <v>0</v>
      </c>
      <c r="U1630" s="221">
        <v>18.565000000000008</v>
      </c>
      <c r="V1630" s="222">
        <v>0</v>
      </c>
      <c r="W1630" s="221">
        <v>0</v>
      </c>
      <c r="X1630" s="222">
        <v>0</v>
      </c>
      <c r="Y1630" s="221">
        <v>0</v>
      </c>
      <c r="Z1630" s="222">
        <v>0</v>
      </c>
      <c r="AA1630" s="221">
        <v>0</v>
      </c>
      <c r="AB1630" s="222">
        <v>0</v>
      </c>
      <c r="AC1630" s="238">
        <f t="shared" si="87"/>
        <v>25.23466666666668</v>
      </c>
      <c r="AD1630" s="238"/>
      <c r="AE1630" s="238"/>
    </row>
    <row r="1631" spans="2:31" x14ac:dyDescent="0.3">
      <c r="B1631" s="245" t="s">
        <v>62</v>
      </c>
      <c r="C1631" s="245"/>
      <c r="D1631" s="245"/>
      <c r="E1631" s="221">
        <v>0</v>
      </c>
      <c r="F1631" s="222">
        <v>0</v>
      </c>
      <c r="G1631" s="221">
        <v>0</v>
      </c>
      <c r="H1631" s="222">
        <v>0</v>
      </c>
      <c r="I1631" s="221">
        <v>0</v>
      </c>
      <c r="J1631" s="222">
        <v>0</v>
      </c>
      <c r="K1631" s="221">
        <v>0</v>
      </c>
      <c r="L1631" s="222">
        <v>0</v>
      </c>
      <c r="M1631" s="221">
        <v>0</v>
      </c>
      <c r="N1631" s="222">
        <v>0</v>
      </c>
      <c r="O1631" s="221">
        <v>0</v>
      </c>
      <c r="P1631" s="222">
        <v>0.94466666666666943</v>
      </c>
      <c r="Q1631" s="221">
        <v>2.610499999999996</v>
      </c>
      <c r="R1631" s="222">
        <v>4.1298333333333348</v>
      </c>
      <c r="S1631" s="221">
        <v>6.7863333333333342</v>
      </c>
      <c r="T1631" s="222">
        <v>9.5641666666666652</v>
      </c>
      <c r="U1631" s="221">
        <v>11.120000000000003</v>
      </c>
      <c r="V1631" s="222">
        <v>10.320000000000004</v>
      </c>
      <c r="W1631" s="221">
        <v>6.819999999999995</v>
      </c>
      <c r="X1631" s="222">
        <v>0</v>
      </c>
      <c r="Y1631" s="221">
        <v>0</v>
      </c>
      <c r="Z1631" s="222">
        <v>0</v>
      </c>
      <c r="AA1631" s="221">
        <v>0</v>
      </c>
      <c r="AB1631" s="222">
        <v>0</v>
      </c>
      <c r="AC1631" s="238">
        <f t="shared" si="87"/>
        <v>52.295500000000004</v>
      </c>
      <c r="AD1631" s="238"/>
      <c r="AE1631" s="238"/>
    </row>
    <row r="1632" spans="2:31" x14ac:dyDescent="0.3">
      <c r="B1632" s="245" t="s">
        <v>63</v>
      </c>
      <c r="C1632" s="245"/>
      <c r="D1632" s="245"/>
      <c r="E1632" s="221">
        <v>0</v>
      </c>
      <c r="F1632" s="222">
        <v>0</v>
      </c>
      <c r="G1632" s="221">
        <v>0</v>
      </c>
      <c r="H1632" s="222">
        <v>0</v>
      </c>
      <c r="I1632" s="221">
        <v>0</v>
      </c>
      <c r="J1632" s="222">
        <v>0</v>
      </c>
      <c r="K1632" s="221">
        <v>0</v>
      </c>
      <c r="L1632" s="222">
        <v>0</v>
      </c>
      <c r="M1632" s="221">
        <v>0</v>
      </c>
      <c r="N1632" s="222">
        <v>0</v>
      </c>
      <c r="O1632" s="221">
        <v>0.28033333333333466</v>
      </c>
      <c r="P1632" s="222">
        <v>12.522166666666674</v>
      </c>
      <c r="Q1632" s="221">
        <v>12.318999999999994</v>
      </c>
      <c r="R1632" s="222">
        <v>11.498000000000015</v>
      </c>
      <c r="S1632" s="221">
        <v>20.664333333333339</v>
      </c>
      <c r="T1632" s="222">
        <v>34.546666666666674</v>
      </c>
      <c r="U1632" s="221">
        <v>44.405166666666652</v>
      </c>
      <c r="V1632" s="222">
        <v>43.467166666666714</v>
      </c>
      <c r="W1632" s="221">
        <v>40.500166666666665</v>
      </c>
      <c r="X1632" s="222">
        <v>0</v>
      </c>
      <c r="Y1632" s="221">
        <v>0</v>
      </c>
      <c r="Z1632" s="222">
        <v>0</v>
      </c>
      <c r="AA1632" s="221">
        <v>0</v>
      </c>
      <c r="AB1632" s="222">
        <v>0</v>
      </c>
      <c r="AC1632" s="238">
        <f t="shared" si="87"/>
        <v>220.20300000000006</v>
      </c>
      <c r="AD1632" s="238"/>
      <c r="AE1632" s="238"/>
    </row>
    <row r="1633" spans="2:31" x14ac:dyDescent="0.3">
      <c r="B1633" s="245" t="s">
        <v>64</v>
      </c>
      <c r="C1633" s="245"/>
      <c r="D1633" s="245"/>
      <c r="E1633" s="221">
        <v>0</v>
      </c>
      <c r="F1633" s="222">
        <v>0</v>
      </c>
      <c r="G1633" s="221">
        <v>0</v>
      </c>
      <c r="H1633" s="222">
        <v>0</v>
      </c>
      <c r="I1633" s="221">
        <v>0</v>
      </c>
      <c r="J1633" s="222">
        <v>0</v>
      </c>
      <c r="K1633" s="221">
        <v>0</v>
      </c>
      <c r="L1633" s="222">
        <v>0</v>
      </c>
      <c r="M1633" s="221">
        <v>0</v>
      </c>
      <c r="N1633" s="222">
        <v>0</v>
      </c>
      <c r="O1633" s="221">
        <v>0</v>
      </c>
      <c r="P1633" s="222">
        <v>4.0418333333333285</v>
      </c>
      <c r="Q1633" s="221">
        <v>5.6209999999999987</v>
      </c>
      <c r="R1633" s="222">
        <v>5.9564999999999966</v>
      </c>
      <c r="S1633" s="221">
        <v>8.9234999999999935</v>
      </c>
      <c r="T1633" s="222">
        <v>0</v>
      </c>
      <c r="U1633" s="221">
        <v>18.341999999999999</v>
      </c>
      <c r="V1633" s="222">
        <v>0</v>
      </c>
      <c r="W1633" s="221">
        <v>0</v>
      </c>
      <c r="X1633" s="222">
        <v>0</v>
      </c>
      <c r="Y1633" s="221">
        <v>0</v>
      </c>
      <c r="Z1633" s="222">
        <v>0</v>
      </c>
      <c r="AA1633" s="221">
        <v>0</v>
      </c>
      <c r="AB1633" s="222">
        <v>0</v>
      </c>
      <c r="AC1633" s="238">
        <f t="shared" si="87"/>
        <v>42.884833333333319</v>
      </c>
      <c r="AD1633" s="238"/>
      <c r="AE1633" s="238"/>
    </row>
    <row r="1634" spans="2:31" x14ac:dyDescent="0.3">
      <c r="B1634" s="245" t="s">
        <v>96</v>
      </c>
      <c r="C1634" s="245"/>
      <c r="D1634" s="245"/>
      <c r="E1634" s="221">
        <v>0</v>
      </c>
      <c r="F1634" s="222">
        <v>0</v>
      </c>
      <c r="G1634" s="221">
        <v>0</v>
      </c>
      <c r="H1634" s="222">
        <v>0</v>
      </c>
      <c r="I1634" s="221">
        <v>0</v>
      </c>
      <c r="J1634" s="222">
        <v>0</v>
      </c>
      <c r="K1634" s="221">
        <v>0</v>
      </c>
      <c r="L1634" s="222">
        <v>0</v>
      </c>
      <c r="M1634" s="221">
        <v>0</v>
      </c>
      <c r="N1634" s="222">
        <v>0</v>
      </c>
      <c r="O1634" s="221">
        <v>0</v>
      </c>
      <c r="P1634" s="222">
        <v>0</v>
      </c>
      <c r="Q1634" s="221">
        <v>0</v>
      </c>
      <c r="R1634" s="222">
        <v>0</v>
      </c>
      <c r="S1634" s="221">
        <v>0</v>
      </c>
      <c r="T1634" s="222">
        <v>0</v>
      </c>
      <c r="U1634" s="221">
        <v>0</v>
      </c>
      <c r="V1634" s="222">
        <v>0</v>
      </c>
      <c r="W1634" s="221">
        <v>0</v>
      </c>
      <c r="X1634" s="222">
        <v>0</v>
      </c>
      <c r="Y1634" s="221">
        <v>0</v>
      </c>
      <c r="Z1634" s="222">
        <v>0</v>
      </c>
      <c r="AA1634" s="221">
        <v>0</v>
      </c>
      <c r="AB1634" s="222">
        <v>0</v>
      </c>
      <c r="AC1634" s="238">
        <f t="shared" si="87"/>
        <v>0</v>
      </c>
      <c r="AD1634" s="238"/>
      <c r="AE1634" s="238"/>
    </row>
    <row r="1635" spans="2:31" x14ac:dyDescent="0.3">
      <c r="B1635" s="245" t="s">
        <v>65</v>
      </c>
      <c r="C1635" s="245"/>
      <c r="D1635" s="245"/>
      <c r="E1635" s="221">
        <v>0</v>
      </c>
      <c r="F1635" s="222">
        <v>0</v>
      </c>
      <c r="G1635" s="221">
        <v>0</v>
      </c>
      <c r="H1635" s="222">
        <v>0</v>
      </c>
      <c r="I1635" s="221">
        <v>0</v>
      </c>
      <c r="J1635" s="222">
        <v>0</v>
      </c>
      <c r="K1635" s="221">
        <v>0</v>
      </c>
      <c r="L1635" s="222">
        <v>0</v>
      </c>
      <c r="M1635" s="221">
        <v>0</v>
      </c>
      <c r="N1635" s="222">
        <v>0</v>
      </c>
      <c r="O1635" s="221">
        <v>0</v>
      </c>
      <c r="P1635" s="222">
        <v>3.3540000000000001</v>
      </c>
      <c r="Q1635" s="221">
        <v>5.5213333333333328</v>
      </c>
      <c r="R1635" s="222">
        <v>5.9329999999999981</v>
      </c>
      <c r="S1635" s="221">
        <v>7.4939999999999971</v>
      </c>
      <c r="T1635" s="222">
        <v>0</v>
      </c>
      <c r="U1635" s="221">
        <v>9.0133333333333336</v>
      </c>
      <c r="V1635" s="222">
        <v>0</v>
      </c>
      <c r="W1635" s="221">
        <v>0</v>
      </c>
      <c r="X1635" s="222">
        <v>0</v>
      </c>
      <c r="Y1635" s="221">
        <v>0</v>
      </c>
      <c r="Z1635" s="222">
        <v>0</v>
      </c>
      <c r="AA1635" s="221">
        <v>0</v>
      </c>
      <c r="AB1635" s="222">
        <v>0</v>
      </c>
      <c r="AC1635" s="238">
        <f t="shared" si="87"/>
        <v>31.315666666666665</v>
      </c>
      <c r="AD1635" s="238"/>
      <c r="AE1635" s="238"/>
    </row>
    <row r="1636" spans="2:31" x14ac:dyDescent="0.3">
      <c r="B1636" s="245" t="s">
        <v>66</v>
      </c>
      <c r="C1636" s="245"/>
      <c r="D1636" s="245"/>
      <c r="E1636" s="221">
        <v>0</v>
      </c>
      <c r="F1636" s="222">
        <v>0</v>
      </c>
      <c r="G1636" s="221">
        <v>0</v>
      </c>
      <c r="H1636" s="222">
        <v>0</v>
      </c>
      <c r="I1636" s="221">
        <v>0</v>
      </c>
      <c r="J1636" s="222">
        <v>0</v>
      </c>
      <c r="K1636" s="221">
        <v>0</v>
      </c>
      <c r="L1636" s="222">
        <v>0</v>
      </c>
      <c r="M1636" s="221">
        <v>0</v>
      </c>
      <c r="N1636" s="222">
        <v>0</v>
      </c>
      <c r="O1636" s="221">
        <v>2.8313333333333337</v>
      </c>
      <c r="P1636" s="222">
        <v>9.333000000000002</v>
      </c>
      <c r="Q1636" s="221">
        <v>10.645833333333332</v>
      </c>
      <c r="R1636" s="222">
        <v>10.862</v>
      </c>
      <c r="S1636" s="221">
        <v>12.40500000000001</v>
      </c>
      <c r="T1636" s="222">
        <v>0</v>
      </c>
      <c r="U1636" s="221">
        <v>13.977166666666664</v>
      </c>
      <c r="V1636" s="222">
        <v>0</v>
      </c>
      <c r="W1636" s="221">
        <v>0</v>
      </c>
      <c r="X1636" s="222">
        <v>0</v>
      </c>
      <c r="Y1636" s="221">
        <v>0</v>
      </c>
      <c r="Z1636" s="222">
        <v>0</v>
      </c>
      <c r="AA1636" s="221">
        <v>0</v>
      </c>
      <c r="AB1636" s="222">
        <v>0</v>
      </c>
      <c r="AC1636" s="238">
        <f>SUM(E1636:AB1636)</f>
        <v>60.054333333333339</v>
      </c>
      <c r="AD1636" s="238"/>
      <c r="AE1636" s="238"/>
    </row>
    <row r="1637" spans="2:31" x14ac:dyDescent="0.3">
      <c r="B1637" s="245" t="s">
        <v>67</v>
      </c>
      <c r="C1637" s="245"/>
      <c r="D1637" s="245"/>
      <c r="E1637" s="221">
        <v>0</v>
      </c>
      <c r="F1637" s="222">
        <v>0</v>
      </c>
      <c r="G1637" s="221">
        <v>0</v>
      </c>
      <c r="H1637" s="222">
        <v>0</v>
      </c>
      <c r="I1637" s="221">
        <v>0</v>
      </c>
      <c r="J1637" s="222">
        <v>0</v>
      </c>
      <c r="K1637" s="221">
        <v>0</v>
      </c>
      <c r="L1637" s="222">
        <v>0</v>
      </c>
      <c r="M1637" s="221">
        <v>0</v>
      </c>
      <c r="N1637" s="222">
        <v>0</v>
      </c>
      <c r="O1637" s="221">
        <v>0</v>
      </c>
      <c r="P1637" s="222">
        <v>0.63566666666666682</v>
      </c>
      <c r="Q1637" s="221">
        <v>0.20000000000000048</v>
      </c>
      <c r="R1637" s="222">
        <v>2.5000000000000355E-2</v>
      </c>
      <c r="S1637" s="221">
        <v>3.1986666666666661</v>
      </c>
      <c r="T1637" s="222">
        <v>0</v>
      </c>
      <c r="U1637" s="221">
        <v>9.468499999999997</v>
      </c>
      <c r="V1637" s="222">
        <v>0</v>
      </c>
      <c r="W1637" s="221">
        <v>0</v>
      </c>
      <c r="X1637" s="222">
        <v>0</v>
      </c>
      <c r="Y1637" s="221">
        <v>0</v>
      </c>
      <c r="Z1637" s="222">
        <v>0</v>
      </c>
      <c r="AA1637" s="221">
        <v>0</v>
      </c>
      <c r="AB1637" s="222">
        <v>0</v>
      </c>
      <c r="AC1637" s="238">
        <f t="shared" ref="AC1637:AC1650" si="88">SUM(E1637:AB1637)</f>
        <v>13.52783333333333</v>
      </c>
      <c r="AD1637" s="238"/>
      <c r="AE1637" s="238"/>
    </row>
    <row r="1638" spans="2:31" x14ac:dyDescent="0.3">
      <c r="B1638" s="245" t="s">
        <v>68</v>
      </c>
      <c r="C1638" s="245"/>
      <c r="D1638" s="245"/>
      <c r="E1638" s="221">
        <v>0</v>
      </c>
      <c r="F1638" s="222">
        <v>0</v>
      </c>
      <c r="G1638" s="221">
        <v>0</v>
      </c>
      <c r="H1638" s="222">
        <v>0</v>
      </c>
      <c r="I1638" s="221">
        <v>0</v>
      </c>
      <c r="J1638" s="222">
        <v>0</v>
      </c>
      <c r="K1638" s="221">
        <v>0</v>
      </c>
      <c r="L1638" s="222">
        <v>0</v>
      </c>
      <c r="M1638" s="221">
        <v>0</v>
      </c>
      <c r="N1638" s="222">
        <v>0</v>
      </c>
      <c r="O1638" s="221">
        <v>8.5720000000000027</v>
      </c>
      <c r="P1638" s="222">
        <v>9.2268333333333299</v>
      </c>
      <c r="Q1638" s="221">
        <v>1.627166666666662</v>
      </c>
      <c r="R1638" s="222">
        <v>0</v>
      </c>
      <c r="S1638" s="221">
        <v>0.16116666666666646</v>
      </c>
      <c r="T1638" s="222">
        <v>4.2990000000000039</v>
      </c>
      <c r="U1638" s="221">
        <v>12.217666666666668</v>
      </c>
      <c r="V1638" s="222">
        <v>20.210666666666668</v>
      </c>
      <c r="W1638" s="221">
        <v>20.613500000000009</v>
      </c>
      <c r="X1638" s="222">
        <v>0.4305000000000001</v>
      </c>
      <c r="Y1638" s="221">
        <v>0</v>
      </c>
      <c r="Z1638" s="222">
        <v>0</v>
      </c>
      <c r="AA1638" s="221">
        <v>0</v>
      </c>
      <c r="AB1638" s="222">
        <v>0</v>
      </c>
      <c r="AC1638" s="238">
        <f t="shared" si="88"/>
        <v>77.358500000000006</v>
      </c>
      <c r="AD1638" s="238"/>
      <c r="AE1638" s="238"/>
    </row>
    <row r="1639" spans="2:31" x14ac:dyDescent="0.3">
      <c r="B1639" s="245" t="s">
        <v>69</v>
      </c>
      <c r="C1639" s="245"/>
      <c r="D1639" s="245"/>
      <c r="E1639" s="221">
        <v>0</v>
      </c>
      <c r="F1639" s="222">
        <v>0</v>
      </c>
      <c r="G1639" s="221">
        <v>0</v>
      </c>
      <c r="H1639" s="222">
        <v>0</v>
      </c>
      <c r="I1639" s="221">
        <v>0</v>
      </c>
      <c r="J1639" s="222">
        <v>0</v>
      </c>
      <c r="K1639" s="221">
        <v>0</v>
      </c>
      <c r="L1639" s="222">
        <v>0</v>
      </c>
      <c r="M1639" s="221">
        <v>0</v>
      </c>
      <c r="N1639" s="222">
        <v>0</v>
      </c>
      <c r="O1639" s="221">
        <v>3.423500000000002</v>
      </c>
      <c r="P1639" s="222">
        <v>10.374500000000001</v>
      </c>
      <c r="Q1639" s="221">
        <v>11.785166666666676</v>
      </c>
      <c r="R1639" s="222">
        <v>12.78916666666667</v>
      </c>
      <c r="S1639" s="221">
        <v>17.745166666666659</v>
      </c>
      <c r="T1639" s="222">
        <v>23.560833333333331</v>
      </c>
      <c r="U1639" s="221">
        <v>25.683499999999999</v>
      </c>
      <c r="V1639" s="222">
        <v>21.892166666666654</v>
      </c>
      <c r="W1639" s="221">
        <v>7.5011666666666672</v>
      </c>
      <c r="X1639" s="222">
        <v>0</v>
      </c>
      <c r="Y1639" s="221">
        <v>0</v>
      </c>
      <c r="Z1639" s="222">
        <v>0</v>
      </c>
      <c r="AA1639" s="221">
        <v>0</v>
      </c>
      <c r="AB1639" s="222">
        <v>0</v>
      </c>
      <c r="AC1639" s="238">
        <f t="shared" si="88"/>
        <v>134.75516666666667</v>
      </c>
      <c r="AD1639" s="238"/>
      <c r="AE1639" s="238"/>
    </row>
    <row r="1640" spans="2:31" x14ac:dyDescent="0.3">
      <c r="B1640" s="245" t="s">
        <v>70</v>
      </c>
      <c r="C1640" s="245"/>
      <c r="D1640" s="245"/>
      <c r="E1640" s="221">
        <v>0</v>
      </c>
      <c r="F1640" s="222">
        <v>0</v>
      </c>
      <c r="G1640" s="221">
        <v>0</v>
      </c>
      <c r="H1640" s="222">
        <v>0</v>
      </c>
      <c r="I1640" s="221">
        <v>0</v>
      </c>
      <c r="J1640" s="222">
        <v>0</v>
      </c>
      <c r="K1640" s="221">
        <v>0</v>
      </c>
      <c r="L1640" s="222">
        <v>0</v>
      </c>
      <c r="M1640" s="221">
        <v>0</v>
      </c>
      <c r="N1640" s="222">
        <v>0</v>
      </c>
      <c r="O1640" s="221">
        <v>7.2266666666666657</v>
      </c>
      <c r="P1640" s="222">
        <v>11.770166666666652</v>
      </c>
      <c r="Q1640" s="221">
        <v>14.526666666666669</v>
      </c>
      <c r="R1640" s="222">
        <v>12.901666666666676</v>
      </c>
      <c r="S1640" s="221">
        <v>20.934333333333321</v>
      </c>
      <c r="T1640" s="222">
        <v>17.026500000000013</v>
      </c>
      <c r="U1640" s="221">
        <v>27.57650000000001</v>
      </c>
      <c r="V1640" s="222">
        <v>0</v>
      </c>
      <c r="W1640" s="221">
        <v>8.7565000000000044</v>
      </c>
      <c r="X1640" s="222">
        <v>0</v>
      </c>
      <c r="Y1640" s="221">
        <v>0</v>
      </c>
      <c r="Z1640" s="222">
        <v>0</v>
      </c>
      <c r="AA1640" s="221">
        <v>0</v>
      </c>
      <c r="AB1640" s="222">
        <v>0</v>
      </c>
      <c r="AC1640" s="238">
        <f t="shared" si="88"/>
        <v>120.71900000000001</v>
      </c>
      <c r="AD1640" s="238"/>
      <c r="AE1640" s="238"/>
    </row>
    <row r="1641" spans="2:31" x14ac:dyDescent="0.3">
      <c r="B1641" s="245" t="s">
        <v>71</v>
      </c>
      <c r="C1641" s="245"/>
      <c r="D1641" s="245"/>
      <c r="E1641" s="221">
        <v>0</v>
      </c>
      <c r="F1641" s="222">
        <v>0</v>
      </c>
      <c r="G1641" s="221">
        <v>0</v>
      </c>
      <c r="H1641" s="222">
        <v>0</v>
      </c>
      <c r="I1641" s="221">
        <v>0</v>
      </c>
      <c r="J1641" s="222">
        <v>0</v>
      </c>
      <c r="K1641" s="221">
        <v>0</v>
      </c>
      <c r="L1641" s="222">
        <v>0</v>
      </c>
      <c r="M1641" s="221">
        <v>0</v>
      </c>
      <c r="N1641" s="222">
        <v>0</v>
      </c>
      <c r="O1641" s="221">
        <v>0</v>
      </c>
      <c r="P1641" s="222">
        <v>0</v>
      </c>
      <c r="Q1641" s="221">
        <v>0</v>
      </c>
      <c r="R1641" s="222">
        <v>0</v>
      </c>
      <c r="S1641" s="221">
        <v>2.1333333333333353E-2</v>
      </c>
      <c r="T1641" s="222">
        <v>0.93483333333333318</v>
      </c>
      <c r="U1641" s="221">
        <v>3.8391666666666717</v>
      </c>
      <c r="V1641" s="222">
        <v>0.89000000000000479</v>
      </c>
      <c r="W1641" s="221">
        <v>0</v>
      </c>
      <c r="X1641" s="222">
        <v>0</v>
      </c>
      <c r="Y1641" s="221">
        <v>0</v>
      </c>
      <c r="Z1641" s="222">
        <v>0</v>
      </c>
      <c r="AA1641" s="221">
        <v>0</v>
      </c>
      <c r="AB1641" s="222">
        <v>0</v>
      </c>
      <c r="AC1641" s="238">
        <f t="shared" si="88"/>
        <v>5.6853333333333431</v>
      </c>
      <c r="AD1641" s="238"/>
      <c r="AE1641" s="238"/>
    </row>
    <row r="1642" spans="2:31" x14ac:dyDescent="0.3">
      <c r="B1642" s="245" t="s">
        <v>72</v>
      </c>
      <c r="C1642" s="245"/>
      <c r="D1642" s="245"/>
      <c r="E1642" s="221">
        <v>0</v>
      </c>
      <c r="F1642" s="222">
        <v>0</v>
      </c>
      <c r="G1642" s="221">
        <v>0</v>
      </c>
      <c r="H1642" s="222">
        <v>0</v>
      </c>
      <c r="I1642" s="221">
        <v>0</v>
      </c>
      <c r="J1642" s="222">
        <v>0</v>
      </c>
      <c r="K1642" s="221">
        <v>0</v>
      </c>
      <c r="L1642" s="222">
        <v>0</v>
      </c>
      <c r="M1642" s="221">
        <v>0</v>
      </c>
      <c r="N1642" s="222">
        <v>0</v>
      </c>
      <c r="O1642" s="221">
        <v>4.8825000000000021</v>
      </c>
      <c r="P1642" s="222">
        <v>13.269999999999985</v>
      </c>
      <c r="Q1642" s="221">
        <v>15.169999999999989</v>
      </c>
      <c r="R1642" s="222">
        <v>15.269999999999984</v>
      </c>
      <c r="S1642" s="221">
        <v>15.07000000000002</v>
      </c>
      <c r="T1642" s="222">
        <v>15.169999999999989</v>
      </c>
      <c r="U1642" s="221">
        <v>14.669999999999989</v>
      </c>
      <c r="V1642" s="222">
        <v>13.470000000000018</v>
      </c>
      <c r="W1642" s="221">
        <v>5.9700000000000069</v>
      </c>
      <c r="X1642" s="222">
        <v>0</v>
      </c>
      <c r="Y1642" s="221">
        <v>0</v>
      </c>
      <c r="Z1642" s="222">
        <v>0</v>
      </c>
      <c r="AA1642" s="221">
        <v>0</v>
      </c>
      <c r="AB1642" s="222">
        <v>0</v>
      </c>
      <c r="AC1642" s="238">
        <f t="shared" si="88"/>
        <v>112.94249999999998</v>
      </c>
      <c r="AD1642" s="238"/>
      <c r="AE1642" s="238"/>
    </row>
    <row r="1643" spans="2:31" x14ac:dyDescent="0.3">
      <c r="B1643" s="245" t="s">
        <v>73</v>
      </c>
      <c r="C1643" s="245"/>
      <c r="D1643" s="245"/>
      <c r="E1643" s="221">
        <v>0</v>
      </c>
      <c r="F1643" s="222">
        <v>0</v>
      </c>
      <c r="G1643" s="221">
        <v>0</v>
      </c>
      <c r="H1643" s="222">
        <v>0</v>
      </c>
      <c r="I1643" s="221">
        <v>0</v>
      </c>
      <c r="J1643" s="222">
        <v>0</v>
      </c>
      <c r="K1643" s="221">
        <v>0</v>
      </c>
      <c r="L1643" s="222">
        <v>0</v>
      </c>
      <c r="M1643" s="221">
        <v>0</v>
      </c>
      <c r="N1643" s="222">
        <v>0</v>
      </c>
      <c r="O1643" s="221">
        <v>78.92500000000004</v>
      </c>
      <c r="P1643" s="222">
        <v>143.60000000000016</v>
      </c>
      <c r="Q1643" s="221">
        <v>145</v>
      </c>
      <c r="R1643" s="222">
        <v>145</v>
      </c>
      <c r="S1643" s="221">
        <v>145</v>
      </c>
      <c r="T1643" s="222">
        <v>145</v>
      </c>
      <c r="U1643" s="221">
        <v>145</v>
      </c>
      <c r="V1643" s="222">
        <v>143</v>
      </c>
      <c r="W1643" s="221">
        <v>124.5</v>
      </c>
      <c r="X1643" s="222">
        <v>6.7833333333333332</v>
      </c>
      <c r="Y1643" s="221">
        <v>0</v>
      </c>
      <c r="Z1643" s="222">
        <v>0</v>
      </c>
      <c r="AA1643" s="221">
        <v>0</v>
      </c>
      <c r="AB1643" s="222">
        <v>0</v>
      </c>
      <c r="AC1643" s="238">
        <f t="shared" si="88"/>
        <v>1221.8083333333334</v>
      </c>
      <c r="AD1643" s="238"/>
      <c r="AE1643" s="238"/>
    </row>
    <row r="1644" spans="2:31" x14ac:dyDescent="0.3">
      <c r="B1644" s="245" t="s">
        <v>74</v>
      </c>
      <c r="C1644" s="245"/>
      <c r="D1644" s="245"/>
      <c r="E1644" s="221">
        <v>0</v>
      </c>
      <c r="F1644" s="222">
        <v>0</v>
      </c>
      <c r="G1644" s="221">
        <v>0</v>
      </c>
      <c r="H1644" s="222">
        <v>0</v>
      </c>
      <c r="I1644" s="221">
        <v>0</v>
      </c>
      <c r="J1644" s="222">
        <v>0</v>
      </c>
      <c r="K1644" s="221">
        <v>0</v>
      </c>
      <c r="L1644" s="222">
        <v>0</v>
      </c>
      <c r="M1644" s="221">
        <v>0</v>
      </c>
      <c r="N1644" s="222">
        <v>0</v>
      </c>
      <c r="O1644" s="221">
        <v>1.5581666666666674</v>
      </c>
      <c r="P1644" s="222">
        <v>8.3290000000000024</v>
      </c>
      <c r="Q1644" s="221">
        <v>13.869833333333332</v>
      </c>
      <c r="R1644" s="222">
        <v>16.747333333333341</v>
      </c>
      <c r="S1644" s="221">
        <v>17.141666666666662</v>
      </c>
      <c r="T1644" s="222">
        <v>13.36716666666667</v>
      </c>
      <c r="U1644" s="221">
        <v>7.0688333333333366</v>
      </c>
      <c r="V1644" s="222">
        <v>0.97999999999999943</v>
      </c>
      <c r="W1644" s="221">
        <v>1.7140000000000002</v>
      </c>
      <c r="X1644" s="222">
        <v>0</v>
      </c>
      <c r="Y1644" s="221">
        <v>0</v>
      </c>
      <c r="Z1644" s="222">
        <v>0</v>
      </c>
      <c r="AA1644" s="221">
        <v>0</v>
      </c>
      <c r="AB1644" s="222">
        <v>0</v>
      </c>
      <c r="AC1644" s="238">
        <f t="shared" si="88"/>
        <v>80.77600000000001</v>
      </c>
      <c r="AD1644" s="238"/>
      <c r="AE1644" s="238"/>
    </row>
    <row r="1645" spans="2:31" x14ac:dyDescent="0.3">
      <c r="B1645" s="245" t="s">
        <v>75</v>
      </c>
      <c r="C1645" s="245"/>
      <c r="D1645" s="245"/>
      <c r="E1645" s="221">
        <v>0</v>
      </c>
      <c r="F1645" s="222">
        <v>0</v>
      </c>
      <c r="G1645" s="221">
        <v>0</v>
      </c>
      <c r="H1645" s="222">
        <v>0</v>
      </c>
      <c r="I1645" s="221">
        <v>0</v>
      </c>
      <c r="J1645" s="222">
        <v>0</v>
      </c>
      <c r="K1645" s="221">
        <v>0</v>
      </c>
      <c r="L1645" s="222">
        <v>0</v>
      </c>
      <c r="M1645" s="221">
        <v>0</v>
      </c>
      <c r="N1645" s="222">
        <v>0</v>
      </c>
      <c r="O1645" s="221">
        <v>6.5139999999999922</v>
      </c>
      <c r="P1645" s="222">
        <v>46.182999999999993</v>
      </c>
      <c r="Q1645" s="221">
        <v>67.889999999999958</v>
      </c>
      <c r="R1645" s="222">
        <v>43.62433333333334</v>
      </c>
      <c r="S1645" s="221">
        <v>34.93399999999999</v>
      </c>
      <c r="T1645" s="222">
        <v>42.740500000000004</v>
      </c>
      <c r="U1645" s="221">
        <v>24.94250000000001</v>
      </c>
      <c r="V1645" s="222">
        <v>3.096000000000001</v>
      </c>
      <c r="W1645" s="221">
        <v>6.2886666666666651</v>
      </c>
      <c r="X1645" s="222">
        <v>0</v>
      </c>
      <c r="Y1645" s="221">
        <v>0</v>
      </c>
      <c r="Z1645" s="222">
        <v>0</v>
      </c>
      <c r="AA1645" s="221">
        <v>0</v>
      </c>
      <c r="AB1645" s="222">
        <v>0</v>
      </c>
      <c r="AC1645" s="238">
        <f t="shared" si="88"/>
        <v>276.21299999999997</v>
      </c>
      <c r="AD1645" s="238"/>
      <c r="AE1645" s="238"/>
    </row>
    <row r="1646" spans="2:31" x14ac:dyDescent="0.3">
      <c r="B1646" s="245" t="s">
        <v>76</v>
      </c>
      <c r="C1646" s="245"/>
      <c r="D1646" s="245"/>
      <c r="E1646" s="221">
        <v>0</v>
      </c>
      <c r="F1646" s="222">
        <v>0</v>
      </c>
      <c r="G1646" s="221">
        <v>0</v>
      </c>
      <c r="H1646" s="222">
        <v>0</v>
      </c>
      <c r="I1646" s="221">
        <v>0</v>
      </c>
      <c r="J1646" s="222">
        <v>0</v>
      </c>
      <c r="K1646" s="221">
        <v>0</v>
      </c>
      <c r="L1646" s="222">
        <v>0</v>
      </c>
      <c r="M1646" s="221">
        <v>0</v>
      </c>
      <c r="N1646" s="222">
        <v>0</v>
      </c>
      <c r="O1646" s="221">
        <v>0</v>
      </c>
      <c r="P1646" s="222">
        <v>0</v>
      </c>
      <c r="Q1646" s="221">
        <v>0</v>
      </c>
      <c r="R1646" s="222">
        <v>3.9325000000000037</v>
      </c>
      <c r="S1646" s="221">
        <v>8.3831666666666642</v>
      </c>
      <c r="T1646" s="222">
        <v>16.042333333333339</v>
      </c>
      <c r="U1646" s="221">
        <v>21.652833333333351</v>
      </c>
      <c r="V1646" s="222">
        <v>16.315499999999993</v>
      </c>
      <c r="W1646" s="221">
        <v>0</v>
      </c>
      <c r="X1646" s="222">
        <v>0</v>
      </c>
      <c r="Y1646" s="221">
        <v>0</v>
      </c>
      <c r="Z1646" s="222">
        <v>0</v>
      </c>
      <c r="AA1646" s="221">
        <v>0</v>
      </c>
      <c r="AB1646" s="222">
        <v>0</v>
      </c>
      <c r="AC1646" s="238">
        <f t="shared" si="88"/>
        <v>66.326333333333352</v>
      </c>
      <c r="AD1646" s="238"/>
      <c r="AE1646" s="238"/>
    </row>
    <row r="1647" spans="2:31" x14ac:dyDescent="0.3">
      <c r="B1647" s="245" t="s">
        <v>77</v>
      </c>
      <c r="C1647" s="245"/>
      <c r="D1647" s="245"/>
      <c r="E1647" s="221">
        <v>0</v>
      </c>
      <c r="F1647" s="222">
        <v>0</v>
      </c>
      <c r="G1647" s="221">
        <v>0</v>
      </c>
      <c r="H1647" s="222">
        <v>0</v>
      </c>
      <c r="I1647" s="221">
        <v>0</v>
      </c>
      <c r="J1647" s="222">
        <v>0</v>
      </c>
      <c r="K1647" s="221">
        <v>0</v>
      </c>
      <c r="L1647" s="222">
        <v>0</v>
      </c>
      <c r="M1647" s="221">
        <v>0</v>
      </c>
      <c r="N1647" s="222">
        <v>0</v>
      </c>
      <c r="O1647" s="221">
        <v>4.4556666666666693</v>
      </c>
      <c r="P1647" s="222">
        <v>9.1249999999999964</v>
      </c>
      <c r="Q1647" s="221">
        <v>8.7763333333333176</v>
      </c>
      <c r="R1647" s="222">
        <v>8.8255000000000017</v>
      </c>
      <c r="S1647" s="221">
        <v>13.241166666666677</v>
      </c>
      <c r="T1647" s="222">
        <v>19.092833333333321</v>
      </c>
      <c r="U1647" s="221">
        <v>22.155666666666669</v>
      </c>
      <c r="V1647" s="222">
        <v>18.946166666666681</v>
      </c>
      <c r="W1647" s="221">
        <v>6.6141666666666676</v>
      </c>
      <c r="X1647" s="222">
        <v>0</v>
      </c>
      <c r="Y1647" s="221">
        <v>0</v>
      </c>
      <c r="Z1647" s="222">
        <v>0</v>
      </c>
      <c r="AA1647" s="221">
        <v>0</v>
      </c>
      <c r="AB1647" s="222">
        <v>0</v>
      </c>
      <c r="AC1647" s="238">
        <f t="shared" si="88"/>
        <v>111.23249999999999</v>
      </c>
      <c r="AD1647" s="238"/>
      <c r="AE1647" s="238"/>
    </row>
    <row r="1648" spans="2:31" x14ac:dyDescent="0.3">
      <c r="B1648" s="245" t="s">
        <v>78</v>
      </c>
      <c r="C1648" s="245"/>
      <c r="D1648" s="245"/>
      <c r="E1648" s="221">
        <v>0</v>
      </c>
      <c r="F1648" s="222">
        <v>0</v>
      </c>
      <c r="G1648" s="221">
        <v>0</v>
      </c>
      <c r="H1648" s="222">
        <v>0</v>
      </c>
      <c r="I1648" s="221">
        <v>0</v>
      </c>
      <c r="J1648" s="222">
        <v>0</v>
      </c>
      <c r="K1648" s="221">
        <v>0</v>
      </c>
      <c r="L1648" s="222">
        <v>0</v>
      </c>
      <c r="M1648" s="221">
        <v>0</v>
      </c>
      <c r="N1648" s="222">
        <v>0</v>
      </c>
      <c r="O1648" s="221">
        <v>0</v>
      </c>
      <c r="P1648" s="222">
        <v>0</v>
      </c>
      <c r="Q1648" s="221">
        <v>0</v>
      </c>
      <c r="R1648" s="222">
        <v>0</v>
      </c>
      <c r="S1648" s="221">
        <v>0</v>
      </c>
      <c r="T1648" s="222">
        <v>0</v>
      </c>
      <c r="U1648" s="221">
        <v>0</v>
      </c>
      <c r="V1648" s="222">
        <v>0</v>
      </c>
      <c r="W1648" s="221">
        <v>0</v>
      </c>
      <c r="X1648" s="222">
        <v>0</v>
      </c>
      <c r="Y1648" s="221">
        <v>0</v>
      </c>
      <c r="Z1648" s="222">
        <v>0</v>
      </c>
      <c r="AA1648" s="221">
        <v>0</v>
      </c>
      <c r="AB1648" s="222">
        <v>0</v>
      </c>
      <c r="AC1648" s="238">
        <f t="shared" si="88"/>
        <v>0</v>
      </c>
      <c r="AD1648" s="238"/>
      <c r="AE1648" s="238"/>
    </row>
    <row r="1649" spans="2:31" x14ac:dyDescent="0.3">
      <c r="B1649" s="245" t="s">
        <v>79</v>
      </c>
      <c r="C1649" s="245"/>
      <c r="D1649" s="245"/>
      <c r="E1649" s="221">
        <v>0</v>
      </c>
      <c r="F1649" s="222">
        <v>0</v>
      </c>
      <c r="G1649" s="221">
        <v>0</v>
      </c>
      <c r="H1649" s="222">
        <v>0</v>
      </c>
      <c r="I1649" s="221">
        <v>0</v>
      </c>
      <c r="J1649" s="222">
        <v>0</v>
      </c>
      <c r="K1649" s="221">
        <v>0</v>
      </c>
      <c r="L1649" s="222">
        <v>0</v>
      </c>
      <c r="M1649" s="221">
        <v>0</v>
      </c>
      <c r="N1649" s="222">
        <v>0</v>
      </c>
      <c r="O1649" s="221">
        <v>29.423833333333352</v>
      </c>
      <c r="P1649" s="222">
        <v>59.325500000000041</v>
      </c>
      <c r="Q1649" s="221">
        <v>64.605833333333351</v>
      </c>
      <c r="R1649" s="222">
        <v>26.969499999999996</v>
      </c>
      <c r="S1649" s="221">
        <v>12.909999999999997</v>
      </c>
      <c r="T1649" s="222">
        <v>16.095500000000001</v>
      </c>
      <c r="U1649" s="221">
        <v>25.766666666666669</v>
      </c>
      <c r="V1649" s="222">
        <v>23.238333333333333</v>
      </c>
      <c r="W1649" s="221">
        <v>30.978166666666667</v>
      </c>
      <c r="X1649" s="222">
        <v>0.98133333333333328</v>
      </c>
      <c r="Y1649" s="221">
        <v>0</v>
      </c>
      <c r="Z1649" s="222">
        <v>0</v>
      </c>
      <c r="AA1649" s="221">
        <v>0</v>
      </c>
      <c r="AB1649" s="222">
        <v>0</v>
      </c>
      <c r="AC1649" s="238">
        <f t="shared" si="88"/>
        <v>290.29466666666673</v>
      </c>
      <c r="AD1649" s="238"/>
      <c r="AE1649" s="238"/>
    </row>
    <row r="1650" spans="2:31" x14ac:dyDescent="0.3">
      <c r="B1650" s="245" t="s">
        <v>80</v>
      </c>
      <c r="C1650" s="245"/>
      <c r="D1650" s="245"/>
      <c r="E1650" s="221">
        <v>0</v>
      </c>
      <c r="F1650" s="222">
        <v>0</v>
      </c>
      <c r="G1650" s="221">
        <v>0</v>
      </c>
      <c r="H1650" s="222">
        <v>0</v>
      </c>
      <c r="I1650" s="221">
        <v>0</v>
      </c>
      <c r="J1650" s="222">
        <v>0</v>
      </c>
      <c r="K1650" s="221">
        <v>0</v>
      </c>
      <c r="L1650" s="222">
        <v>0</v>
      </c>
      <c r="M1650" s="221">
        <v>0</v>
      </c>
      <c r="N1650" s="222">
        <v>0</v>
      </c>
      <c r="O1650" s="221">
        <v>5.7995000000000028</v>
      </c>
      <c r="P1650" s="222">
        <v>14.758166666666652</v>
      </c>
      <c r="Q1650" s="221">
        <v>15.835000000000008</v>
      </c>
      <c r="R1650" s="222">
        <v>15.819000000000008</v>
      </c>
      <c r="S1650" s="221">
        <v>20.136000000000006</v>
      </c>
      <c r="T1650" s="222">
        <v>24.53133333333335</v>
      </c>
      <c r="U1650" s="221">
        <v>17.240000000000006</v>
      </c>
      <c r="V1650" s="222">
        <v>13.63999999999999</v>
      </c>
      <c r="W1650" s="221">
        <v>0.37499999999999906</v>
      </c>
      <c r="X1650" s="222">
        <v>0</v>
      </c>
      <c r="Y1650" s="221">
        <v>0</v>
      </c>
      <c r="Z1650" s="222">
        <v>0</v>
      </c>
      <c r="AA1650" s="221">
        <v>0</v>
      </c>
      <c r="AB1650" s="222">
        <v>0</v>
      </c>
      <c r="AC1650" s="238">
        <f t="shared" si="88"/>
        <v>128.13400000000001</v>
      </c>
      <c r="AD1650" s="238"/>
      <c r="AE1650" s="238"/>
    </row>
    <row r="1651" spans="2:31" x14ac:dyDescent="0.3">
      <c r="B1651" s="245" t="s">
        <v>93</v>
      </c>
      <c r="C1651" s="245"/>
      <c r="D1651" s="245"/>
      <c r="E1651" s="221">
        <v>0</v>
      </c>
      <c r="F1651" s="222">
        <v>0</v>
      </c>
      <c r="G1651" s="221">
        <v>0</v>
      </c>
      <c r="H1651" s="222">
        <v>0</v>
      </c>
      <c r="I1651" s="221">
        <v>0</v>
      </c>
      <c r="J1651" s="222">
        <v>0</v>
      </c>
      <c r="K1651" s="221">
        <v>0</v>
      </c>
      <c r="L1651" s="222">
        <v>0</v>
      </c>
      <c r="M1651" s="221">
        <v>0</v>
      </c>
      <c r="N1651" s="222">
        <v>0</v>
      </c>
      <c r="O1651" s="221">
        <v>0.20633333333333351</v>
      </c>
      <c r="P1651" s="222">
        <v>0.93999999999999961</v>
      </c>
      <c r="Q1651" s="221">
        <v>0.93999999999999961</v>
      </c>
      <c r="R1651" s="222">
        <v>1.4388333333333336</v>
      </c>
      <c r="S1651" s="221">
        <v>3.8600000000000061</v>
      </c>
      <c r="T1651" s="222">
        <v>3.8600000000000061</v>
      </c>
      <c r="U1651" s="221">
        <v>0</v>
      </c>
      <c r="V1651" s="222">
        <v>3.659999999999997</v>
      </c>
      <c r="W1651" s="221">
        <v>1.2599999999999993</v>
      </c>
      <c r="X1651" s="222">
        <v>0</v>
      </c>
      <c r="Y1651" s="221">
        <v>0</v>
      </c>
      <c r="Z1651" s="222">
        <v>0</v>
      </c>
      <c r="AA1651" s="221">
        <v>0</v>
      </c>
      <c r="AB1651" s="222">
        <v>0</v>
      </c>
      <c r="AC1651" s="238">
        <f>SUM(E1651:AB1651)</f>
        <v>16.165166666666675</v>
      </c>
      <c r="AD1651" s="238"/>
      <c r="AE1651" s="238"/>
    </row>
    <row r="1652" spans="2:31" x14ac:dyDescent="0.3">
      <c r="B1652" s="14" t="s">
        <v>2</v>
      </c>
      <c r="C1652" s="14"/>
      <c r="D1652" s="14"/>
      <c r="E1652" s="15">
        <f t="shared" ref="E1652:AB1652" si="89">SUM(E1603:E1651)</f>
        <v>0</v>
      </c>
      <c r="F1652" s="15">
        <f t="shared" si="89"/>
        <v>0</v>
      </c>
      <c r="G1652" s="15">
        <f t="shared" si="89"/>
        <v>0</v>
      </c>
      <c r="H1652" s="15">
        <f t="shared" si="89"/>
        <v>0</v>
      </c>
      <c r="I1652" s="15">
        <f t="shared" si="89"/>
        <v>0</v>
      </c>
      <c r="J1652" s="15">
        <f t="shared" si="89"/>
        <v>0</v>
      </c>
      <c r="K1652" s="15">
        <f t="shared" si="89"/>
        <v>0</v>
      </c>
      <c r="L1652" s="15">
        <f t="shared" si="89"/>
        <v>0</v>
      </c>
      <c r="M1652" s="15">
        <f t="shared" si="89"/>
        <v>0</v>
      </c>
      <c r="N1652" s="15">
        <f t="shared" si="89"/>
        <v>0</v>
      </c>
      <c r="O1652" s="15">
        <f t="shared" si="89"/>
        <v>215.49266666666674</v>
      </c>
      <c r="P1652" s="15">
        <f t="shared" si="89"/>
        <v>514.73483333333365</v>
      </c>
      <c r="Q1652" s="15">
        <f t="shared" si="89"/>
        <v>549.99900000000002</v>
      </c>
      <c r="R1652" s="15">
        <f t="shared" si="89"/>
        <v>543.23349999999994</v>
      </c>
      <c r="S1652" s="15">
        <f t="shared" si="89"/>
        <v>580.33366666666655</v>
      </c>
      <c r="T1652" s="15">
        <f t="shared" si="89"/>
        <v>650.66899999999998</v>
      </c>
      <c r="U1652" s="15">
        <f t="shared" si="89"/>
        <v>705.80316666666658</v>
      </c>
      <c r="V1652" s="15">
        <f t="shared" si="89"/>
        <v>546.27516666666656</v>
      </c>
      <c r="W1652" s="15">
        <f t="shared" si="89"/>
        <v>377.101</v>
      </c>
      <c r="X1652" s="15">
        <f t="shared" si="89"/>
        <v>8.1951666666666672</v>
      </c>
      <c r="Y1652" s="15">
        <f t="shared" si="89"/>
        <v>0</v>
      </c>
      <c r="Z1652" s="15">
        <f t="shared" si="89"/>
        <v>0</v>
      </c>
      <c r="AA1652" s="15">
        <f t="shared" si="89"/>
        <v>0</v>
      </c>
      <c r="AB1652" s="15">
        <f t="shared" si="89"/>
        <v>0</v>
      </c>
      <c r="AC1652" s="249">
        <f>SUM(AC1603:AE1651)</f>
        <v>4691.8371666666662</v>
      </c>
      <c r="AD1652" s="249"/>
      <c r="AE1652" s="249"/>
    </row>
    <row r="1653" spans="2:31" x14ac:dyDescent="0.3">
      <c r="B1653" s="16"/>
      <c r="C1653" s="17"/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  <c r="N1653" s="18"/>
      <c r="O1653" s="18"/>
      <c r="P1653" s="18"/>
      <c r="Q1653" s="18"/>
      <c r="R1653" s="18"/>
      <c r="S1653" s="18"/>
      <c r="T1653" s="18"/>
      <c r="U1653" s="18"/>
      <c r="V1653" s="18"/>
      <c r="W1653" s="18"/>
      <c r="X1653" s="18"/>
      <c r="Y1653" s="18"/>
      <c r="Z1653" s="18"/>
      <c r="AA1653" s="18"/>
    </row>
    <row r="1654" spans="2:31" x14ac:dyDescent="0.3">
      <c r="B1654" s="16"/>
      <c r="C1654" s="17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  <c r="N1654" s="18"/>
      <c r="O1654" s="18"/>
      <c r="P1654" s="18"/>
      <c r="Q1654" s="18"/>
      <c r="R1654" s="18"/>
      <c r="S1654" s="18"/>
      <c r="T1654" s="18"/>
      <c r="U1654" s="18"/>
      <c r="V1654" s="18"/>
      <c r="W1654" s="18"/>
      <c r="X1654" s="18"/>
      <c r="Y1654" s="18"/>
      <c r="Z1654" s="18"/>
      <c r="AA1654" s="18"/>
    </row>
    <row r="1655" spans="2:31" x14ac:dyDescent="0.3">
      <c r="B1655" s="8">
        <f>'Resumen-Mensual'!$AI$22</f>
        <v>44592</v>
      </c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223"/>
      <c r="AD1655" s="223"/>
      <c r="AE1655" s="223"/>
    </row>
    <row r="1656" spans="2:31" x14ac:dyDescent="0.3">
      <c r="B1656" s="8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223"/>
      <c r="AD1656" s="223"/>
      <c r="AE1656" s="223"/>
    </row>
    <row r="1657" spans="2:31" x14ac:dyDescent="0.3">
      <c r="B1657" s="9" t="s">
        <v>81</v>
      </c>
      <c r="C1657" s="10"/>
      <c r="D1657" s="10"/>
      <c r="E1657" s="11">
        <v>1</v>
      </c>
      <c r="F1657" s="11">
        <v>2</v>
      </c>
      <c r="G1657" s="11">
        <v>3</v>
      </c>
      <c r="H1657" s="11">
        <v>4</v>
      </c>
      <c r="I1657" s="11">
        <v>5</v>
      </c>
      <c r="J1657" s="11">
        <v>6</v>
      </c>
      <c r="K1657" s="11">
        <v>7</v>
      </c>
      <c r="L1657" s="11">
        <v>8</v>
      </c>
      <c r="M1657" s="11">
        <v>9</v>
      </c>
      <c r="N1657" s="11">
        <v>10</v>
      </c>
      <c r="O1657" s="11">
        <v>11</v>
      </c>
      <c r="P1657" s="11">
        <v>12</v>
      </c>
      <c r="Q1657" s="11">
        <v>13</v>
      </c>
      <c r="R1657" s="11">
        <v>14</v>
      </c>
      <c r="S1657" s="11">
        <v>15</v>
      </c>
      <c r="T1657" s="11">
        <v>16</v>
      </c>
      <c r="U1657" s="11">
        <v>17</v>
      </c>
      <c r="V1657" s="11">
        <v>18</v>
      </c>
      <c r="W1657" s="11">
        <v>19</v>
      </c>
      <c r="X1657" s="11">
        <v>20</v>
      </c>
      <c r="Y1657" s="11">
        <v>21</v>
      </c>
      <c r="Z1657" s="11">
        <v>22</v>
      </c>
      <c r="AA1657" s="11">
        <v>23</v>
      </c>
      <c r="AB1657" s="11">
        <v>24</v>
      </c>
      <c r="AC1657" s="248" t="s">
        <v>2</v>
      </c>
      <c r="AD1657" s="248"/>
      <c r="AE1657" s="248"/>
    </row>
    <row r="1658" spans="2:31" x14ac:dyDescent="0.3">
      <c r="B1658" s="245" t="s">
        <v>37</v>
      </c>
      <c r="C1658" s="245"/>
      <c r="D1658" s="245"/>
      <c r="E1658" s="228">
        <v>0</v>
      </c>
      <c r="F1658" s="229">
        <v>0</v>
      </c>
      <c r="G1658" s="228">
        <v>0</v>
      </c>
      <c r="H1658" s="229">
        <v>0</v>
      </c>
      <c r="I1658" s="228">
        <v>0</v>
      </c>
      <c r="J1658" s="229">
        <v>0</v>
      </c>
      <c r="K1658" s="228">
        <v>0</v>
      </c>
      <c r="L1658" s="229">
        <v>0</v>
      </c>
      <c r="M1658" s="228">
        <v>0</v>
      </c>
      <c r="N1658" s="229">
        <v>0</v>
      </c>
      <c r="O1658" s="228">
        <v>0</v>
      </c>
      <c r="P1658" s="229">
        <v>0</v>
      </c>
      <c r="Q1658" s="228">
        <v>0</v>
      </c>
      <c r="R1658" s="229">
        <v>0</v>
      </c>
      <c r="S1658" s="228">
        <v>0</v>
      </c>
      <c r="T1658" s="229">
        <v>0</v>
      </c>
      <c r="U1658" s="228">
        <v>0</v>
      </c>
      <c r="V1658" s="229">
        <v>0</v>
      </c>
      <c r="W1658" s="228">
        <v>0</v>
      </c>
      <c r="X1658" s="229">
        <v>0</v>
      </c>
      <c r="Y1658" s="228">
        <v>0</v>
      </c>
      <c r="Z1658" s="229">
        <v>0</v>
      </c>
      <c r="AA1658" s="228">
        <v>0</v>
      </c>
      <c r="AB1658" s="229">
        <v>0</v>
      </c>
      <c r="AC1658" s="238">
        <f t="shared" ref="AC1658:AC1690" si="90">SUM(E1658:AB1658)</f>
        <v>0</v>
      </c>
      <c r="AD1658" s="238"/>
      <c r="AE1658" s="238"/>
    </row>
    <row r="1659" spans="2:31" x14ac:dyDescent="0.3">
      <c r="B1659" s="245" t="s">
        <v>38</v>
      </c>
      <c r="C1659" s="245"/>
      <c r="D1659" s="245"/>
      <c r="E1659" s="228">
        <v>0</v>
      </c>
      <c r="F1659" s="229">
        <v>0</v>
      </c>
      <c r="G1659" s="228">
        <v>0</v>
      </c>
      <c r="H1659" s="229">
        <v>0</v>
      </c>
      <c r="I1659" s="228">
        <v>0</v>
      </c>
      <c r="J1659" s="229">
        <v>0</v>
      </c>
      <c r="K1659" s="228">
        <v>0</v>
      </c>
      <c r="L1659" s="229">
        <v>0</v>
      </c>
      <c r="M1659" s="228">
        <v>0</v>
      </c>
      <c r="N1659" s="229">
        <v>0</v>
      </c>
      <c r="O1659" s="228">
        <v>0</v>
      </c>
      <c r="P1659" s="229">
        <v>0</v>
      </c>
      <c r="Q1659" s="228">
        <v>0</v>
      </c>
      <c r="R1659" s="229">
        <v>0</v>
      </c>
      <c r="S1659" s="228">
        <v>0</v>
      </c>
      <c r="T1659" s="229">
        <v>0</v>
      </c>
      <c r="U1659" s="228">
        <v>0</v>
      </c>
      <c r="V1659" s="229">
        <v>0</v>
      </c>
      <c r="W1659" s="228">
        <v>0</v>
      </c>
      <c r="X1659" s="229">
        <v>0</v>
      </c>
      <c r="Y1659" s="228">
        <v>0</v>
      </c>
      <c r="Z1659" s="229">
        <v>0</v>
      </c>
      <c r="AA1659" s="228">
        <v>0</v>
      </c>
      <c r="AB1659" s="229">
        <v>0</v>
      </c>
      <c r="AC1659" s="238">
        <f t="shared" si="90"/>
        <v>0</v>
      </c>
      <c r="AD1659" s="238"/>
      <c r="AE1659" s="238"/>
    </row>
    <row r="1660" spans="2:31" x14ac:dyDescent="0.3">
      <c r="B1660" s="245" t="s">
        <v>39</v>
      </c>
      <c r="C1660" s="245"/>
      <c r="D1660" s="245"/>
      <c r="E1660" s="228">
        <v>0</v>
      </c>
      <c r="F1660" s="229">
        <v>0</v>
      </c>
      <c r="G1660" s="228">
        <v>0</v>
      </c>
      <c r="H1660" s="229">
        <v>0</v>
      </c>
      <c r="I1660" s="228">
        <v>0</v>
      </c>
      <c r="J1660" s="229">
        <v>0</v>
      </c>
      <c r="K1660" s="228">
        <v>0</v>
      </c>
      <c r="L1660" s="229">
        <v>0</v>
      </c>
      <c r="M1660" s="228">
        <v>0</v>
      </c>
      <c r="N1660" s="229">
        <v>0</v>
      </c>
      <c r="O1660" s="228">
        <v>0</v>
      </c>
      <c r="P1660" s="229">
        <v>0</v>
      </c>
      <c r="Q1660" s="228">
        <v>0</v>
      </c>
      <c r="R1660" s="229">
        <v>0</v>
      </c>
      <c r="S1660" s="228">
        <v>0</v>
      </c>
      <c r="T1660" s="229">
        <v>0</v>
      </c>
      <c r="U1660" s="228">
        <v>0</v>
      </c>
      <c r="V1660" s="229">
        <v>0</v>
      </c>
      <c r="W1660" s="228">
        <v>0</v>
      </c>
      <c r="X1660" s="229">
        <v>0</v>
      </c>
      <c r="Y1660" s="228">
        <v>0</v>
      </c>
      <c r="Z1660" s="229">
        <v>0</v>
      </c>
      <c r="AA1660" s="228">
        <v>0</v>
      </c>
      <c r="AB1660" s="229">
        <v>0</v>
      </c>
      <c r="AC1660" s="238">
        <f t="shared" si="90"/>
        <v>0</v>
      </c>
      <c r="AD1660" s="238"/>
      <c r="AE1660" s="238"/>
    </row>
    <row r="1661" spans="2:31" x14ac:dyDescent="0.3">
      <c r="B1661" s="245" t="s">
        <v>40</v>
      </c>
      <c r="C1661" s="245"/>
      <c r="D1661" s="245"/>
      <c r="E1661" s="228">
        <v>0</v>
      </c>
      <c r="F1661" s="229">
        <v>0</v>
      </c>
      <c r="G1661" s="228">
        <v>0</v>
      </c>
      <c r="H1661" s="229">
        <v>0</v>
      </c>
      <c r="I1661" s="228">
        <v>0</v>
      </c>
      <c r="J1661" s="229">
        <v>0</v>
      </c>
      <c r="K1661" s="228">
        <v>0</v>
      </c>
      <c r="L1661" s="229">
        <v>0</v>
      </c>
      <c r="M1661" s="228">
        <v>0</v>
      </c>
      <c r="N1661" s="229">
        <v>0</v>
      </c>
      <c r="O1661" s="228">
        <v>0</v>
      </c>
      <c r="P1661" s="229">
        <v>0</v>
      </c>
      <c r="Q1661" s="228">
        <v>0</v>
      </c>
      <c r="R1661" s="229">
        <v>0</v>
      </c>
      <c r="S1661" s="228">
        <v>0</v>
      </c>
      <c r="T1661" s="229">
        <v>0</v>
      </c>
      <c r="U1661" s="228">
        <v>0</v>
      </c>
      <c r="V1661" s="229">
        <v>0</v>
      </c>
      <c r="W1661" s="228">
        <v>0</v>
      </c>
      <c r="X1661" s="229">
        <v>0</v>
      </c>
      <c r="Y1661" s="228">
        <v>0</v>
      </c>
      <c r="Z1661" s="229">
        <v>0</v>
      </c>
      <c r="AA1661" s="228">
        <v>0</v>
      </c>
      <c r="AB1661" s="229">
        <v>0</v>
      </c>
      <c r="AC1661" s="238">
        <f t="shared" si="90"/>
        <v>0</v>
      </c>
      <c r="AD1661" s="238"/>
      <c r="AE1661" s="238"/>
    </row>
    <row r="1662" spans="2:31" x14ac:dyDescent="0.3">
      <c r="B1662" s="245" t="s">
        <v>41</v>
      </c>
      <c r="C1662" s="245"/>
      <c r="D1662" s="245"/>
      <c r="E1662" s="228">
        <v>0</v>
      </c>
      <c r="F1662" s="229">
        <v>0</v>
      </c>
      <c r="G1662" s="228">
        <v>0</v>
      </c>
      <c r="H1662" s="229">
        <v>0</v>
      </c>
      <c r="I1662" s="228">
        <v>0</v>
      </c>
      <c r="J1662" s="229">
        <v>0</v>
      </c>
      <c r="K1662" s="228">
        <v>0</v>
      </c>
      <c r="L1662" s="229">
        <v>0</v>
      </c>
      <c r="M1662" s="228">
        <v>0</v>
      </c>
      <c r="N1662" s="229">
        <v>0</v>
      </c>
      <c r="O1662" s="228">
        <v>0</v>
      </c>
      <c r="P1662" s="229">
        <v>0</v>
      </c>
      <c r="Q1662" s="228">
        <v>0</v>
      </c>
      <c r="R1662" s="229">
        <v>0</v>
      </c>
      <c r="S1662" s="228">
        <v>0</v>
      </c>
      <c r="T1662" s="229">
        <v>0</v>
      </c>
      <c r="U1662" s="228">
        <v>0</v>
      </c>
      <c r="V1662" s="229">
        <v>0</v>
      </c>
      <c r="W1662" s="228">
        <v>0</v>
      </c>
      <c r="X1662" s="229">
        <v>0</v>
      </c>
      <c r="Y1662" s="228">
        <v>0</v>
      </c>
      <c r="Z1662" s="229">
        <v>0</v>
      </c>
      <c r="AA1662" s="228">
        <v>0</v>
      </c>
      <c r="AB1662" s="229">
        <v>0</v>
      </c>
      <c r="AC1662" s="238">
        <f t="shared" si="90"/>
        <v>0</v>
      </c>
      <c r="AD1662" s="238"/>
      <c r="AE1662" s="238"/>
    </row>
    <row r="1663" spans="2:31" x14ac:dyDescent="0.3">
      <c r="B1663" s="245" t="s">
        <v>42</v>
      </c>
      <c r="C1663" s="245"/>
      <c r="D1663" s="245"/>
      <c r="E1663" s="228">
        <v>0</v>
      </c>
      <c r="F1663" s="229">
        <v>0</v>
      </c>
      <c r="G1663" s="228">
        <v>0</v>
      </c>
      <c r="H1663" s="229">
        <v>0</v>
      </c>
      <c r="I1663" s="228">
        <v>0</v>
      </c>
      <c r="J1663" s="229">
        <v>0</v>
      </c>
      <c r="K1663" s="228">
        <v>0</v>
      </c>
      <c r="L1663" s="229">
        <v>0</v>
      </c>
      <c r="M1663" s="228">
        <v>0</v>
      </c>
      <c r="N1663" s="229">
        <v>0</v>
      </c>
      <c r="O1663" s="228">
        <v>0</v>
      </c>
      <c r="P1663" s="229">
        <v>0</v>
      </c>
      <c r="Q1663" s="228">
        <v>0</v>
      </c>
      <c r="R1663" s="229">
        <v>0</v>
      </c>
      <c r="S1663" s="228">
        <v>0</v>
      </c>
      <c r="T1663" s="229">
        <v>0</v>
      </c>
      <c r="U1663" s="228">
        <v>0</v>
      </c>
      <c r="V1663" s="229">
        <v>0</v>
      </c>
      <c r="W1663" s="228">
        <v>0</v>
      </c>
      <c r="X1663" s="229">
        <v>0</v>
      </c>
      <c r="Y1663" s="228">
        <v>0</v>
      </c>
      <c r="Z1663" s="229">
        <v>0</v>
      </c>
      <c r="AA1663" s="228">
        <v>0</v>
      </c>
      <c r="AB1663" s="229">
        <v>0</v>
      </c>
      <c r="AC1663" s="238">
        <f t="shared" si="90"/>
        <v>0</v>
      </c>
      <c r="AD1663" s="238"/>
      <c r="AE1663" s="238"/>
    </row>
    <row r="1664" spans="2:31" x14ac:dyDescent="0.3">
      <c r="B1664" s="245" t="s">
        <v>43</v>
      </c>
      <c r="C1664" s="245"/>
      <c r="D1664" s="245"/>
      <c r="E1664" s="228">
        <v>0</v>
      </c>
      <c r="F1664" s="229">
        <v>0</v>
      </c>
      <c r="G1664" s="228">
        <v>0</v>
      </c>
      <c r="H1664" s="229">
        <v>0</v>
      </c>
      <c r="I1664" s="228">
        <v>0</v>
      </c>
      <c r="J1664" s="229">
        <v>0</v>
      </c>
      <c r="K1664" s="228">
        <v>0</v>
      </c>
      <c r="L1664" s="229">
        <v>0</v>
      </c>
      <c r="M1664" s="228">
        <v>0</v>
      </c>
      <c r="N1664" s="229">
        <v>0</v>
      </c>
      <c r="O1664" s="228">
        <v>0</v>
      </c>
      <c r="P1664" s="229">
        <v>0</v>
      </c>
      <c r="Q1664" s="228">
        <v>0</v>
      </c>
      <c r="R1664" s="229">
        <v>0</v>
      </c>
      <c r="S1664" s="228">
        <v>0</v>
      </c>
      <c r="T1664" s="229">
        <v>0</v>
      </c>
      <c r="U1664" s="228">
        <v>0</v>
      </c>
      <c r="V1664" s="229">
        <v>14.481166666666674</v>
      </c>
      <c r="W1664" s="228">
        <v>0</v>
      </c>
      <c r="X1664" s="229">
        <v>0</v>
      </c>
      <c r="Y1664" s="228">
        <v>0</v>
      </c>
      <c r="Z1664" s="229">
        <v>0</v>
      </c>
      <c r="AA1664" s="228">
        <v>0</v>
      </c>
      <c r="AB1664" s="229">
        <v>0</v>
      </c>
      <c r="AC1664" s="238">
        <f t="shared" si="90"/>
        <v>14.481166666666674</v>
      </c>
      <c r="AD1664" s="238"/>
      <c r="AE1664" s="238"/>
    </row>
    <row r="1665" spans="2:31" x14ac:dyDescent="0.3">
      <c r="B1665" s="245" t="s">
        <v>44</v>
      </c>
      <c r="C1665" s="245"/>
      <c r="D1665" s="245"/>
      <c r="E1665" s="228">
        <v>0</v>
      </c>
      <c r="F1665" s="229">
        <v>0</v>
      </c>
      <c r="G1665" s="228">
        <v>0</v>
      </c>
      <c r="H1665" s="229">
        <v>0</v>
      </c>
      <c r="I1665" s="228">
        <v>0</v>
      </c>
      <c r="J1665" s="229">
        <v>0</v>
      </c>
      <c r="K1665" s="228">
        <v>0</v>
      </c>
      <c r="L1665" s="229">
        <v>0</v>
      </c>
      <c r="M1665" s="228">
        <v>0</v>
      </c>
      <c r="N1665" s="229">
        <v>0</v>
      </c>
      <c r="O1665" s="228">
        <v>0</v>
      </c>
      <c r="P1665" s="229">
        <v>0</v>
      </c>
      <c r="Q1665" s="228">
        <v>0</v>
      </c>
      <c r="R1665" s="229">
        <v>0</v>
      </c>
      <c r="S1665" s="228">
        <v>0</v>
      </c>
      <c r="T1665" s="229">
        <v>0</v>
      </c>
      <c r="U1665" s="228">
        <v>0</v>
      </c>
      <c r="V1665" s="229">
        <v>0</v>
      </c>
      <c r="W1665" s="228">
        <v>0</v>
      </c>
      <c r="X1665" s="229">
        <v>0</v>
      </c>
      <c r="Y1665" s="228">
        <v>0</v>
      </c>
      <c r="Z1665" s="229">
        <v>0</v>
      </c>
      <c r="AA1665" s="228">
        <v>0</v>
      </c>
      <c r="AB1665" s="229">
        <v>0</v>
      </c>
      <c r="AC1665" s="238">
        <f t="shared" si="90"/>
        <v>0</v>
      </c>
      <c r="AD1665" s="238"/>
      <c r="AE1665" s="238"/>
    </row>
    <row r="1666" spans="2:31" x14ac:dyDescent="0.3">
      <c r="B1666" s="245" t="s">
        <v>45</v>
      </c>
      <c r="C1666" s="245"/>
      <c r="D1666" s="245"/>
      <c r="E1666" s="228">
        <v>0</v>
      </c>
      <c r="F1666" s="229">
        <v>0</v>
      </c>
      <c r="G1666" s="228">
        <v>0</v>
      </c>
      <c r="H1666" s="229">
        <v>0</v>
      </c>
      <c r="I1666" s="228">
        <v>0</v>
      </c>
      <c r="J1666" s="229">
        <v>0</v>
      </c>
      <c r="K1666" s="228">
        <v>0</v>
      </c>
      <c r="L1666" s="229">
        <v>0</v>
      </c>
      <c r="M1666" s="228">
        <v>0</v>
      </c>
      <c r="N1666" s="229">
        <v>0</v>
      </c>
      <c r="O1666" s="228">
        <v>0</v>
      </c>
      <c r="P1666" s="229">
        <v>0</v>
      </c>
      <c r="Q1666" s="228">
        <v>0</v>
      </c>
      <c r="R1666" s="229">
        <v>23.759333333333316</v>
      </c>
      <c r="S1666" s="228">
        <v>26.549333333333305</v>
      </c>
      <c r="T1666" s="229">
        <v>25.978833333333345</v>
      </c>
      <c r="U1666" s="228">
        <v>0</v>
      </c>
      <c r="V1666" s="229">
        <v>8.0391666666666719</v>
      </c>
      <c r="W1666" s="228">
        <v>1.363166666666666</v>
      </c>
      <c r="X1666" s="229">
        <v>0.18383333333333332</v>
      </c>
      <c r="Y1666" s="228">
        <v>0</v>
      </c>
      <c r="Z1666" s="229">
        <v>0</v>
      </c>
      <c r="AA1666" s="228">
        <v>0</v>
      </c>
      <c r="AB1666" s="229">
        <v>0</v>
      </c>
      <c r="AC1666" s="238">
        <f t="shared" si="90"/>
        <v>85.873666666666651</v>
      </c>
      <c r="AD1666" s="238"/>
      <c r="AE1666" s="238"/>
    </row>
    <row r="1667" spans="2:31" x14ac:dyDescent="0.3">
      <c r="B1667" s="245" t="s">
        <v>46</v>
      </c>
      <c r="C1667" s="245"/>
      <c r="D1667" s="245"/>
      <c r="E1667" s="228">
        <v>0</v>
      </c>
      <c r="F1667" s="229">
        <v>0</v>
      </c>
      <c r="G1667" s="228">
        <v>0</v>
      </c>
      <c r="H1667" s="229">
        <v>0</v>
      </c>
      <c r="I1667" s="228">
        <v>0</v>
      </c>
      <c r="J1667" s="229">
        <v>0</v>
      </c>
      <c r="K1667" s="228">
        <v>0</v>
      </c>
      <c r="L1667" s="229">
        <v>0</v>
      </c>
      <c r="M1667" s="228">
        <v>0</v>
      </c>
      <c r="N1667" s="229">
        <v>0</v>
      </c>
      <c r="O1667" s="228">
        <v>0</v>
      </c>
      <c r="P1667" s="229">
        <v>0</v>
      </c>
      <c r="Q1667" s="228">
        <v>2.5388333333333342</v>
      </c>
      <c r="R1667" s="229">
        <v>39.959499999999977</v>
      </c>
      <c r="S1667" s="228">
        <v>46.000833333333361</v>
      </c>
      <c r="T1667" s="229">
        <v>0</v>
      </c>
      <c r="U1667" s="228">
        <v>30.692833333333375</v>
      </c>
      <c r="V1667" s="229">
        <v>0</v>
      </c>
      <c r="W1667" s="228">
        <v>0</v>
      </c>
      <c r="X1667" s="229">
        <v>0</v>
      </c>
      <c r="Y1667" s="228">
        <v>0</v>
      </c>
      <c r="Z1667" s="229">
        <v>0</v>
      </c>
      <c r="AA1667" s="228">
        <v>0</v>
      </c>
      <c r="AB1667" s="229">
        <v>0</v>
      </c>
      <c r="AC1667" s="238">
        <f t="shared" si="90"/>
        <v>119.19200000000004</v>
      </c>
      <c r="AD1667" s="238"/>
      <c r="AE1667" s="238"/>
    </row>
    <row r="1668" spans="2:31" x14ac:dyDescent="0.3">
      <c r="B1668" s="245" t="s">
        <v>47</v>
      </c>
      <c r="C1668" s="245"/>
      <c r="D1668" s="245"/>
      <c r="E1668" s="228">
        <v>0</v>
      </c>
      <c r="F1668" s="229">
        <v>0</v>
      </c>
      <c r="G1668" s="228">
        <v>0</v>
      </c>
      <c r="H1668" s="229">
        <v>0</v>
      </c>
      <c r="I1668" s="228">
        <v>0</v>
      </c>
      <c r="J1668" s="229">
        <v>0</v>
      </c>
      <c r="K1668" s="228">
        <v>0</v>
      </c>
      <c r="L1668" s="229">
        <v>0</v>
      </c>
      <c r="M1668" s="228">
        <v>0</v>
      </c>
      <c r="N1668" s="229">
        <v>0</v>
      </c>
      <c r="O1668" s="228">
        <v>0</v>
      </c>
      <c r="P1668" s="229">
        <v>0</v>
      </c>
      <c r="Q1668" s="228">
        <v>3.3853333333333335</v>
      </c>
      <c r="R1668" s="229">
        <v>0</v>
      </c>
      <c r="S1668" s="228">
        <v>15.710000000000012</v>
      </c>
      <c r="T1668" s="229">
        <v>15.710000000000012</v>
      </c>
      <c r="U1668" s="228">
        <v>15.710000000000012</v>
      </c>
      <c r="V1668" s="229">
        <v>15.844333333333344</v>
      </c>
      <c r="W1668" s="228">
        <v>15.870833333333337</v>
      </c>
      <c r="X1668" s="229">
        <v>0.72683333333333344</v>
      </c>
      <c r="Y1668" s="228">
        <v>0</v>
      </c>
      <c r="Z1668" s="229">
        <v>0</v>
      </c>
      <c r="AA1668" s="228">
        <v>0</v>
      </c>
      <c r="AB1668" s="229">
        <v>0</v>
      </c>
      <c r="AC1668" s="238">
        <f t="shared" si="90"/>
        <v>82.957333333333366</v>
      </c>
      <c r="AD1668" s="238"/>
      <c r="AE1668" s="238"/>
    </row>
    <row r="1669" spans="2:31" x14ac:dyDescent="0.3">
      <c r="B1669" s="245" t="s">
        <v>48</v>
      </c>
      <c r="C1669" s="245"/>
      <c r="D1669" s="245"/>
      <c r="E1669" s="228">
        <v>0</v>
      </c>
      <c r="F1669" s="229">
        <v>0</v>
      </c>
      <c r="G1669" s="228">
        <v>0</v>
      </c>
      <c r="H1669" s="229">
        <v>0</v>
      </c>
      <c r="I1669" s="228">
        <v>0</v>
      </c>
      <c r="J1669" s="229">
        <v>0</v>
      </c>
      <c r="K1669" s="228">
        <v>0</v>
      </c>
      <c r="L1669" s="229">
        <v>0</v>
      </c>
      <c r="M1669" s="228">
        <v>0</v>
      </c>
      <c r="N1669" s="229">
        <v>0</v>
      </c>
      <c r="O1669" s="228">
        <v>0</v>
      </c>
      <c r="P1669" s="229">
        <v>0</v>
      </c>
      <c r="Q1669" s="228">
        <v>0</v>
      </c>
      <c r="R1669" s="229">
        <v>0</v>
      </c>
      <c r="S1669" s="228">
        <v>0</v>
      </c>
      <c r="T1669" s="229">
        <v>0.5</v>
      </c>
      <c r="U1669" s="228">
        <v>0.5</v>
      </c>
      <c r="V1669" s="229">
        <v>0.5</v>
      </c>
      <c r="W1669" s="228">
        <v>0.52433333333333354</v>
      </c>
      <c r="X1669" s="229">
        <v>0.44516666666666665</v>
      </c>
      <c r="Y1669" s="228">
        <v>0</v>
      </c>
      <c r="Z1669" s="229">
        <v>0</v>
      </c>
      <c r="AA1669" s="228">
        <v>0</v>
      </c>
      <c r="AB1669" s="229">
        <v>0</v>
      </c>
      <c r="AC1669" s="238">
        <f t="shared" si="90"/>
        <v>2.4695000000000005</v>
      </c>
      <c r="AD1669" s="238"/>
      <c r="AE1669" s="238"/>
    </row>
    <row r="1670" spans="2:31" x14ac:dyDescent="0.3">
      <c r="B1670" s="245" t="s">
        <v>49</v>
      </c>
      <c r="C1670" s="245"/>
      <c r="D1670" s="245"/>
      <c r="E1670" s="228">
        <v>0</v>
      </c>
      <c r="F1670" s="229">
        <v>0</v>
      </c>
      <c r="G1670" s="228">
        <v>0</v>
      </c>
      <c r="H1670" s="229">
        <v>0</v>
      </c>
      <c r="I1670" s="228">
        <v>0</v>
      </c>
      <c r="J1670" s="229">
        <v>0</v>
      </c>
      <c r="K1670" s="228">
        <v>0</v>
      </c>
      <c r="L1670" s="229">
        <v>0</v>
      </c>
      <c r="M1670" s="228">
        <v>0</v>
      </c>
      <c r="N1670" s="229">
        <v>0</v>
      </c>
      <c r="O1670" s="228">
        <v>0</v>
      </c>
      <c r="P1670" s="229">
        <v>0</v>
      </c>
      <c r="Q1670" s="228">
        <v>0</v>
      </c>
      <c r="R1670" s="229">
        <v>0</v>
      </c>
      <c r="S1670" s="228">
        <v>0</v>
      </c>
      <c r="T1670" s="229">
        <v>0</v>
      </c>
      <c r="U1670" s="228">
        <v>0</v>
      </c>
      <c r="V1670" s="229">
        <v>0</v>
      </c>
      <c r="W1670" s="228">
        <v>0</v>
      </c>
      <c r="X1670" s="229">
        <v>0</v>
      </c>
      <c r="Y1670" s="228">
        <v>0</v>
      </c>
      <c r="Z1670" s="229">
        <v>0</v>
      </c>
      <c r="AA1670" s="228">
        <v>0</v>
      </c>
      <c r="AB1670" s="229">
        <v>0</v>
      </c>
      <c r="AC1670" s="238">
        <f t="shared" si="90"/>
        <v>0</v>
      </c>
      <c r="AD1670" s="238"/>
      <c r="AE1670" s="238"/>
    </row>
    <row r="1671" spans="2:31" x14ac:dyDescent="0.3">
      <c r="B1671" s="245" t="s">
        <v>50</v>
      </c>
      <c r="C1671" s="245"/>
      <c r="D1671" s="245"/>
      <c r="E1671" s="228">
        <v>0</v>
      </c>
      <c r="F1671" s="229">
        <v>0</v>
      </c>
      <c r="G1671" s="228">
        <v>0</v>
      </c>
      <c r="H1671" s="229">
        <v>0</v>
      </c>
      <c r="I1671" s="228">
        <v>0</v>
      </c>
      <c r="J1671" s="229">
        <v>0</v>
      </c>
      <c r="K1671" s="228">
        <v>0</v>
      </c>
      <c r="L1671" s="229">
        <v>0</v>
      </c>
      <c r="M1671" s="228">
        <v>0</v>
      </c>
      <c r="N1671" s="229">
        <v>0</v>
      </c>
      <c r="O1671" s="228">
        <v>1.2093333333333336</v>
      </c>
      <c r="P1671" s="229">
        <v>0</v>
      </c>
      <c r="Q1671" s="228">
        <v>20.916000000000004</v>
      </c>
      <c r="R1671" s="229">
        <v>21.444166666666693</v>
      </c>
      <c r="S1671" s="228">
        <v>21.795499999999969</v>
      </c>
      <c r="T1671" s="229">
        <v>0</v>
      </c>
      <c r="U1671" s="228">
        <v>0</v>
      </c>
      <c r="V1671" s="229">
        <v>19.848333333333333</v>
      </c>
      <c r="W1671" s="228">
        <v>0</v>
      </c>
      <c r="X1671" s="229">
        <v>0</v>
      </c>
      <c r="Y1671" s="228">
        <v>0</v>
      </c>
      <c r="Z1671" s="229">
        <v>0</v>
      </c>
      <c r="AA1671" s="228">
        <v>0</v>
      </c>
      <c r="AB1671" s="229">
        <v>0</v>
      </c>
      <c r="AC1671" s="238">
        <f t="shared" si="90"/>
        <v>85.213333333333338</v>
      </c>
      <c r="AD1671" s="238"/>
      <c r="AE1671" s="238"/>
    </row>
    <row r="1672" spans="2:31" x14ac:dyDescent="0.3">
      <c r="B1672" s="245" t="s">
        <v>97</v>
      </c>
      <c r="C1672" s="245"/>
      <c r="D1672" s="245"/>
      <c r="E1672" s="228">
        <v>0</v>
      </c>
      <c r="F1672" s="229">
        <v>0</v>
      </c>
      <c r="G1672" s="228">
        <v>0</v>
      </c>
      <c r="H1672" s="229">
        <v>0</v>
      </c>
      <c r="I1672" s="228">
        <v>0</v>
      </c>
      <c r="J1672" s="229">
        <v>0</v>
      </c>
      <c r="K1672" s="228">
        <v>0</v>
      </c>
      <c r="L1672" s="229">
        <v>0</v>
      </c>
      <c r="M1672" s="228">
        <v>0</v>
      </c>
      <c r="N1672" s="229">
        <v>0</v>
      </c>
      <c r="O1672" s="228">
        <v>0</v>
      </c>
      <c r="P1672" s="229">
        <v>0</v>
      </c>
      <c r="Q1672" s="228">
        <v>0</v>
      </c>
      <c r="R1672" s="229">
        <v>0</v>
      </c>
      <c r="S1672" s="228">
        <v>0</v>
      </c>
      <c r="T1672" s="229">
        <v>0</v>
      </c>
      <c r="U1672" s="228">
        <v>0</v>
      </c>
      <c r="V1672" s="229">
        <v>0</v>
      </c>
      <c r="W1672" s="228">
        <v>0</v>
      </c>
      <c r="X1672" s="229">
        <v>0</v>
      </c>
      <c r="Y1672" s="228">
        <v>0</v>
      </c>
      <c r="Z1672" s="229">
        <v>0</v>
      </c>
      <c r="AA1672" s="228">
        <v>0</v>
      </c>
      <c r="AB1672" s="229">
        <v>0</v>
      </c>
      <c r="AC1672" s="238">
        <f t="shared" si="90"/>
        <v>0</v>
      </c>
      <c r="AD1672" s="238"/>
      <c r="AE1672" s="238"/>
    </row>
    <row r="1673" spans="2:31" x14ac:dyDescent="0.3">
      <c r="B1673" s="245" t="s">
        <v>51</v>
      </c>
      <c r="C1673" s="245"/>
      <c r="D1673" s="245"/>
      <c r="E1673" s="228">
        <v>0</v>
      </c>
      <c r="F1673" s="229">
        <v>0</v>
      </c>
      <c r="G1673" s="228">
        <v>0</v>
      </c>
      <c r="H1673" s="229">
        <v>0</v>
      </c>
      <c r="I1673" s="228">
        <v>0</v>
      </c>
      <c r="J1673" s="229">
        <v>0</v>
      </c>
      <c r="K1673" s="228">
        <v>0</v>
      </c>
      <c r="L1673" s="229">
        <v>0</v>
      </c>
      <c r="M1673" s="228">
        <v>0</v>
      </c>
      <c r="N1673" s="229">
        <v>0</v>
      </c>
      <c r="O1673" s="228">
        <v>0</v>
      </c>
      <c r="P1673" s="229">
        <v>0</v>
      </c>
      <c r="Q1673" s="228">
        <v>0</v>
      </c>
      <c r="R1673" s="229">
        <v>0</v>
      </c>
      <c r="S1673" s="228">
        <v>0</v>
      </c>
      <c r="T1673" s="229">
        <v>0</v>
      </c>
      <c r="U1673" s="228">
        <v>0</v>
      </c>
      <c r="V1673" s="229">
        <v>0</v>
      </c>
      <c r="W1673" s="228">
        <v>0</v>
      </c>
      <c r="X1673" s="229">
        <v>0</v>
      </c>
      <c r="Y1673" s="228">
        <v>0</v>
      </c>
      <c r="Z1673" s="229">
        <v>0</v>
      </c>
      <c r="AA1673" s="228">
        <v>0</v>
      </c>
      <c r="AB1673" s="229">
        <v>0</v>
      </c>
      <c r="AC1673" s="238">
        <f t="shared" si="90"/>
        <v>0</v>
      </c>
      <c r="AD1673" s="238"/>
      <c r="AE1673" s="238"/>
    </row>
    <row r="1674" spans="2:31" x14ac:dyDescent="0.3">
      <c r="B1674" s="245" t="s">
        <v>52</v>
      </c>
      <c r="C1674" s="245"/>
      <c r="D1674" s="245"/>
      <c r="E1674" s="228">
        <v>0</v>
      </c>
      <c r="F1674" s="229">
        <v>0</v>
      </c>
      <c r="G1674" s="228">
        <v>0</v>
      </c>
      <c r="H1674" s="229">
        <v>0</v>
      </c>
      <c r="I1674" s="228">
        <v>0</v>
      </c>
      <c r="J1674" s="229">
        <v>0</v>
      </c>
      <c r="K1674" s="228">
        <v>0</v>
      </c>
      <c r="L1674" s="229">
        <v>0</v>
      </c>
      <c r="M1674" s="228">
        <v>0</v>
      </c>
      <c r="N1674" s="229">
        <v>0</v>
      </c>
      <c r="O1674" s="228">
        <v>0</v>
      </c>
      <c r="P1674" s="229">
        <v>0</v>
      </c>
      <c r="Q1674" s="228">
        <v>0</v>
      </c>
      <c r="R1674" s="229">
        <v>0</v>
      </c>
      <c r="S1674" s="228">
        <v>0</v>
      </c>
      <c r="T1674" s="229">
        <v>0</v>
      </c>
      <c r="U1674" s="228">
        <v>0</v>
      </c>
      <c r="V1674" s="229">
        <v>0</v>
      </c>
      <c r="W1674" s="228">
        <v>0</v>
      </c>
      <c r="X1674" s="229">
        <v>0</v>
      </c>
      <c r="Y1674" s="228">
        <v>0</v>
      </c>
      <c r="Z1674" s="229">
        <v>0</v>
      </c>
      <c r="AA1674" s="228">
        <v>0</v>
      </c>
      <c r="AB1674" s="229">
        <v>0</v>
      </c>
      <c r="AC1674" s="238">
        <f t="shared" si="90"/>
        <v>0</v>
      </c>
      <c r="AD1674" s="238"/>
      <c r="AE1674" s="238"/>
    </row>
    <row r="1675" spans="2:31" x14ac:dyDescent="0.3">
      <c r="B1675" s="245" t="s">
        <v>53</v>
      </c>
      <c r="C1675" s="245"/>
      <c r="D1675" s="245"/>
      <c r="E1675" s="228">
        <v>0</v>
      </c>
      <c r="F1675" s="229">
        <v>0</v>
      </c>
      <c r="G1675" s="228">
        <v>0</v>
      </c>
      <c r="H1675" s="229">
        <v>0</v>
      </c>
      <c r="I1675" s="228">
        <v>0</v>
      </c>
      <c r="J1675" s="229">
        <v>0</v>
      </c>
      <c r="K1675" s="228">
        <v>0</v>
      </c>
      <c r="L1675" s="229">
        <v>0</v>
      </c>
      <c r="M1675" s="228">
        <v>0</v>
      </c>
      <c r="N1675" s="229">
        <v>0</v>
      </c>
      <c r="O1675" s="228">
        <v>0</v>
      </c>
      <c r="P1675" s="229">
        <v>0</v>
      </c>
      <c r="Q1675" s="228">
        <v>0</v>
      </c>
      <c r="R1675" s="229">
        <v>0</v>
      </c>
      <c r="S1675" s="228">
        <v>0</v>
      </c>
      <c r="T1675" s="229">
        <v>0</v>
      </c>
      <c r="U1675" s="228">
        <v>0</v>
      </c>
      <c r="V1675" s="229">
        <v>0</v>
      </c>
      <c r="W1675" s="228">
        <v>0</v>
      </c>
      <c r="X1675" s="229">
        <v>0</v>
      </c>
      <c r="Y1675" s="228">
        <v>0</v>
      </c>
      <c r="Z1675" s="229">
        <v>0</v>
      </c>
      <c r="AA1675" s="228">
        <v>0</v>
      </c>
      <c r="AB1675" s="229">
        <v>0</v>
      </c>
      <c r="AC1675" s="238">
        <f t="shared" si="90"/>
        <v>0</v>
      </c>
      <c r="AD1675" s="238"/>
      <c r="AE1675" s="238"/>
    </row>
    <row r="1676" spans="2:31" x14ac:dyDescent="0.3">
      <c r="B1676" s="245" t="s">
        <v>54</v>
      </c>
      <c r="C1676" s="245"/>
      <c r="D1676" s="245"/>
      <c r="E1676" s="228">
        <v>0</v>
      </c>
      <c r="F1676" s="229">
        <v>0</v>
      </c>
      <c r="G1676" s="228">
        <v>0</v>
      </c>
      <c r="H1676" s="229">
        <v>0</v>
      </c>
      <c r="I1676" s="228">
        <v>0</v>
      </c>
      <c r="J1676" s="229">
        <v>0</v>
      </c>
      <c r="K1676" s="228">
        <v>0</v>
      </c>
      <c r="L1676" s="229">
        <v>0</v>
      </c>
      <c r="M1676" s="228">
        <v>0</v>
      </c>
      <c r="N1676" s="229">
        <v>0</v>
      </c>
      <c r="O1676" s="228">
        <v>0</v>
      </c>
      <c r="P1676" s="229">
        <v>0</v>
      </c>
      <c r="Q1676" s="228">
        <v>0</v>
      </c>
      <c r="R1676" s="229">
        <v>0</v>
      </c>
      <c r="S1676" s="228">
        <v>0</v>
      </c>
      <c r="T1676" s="229">
        <v>0</v>
      </c>
      <c r="U1676" s="228">
        <v>0</v>
      </c>
      <c r="V1676" s="229">
        <v>0</v>
      </c>
      <c r="W1676" s="228">
        <v>0</v>
      </c>
      <c r="X1676" s="229">
        <v>0</v>
      </c>
      <c r="Y1676" s="228">
        <v>0</v>
      </c>
      <c r="Z1676" s="229">
        <v>0</v>
      </c>
      <c r="AA1676" s="228">
        <v>0</v>
      </c>
      <c r="AB1676" s="229">
        <v>0</v>
      </c>
      <c r="AC1676" s="238">
        <f t="shared" si="90"/>
        <v>0</v>
      </c>
      <c r="AD1676" s="238"/>
      <c r="AE1676" s="238"/>
    </row>
    <row r="1677" spans="2:31" x14ac:dyDescent="0.3">
      <c r="B1677" s="245" t="s">
        <v>55</v>
      </c>
      <c r="C1677" s="245"/>
      <c r="D1677" s="245"/>
      <c r="E1677" s="228">
        <v>0</v>
      </c>
      <c r="F1677" s="229">
        <v>0</v>
      </c>
      <c r="G1677" s="228">
        <v>0</v>
      </c>
      <c r="H1677" s="229">
        <v>0</v>
      </c>
      <c r="I1677" s="228">
        <v>0</v>
      </c>
      <c r="J1677" s="229">
        <v>0</v>
      </c>
      <c r="K1677" s="228">
        <v>0</v>
      </c>
      <c r="L1677" s="229">
        <v>0</v>
      </c>
      <c r="M1677" s="228">
        <v>0</v>
      </c>
      <c r="N1677" s="229">
        <v>0</v>
      </c>
      <c r="O1677" s="228">
        <v>0</v>
      </c>
      <c r="P1677" s="229">
        <v>0</v>
      </c>
      <c r="Q1677" s="228">
        <v>0</v>
      </c>
      <c r="R1677" s="229">
        <v>0</v>
      </c>
      <c r="S1677" s="228">
        <v>0</v>
      </c>
      <c r="T1677" s="229">
        <v>0</v>
      </c>
      <c r="U1677" s="228">
        <v>0</v>
      </c>
      <c r="V1677" s="229">
        <v>0</v>
      </c>
      <c r="W1677" s="228">
        <v>0</v>
      </c>
      <c r="X1677" s="229">
        <v>0</v>
      </c>
      <c r="Y1677" s="228">
        <v>0</v>
      </c>
      <c r="Z1677" s="229">
        <v>0</v>
      </c>
      <c r="AA1677" s="228">
        <v>0</v>
      </c>
      <c r="AB1677" s="229">
        <v>0</v>
      </c>
      <c r="AC1677" s="238">
        <f t="shared" si="90"/>
        <v>0</v>
      </c>
      <c r="AD1677" s="238"/>
      <c r="AE1677" s="238"/>
    </row>
    <row r="1678" spans="2:31" x14ac:dyDescent="0.3">
      <c r="B1678" s="245" t="s">
        <v>56</v>
      </c>
      <c r="C1678" s="245"/>
      <c r="D1678" s="245"/>
      <c r="E1678" s="228">
        <v>0</v>
      </c>
      <c r="F1678" s="229">
        <v>0</v>
      </c>
      <c r="G1678" s="228">
        <v>0</v>
      </c>
      <c r="H1678" s="229">
        <v>0</v>
      </c>
      <c r="I1678" s="228">
        <v>0</v>
      </c>
      <c r="J1678" s="229">
        <v>0</v>
      </c>
      <c r="K1678" s="228">
        <v>0</v>
      </c>
      <c r="L1678" s="229">
        <v>0</v>
      </c>
      <c r="M1678" s="228">
        <v>0</v>
      </c>
      <c r="N1678" s="229">
        <v>0</v>
      </c>
      <c r="O1678" s="228">
        <v>0</v>
      </c>
      <c r="P1678" s="229">
        <v>0</v>
      </c>
      <c r="Q1678" s="228">
        <v>0</v>
      </c>
      <c r="R1678" s="229">
        <v>0</v>
      </c>
      <c r="S1678" s="228">
        <v>0</v>
      </c>
      <c r="T1678" s="229">
        <v>0</v>
      </c>
      <c r="U1678" s="228">
        <v>0</v>
      </c>
      <c r="V1678" s="229">
        <v>0</v>
      </c>
      <c r="W1678" s="228">
        <v>0</v>
      </c>
      <c r="X1678" s="229">
        <v>0</v>
      </c>
      <c r="Y1678" s="228">
        <v>0</v>
      </c>
      <c r="Z1678" s="229">
        <v>0</v>
      </c>
      <c r="AA1678" s="228">
        <v>0</v>
      </c>
      <c r="AB1678" s="229">
        <v>0</v>
      </c>
      <c r="AC1678" s="238">
        <f t="shared" si="90"/>
        <v>0</v>
      </c>
      <c r="AD1678" s="238"/>
      <c r="AE1678" s="238"/>
    </row>
    <row r="1679" spans="2:31" x14ac:dyDescent="0.3">
      <c r="B1679" s="245" t="s">
        <v>94</v>
      </c>
      <c r="C1679" s="245"/>
      <c r="D1679" s="245"/>
      <c r="E1679" s="228">
        <v>0</v>
      </c>
      <c r="F1679" s="229">
        <v>0</v>
      </c>
      <c r="G1679" s="228">
        <v>0</v>
      </c>
      <c r="H1679" s="229">
        <v>0</v>
      </c>
      <c r="I1679" s="228">
        <v>0</v>
      </c>
      <c r="J1679" s="229">
        <v>0</v>
      </c>
      <c r="K1679" s="228">
        <v>0</v>
      </c>
      <c r="L1679" s="229">
        <v>0</v>
      </c>
      <c r="M1679" s="228">
        <v>0</v>
      </c>
      <c r="N1679" s="229">
        <v>0</v>
      </c>
      <c r="O1679" s="228">
        <v>0</v>
      </c>
      <c r="P1679" s="229">
        <v>0</v>
      </c>
      <c r="Q1679" s="228">
        <v>0</v>
      </c>
      <c r="R1679" s="229">
        <v>0</v>
      </c>
      <c r="S1679" s="228">
        <v>0</v>
      </c>
      <c r="T1679" s="229">
        <v>0</v>
      </c>
      <c r="U1679" s="228">
        <v>0</v>
      </c>
      <c r="V1679" s="229">
        <v>0</v>
      </c>
      <c r="W1679" s="228">
        <v>0</v>
      </c>
      <c r="X1679" s="229">
        <v>0</v>
      </c>
      <c r="Y1679" s="228">
        <v>0</v>
      </c>
      <c r="Z1679" s="229">
        <v>0</v>
      </c>
      <c r="AA1679" s="228">
        <v>0</v>
      </c>
      <c r="AB1679" s="229">
        <v>0</v>
      </c>
      <c r="AC1679" s="238">
        <f t="shared" si="90"/>
        <v>0</v>
      </c>
      <c r="AD1679" s="238"/>
      <c r="AE1679" s="238"/>
    </row>
    <row r="1680" spans="2:31" x14ac:dyDescent="0.3">
      <c r="B1680" s="245" t="s">
        <v>57</v>
      </c>
      <c r="C1680" s="245"/>
      <c r="D1680" s="245"/>
      <c r="E1680" s="228">
        <v>0</v>
      </c>
      <c r="F1680" s="229">
        <v>0</v>
      </c>
      <c r="G1680" s="228">
        <v>0</v>
      </c>
      <c r="H1680" s="229">
        <v>0</v>
      </c>
      <c r="I1680" s="228">
        <v>0</v>
      </c>
      <c r="J1680" s="229">
        <v>0</v>
      </c>
      <c r="K1680" s="228">
        <v>0</v>
      </c>
      <c r="L1680" s="229">
        <v>0</v>
      </c>
      <c r="M1680" s="228">
        <v>0</v>
      </c>
      <c r="N1680" s="229">
        <v>0</v>
      </c>
      <c r="O1680" s="228">
        <v>0</v>
      </c>
      <c r="P1680" s="229">
        <v>0</v>
      </c>
      <c r="Q1680" s="228">
        <v>0</v>
      </c>
      <c r="R1680" s="229">
        <v>0</v>
      </c>
      <c r="S1680" s="228">
        <v>0</v>
      </c>
      <c r="T1680" s="229">
        <v>0</v>
      </c>
      <c r="U1680" s="228">
        <v>0</v>
      </c>
      <c r="V1680" s="229">
        <v>0</v>
      </c>
      <c r="W1680" s="228">
        <v>0</v>
      </c>
      <c r="X1680" s="229">
        <v>0</v>
      </c>
      <c r="Y1680" s="228">
        <v>0</v>
      </c>
      <c r="Z1680" s="229">
        <v>0</v>
      </c>
      <c r="AA1680" s="228">
        <v>0</v>
      </c>
      <c r="AB1680" s="229">
        <v>0</v>
      </c>
      <c r="AC1680" s="238">
        <f t="shared" si="90"/>
        <v>0</v>
      </c>
      <c r="AD1680" s="238"/>
      <c r="AE1680" s="238"/>
    </row>
    <row r="1681" spans="2:31" x14ac:dyDescent="0.3">
      <c r="B1681" s="245" t="s">
        <v>58</v>
      </c>
      <c r="C1681" s="245"/>
      <c r="D1681" s="245"/>
      <c r="E1681" s="228">
        <v>0</v>
      </c>
      <c r="F1681" s="229">
        <v>0</v>
      </c>
      <c r="G1681" s="228">
        <v>0</v>
      </c>
      <c r="H1681" s="229">
        <v>0</v>
      </c>
      <c r="I1681" s="228">
        <v>0</v>
      </c>
      <c r="J1681" s="229">
        <v>0</v>
      </c>
      <c r="K1681" s="228">
        <v>0</v>
      </c>
      <c r="L1681" s="229">
        <v>0</v>
      </c>
      <c r="M1681" s="228">
        <v>0</v>
      </c>
      <c r="N1681" s="229">
        <v>0</v>
      </c>
      <c r="O1681" s="228">
        <v>0</v>
      </c>
      <c r="P1681" s="229">
        <v>0</v>
      </c>
      <c r="Q1681" s="228">
        <v>0</v>
      </c>
      <c r="R1681" s="229">
        <v>0</v>
      </c>
      <c r="S1681" s="228">
        <v>0</v>
      </c>
      <c r="T1681" s="229">
        <v>0</v>
      </c>
      <c r="U1681" s="228">
        <v>0</v>
      </c>
      <c r="V1681" s="229">
        <v>0</v>
      </c>
      <c r="W1681" s="228">
        <v>0</v>
      </c>
      <c r="X1681" s="229">
        <v>0</v>
      </c>
      <c r="Y1681" s="228">
        <v>0</v>
      </c>
      <c r="Z1681" s="229">
        <v>0</v>
      </c>
      <c r="AA1681" s="228">
        <v>0</v>
      </c>
      <c r="AB1681" s="229">
        <v>0</v>
      </c>
      <c r="AC1681" s="238">
        <f t="shared" si="90"/>
        <v>0</v>
      </c>
      <c r="AD1681" s="238"/>
      <c r="AE1681" s="238"/>
    </row>
    <row r="1682" spans="2:31" x14ac:dyDescent="0.3">
      <c r="B1682" s="245" t="s">
        <v>95</v>
      </c>
      <c r="C1682" s="245"/>
      <c r="D1682" s="245"/>
      <c r="E1682" s="228">
        <v>0</v>
      </c>
      <c r="F1682" s="229">
        <v>0</v>
      </c>
      <c r="G1682" s="228">
        <v>0</v>
      </c>
      <c r="H1682" s="229">
        <v>0</v>
      </c>
      <c r="I1682" s="228">
        <v>0</v>
      </c>
      <c r="J1682" s="229">
        <v>0</v>
      </c>
      <c r="K1682" s="228">
        <v>0</v>
      </c>
      <c r="L1682" s="229">
        <v>0</v>
      </c>
      <c r="M1682" s="228">
        <v>0</v>
      </c>
      <c r="N1682" s="229">
        <v>0</v>
      </c>
      <c r="O1682" s="228">
        <v>0</v>
      </c>
      <c r="P1682" s="229">
        <v>0</v>
      </c>
      <c r="Q1682" s="228">
        <v>0</v>
      </c>
      <c r="R1682" s="229">
        <v>0</v>
      </c>
      <c r="S1682" s="228">
        <v>0</v>
      </c>
      <c r="T1682" s="229">
        <v>0</v>
      </c>
      <c r="U1682" s="228">
        <v>0</v>
      </c>
      <c r="V1682" s="229">
        <v>0</v>
      </c>
      <c r="W1682" s="228">
        <v>0</v>
      </c>
      <c r="X1682" s="229">
        <v>0</v>
      </c>
      <c r="Y1682" s="228">
        <v>0</v>
      </c>
      <c r="Z1682" s="229">
        <v>0</v>
      </c>
      <c r="AA1682" s="228">
        <v>0</v>
      </c>
      <c r="AB1682" s="229">
        <v>0</v>
      </c>
      <c r="AC1682" s="238">
        <f t="shared" si="90"/>
        <v>0</v>
      </c>
      <c r="AD1682" s="238"/>
      <c r="AE1682" s="238"/>
    </row>
    <row r="1683" spans="2:31" x14ac:dyDescent="0.3">
      <c r="B1683" s="245" t="s">
        <v>59</v>
      </c>
      <c r="C1683" s="245"/>
      <c r="D1683" s="245"/>
      <c r="E1683" s="228">
        <v>0</v>
      </c>
      <c r="F1683" s="229">
        <v>0</v>
      </c>
      <c r="G1683" s="228">
        <v>0</v>
      </c>
      <c r="H1683" s="229">
        <v>0</v>
      </c>
      <c r="I1683" s="228">
        <v>0</v>
      </c>
      <c r="J1683" s="229">
        <v>0</v>
      </c>
      <c r="K1683" s="228">
        <v>0</v>
      </c>
      <c r="L1683" s="229">
        <v>0</v>
      </c>
      <c r="M1683" s="228">
        <v>0</v>
      </c>
      <c r="N1683" s="229">
        <v>0</v>
      </c>
      <c r="O1683" s="228">
        <v>0</v>
      </c>
      <c r="P1683" s="229">
        <v>0</v>
      </c>
      <c r="Q1683" s="228">
        <v>0</v>
      </c>
      <c r="R1683" s="229">
        <v>0</v>
      </c>
      <c r="S1683" s="228">
        <v>18.012833333333333</v>
      </c>
      <c r="T1683" s="229">
        <v>19.760833333333331</v>
      </c>
      <c r="U1683" s="228">
        <v>18.89116666666666</v>
      </c>
      <c r="V1683" s="229">
        <v>17.541</v>
      </c>
      <c r="W1683" s="228">
        <v>0.65716666666666668</v>
      </c>
      <c r="X1683" s="229">
        <v>0</v>
      </c>
      <c r="Y1683" s="228">
        <v>0</v>
      </c>
      <c r="Z1683" s="229">
        <v>0</v>
      </c>
      <c r="AA1683" s="228">
        <v>0</v>
      </c>
      <c r="AB1683" s="229">
        <v>0</v>
      </c>
      <c r="AC1683" s="238">
        <f t="shared" si="90"/>
        <v>74.862999999999985</v>
      </c>
      <c r="AD1683" s="238"/>
      <c r="AE1683" s="238"/>
    </row>
    <row r="1684" spans="2:31" x14ac:dyDescent="0.3">
      <c r="B1684" s="245" t="s">
        <v>60</v>
      </c>
      <c r="C1684" s="245"/>
      <c r="D1684" s="245"/>
      <c r="E1684" s="228">
        <v>0</v>
      </c>
      <c r="F1684" s="229">
        <v>0</v>
      </c>
      <c r="G1684" s="228">
        <v>0</v>
      </c>
      <c r="H1684" s="229">
        <v>0</v>
      </c>
      <c r="I1684" s="228">
        <v>0</v>
      </c>
      <c r="J1684" s="229">
        <v>0</v>
      </c>
      <c r="K1684" s="228">
        <v>0</v>
      </c>
      <c r="L1684" s="229">
        <v>0</v>
      </c>
      <c r="M1684" s="228">
        <v>0</v>
      </c>
      <c r="N1684" s="229">
        <v>0</v>
      </c>
      <c r="O1684" s="228">
        <v>0</v>
      </c>
      <c r="P1684" s="229">
        <v>0</v>
      </c>
      <c r="Q1684" s="228">
        <v>0</v>
      </c>
      <c r="R1684" s="229">
        <v>0</v>
      </c>
      <c r="S1684" s="228">
        <v>2.9751666666666656</v>
      </c>
      <c r="T1684" s="229">
        <v>3.5049999999999977</v>
      </c>
      <c r="U1684" s="228">
        <v>3.0014999999999969</v>
      </c>
      <c r="V1684" s="229">
        <v>1.6954999999999991</v>
      </c>
      <c r="W1684" s="228">
        <v>0</v>
      </c>
      <c r="X1684" s="229">
        <v>0</v>
      </c>
      <c r="Y1684" s="228">
        <v>0</v>
      </c>
      <c r="Z1684" s="229">
        <v>0</v>
      </c>
      <c r="AA1684" s="228">
        <v>0</v>
      </c>
      <c r="AB1684" s="229">
        <v>0</v>
      </c>
      <c r="AC1684" s="238">
        <f t="shared" si="90"/>
        <v>11.177166666666659</v>
      </c>
      <c r="AD1684" s="238"/>
      <c r="AE1684" s="238"/>
    </row>
    <row r="1685" spans="2:31" x14ac:dyDescent="0.3">
      <c r="B1685" s="245" t="s">
        <v>61</v>
      </c>
      <c r="C1685" s="245"/>
      <c r="D1685" s="245"/>
      <c r="E1685" s="228">
        <v>0</v>
      </c>
      <c r="F1685" s="229">
        <v>0</v>
      </c>
      <c r="G1685" s="228">
        <v>0</v>
      </c>
      <c r="H1685" s="229">
        <v>0</v>
      </c>
      <c r="I1685" s="228">
        <v>0</v>
      </c>
      <c r="J1685" s="229">
        <v>0</v>
      </c>
      <c r="K1685" s="228">
        <v>0</v>
      </c>
      <c r="L1685" s="229">
        <v>0</v>
      </c>
      <c r="M1685" s="228">
        <v>0</v>
      </c>
      <c r="N1685" s="229">
        <v>0</v>
      </c>
      <c r="O1685" s="228">
        <v>0</v>
      </c>
      <c r="P1685" s="229">
        <v>0</v>
      </c>
      <c r="Q1685" s="228">
        <v>0</v>
      </c>
      <c r="R1685" s="229">
        <v>0</v>
      </c>
      <c r="S1685" s="228">
        <v>3.0805000000000007</v>
      </c>
      <c r="T1685" s="229">
        <v>1.3870000000000033</v>
      </c>
      <c r="U1685" s="228">
        <v>0.17683333333333853</v>
      </c>
      <c r="V1685" s="229">
        <v>1.1513333333333344</v>
      </c>
      <c r="W1685" s="228">
        <v>0</v>
      </c>
      <c r="X1685" s="229">
        <v>0</v>
      </c>
      <c r="Y1685" s="228">
        <v>0</v>
      </c>
      <c r="Z1685" s="229">
        <v>0</v>
      </c>
      <c r="AA1685" s="228">
        <v>0</v>
      </c>
      <c r="AB1685" s="229">
        <v>0</v>
      </c>
      <c r="AC1685" s="238">
        <f t="shared" si="90"/>
        <v>5.7956666666666772</v>
      </c>
      <c r="AD1685" s="238"/>
      <c r="AE1685" s="238"/>
    </row>
    <row r="1686" spans="2:31" x14ac:dyDescent="0.3">
      <c r="B1686" s="245" t="s">
        <v>62</v>
      </c>
      <c r="C1686" s="245"/>
      <c r="D1686" s="245"/>
      <c r="E1686" s="228">
        <v>0</v>
      </c>
      <c r="F1686" s="229">
        <v>0</v>
      </c>
      <c r="G1686" s="228">
        <v>0</v>
      </c>
      <c r="H1686" s="229">
        <v>0</v>
      </c>
      <c r="I1686" s="228">
        <v>0</v>
      </c>
      <c r="J1686" s="229">
        <v>0</v>
      </c>
      <c r="K1686" s="228">
        <v>0</v>
      </c>
      <c r="L1686" s="229">
        <v>0</v>
      </c>
      <c r="M1686" s="228">
        <v>0</v>
      </c>
      <c r="N1686" s="229">
        <v>0</v>
      </c>
      <c r="O1686" s="228">
        <v>0</v>
      </c>
      <c r="P1686" s="229">
        <v>0</v>
      </c>
      <c r="Q1686" s="228">
        <v>0</v>
      </c>
      <c r="R1686" s="229">
        <v>0</v>
      </c>
      <c r="S1686" s="228">
        <v>0</v>
      </c>
      <c r="T1686" s="229">
        <v>0</v>
      </c>
      <c r="U1686" s="228">
        <v>0</v>
      </c>
      <c r="V1686" s="229">
        <v>0</v>
      </c>
      <c r="W1686" s="228">
        <v>0</v>
      </c>
      <c r="X1686" s="229">
        <v>0</v>
      </c>
      <c r="Y1686" s="228">
        <v>0</v>
      </c>
      <c r="Z1686" s="229">
        <v>0</v>
      </c>
      <c r="AA1686" s="228">
        <v>0</v>
      </c>
      <c r="AB1686" s="229">
        <v>0</v>
      </c>
      <c r="AC1686" s="238">
        <f t="shared" si="90"/>
        <v>0</v>
      </c>
      <c r="AD1686" s="238"/>
      <c r="AE1686" s="238"/>
    </row>
    <row r="1687" spans="2:31" x14ac:dyDescent="0.3">
      <c r="B1687" s="245" t="s">
        <v>63</v>
      </c>
      <c r="C1687" s="245"/>
      <c r="D1687" s="245"/>
      <c r="E1687" s="228">
        <v>0</v>
      </c>
      <c r="F1687" s="229">
        <v>0</v>
      </c>
      <c r="G1687" s="228">
        <v>0</v>
      </c>
      <c r="H1687" s="229">
        <v>0</v>
      </c>
      <c r="I1687" s="228">
        <v>0</v>
      </c>
      <c r="J1687" s="229">
        <v>0</v>
      </c>
      <c r="K1687" s="228">
        <v>0</v>
      </c>
      <c r="L1687" s="229">
        <v>0</v>
      </c>
      <c r="M1687" s="228">
        <v>0</v>
      </c>
      <c r="N1687" s="229">
        <v>0</v>
      </c>
      <c r="O1687" s="228">
        <v>0</v>
      </c>
      <c r="P1687" s="229">
        <v>0</v>
      </c>
      <c r="Q1687" s="228">
        <v>0</v>
      </c>
      <c r="R1687" s="229">
        <v>0</v>
      </c>
      <c r="S1687" s="228">
        <v>0</v>
      </c>
      <c r="T1687" s="229">
        <v>0</v>
      </c>
      <c r="U1687" s="228">
        <v>0</v>
      </c>
      <c r="V1687" s="229">
        <v>0</v>
      </c>
      <c r="W1687" s="228">
        <v>0</v>
      </c>
      <c r="X1687" s="229">
        <v>0</v>
      </c>
      <c r="Y1687" s="228">
        <v>0</v>
      </c>
      <c r="Z1687" s="229">
        <v>0</v>
      </c>
      <c r="AA1687" s="228">
        <v>0</v>
      </c>
      <c r="AB1687" s="229">
        <v>0</v>
      </c>
      <c r="AC1687" s="238">
        <f t="shared" si="90"/>
        <v>0</v>
      </c>
      <c r="AD1687" s="238"/>
      <c r="AE1687" s="238"/>
    </row>
    <row r="1688" spans="2:31" x14ac:dyDescent="0.3">
      <c r="B1688" s="245" t="s">
        <v>64</v>
      </c>
      <c r="C1688" s="245"/>
      <c r="D1688" s="245"/>
      <c r="E1688" s="228">
        <v>0</v>
      </c>
      <c r="F1688" s="229">
        <v>0</v>
      </c>
      <c r="G1688" s="228">
        <v>0</v>
      </c>
      <c r="H1688" s="229">
        <v>0</v>
      </c>
      <c r="I1688" s="228">
        <v>0</v>
      </c>
      <c r="J1688" s="229">
        <v>0</v>
      </c>
      <c r="K1688" s="228">
        <v>0</v>
      </c>
      <c r="L1688" s="229">
        <v>0</v>
      </c>
      <c r="M1688" s="228">
        <v>0</v>
      </c>
      <c r="N1688" s="229">
        <v>0</v>
      </c>
      <c r="O1688" s="228">
        <v>0</v>
      </c>
      <c r="P1688" s="229">
        <v>0</v>
      </c>
      <c r="Q1688" s="228">
        <v>0</v>
      </c>
      <c r="R1688" s="229">
        <v>0</v>
      </c>
      <c r="S1688" s="228">
        <v>0</v>
      </c>
      <c r="T1688" s="229">
        <v>0</v>
      </c>
      <c r="U1688" s="228">
        <v>0</v>
      </c>
      <c r="V1688" s="229">
        <v>0</v>
      </c>
      <c r="W1688" s="228">
        <v>0</v>
      </c>
      <c r="X1688" s="229">
        <v>0</v>
      </c>
      <c r="Y1688" s="228">
        <v>0</v>
      </c>
      <c r="Z1688" s="229">
        <v>0</v>
      </c>
      <c r="AA1688" s="228">
        <v>0</v>
      </c>
      <c r="AB1688" s="229">
        <v>0</v>
      </c>
      <c r="AC1688" s="238">
        <f t="shared" si="90"/>
        <v>0</v>
      </c>
      <c r="AD1688" s="238"/>
      <c r="AE1688" s="238"/>
    </row>
    <row r="1689" spans="2:31" x14ac:dyDescent="0.3">
      <c r="B1689" s="245" t="s">
        <v>96</v>
      </c>
      <c r="C1689" s="245"/>
      <c r="D1689" s="245"/>
      <c r="E1689" s="228">
        <v>0</v>
      </c>
      <c r="F1689" s="229">
        <v>0</v>
      </c>
      <c r="G1689" s="228">
        <v>0</v>
      </c>
      <c r="H1689" s="229">
        <v>0</v>
      </c>
      <c r="I1689" s="228">
        <v>0</v>
      </c>
      <c r="J1689" s="229">
        <v>0</v>
      </c>
      <c r="K1689" s="228">
        <v>0</v>
      </c>
      <c r="L1689" s="229">
        <v>0</v>
      </c>
      <c r="M1689" s="228">
        <v>0</v>
      </c>
      <c r="N1689" s="229">
        <v>0</v>
      </c>
      <c r="O1689" s="228">
        <v>0</v>
      </c>
      <c r="P1689" s="229">
        <v>0</v>
      </c>
      <c r="Q1689" s="228">
        <v>0</v>
      </c>
      <c r="R1689" s="229">
        <v>0</v>
      </c>
      <c r="S1689" s="228">
        <v>0</v>
      </c>
      <c r="T1689" s="229">
        <v>0</v>
      </c>
      <c r="U1689" s="228">
        <v>0</v>
      </c>
      <c r="V1689" s="229">
        <v>0</v>
      </c>
      <c r="W1689" s="228">
        <v>0</v>
      </c>
      <c r="X1689" s="229">
        <v>0</v>
      </c>
      <c r="Y1689" s="228">
        <v>0</v>
      </c>
      <c r="Z1689" s="229">
        <v>0</v>
      </c>
      <c r="AA1689" s="228">
        <v>0</v>
      </c>
      <c r="AB1689" s="229">
        <v>0</v>
      </c>
      <c r="AC1689" s="238">
        <f t="shared" si="90"/>
        <v>0</v>
      </c>
      <c r="AD1689" s="238"/>
      <c r="AE1689" s="238"/>
    </row>
    <row r="1690" spans="2:31" x14ac:dyDescent="0.3">
      <c r="B1690" s="245" t="s">
        <v>65</v>
      </c>
      <c r="C1690" s="245"/>
      <c r="D1690" s="245"/>
      <c r="E1690" s="228">
        <v>0</v>
      </c>
      <c r="F1690" s="229">
        <v>0</v>
      </c>
      <c r="G1690" s="228">
        <v>0</v>
      </c>
      <c r="H1690" s="229">
        <v>0</v>
      </c>
      <c r="I1690" s="228">
        <v>0</v>
      </c>
      <c r="J1690" s="229">
        <v>0</v>
      </c>
      <c r="K1690" s="228">
        <v>0</v>
      </c>
      <c r="L1690" s="229">
        <v>0</v>
      </c>
      <c r="M1690" s="228">
        <v>0</v>
      </c>
      <c r="N1690" s="229">
        <v>0</v>
      </c>
      <c r="O1690" s="228">
        <v>0</v>
      </c>
      <c r="P1690" s="229">
        <v>0</v>
      </c>
      <c r="Q1690" s="228">
        <v>0</v>
      </c>
      <c r="R1690" s="229">
        <v>0</v>
      </c>
      <c r="S1690" s="228">
        <v>0</v>
      </c>
      <c r="T1690" s="229">
        <v>0</v>
      </c>
      <c r="U1690" s="228">
        <v>0</v>
      </c>
      <c r="V1690" s="229">
        <v>0</v>
      </c>
      <c r="W1690" s="228">
        <v>0</v>
      </c>
      <c r="X1690" s="229">
        <v>0</v>
      </c>
      <c r="Y1690" s="228">
        <v>0</v>
      </c>
      <c r="Z1690" s="229">
        <v>0</v>
      </c>
      <c r="AA1690" s="228">
        <v>0</v>
      </c>
      <c r="AB1690" s="229">
        <v>0</v>
      </c>
      <c r="AC1690" s="238">
        <f t="shared" si="90"/>
        <v>0</v>
      </c>
      <c r="AD1690" s="238"/>
      <c r="AE1690" s="238"/>
    </row>
    <row r="1691" spans="2:31" x14ac:dyDescent="0.3">
      <c r="B1691" s="245" t="s">
        <v>66</v>
      </c>
      <c r="C1691" s="245"/>
      <c r="D1691" s="245"/>
      <c r="E1691" s="228">
        <v>0</v>
      </c>
      <c r="F1691" s="229">
        <v>0</v>
      </c>
      <c r="G1691" s="228">
        <v>0</v>
      </c>
      <c r="H1691" s="229">
        <v>0</v>
      </c>
      <c r="I1691" s="228">
        <v>0</v>
      </c>
      <c r="J1691" s="229">
        <v>0</v>
      </c>
      <c r="K1691" s="228">
        <v>0</v>
      </c>
      <c r="L1691" s="229">
        <v>0</v>
      </c>
      <c r="M1691" s="228">
        <v>0</v>
      </c>
      <c r="N1691" s="229">
        <v>0</v>
      </c>
      <c r="O1691" s="228">
        <v>0</v>
      </c>
      <c r="P1691" s="229">
        <v>0</v>
      </c>
      <c r="Q1691" s="228">
        <v>0</v>
      </c>
      <c r="R1691" s="229">
        <v>0</v>
      </c>
      <c r="S1691" s="228">
        <v>0</v>
      </c>
      <c r="T1691" s="229">
        <v>0</v>
      </c>
      <c r="U1691" s="228">
        <v>0</v>
      </c>
      <c r="V1691" s="229">
        <v>0</v>
      </c>
      <c r="W1691" s="228">
        <v>0</v>
      </c>
      <c r="X1691" s="229">
        <v>0</v>
      </c>
      <c r="Y1691" s="228">
        <v>0</v>
      </c>
      <c r="Z1691" s="229">
        <v>0</v>
      </c>
      <c r="AA1691" s="228">
        <v>0</v>
      </c>
      <c r="AB1691" s="229">
        <v>0</v>
      </c>
      <c r="AC1691" s="238">
        <f>SUM(E1691:AB1691)</f>
        <v>0</v>
      </c>
      <c r="AD1691" s="238"/>
      <c r="AE1691" s="238"/>
    </row>
    <row r="1692" spans="2:31" x14ac:dyDescent="0.3">
      <c r="B1692" s="245" t="s">
        <v>67</v>
      </c>
      <c r="C1692" s="245"/>
      <c r="D1692" s="245"/>
      <c r="E1692" s="228">
        <v>0</v>
      </c>
      <c r="F1692" s="229">
        <v>0</v>
      </c>
      <c r="G1692" s="228">
        <v>0</v>
      </c>
      <c r="H1692" s="229">
        <v>0</v>
      </c>
      <c r="I1692" s="228">
        <v>0</v>
      </c>
      <c r="J1692" s="229">
        <v>0</v>
      </c>
      <c r="K1692" s="228">
        <v>0</v>
      </c>
      <c r="L1692" s="229">
        <v>0</v>
      </c>
      <c r="M1692" s="228">
        <v>0</v>
      </c>
      <c r="N1692" s="229">
        <v>0</v>
      </c>
      <c r="O1692" s="228">
        <v>0</v>
      </c>
      <c r="P1692" s="229">
        <v>0</v>
      </c>
      <c r="Q1692" s="228">
        <v>0</v>
      </c>
      <c r="R1692" s="229">
        <v>0</v>
      </c>
      <c r="S1692" s="228">
        <v>0</v>
      </c>
      <c r="T1692" s="229">
        <v>0</v>
      </c>
      <c r="U1692" s="228">
        <v>0</v>
      </c>
      <c r="V1692" s="229">
        <v>0</v>
      </c>
      <c r="W1692" s="228">
        <v>0</v>
      </c>
      <c r="X1692" s="229">
        <v>0</v>
      </c>
      <c r="Y1692" s="228">
        <v>0</v>
      </c>
      <c r="Z1692" s="229">
        <v>0</v>
      </c>
      <c r="AA1692" s="228">
        <v>0</v>
      </c>
      <c r="AB1692" s="229">
        <v>0</v>
      </c>
      <c r="AC1692" s="238">
        <f t="shared" ref="AC1692:AC1705" si="91">SUM(E1692:AB1692)</f>
        <v>0</v>
      </c>
      <c r="AD1692" s="238"/>
      <c r="AE1692" s="238"/>
    </row>
    <row r="1693" spans="2:31" x14ac:dyDescent="0.3">
      <c r="B1693" s="245" t="s">
        <v>68</v>
      </c>
      <c r="C1693" s="245"/>
      <c r="D1693" s="245"/>
      <c r="E1693" s="228">
        <v>0</v>
      </c>
      <c r="F1693" s="229">
        <v>0</v>
      </c>
      <c r="G1693" s="228">
        <v>0</v>
      </c>
      <c r="H1693" s="229">
        <v>0</v>
      </c>
      <c r="I1693" s="228">
        <v>0</v>
      </c>
      <c r="J1693" s="229">
        <v>0</v>
      </c>
      <c r="K1693" s="228">
        <v>0</v>
      </c>
      <c r="L1693" s="229">
        <v>0</v>
      </c>
      <c r="M1693" s="228">
        <v>0</v>
      </c>
      <c r="N1693" s="229">
        <v>0</v>
      </c>
      <c r="O1693" s="228">
        <v>0</v>
      </c>
      <c r="P1693" s="229">
        <v>0</v>
      </c>
      <c r="Q1693" s="228">
        <v>0</v>
      </c>
      <c r="R1693" s="229">
        <v>0</v>
      </c>
      <c r="S1693" s="228">
        <v>0</v>
      </c>
      <c r="T1693" s="229">
        <v>0</v>
      </c>
      <c r="U1693" s="228">
        <v>0</v>
      </c>
      <c r="V1693" s="229">
        <v>0</v>
      </c>
      <c r="W1693" s="228">
        <v>0</v>
      </c>
      <c r="X1693" s="229">
        <v>0</v>
      </c>
      <c r="Y1693" s="228">
        <v>0</v>
      </c>
      <c r="Z1693" s="229">
        <v>0</v>
      </c>
      <c r="AA1693" s="228">
        <v>0</v>
      </c>
      <c r="AB1693" s="229">
        <v>0</v>
      </c>
      <c r="AC1693" s="238">
        <f t="shared" si="91"/>
        <v>0</v>
      </c>
      <c r="AD1693" s="238"/>
      <c r="AE1693" s="238"/>
    </row>
    <row r="1694" spans="2:31" x14ac:dyDescent="0.3">
      <c r="B1694" s="245" t="s">
        <v>69</v>
      </c>
      <c r="C1694" s="245"/>
      <c r="D1694" s="245"/>
      <c r="E1694" s="228">
        <v>0</v>
      </c>
      <c r="F1694" s="229">
        <v>0</v>
      </c>
      <c r="G1694" s="228">
        <v>0</v>
      </c>
      <c r="H1694" s="229">
        <v>0</v>
      </c>
      <c r="I1694" s="228">
        <v>0</v>
      </c>
      <c r="J1694" s="229">
        <v>0</v>
      </c>
      <c r="K1694" s="228">
        <v>0</v>
      </c>
      <c r="L1694" s="229">
        <v>0</v>
      </c>
      <c r="M1694" s="228">
        <v>0</v>
      </c>
      <c r="N1694" s="229">
        <v>0</v>
      </c>
      <c r="O1694" s="228">
        <v>0</v>
      </c>
      <c r="P1694" s="229">
        <v>0</v>
      </c>
      <c r="Q1694" s="228">
        <v>0</v>
      </c>
      <c r="R1694" s="229">
        <v>0</v>
      </c>
      <c r="S1694" s="228">
        <v>0</v>
      </c>
      <c r="T1694" s="229">
        <v>0</v>
      </c>
      <c r="U1694" s="228">
        <v>0</v>
      </c>
      <c r="V1694" s="229">
        <v>0</v>
      </c>
      <c r="W1694" s="228">
        <v>0</v>
      </c>
      <c r="X1694" s="229">
        <v>0</v>
      </c>
      <c r="Y1694" s="228">
        <v>0</v>
      </c>
      <c r="Z1694" s="229">
        <v>0</v>
      </c>
      <c r="AA1694" s="228">
        <v>0</v>
      </c>
      <c r="AB1694" s="229">
        <v>0</v>
      </c>
      <c r="AC1694" s="238">
        <f t="shared" si="91"/>
        <v>0</v>
      </c>
      <c r="AD1694" s="238"/>
      <c r="AE1694" s="238"/>
    </row>
    <row r="1695" spans="2:31" x14ac:dyDescent="0.3">
      <c r="B1695" s="245" t="s">
        <v>70</v>
      </c>
      <c r="C1695" s="245"/>
      <c r="D1695" s="245"/>
      <c r="E1695" s="228">
        <v>0</v>
      </c>
      <c r="F1695" s="229">
        <v>0</v>
      </c>
      <c r="G1695" s="228">
        <v>0</v>
      </c>
      <c r="H1695" s="229">
        <v>0</v>
      </c>
      <c r="I1695" s="228">
        <v>0</v>
      </c>
      <c r="J1695" s="229">
        <v>0</v>
      </c>
      <c r="K1695" s="228">
        <v>0</v>
      </c>
      <c r="L1695" s="229">
        <v>0</v>
      </c>
      <c r="M1695" s="228">
        <v>0</v>
      </c>
      <c r="N1695" s="229">
        <v>0</v>
      </c>
      <c r="O1695" s="228">
        <v>0</v>
      </c>
      <c r="P1695" s="229">
        <v>0</v>
      </c>
      <c r="Q1695" s="228">
        <v>0</v>
      </c>
      <c r="R1695" s="229">
        <v>0</v>
      </c>
      <c r="S1695" s="228">
        <v>0</v>
      </c>
      <c r="T1695" s="229">
        <v>0</v>
      </c>
      <c r="U1695" s="228">
        <v>0</v>
      </c>
      <c r="V1695" s="229">
        <v>0</v>
      </c>
      <c r="W1695" s="228">
        <v>0</v>
      </c>
      <c r="X1695" s="229">
        <v>0</v>
      </c>
      <c r="Y1695" s="228">
        <v>0</v>
      </c>
      <c r="Z1695" s="229">
        <v>0</v>
      </c>
      <c r="AA1695" s="228">
        <v>0</v>
      </c>
      <c r="AB1695" s="229">
        <v>0</v>
      </c>
      <c r="AC1695" s="238">
        <f t="shared" si="91"/>
        <v>0</v>
      </c>
      <c r="AD1695" s="238"/>
      <c r="AE1695" s="238"/>
    </row>
    <row r="1696" spans="2:31" x14ac:dyDescent="0.3">
      <c r="B1696" s="245" t="s">
        <v>71</v>
      </c>
      <c r="C1696" s="245"/>
      <c r="D1696" s="245"/>
      <c r="E1696" s="228">
        <v>0</v>
      </c>
      <c r="F1696" s="229">
        <v>0</v>
      </c>
      <c r="G1696" s="228">
        <v>0</v>
      </c>
      <c r="H1696" s="229">
        <v>0</v>
      </c>
      <c r="I1696" s="228">
        <v>0</v>
      </c>
      <c r="J1696" s="229">
        <v>0</v>
      </c>
      <c r="K1696" s="228">
        <v>0</v>
      </c>
      <c r="L1696" s="229">
        <v>0</v>
      </c>
      <c r="M1696" s="228">
        <v>0</v>
      </c>
      <c r="N1696" s="229">
        <v>0</v>
      </c>
      <c r="O1696" s="228">
        <v>0</v>
      </c>
      <c r="P1696" s="229">
        <v>0</v>
      </c>
      <c r="Q1696" s="228">
        <v>0</v>
      </c>
      <c r="R1696" s="229">
        <v>0</v>
      </c>
      <c r="S1696" s="228">
        <v>0</v>
      </c>
      <c r="T1696" s="229">
        <v>0</v>
      </c>
      <c r="U1696" s="228">
        <v>0</v>
      </c>
      <c r="V1696" s="229">
        <v>0</v>
      </c>
      <c r="W1696" s="228">
        <v>0</v>
      </c>
      <c r="X1696" s="229">
        <v>0</v>
      </c>
      <c r="Y1696" s="228">
        <v>0</v>
      </c>
      <c r="Z1696" s="229">
        <v>0</v>
      </c>
      <c r="AA1696" s="228">
        <v>0</v>
      </c>
      <c r="AB1696" s="229">
        <v>0</v>
      </c>
      <c r="AC1696" s="238">
        <f t="shared" si="91"/>
        <v>0</v>
      </c>
      <c r="AD1696" s="238"/>
      <c r="AE1696" s="238"/>
    </row>
    <row r="1697" spans="2:31" x14ac:dyDescent="0.3">
      <c r="B1697" s="245" t="s">
        <v>72</v>
      </c>
      <c r="C1697" s="245"/>
      <c r="D1697" s="245"/>
      <c r="E1697" s="228">
        <v>0</v>
      </c>
      <c r="F1697" s="229">
        <v>0</v>
      </c>
      <c r="G1697" s="228">
        <v>0</v>
      </c>
      <c r="H1697" s="229">
        <v>0</v>
      </c>
      <c r="I1697" s="228">
        <v>0</v>
      </c>
      <c r="J1697" s="229">
        <v>0</v>
      </c>
      <c r="K1697" s="228">
        <v>0</v>
      </c>
      <c r="L1697" s="229">
        <v>0</v>
      </c>
      <c r="M1697" s="228">
        <v>0</v>
      </c>
      <c r="N1697" s="229">
        <v>0</v>
      </c>
      <c r="O1697" s="228">
        <v>0</v>
      </c>
      <c r="P1697" s="229">
        <v>0</v>
      </c>
      <c r="Q1697" s="228">
        <v>0</v>
      </c>
      <c r="R1697" s="229">
        <v>0</v>
      </c>
      <c r="S1697" s="228">
        <v>0</v>
      </c>
      <c r="T1697" s="229">
        <v>0</v>
      </c>
      <c r="U1697" s="228">
        <v>0</v>
      </c>
      <c r="V1697" s="229">
        <v>0</v>
      </c>
      <c r="W1697" s="228">
        <v>0</v>
      </c>
      <c r="X1697" s="229">
        <v>0</v>
      </c>
      <c r="Y1697" s="228">
        <v>0</v>
      </c>
      <c r="Z1697" s="229">
        <v>0</v>
      </c>
      <c r="AA1697" s="228">
        <v>0</v>
      </c>
      <c r="AB1697" s="229">
        <v>0</v>
      </c>
      <c r="AC1697" s="238">
        <f t="shared" si="91"/>
        <v>0</v>
      </c>
      <c r="AD1697" s="238"/>
      <c r="AE1697" s="238"/>
    </row>
    <row r="1698" spans="2:31" x14ac:dyDescent="0.3">
      <c r="B1698" s="245" t="s">
        <v>73</v>
      </c>
      <c r="C1698" s="245"/>
      <c r="D1698" s="245"/>
      <c r="E1698" s="228">
        <v>0</v>
      </c>
      <c r="F1698" s="229">
        <v>0</v>
      </c>
      <c r="G1698" s="228">
        <v>0</v>
      </c>
      <c r="H1698" s="229">
        <v>0</v>
      </c>
      <c r="I1698" s="228">
        <v>0</v>
      </c>
      <c r="J1698" s="229">
        <v>0</v>
      </c>
      <c r="K1698" s="228">
        <v>0</v>
      </c>
      <c r="L1698" s="229">
        <v>0</v>
      </c>
      <c r="M1698" s="228">
        <v>0</v>
      </c>
      <c r="N1698" s="229">
        <v>0</v>
      </c>
      <c r="O1698" s="228">
        <v>0</v>
      </c>
      <c r="P1698" s="229">
        <v>0</v>
      </c>
      <c r="Q1698" s="228">
        <v>0</v>
      </c>
      <c r="R1698" s="229">
        <v>0</v>
      </c>
      <c r="S1698" s="228">
        <v>0</v>
      </c>
      <c r="T1698" s="229">
        <v>0</v>
      </c>
      <c r="U1698" s="228">
        <v>0</v>
      </c>
      <c r="V1698" s="229">
        <v>0</v>
      </c>
      <c r="W1698" s="228">
        <v>0</v>
      </c>
      <c r="X1698" s="229">
        <v>0</v>
      </c>
      <c r="Y1698" s="228">
        <v>0</v>
      </c>
      <c r="Z1698" s="229">
        <v>0</v>
      </c>
      <c r="AA1698" s="228">
        <v>0</v>
      </c>
      <c r="AB1698" s="229">
        <v>0</v>
      </c>
      <c r="AC1698" s="238">
        <f t="shared" si="91"/>
        <v>0</v>
      </c>
      <c r="AD1698" s="238"/>
      <c r="AE1698" s="238"/>
    </row>
    <row r="1699" spans="2:31" x14ac:dyDescent="0.3">
      <c r="B1699" s="245" t="s">
        <v>74</v>
      </c>
      <c r="C1699" s="245"/>
      <c r="D1699" s="245"/>
      <c r="E1699" s="228">
        <v>0</v>
      </c>
      <c r="F1699" s="229">
        <v>0</v>
      </c>
      <c r="G1699" s="228">
        <v>0</v>
      </c>
      <c r="H1699" s="229">
        <v>0</v>
      </c>
      <c r="I1699" s="228">
        <v>0</v>
      </c>
      <c r="J1699" s="229">
        <v>0</v>
      </c>
      <c r="K1699" s="228">
        <v>0</v>
      </c>
      <c r="L1699" s="229">
        <v>0</v>
      </c>
      <c r="M1699" s="228">
        <v>0</v>
      </c>
      <c r="N1699" s="229">
        <v>0</v>
      </c>
      <c r="O1699" s="228">
        <v>0</v>
      </c>
      <c r="P1699" s="229">
        <v>0</v>
      </c>
      <c r="Q1699" s="228">
        <v>0</v>
      </c>
      <c r="R1699" s="229">
        <v>0</v>
      </c>
      <c r="S1699" s="228">
        <v>0</v>
      </c>
      <c r="T1699" s="229">
        <v>0</v>
      </c>
      <c r="U1699" s="228">
        <v>0</v>
      </c>
      <c r="V1699" s="229">
        <v>0</v>
      </c>
      <c r="W1699" s="228">
        <v>0</v>
      </c>
      <c r="X1699" s="229">
        <v>0</v>
      </c>
      <c r="Y1699" s="228">
        <v>0</v>
      </c>
      <c r="Z1699" s="229">
        <v>0</v>
      </c>
      <c r="AA1699" s="228">
        <v>0</v>
      </c>
      <c r="AB1699" s="229">
        <v>0</v>
      </c>
      <c r="AC1699" s="238">
        <f t="shared" si="91"/>
        <v>0</v>
      </c>
      <c r="AD1699" s="238"/>
      <c r="AE1699" s="238"/>
    </row>
    <row r="1700" spans="2:31" x14ac:dyDescent="0.3">
      <c r="B1700" s="245" t="s">
        <v>75</v>
      </c>
      <c r="C1700" s="245"/>
      <c r="D1700" s="245"/>
      <c r="E1700" s="228">
        <v>0</v>
      </c>
      <c r="F1700" s="229">
        <v>0</v>
      </c>
      <c r="G1700" s="228">
        <v>0</v>
      </c>
      <c r="H1700" s="229">
        <v>0</v>
      </c>
      <c r="I1700" s="228">
        <v>0</v>
      </c>
      <c r="J1700" s="229">
        <v>0</v>
      </c>
      <c r="K1700" s="228">
        <v>0</v>
      </c>
      <c r="L1700" s="229">
        <v>0</v>
      </c>
      <c r="M1700" s="228">
        <v>0</v>
      </c>
      <c r="N1700" s="229">
        <v>0</v>
      </c>
      <c r="O1700" s="228">
        <v>0</v>
      </c>
      <c r="P1700" s="229">
        <v>0</v>
      </c>
      <c r="Q1700" s="228">
        <v>0</v>
      </c>
      <c r="R1700" s="229">
        <v>0</v>
      </c>
      <c r="S1700" s="228">
        <v>0</v>
      </c>
      <c r="T1700" s="229">
        <v>0</v>
      </c>
      <c r="U1700" s="228">
        <v>0</v>
      </c>
      <c r="V1700" s="229">
        <v>0</v>
      </c>
      <c r="W1700" s="228">
        <v>0</v>
      </c>
      <c r="X1700" s="229">
        <v>0</v>
      </c>
      <c r="Y1700" s="228">
        <v>0</v>
      </c>
      <c r="Z1700" s="229">
        <v>0</v>
      </c>
      <c r="AA1700" s="228">
        <v>0</v>
      </c>
      <c r="AB1700" s="229">
        <v>0</v>
      </c>
      <c r="AC1700" s="238">
        <f t="shared" si="91"/>
        <v>0</v>
      </c>
      <c r="AD1700" s="238"/>
      <c r="AE1700" s="238"/>
    </row>
    <row r="1701" spans="2:31" x14ac:dyDescent="0.3">
      <c r="B1701" s="245" t="s">
        <v>76</v>
      </c>
      <c r="C1701" s="245"/>
      <c r="D1701" s="245"/>
      <c r="E1701" s="228">
        <v>0</v>
      </c>
      <c r="F1701" s="229">
        <v>0</v>
      </c>
      <c r="G1701" s="228">
        <v>0</v>
      </c>
      <c r="H1701" s="229">
        <v>0</v>
      </c>
      <c r="I1701" s="228">
        <v>0</v>
      </c>
      <c r="J1701" s="229">
        <v>0</v>
      </c>
      <c r="K1701" s="228">
        <v>0</v>
      </c>
      <c r="L1701" s="229">
        <v>0</v>
      </c>
      <c r="M1701" s="228">
        <v>0</v>
      </c>
      <c r="N1701" s="229">
        <v>0</v>
      </c>
      <c r="O1701" s="228">
        <v>0</v>
      </c>
      <c r="P1701" s="229">
        <v>0</v>
      </c>
      <c r="Q1701" s="228">
        <v>0</v>
      </c>
      <c r="R1701" s="229">
        <v>0</v>
      </c>
      <c r="S1701" s="228">
        <v>0</v>
      </c>
      <c r="T1701" s="229">
        <v>0</v>
      </c>
      <c r="U1701" s="228">
        <v>0</v>
      </c>
      <c r="V1701" s="229">
        <v>0</v>
      </c>
      <c r="W1701" s="228">
        <v>0</v>
      </c>
      <c r="X1701" s="229">
        <v>0</v>
      </c>
      <c r="Y1701" s="228">
        <v>0</v>
      </c>
      <c r="Z1701" s="229">
        <v>0</v>
      </c>
      <c r="AA1701" s="228">
        <v>0</v>
      </c>
      <c r="AB1701" s="229">
        <v>0</v>
      </c>
      <c r="AC1701" s="238">
        <f t="shared" si="91"/>
        <v>0</v>
      </c>
      <c r="AD1701" s="238"/>
      <c r="AE1701" s="238"/>
    </row>
    <row r="1702" spans="2:31" x14ac:dyDescent="0.3">
      <c r="B1702" s="245" t="s">
        <v>77</v>
      </c>
      <c r="C1702" s="245"/>
      <c r="D1702" s="245"/>
      <c r="E1702" s="228">
        <v>0</v>
      </c>
      <c r="F1702" s="229">
        <v>0</v>
      </c>
      <c r="G1702" s="228">
        <v>0</v>
      </c>
      <c r="H1702" s="229">
        <v>0</v>
      </c>
      <c r="I1702" s="228">
        <v>0</v>
      </c>
      <c r="J1702" s="229">
        <v>0</v>
      </c>
      <c r="K1702" s="228">
        <v>0</v>
      </c>
      <c r="L1702" s="229">
        <v>0</v>
      </c>
      <c r="M1702" s="228">
        <v>0</v>
      </c>
      <c r="N1702" s="229">
        <v>0</v>
      </c>
      <c r="O1702" s="228">
        <v>0</v>
      </c>
      <c r="P1702" s="229">
        <v>0</v>
      </c>
      <c r="Q1702" s="228">
        <v>0</v>
      </c>
      <c r="R1702" s="229">
        <v>0</v>
      </c>
      <c r="S1702" s="228">
        <v>0</v>
      </c>
      <c r="T1702" s="229">
        <v>0</v>
      </c>
      <c r="U1702" s="228">
        <v>0</v>
      </c>
      <c r="V1702" s="229">
        <v>0</v>
      </c>
      <c r="W1702" s="228">
        <v>0</v>
      </c>
      <c r="X1702" s="229">
        <v>0</v>
      </c>
      <c r="Y1702" s="228">
        <v>0</v>
      </c>
      <c r="Z1702" s="229">
        <v>0</v>
      </c>
      <c r="AA1702" s="228">
        <v>0</v>
      </c>
      <c r="AB1702" s="229">
        <v>0</v>
      </c>
      <c r="AC1702" s="238">
        <f t="shared" si="91"/>
        <v>0</v>
      </c>
      <c r="AD1702" s="238"/>
      <c r="AE1702" s="238"/>
    </row>
    <row r="1703" spans="2:31" x14ac:dyDescent="0.3">
      <c r="B1703" s="245" t="s">
        <v>78</v>
      </c>
      <c r="C1703" s="245"/>
      <c r="D1703" s="245"/>
      <c r="E1703" s="228">
        <v>0</v>
      </c>
      <c r="F1703" s="229">
        <v>0</v>
      </c>
      <c r="G1703" s="228">
        <v>0</v>
      </c>
      <c r="H1703" s="229">
        <v>0</v>
      </c>
      <c r="I1703" s="228">
        <v>0</v>
      </c>
      <c r="J1703" s="229">
        <v>0</v>
      </c>
      <c r="K1703" s="228">
        <v>0</v>
      </c>
      <c r="L1703" s="229">
        <v>0</v>
      </c>
      <c r="M1703" s="228">
        <v>0</v>
      </c>
      <c r="N1703" s="229">
        <v>0</v>
      </c>
      <c r="O1703" s="228">
        <v>0</v>
      </c>
      <c r="P1703" s="229">
        <v>0</v>
      </c>
      <c r="Q1703" s="228">
        <v>0</v>
      </c>
      <c r="R1703" s="229">
        <v>0</v>
      </c>
      <c r="S1703" s="228">
        <v>0</v>
      </c>
      <c r="T1703" s="229">
        <v>0</v>
      </c>
      <c r="U1703" s="228">
        <v>0</v>
      </c>
      <c r="V1703" s="229">
        <v>0</v>
      </c>
      <c r="W1703" s="228">
        <v>0</v>
      </c>
      <c r="X1703" s="229">
        <v>0</v>
      </c>
      <c r="Y1703" s="228">
        <v>0</v>
      </c>
      <c r="Z1703" s="229">
        <v>0</v>
      </c>
      <c r="AA1703" s="228">
        <v>0</v>
      </c>
      <c r="AB1703" s="229">
        <v>0</v>
      </c>
      <c r="AC1703" s="238">
        <f t="shared" si="91"/>
        <v>0</v>
      </c>
      <c r="AD1703" s="238"/>
      <c r="AE1703" s="238"/>
    </row>
    <row r="1704" spans="2:31" x14ac:dyDescent="0.3">
      <c r="B1704" s="245" t="s">
        <v>79</v>
      </c>
      <c r="C1704" s="245"/>
      <c r="D1704" s="245"/>
      <c r="E1704" s="228">
        <v>0</v>
      </c>
      <c r="F1704" s="229">
        <v>0</v>
      </c>
      <c r="G1704" s="228">
        <v>0</v>
      </c>
      <c r="H1704" s="229">
        <v>0</v>
      </c>
      <c r="I1704" s="228">
        <v>0</v>
      </c>
      <c r="J1704" s="229">
        <v>0</v>
      </c>
      <c r="K1704" s="228">
        <v>0</v>
      </c>
      <c r="L1704" s="229">
        <v>0</v>
      </c>
      <c r="M1704" s="228">
        <v>0</v>
      </c>
      <c r="N1704" s="229">
        <v>0</v>
      </c>
      <c r="O1704" s="228">
        <v>0</v>
      </c>
      <c r="P1704" s="229">
        <v>0</v>
      </c>
      <c r="Q1704" s="228">
        <v>0</v>
      </c>
      <c r="R1704" s="229">
        <v>0</v>
      </c>
      <c r="S1704" s="228">
        <v>0</v>
      </c>
      <c r="T1704" s="229">
        <v>0</v>
      </c>
      <c r="U1704" s="228">
        <v>0</v>
      </c>
      <c r="V1704" s="229">
        <v>0</v>
      </c>
      <c r="W1704" s="228">
        <v>0</v>
      </c>
      <c r="X1704" s="229">
        <v>0</v>
      </c>
      <c r="Y1704" s="228">
        <v>0</v>
      </c>
      <c r="Z1704" s="229">
        <v>0</v>
      </c>
      <c r="AA1704" s="228">
        <v>0</v>
      </c>
      <c r="AB1704" s="229">
        <v>0</v>
      </c>
      <c r="AC1704" s="238">
        <f t="shared" si="91"/>
        <v>0</v>
      </c>
      <c r="AD1704" s="238"/>
      <c r="AE1704" s="238"/>
    </row>
    <row r="1705" spans="2:31" x14ac:dyDescent="0.3">
      <c r="B1705" s="245" t="s">
        <v>80</v>
      </c>
      <c r="C1705" s="245"/>
      <c r="D1705" s="245"/>
      <c r="E1705" s="228">
        <v>0</v>
      </c>
      <c r="F1705" s="229">
        <v>0</v>
      </c>
      <c r="G1705" s="228">
        <v>0</v>
      </c>
      <c r="H1705" s="229">
        <v>0</v>
      </c>
      <c r="I1705" s="228">
        <v>0</v>
      </c>
      <c r="J1705" s="229">
        <v>0</v>
      </c>
      <c r="K1705" s="228">
        <v>0</v>
      </c>
      <c r="L1705" s="229">
        <v>0</v>
      </c>
      <c r="M1705" s="228">
        <v>0</v>
      </c>
      <c r="N1705" s="229">
        <v>0</v>
      </c>
      <c r="O1705" s="228">
        <v>0</v>
      </c>
      <c r="P1705" s="229">
        <v>0</v>
      </c>
      <c r="Q1705" s="228">
        <v>0</v>
      </c>
      <c r="R1705" s="229">
        <v>0</v>
      </c>
      <c r="S1705" s="228">
        <v>0</v>
      </c>
      <c r="T1705" s="229">
        <v>0</v>
      </c>
      <c r="U1705" s="228">
        <v>0</v>
      </c>
      <c r="V1705" s="229">
        <v>0</v>
      </c>
      <c r="W1705" s="228">
        <v>0</v>
      </c>
      <c r="X1705" s="229">
        <v>0</v>
      </c>
      <c r="Y1705" s="228">
        <v>0</v>
      </c>
      <c r="Z1705" s="229">
        <v>0</v>
      </c>
      <c r="AA1705" s="228">
        <v>0</v>
      </c>
      <c r="AB1705" s="229">
        <v>0</v>
      </c>
      <c r="AC1705" s="238">
        <f t="shared" si="91"/>
        <v>0</v>
      </c>
      <c r="AD1705" s="238"/>
      <c r="AE1705" s="238"/>
    </row>
    <row r="1706" spans="2:31" x14ac:dyDescent="0.3">
      <c r="B1706" s="245" t="s">
        <v>93</v>
      </c>
      <c r="C1706" s="245"/>
      <c r="D1706" s="245"/>
      <c r="E1706" s="228">
        <v>0</v>
      </c>
      <c r="F1706" s="229">
        <v>0</v>
      </c>
      <c r="G1706" s="228">
        <v>0</v>
      </c>
      <c r="H1706" s="229">
        <v>0</v>
      </c>
      <c r="I1706" s="228">
        <v>0</v>
      </c>
      <c r="J1706" s="229">
        <v>0</v>
      </c>
      <c r="K1706" s="228">
        <v>0</v>
      </c>
      <c r="L1706" s="229">
        <v>0</v>
      </c>
      <c r="M1706" s="228">
        <v>0</v>
      </c>
      <c r="N1706" s="229">
        <v>0</v>
      </c>
      <c r="O1706" s="228">
        <v>0</v>
      </c>
      <c r="P1706" s="229">
        <v>0</v>
      </c>
      <c r="Q1706" s="228">
        <v>0</v>
      </c>
      <c r="R1706" s="229">
        <v>0</v>
      </c>
      <c r="S1706" s="228">
        <v>0</v>
      </c>
      <c r="T1706" s="229">
        <v>0</v>
      </c>
      <c r="U1706" s="228">
        <v>0</v>
      </c>
      <c r="V1706" s="229">
        <v>0</v>
      </c>
      <c r="W1706" s="228">
        <v>0</v>
      </c>
      <c r="X1706" s="229">
        <v>0</v>
      </c>
      <c r="Y1706" s="228">
        <v>0</v>
      </c>
      <c r="Z1706" s="229">
        <v>0</v>
      </c>
      <c r="AA1706" s="228">
        <v>0</v>
      </c>
      <c r="AB1706" s="229">
        <v>0</v>
      </c>
      <c r="AC1706" s="238">
        <f>SUM(E1706:AB1706)</f>
        <v>0</v>
      </c>
      <c r="AD1706" s="238"/>
      <c r="AE1706" s="238"/>
    </row>
    <row r="1707" spans="2:31" x14ac:dyDescent="0.3">
      <c r="B1707" s="14" t="s">
        <v>2</v>
      </c>
      <c r="C1707" s="14"/>
      <c r="D1707" s="14"/>
      <c r="E1707" s="15">
        <f t="shared" ref="E1707:AB1707" si="92">SUM(E1658:E1706)</f>
        <v>0</v>
      </c>
      <c r="F1707" s="15">
        <f t="shared" si="92"/>
        <v>0</v>
      </c>
      <c r="G1707" s="15">
        <f t="shared" si="92"/>
        <v>0</v>
      </c>
      <c r="H1707" s="15">
        <f t="shared" si="92"/>
        <v>0</v>
      </c>
      <c r="I1707" s="15">
        <f t="shared" si="92"/>
        <v>0</v>
      </c>
      <c r="J1707" s="15">
        <f t="shared" si="92"/>
        <v>0</v>
      </c>
      <c r="K1707" s="15">
        <f t="shared" si="92"/>
        <v>0</v>
      </c>
      <c r="L1707" s="15">
        <f t="shared" si="92"/>
        <v>0</v>
      </c>
      <c r="M1707" s="15">
        <f t="shared" si="92"/>
        <v>0</v>
      </c>
      <c r="N1707" s="15">
        <f t="shared" si="92"/>
        <v>0</v>
      </c>
      <c r="O1707" s="15">
        <f t="shared" si="92"/>
        <v>1.2093333333333336</v>
      </c>
      <c r="P1707" s="15">
        <f t="shared" si="92"/>
        <v>0</v>
      </c>
      <c r="Q1707" s="15">
        <f t="shared" si="92"/>
        <v>26.840166666666672</v>
      </c>
      <c r="R1707" s="15">
        <f t="shared" si="92"/>
        <v>85.162999999999982</v>
      </c>
      <c r="S1707" s="15">
        <f t="shared" si="92"/>
        <v>134.12416666666664</v>
      </c>
      <c r="T1707" s="15">
        <f t="shared" si="92"/>
        <v>66.841666666666683</v>
      </c>
      <c r="U1707" s="15">
        <f t="shared" si="92"/>
        <v>68.972333333333381</v>
      </c>
      <c r="V1707" s="15">
        <f t="shared" si="92"/>
        <v>79.100833333333355</v>
      </c>
      <c r="W1707" s="15">
        <f t="shared" si="92"/>
        <v>18.415500000000002</v>
      </c>
      <c r="X1707" s="15">
        <f t="shared" si="92"/>
        <v>1.3558333333333334</v>
      </c>
      <c r="Y1707" s="15">
        <f t="shared" si="92"/>
        <v>0</v>
      </c>
      <c r="Z1707" s="15">
        <f t="shared" si="92"/>
        <v>0</v>
      </c>
      <c r="AA1707" s="15">
        <f t="shared" si="92"/>
        <v>0</v>
      </c>
      <c r="AB1707" s="15">
        <f t="shared" si="92"/>
        <v>0</v>
      </c>
      <c r="AC1707" s="249">
        <f>SUM(AC1658:AE1706)</f>
        <v>482.02283333333338</v>
      </c>
      <c r="AD1707" s="249"/>
      <c r="AE1707" s="249"/>
    </row>
  </sheetData>
  <mergeCells count="3100">
    <mergeCell ref="B1705:D1705"/>
    <mergeCell ref="AC1705:AE1705"/>
    <mergeCell ref="B1706:D1706"/>
    <mergeCell ref="AC1706:AE1706"/>
    <mergeCell ref="AC1707:AE1707"/>
    <mergeCell ref="B1702:D1702"/>
    <mergeCell ref="AC1702:AE1702"/>
    <mergeCell ref="B1703:D1703"/>
    <mergeCell ref="AC1703:AE1703"/>
    <mergeCell ref="B1704:D1704"/>
    <mergeCell ref="AC1704:AE1704"/>
    <mergeCell ref="B1699:D1699"/>
    <mergeCell ref="AC1699:AE1699"/>
    <mergeCell ref="B1700:D1700"/>
    <mergeCell ref="AC1700:AE1700"/>
    <mergeCell ref="B1701:D1701"/>
    <mergeCell ref="AC1701:AE1701"/>
    <mergeCell ref="B1696:D1696"/>
    <mergeCell ref="AC1696:AE1696"/>
    <mergeCell ref="B1697:D1697"/>
    <mergeCell ref="AC1697:AE1697"/>
    <mergeCell ref="B1698:D1698"/>
    <mergeCell ref="AC1698:AE1698"/>
    <mergeCell ref="B1693:D1693"/>
    <mergeCell ref="AC1693:AE1693"/>
    <mergeCell ref="B1694:D1694"/>
    <mergeCell ref="AC1694:AE1694"/>
    <mergeCell ref="B1695:D1695"/>
    <mergeCell ref="AC1695:AE1695"/>
    <mergeCell ref="B1690:D1690"/>
    <mergeCell ref="AC1690:AE1690"/>
    <mergeCell ref="B1691:D1691"/>
    <mergeCell ref="AC1691:AE1691"/>
    <mergeCell ref="B1692:D1692"/>
    <mergeCell ref="AC1692:AE1692"/>
    <mergeCell ref="B1687:D1687"/>
    <mergeCell ref="AC1687:AE1687"/>
    <mergeCell ref="B1688:D1688"/>
    <mergeCell ref="AC1688:AE1688"/>
    <mergeCell ref="B1689:D1689"/>
    <mergeCell ref="AC1689:AE1689"/>
    <mergeCell ref="B1684:D1684"/>
    <mergeCell ref="AC1684:AE1684"/>
    <mergeCell ref="B1685:D1685"/>
    <mergeCell ref="AC1685:AE1685"/>
    <mergeCell ref="B1686:D1686"/>
    <mergeCell ref="AC1686:AE1686"/>
    <mergeCell ref="B1681:D1681"/>
    <mergeCell ref="AC1681:AE1681"/>
    <mergeCell ref="B1682:D1682"/>
    <mergeCell ref="AC1682:AE1682"/>
    <mergeCell ref="B1683:D1683"/>
    <mergeCell ref="AC1683:AE1683"/>
    <mergeCell ref="B1678:D1678"/>
    <mergeCell ref="AC1678:AE1678"/>
    <mergeCell ref="B1679:D1679"/>
    <mergeCell ref="AC1679:AE1679"/>
    <mergeCell ref="B1680:D1680"/>
    <mergeCell ref="AC1680:AE1680"/>
    <mergeCell ref="B1675:D1675"/>
    <mergeCell ref="AC1675:AE1675"/>
    <mergeCell ref="B1676:D1676"/>
    <mergeCell ref="AC1676:AE1676"/>
    <mergeCell ref="B1677:D1677"/>
    <mergeCell ref="AC1677:AE1677"/>
    <mergeCell ref="B1672:D1672"/>
    <mergeCell ref="AC1672:AE1672"/>
    <mergeCell ref="B1673:D1673"/>
    <mergeCell ref="AC1673:AE1673"/>
    <mergeCell ref="B1674:D1674"/>
    <mergeCell ref="AC1674:AE1674"/>
    <mergeCell ref="B1669:D1669"/>
    <mergeCell ref="AC1669:AE1669"/>
    <mergeCell ref="B1670:D1670"/>
    <mergeCell ref="AC1670:AE1670"/>
    <mergeCell ref="B1671:D1671"/>
    <mergeCell ref="AC1671:AE1671"/>
    <mergeCell ref="B1666:D1666"/>
    <mergeCell ref="AC1666:AE1666"/>
    <mergeCell ref="B1667:D1667"/>
    <mergeCell ref="AC1667:AE1667"/>
    <mergeCell ref="B1668:D1668"/>
    <mergeCell ref="AC1668:AE1668"/>
    <mergeCell ref="B1663:D1663"/>
    <mergeCell ref="AC1663:AE1663"/>
    <mergeCell ref="B1664:D1664"/>
    <mergeCell ref="AC1664:AE1664"/>
    <mergeCell ref="B1665:D1665"/>
    <mergeCell ref="AC1665:AE1665"/>
    <mergeCell ref="B1660:D1660"/>
    <mergeCell ref="AC1660:AE1660"/>
    <mergeCell ref="B1661:D1661"/>
    <mergeCell ref="AC1661:AE1661"/>
    <mergeCell ref="B1662:D1662"/>
    <mergeCell ref="AC1662:AE1662"/>
    <mergeCell ref="AC1657:AE1657"/>
    <mergeCell ref="B1658:D1658"/>
    <mergeCell ref="AC1658:AE1658"/>
    <mergeCell ref="B1659:D1659"/>
    <mergeCell ref="AC1659:AE1659"/>
    <mergeCell ref="B1650:D1650"/>
    <mergeCell ref="AC1650:AE1650"/>
    <mergeCell ref="B1651:D1651"/>
    <mergeCell ref="AC1651:AE1651"/>
    <mergeCell ref="AC1652:AE1652"/>
    <mergeCell ref="B1647:D1647"/>
    <mergeCell ref="AC1647:AE1647"/>
    <mergeCell ref="B1648:D1648"/>
    <mergeCell ref="AC1648:AE1648"/>
    <mergeCell ref="B1649:D1649"/>
    <mergeCell ref="AC1649:AE1649"/>
    <mergeCell ref="B1644:D1644"/>
    <mergeCell ref="AC1644:AE1644"/>
    <mergeCell ref="B1645:D1645"/>
    <mergeCell ref="AC1645:AE1645"/>
    <mergeCell ref="B1646:D1646"/>
    <mergeCell ref="AC1646:AE1646"/>
    <mergeCell ref="B1641:D1641"/>
    <mergeCell ref="AC1641:AE1641"/>
    <mergeCell ref="B1642:D1642"/>
    <mergeCell ref="AC1642:AE1642"/>
    <mergeCell ref="B1643:D1643"/>
    <mergeCell ref="AC1643:AE1643"/>
    <mergeCell ref="B1638:D1638"/>
    <mergeCell ref="AC1638:AE1638"/>
    <mergeCell ref="B1639:D1639"/>
    <mergeCell ref="AC1639:AE1639"/>
    <mergeCell ref="B1640:D1640"/>
    <mergeCell ref="AC1640:AE1640"/>
    <mergeCell ref="B1635:D1635"/>
    <mergeCell ref="AC1635:AE1635"/>
    <mergeCell ref="B1636:D1636"/>
    <mergeCell ref="AC1636:AE1636"/>
    <mergeCell ref="B1637:D1637"/>
    <mergeCell ref="AC1637:AE1637"/>
    <mergeCell ref="B1632:D1632"/>
    <mergeCell ref="AC1632:AE1632"/>
    <mergeCell ref="B1633:D1633"/>
    <mergeCell ref="AC1633:AE1633"/>
    <mergeCell ref="B1634:D1634"/>
    <mergeCell ref="AC1634:AE1634"/>
    <mergeCell ref="B1629:D1629"/>
    <mergeCell ref="AC1629:AE1629"/>
    <mergeCell ref="B1630:D1630"/>
    <mergeCell ref="AC1630:AE1630"/>
    <mergeCell ref="B1631:D1631"/>
    <mergeCell ref="AC1631:AE1631"/>
    <mergeCell ref="B1626:D1626"/>
    <mergeCell ref="AC1626:AE1626"/>
    <mergeCell ref="B1627:D1627"/>
    <mergeCell ref="AC1627:AE1627"/>
    <mergeCell ref="B1628:D1628"/>
    <mergeCell ref="AC1628:AE1628"/>
    <mergeCell ref="B1623:D1623"/>
    <mergeCell ref="AC1623:AE1623"/>
    <mergeCell ref="B1624:D1624"/>
    <mergeCell ref="AC1624:AE1624"/>
    <mergeCell ref="B1625:D1625"/>
    <mergeCell ref="AC1625:AE1625"/>
    <mergeCell ref="B1620:D1620"/>
    <mergeCell ref="AC1620:AE1620"/>
    <mergeCell ref="B1621:D1621"/>
    <mergeCell ref="AC1621:AE1621"/>
    <mergeCell ref="B1622:D1622"/>
    <mergeCell ref="AC1622:AE1622"/>
    <mergeCell ref="B1617:D1617"/>
    <mergeCell ref="AC1617:AE1617"/>
    <mergeCell ref="B1618:D1618"/>
    <mergeCell ref="AC1618:AE1618"/>
    <mergeCell ref="B1619:D1619"/>
    <mergeCell ref="AC1619:AE1619"/>
    <mergeCell ref="B1614:D1614"/>
    <mergeCell ref="AC1614:AE1614"/>
    <mergeCell ref="B1615:D1615"/>
    <mergeCell ref="AC1615:AE1615"/>
    <mergeCell ref="B1616:D1616"/>
    <mergeCell ref="AC1616:AE1616"/>
    <mergeCell ref="B1611:D1611"/>
    <mergeCell ref="AC1611:AE1611"/>
    <mergeCell ref="B1612:D1612"/>
    <mergeCell ref="AC1612:AE1612"/>
    <mergeCell ref="B1613:D1613"/>
    <mergeCell ref="AC1613:AE1613"/>
    <mergeCell ref="B1608:D1608"/>
    <mergeCell ref="AC1608:AE1608"/>
    <mergeCell ref="B1609:D1609"/>
    <mergeCell ref="AC1609:AE1609"/>
    <mergeCell ref="B1610:D1610"/>
    <mergeCell ref="AC1610:AE1610"/>
    <mergeCell ref="B1605:D1605"/>
    <mergeCell ref="AC1605:AE1605"/>
    <mergeCell ref="B1606:D1606"/>
    <mergeCell ref="AC1606:AE1606"/>
    <mergeCell ref="B1607:D1607"/>
    <mergeCell ref="AC1607:AE1607"/>
    <mergeCell ref="AC1602:AE1602"/>
    <mergeCell ref="B1603:D1603"/>
    <mergeCell ref="AC1603:AE1603"/>
    <mergeCell ref="B1604:D1604"/>
    <mergeCell ref="AC1604:AE1604"/>
    <mergeCell ref="B1595:D1595"/>
    <mergeCell ref="AC1595:AE1595"/>
    <mergeCell ref="B1596:D1596"/>
    <mergeCell ref="AC1596:AE1596"/>
    <mergeCell ref="AC1597:AE1597"/>
    <mergeCell ref="B1592:D1592"/>
    <mergeCell ref="AC1592:AE1592"/>
    <mergeCell ref="B1593:D1593"/>
    <mergeCell ref="AC1593:AE1593"/>
    <mergeCell ref="B1594:D1594"/>
    <mergeCell ref="AC1594:AE1594"/>
    <mergeCell ref="B1589:D1589"/>
    <mergeCell ref="AC1589:AE1589"/>
    <mergeCell ref="B1590:D1590"/>
    <mergeCell ref="AC1590:AE1590"/>
    <mergeCell ref="B1591:D1591"/>
    <mergeCell ref="AC1591:AE1591"/>
    <mergeCell ref="B1586:D1586"/>
    <mergeCell ref="AC1586:AE1586"/>
    <mergeCell ref="B1587:D1587"/>
    <mergeCell ref="AC1587:AE1587"/>
    <mergeCell ref="B1588:D1588"/>
    <mergeCell ref="AC1588:AE1588"/>
    <mergeCell ref="B1583:D1583"/>
    <mergeCell ref="AC1583:AE1583"/>
    <mergeCell ref="B1584:D1584"/>
    <mergeCell ref="AC1584:AE1584"/>
    <mergeCell ref="B1585:D1585"/>
    <mergeCell ref="AC1585:AE1585"/>
    <mergeCell ref="B1580:D1580"/>
    <mergeCell ref="AC1580:AE1580"/>
    <mergeCell ref="B1581:D1581"/>
    <mergeCell ref="AC1581:AE1581"/>
    <mergeCell ref="B1582:D1582"/>
    <mergeCell ref="AC1582:AE1582"/>
    <mergeCell ref="B1577:D1577"/>
    <mergeCell ref="AC1577:AE1577"/>
    <mergeCell ref="B1578:D1578"/>
    <mergeCell ref="AC1578:AE1578"/>
    <mergeCell ref="B1579:D1579"/>
    <mergeCell ref="AC1579:AE1579"/>
    <mergeCell ref="B1574:D1574"/>
    <mergeCell ref="AC1574:AE1574"/>
    <mergeCell ref="B1575:D1575"/>
    <mergeCell ref="AC1575:AE1575"/>
    <mergeCell ref="B1576:D1576"/>
    <mergeCell ref="AC1576:AE1576"/>
    <mergeCell ref="B1571:D1571"/>
    <mergeCell ref="AC1571:AE1571"/>
    <mergeCell ref="B1572:D1572"/>
    <mergeCell ref="AC1572:AE1572"/>
    <mergeCell ref="B1573:D1573"/>
    <mergeCell ref="AC1573:AE1573"/>
    <mergeCell ref="B1568:D1568"/>
    <mergeCell ref="AC1568:AE1568"/>
    <mergeCell ref="B1569:D1569"/>
    <mergeCell ref="AC1569:AE1569"/>
    <mergeCell ref="B1570:D1570"/>
    <mergeCell ref="AC1570:AE1570"/>
    <mergeCell ref="B1565:D1565"/>
    <mergeCell ref="AC1565:AE1565"/>
    <mergeCell ref="B1566:D1566"/>
    <mergeCell ref="AC1566:AE1566"/>
    <mergeCell ref="B1567:D1567"/>
    <mergeCell ref="AC1567:AE1567"/>
    <mergeCell ref="B1562:D1562"/>
    <mergeCell ref="AC1562:AE1562"/>
    <mergeCell ref="B1563:D1563"/>
    <mergeCell ref="AC1563:AE1563"/>
    <mergeCell ref="B1564:D1564"/>
    <mergeCell ref="AC1564:AE1564"/>
    <mergeCell ref="B1559:D1559"/>
    <mergeCell ref="AC1559:AE1559"/>
    <mergeCell ref="B1560:D1560"/>
    <mergeCell ref="AC1560:AE1560"/>
    <mergeCell ref="B1561:D1561"/>
    <mergeCell ref="AC1561:AE1561"/>
    <mergeCell ref="B1556:D1556"/>
    <mergeCell ref="AC1556:AE1556"/>
    <mergeCell ref="B1557:D1557"/>
    <mergeCell ref="AC1557:AE1557"/>
    <mergeCell ref="B1558:D1558"/>
    <mergeCell ref="AC1558:AE1558"/>
    <mergeCell ref="B1553:D1553"/>
    <mergeCell ref="AC1553:AE1553"/>
    <mergeCell ref="B1554:D1554"/>
    <mergeCell ref="AC1554:AE1554"/>
    <mergeCell ref="B1555:D1555"/>
    <mergeCell ref="AC1555:AE1555"/>
    <mergeCell ref="B1550:D1550"/>
    <mergeCell ref="AC1550:AE1550"/>
    <mergeCell ref="B1551:D1551"/>
    <mergeCell ref="AC1551:AE1551"/>
    <mergeCell ref="B1552:D1552"/>
    <mergeCell ref="AC1552:AE1552"/>
    <mergeCell ref="AC1547:AE1547"/>
    <mergeCell ref="B1548:D1548"/>
    <mergeCell ref="AC1548:AE1548"/>
    <mergeCell ref="B1549:D1549"/>
    <mergeCell ref="AC1549:AE1549"/>
    <mergeCell ref="B1540:D1540"/>
    <mergeCell ref="AC1540:AE1540"/>
    <mergeCell ref="B1541:D1541"/>
    <mergeCell ref="AC1541:AE1541"/>
    <mergeCell ref="AC1542:AE1542"/>
    <mergeCell ref="B1537:D1537"/>
    <mergeCell ref="AC1537:AE1537"/>
    <mergeCell ref="B1538:D1538"/>
    <mergeCell ref="AC1538:AE1538"/>
    <mergeCell ref="B1539:D1539"/>
    <mergeCell ref="AC1539:AE1539"/>
    <mergeCell ref="B1534:D1534"/>
    <mergeCell ref="AC1534:AE1534"/>
    <mergeCell ref="B1535:D1535"/>
    <mergeCell ref="AC1535:AE1535"/>
    <mergeCell ref="B1536:D1536"/>
    <mergeCell ref="AC1536:AE1536"/>
    <mergeCell ref="B1531:D1531"/>
    <mergeCell ref="AC1531:AE1531"/>
    <mergeCell ref="B1532:D1532"/>
    <mergeCell ref="AC1532:AE1532"/>
    <mergeCell ref="B1533:D1533"/>
    <mergeCell ref="AC1533:AE1533"/>
    <mergeCell ref="B1528:D1528"/>
    <mergeCell ref="AC1528:AE1528"/>
    <mergeCell ref="B1529:D1529"/>
    <mergeCell ref="AC1529:AE1529"/>
    <mergeCell ref="B1530:D1530"/>
    <mergeCell ref="AC1530:AE1530"/>
    <mergeCell ref="B1525:D1525"/>
    <mergeCell ref="AC1525:AE1525"/>
    <mergeCell ref="B1526:D1526"/>
    <mergeCell ref="AC1526:AE1526"/>
    <mergeCell ref="B1527:D1527"/>
    <mergeCell ref="AC1527:AE1527"/>
    <mergeCell ref="B1522:D1522"/>
    <mergeCell ref="AC1522:AE1522"/>
    <mergeCell ref="B1523:D1523"/>
    <mergeCell ref="AC1523:AE1523"/>
    <mergeCell ref="B1524:D1524"/>
    <mergeCell ref="AC1524:AE1524"/>
    <mergeCell ref="B1519:D1519"/>
    <mergeCell ref="AC1519:AE1519"/>
    <mergeCell ref="B1520:D1520"/>
    <mergeCell ref="AC1520:AE1520"/>
    <mergeCell ref="B1521:D1521"/>
    <mergeCell ref="AC1521:AE1521"/>
    <mergeCell ref="B1516:D1516"/>
    <mergeCell ref="AC1516:AE1516"/>
    <mergeCell ref="B1517:D1517"/>
    <mergeCell ref="AC1517:AE1517"/>
    <mergeCell ref="B1518:D1518"/>
    <mergeCell ref="AC1518:AE1518"/>
    <mergeCell ref="B1513:D1513"/>
    <mergeCell ref="AC1513:AE1513"/>
    <mergeCell ref="B1514:D1514"/>
    <mergeCell ref="AC1514:AE1514"/>
    <mergeCell ref="B1515:D1515"/>
    <mergeCell ref="AC1515:AE1515"/>
    <mergeCell ref="B1510:D1510"/>
    <mergeCell ref="AC1510:AE1510"/>
    <mergeCell ref="B1511:D1511"/>
    <mergeCell ref="AC1511:AE1511"/>
    <mergeCell ref="B1512:D1512"/>
    <mergeCell ref="AC1512:AE1512"/>
    <mergeCell ref="B1507:D1507"/>
    <mergeCell ref="AC1507:AE1507"/>
    <mergeCell ref="B1508:D1508"/>
    <mergeCell ref="AC1508:AE1508"/>
    <mergeCell ref="B1509:D1509"/>
    <mergeCell ref="AC1509:AE1509"/>
    <mergeCell ref="B1504:D1504"/>
    <mergeCell ref="AC1504:AE1504"/>
    <mergeCell ref="B1505:D1505"/>
    <mergeCell ref="AC1505:AE1505"/>
    <mergeCell ref="B1506:D1506"/>
    <mergeCell ref="AC1506:AE1506"/>
    <mergeCell ref="B1501:D1501"/>
    <mergeCell ref="AC1501:AE1501"/>
    <mergeCell ref="B1502:D1502"/>
    <mergeCell ref="AC1502:AE1502"/>
    <mergeCell ref="B1503:D1503"/>
    <mergeCell ref="AC1503:AE1503"/>
    <mergeCell ref="B1498:D1498"/>
    <mergeCell ref="AC1498:AE1498"/>
    <mergeCell ref="B1499:D1499"/>
    <mergeCell ref="AC1499:AE1499"/>
    <mergeCell ref="B1500:D1500"/>
    <mergeCell ref="AC1500:AE1500"/>
    <mergeCell ref="B1495:D1495"/>
    <mergeCell ref="AC1495:AE1495"/>
    <mergeCell ref="B1496:D1496"/>
    <mergeCell ref="AC1496:AE1496"/>
    <mergeCell ref="B1497:D1497"/>
    <mergeCell ref="AC1497:AE1497"/>
    <mergeCell ref="AC1492:AE1492"/>
    <mergeCell ref="B1493:D1493"/>
    <mergeCell ref="AC1493:AE1493"/>
    <mergeCell ref="B1494:D1494"/>
    <mergeCell ref="AC1494:AE1494"/>
    <mergeCell ref="B1485:D1485"/>
    <mergeCell ref="AC1485:AE1485"/>
    <mergeCell ref="B1486:D1486"/>
    <mergeCell ref="AC1486:AE1486"/>
    <mergeCell ref="AC1487:AE1487"/>
    <mergeCell ref="B1482:D1482"/>
    <mergeCell ref="AC1482:AE1482"/>
    <mergeCell ref="B1483:D1483"/>
    <mergeCell ref="AC1483:AE1483"/>
    <mergeCell ref="B1484:D1484"/>
    <mergeCell ref="AC1484:AE1484"/>
    <mergeCell ref="B1479:D1479"/>
    <mergeCell ref="AC1479:AE1479"/>
    <mergeCell ref="B1480:D1480"/>
    <mergeCell ref="AC1480:AE1480"/>
    <mergeCell ref="B1481:D1481"/>
    <mergeCell ref="AC1481:AE1481"/>
    <mergeCell ref="B1476:D1476"/>
    <mergeCell ref="AC1476:AE1476"/>
    <mergeCell ref="B1477:D1477"/>
    <mergeCell ref="AC1477:AE1477"/>
    <mergeCell ref="B1478:D1478"/>
    <mergeCell ref="AC1478:AE1478"/>
    <mergeCell ref="B1473:D1473"/>
    <mergeCell ref="AC1473:AE1473"/>
    <mergeCell ref="B1474:D1474"/>
    <mergeCell ref="AC1474:AE1474"/>
    <mergeCell ref="B1475:D1475"/>
    <mergeCell ref="AC1475:AE1475"/>
    <mergeCell ref="B1470:D1470"/>
    <mergeCell ref="AC1470:AE1470"/>
    <mergeCell ref="B1471:D1471"/>
    <mergeCell ref="AC1471:AE1471"/>
    <mergeCell ref="B1472:D1472"/>
    <mergeCell ref="AC1472:AE1472"/>
    <mergeCell ref="B1467:D1467"/>
    <mergeCell ref="AC1467:AE1467"/>
    <mergeCell ref="B1468:D1468"/>
    <mergeCell ref="AC1468:AE1468"/>
    <mergeCell ref="B1469:D1469"/>
    <mergeCell ref="AC1469:AE1469"/>
    <mergeCell ref="B1464:D1464"/>
    <mergeCell ref="AC1464:AE1464"/>
    <mergeCell ref="B1465:D1465"/>
    <mergeCell ref="AC1465:AE1465"/>
    <mergeCell ref="B1466:D1466"/>
    <mergeCell ref="AC1466:AE1466"/>
    <mergeCell ref="B1461:D1461"/>
    <mergeCell ref="AC1461:AE1461"/>
    <mergeCell ref="B1462:D1462"/>
    <mergeCell ref="AC1462:AE1462"/>
    <mergeCell ref="B1463:D1463"/>
    <mergeCell ref="AC1463:AE1463"/>
    <mergeCell ref="B1458:D1458"/>
    <mergeCell ref="AC1458:AE1458"/>
    <mergeCell ref="B1459:D1459"/>
    <mergeCell ref="AC1459:AE1459"/>
    <mergeCell ref="B1460:D1460"/>
    <mergeCell ref="AC1460:AE1460"/>
    <mergeCell ref="B1455:D1455"/>
    <mergeCell ref="AC1455:AE1455"/>
    <mergeCell ref="B1456:D1456"/>
    <mergeCell ref="AC1456:AE1456"/>
    <mergeCell ref="B1457:D1457"/>
    <mergeCell ref="AC1457:AE1457"/>
    <mergeCell ref="B1452:D1452"/>
    <mergeCell ref="AC1452:AE1452"/>
    <mergeCell ref="B1453:D1453"/>
    <mergeCell ref="AC1453:AE1453"/>
    <mergeCell ref="B1454:D1454"/>
    <mergeCell ref="AC1454:AE1454"/>
    <mergeCell ref="B1449:D1449"/>
    <mergeCell ref="AC1449:AE1449"/>
    <mergeCell ref="B1450:D1450"/>
    <mergeCell ref="AC1450:AE1450"/>
    <mergeCell ref="B1451:D1451"/>
    <mergeCell ref="AC1451:AE1451"/>
    <mergeCell ref="B1446:D1446"/>
    <mergeCell ref="AC1446:AE1446"/>
    <mergeCell ref="B1447:D1447"/>
    <mergeCell ref="AC1447:AE1447"/>
    <mergeCell ref="B1448:D1448"/>
    <mergeCell ref="AC1448:AE1448"/>
    <mergeCell ref="B1443:D1443"/>
    <mergeCell ref="AC1443:AE1443"/>
    <mergeCell ref="B1444:D1444"/>
    <mergeCell ref="AC1444:AE1444"/>
    <mergeCell ref="B1445:D1445"/>
    <mergeCell ref="AC1445:AE1445"/>
    <mergeCell ref="B1440:D1440"/>
    <mergeCell ref="AC1440:AE1440"/>
    <mergeCell ref="B1441:D1441"/>
    <mergeCell ref="AC1441:AE1441"/>
    <mergeCell ref="B1442:D1442"/>
    <mergeCell ref="AC1442:AE1442"/>
    <mergeCell ref="AC1437:AE1437"/>
    <mergeCell ref="B1438:D1438"/>
    <mergeCell ref="AC1438:AE1438"/>
    <mergeCell ref="B1439:D1439"/>
    <mergeCell ref="AC1439:AE1439"/>
    <mergeCell ref="B1430:D1430"/>
    <mergeCell ref="AC1430:AE1430"/>
    <mergeCell ref="B1431:D1431"/>
    <mergeCell ref="AC1431:AE1431"/>
    <mergeCell ref="AC1432:AE1432"/>
    <mergeCell ref="B1427:D1427"/>
    <mergeCell ref="AC1427:AE1427"/>
    <mergeCell ref="B1428:D1428"/>
    <mergeCell ref="AC1428:AE1428"/>
    <mergeCell ref="B1429:D1429"/>
    <mergeCell ref="AC1429:AE1429"/>
    <mergeCell ref="B1424:D1424"/>
    <mergeCell ref="AC1424:AE1424"/>
    <mergeCell ref="B1425:D1425"/>
    <mergeCell ref="AC1425:AE1425"/>
    <mergeCell ref="B1426:D1426"/>
    <mergeCell ref="AC1426:AE1426"/>
    <mergeCell ref="B1421:D1421"/>
    <mergeCell ref="AC1421:AE1421"/>
    <mergeCell ref="B1422:D1422"/>
    <mergeCell ref="AC1422:AE1422"/>
    <mergeCell ref="B1423:D1423"/>
    <mergeCell ref="AC1423:AE1423"/>
    <mergeCell ref="B1418:D1418"/>
    <mergeCell ref="AC1418:AE1418"/>
    <mergeCell ref="B1419:D1419"/>
    <mergeCell ref="AC1419:AE1419"/>
    <mergeCell ref="B1420:D1420"/>
    <mergeCell ref="AC1420:AE1420"/>
    <mergeCell ref="B1415:D1415"/>
    <mergeCell ref="AC1415:AE1415"/>
    <mergeCell ref="B1416:D1416"/>
    <mergeCell ref="AC1416:AE1416"/>
    <mergeCell ref="B1417:D1417"/>
    <mergeCell ref="AC1417:AE1417"/>
    <mergeCell ref="B1412:D1412"/>
    <mergeCell ref="AC1412:AE1412"/>
    <mergeCell ref="B1413:D1413"/>
    <mergeCell ref="AC1413:AE1413"/>
    <mergeCell ref="B1414:D1414"/>
    <mergeCell ref="AC1414:AE1414"/>
    <mergeCell ref="B1409:D1409"/>
    <mergeCell ref="AC1409:AE1409"/>
    <mergeCell ref="B1410:D1410"/>
    <mergeCell ref="AC1410:AE1410"/>
    <mergeCell ref="B1411:D1411"/>
    <mergeCell ref="AC1411:AE1411"/>
    <mergeCell ref="B1406:D1406"/>
    <mergeCell ref="AC1406:AE1406"/>
    <mergeCell ref="B1407:D1407"/>
    <mergeCell ref="AC1407:AE1407"/>
    <mergeCell ref="B1408:D1408"/>
    <mergeCell ref="AC1408:AE1408"/>
    <mergeCell ref="B1403:D1403"/>
    <mergeCell ref="AC1403:AE1403"/>
    <mergeCell ref="B1404:D1404"/>
    <mergeCell ref="AC1404:AE1404"/>
    <mergeCell ref="B1405:D1405"/>
    <mergeCell ref="AC1405:AE1405"/>
    <mergeCell ref="B1400:D1400"/>
    <mergeCell ref="AC1400:AE1400"/>
    <mergeCell ref="B1401:D1401"/>
    <mergeCell ref="AC1401:AE1401"/>
    <mergeCell ref="B1402:D1402"/>
    <mergeCell ref="AC1402:AE1402"/>
    <mergeCell ref="B1397:D1397"/>
    <mergeCell ref="AC1397:AE1397"/>
    <mergeCell ref="B1398:D1398"/>
    <mergeCell ref="AC1398:AE1398"/>
    <mergeCell ref="B1399:D1399"/>
    <mergeCell ref="AC1399:AE1399"/>
    <mergeCell ref="B1394:D1394"/>
    <mergeCell ref="AC1394:AE1394"/>
    <mergeCell ref="B1395:D1395"/>
    <mergeCell ref="AC1395:AE1395"/>
    <mergeCell ref="B1396:D1396"/>
    <mergeCell ref="AC1396:AE1396"/>
    <mergeCell ref="B1391:D1391"/>
    <mergeCell ref="AC1391:AE1391"/>
    <mergeCell ref="B1392:D1392"/>
    <mergeCell ref="AC1392:AE1392"/>
    <mergeCell ref="B1393:D1393"/>
    <mergeCell ref="AC1393:AE1393"/>
    <mergeCell ref="B1388:D1388"/>
    <mergeCell ref="AC1388:AE1388"/>
    <mergeCell ref="B1389:D1389"/>
    <mergeCell ref="AC1389:AE1389"/>
    <mergeCell ref="B1390:D1390"/>
    <mergeCell ref="AC1390:AE1390"/>
    <mergeCell ref="B1385:D1385"/>
    <mergeCell ref="AC1385:AE1385"/>
    <mergeCell ref="B1386:D1386"/>
    <mergeCell ref="AC1386:AE1386"/>
    <mergeCell ref="B1387:D1387"/>
    <mergeCell ref="AC1387:AE1387"/>
    <mergeCell ref="AC1382:AE1382"/>
    <mergeCell ref="B1383:D1383"/>
    <mergeCell ref="AC1383:AE1383"/>
    <mergeCell ref="B1384:D1384"/>
    <mergeCell ref="AC1384:AE1384"/>
    <mergeCell ref="B1375:D1375"/>
    <mergeCell ref="AC1375:AE1375"/>
    <mergeCell ref="B1376:D1376"/>
    <mergeCell ref="AC1376:AE1376"/>
    <mergeCell ref="AC1377:AE1377"/>
    <mergeCell ref="B1372:D1372"/>
    <mergeCell ref="AC1372:AE1372"/>
    <mergeCell ref="B1373:D1373"/>
    <mergeCell ref="AC1373:AE1373"/>
    <mergeCell ref="B1374:D1374"/>
    <mergeCell ref="AC1374:AE1374"/>
    <mergeCell ref="B1369:D1369"/>
    <mergeCell ref="AC1369:AE1369"/>
    <mergeCell ref="B1370:D1370"/>
    <mergeCell ref="AC1370:AE1370"/>
    <mergeCell ref="B1371:D1371"/>
    <mergeCell ref="AC1371:AE1371"/>
    <mergeCell ref="B1366:D1366"/>
    <mergeCell ref="AC1366:AE1366"/>
    <mergeCell ref="B1367:D1367"/>
    <mergeCell ref="AC1367:AE1367"/>
    <mergeCell ref="B1368:D1368"/>
    <mergeCell ref="AC1368:AE1368"/>
    <mergeCell ref="B1363:D1363"/>
    <mergeCell ref="AC1363:AE1363"/>
    <mergeCell ref="B1364:D1364"/>
    <mergeCell ref="AC1364:AE1364"/>
    <mergeCell ref="B1365:D1365"/>
    <mergeCell ref="AC1365:AE1365"/>
    <mergeCell ref="B1360:D1360"/>
    <mergeCell ref="AC1360:AE1360"/>
    <mergeCell ref="B1361:D1361"/>
    <mergeCell ref="AC1361:AE1361"/>
    <mergeCell ref="B1362:D1362"/>
    <mergeCell ref="AC1362:AE1362"/>
    <mergeCell ref="B1357:D1357"/>
    <mergeCell ref="AC1357:AE1357"/>
    <mergeCell ref="B1358:D1358"/>
    <mergeCell ref="AC1358:AE1358"/>
    <mergeCell ref="B1359:D1359"/>
    <mergeCell ref="AC1359:AE1359"/>
    <mergeCell ref="B1354:D1354"/>
    <mergeCell ref="AC1354:AE1354"/>
    <mergeCell ref="B1355:D1355"/>
    <mergeCell ref="AC1355:AE1355"/>
    <mergeCell ref="B1356:D1356"/>
    <mergeCell ref="AC1356:AE1356"/>
    <mergeCell ref="B1351:D1351"/>
    <mergeCell ref="AC1351:AE1351"/>
    <mergeCell ref="B1352:D1352"/>
    <mergeCell ref="AC1352:AE1352"/>
    <mergeCell ref="B1353:D1353"/>
    <mergeCell ref="AC1353:AE1353"/>
    <mergeCell ref="B1348:D1348"/>
    <mergeCell ref="AC1348:AE1348"/>
    <mergeCell ref="B1349:D1349"/>
    <mergeCell ref="AC1349:AE1349"/>
    <mergeCell ref="B1350:D1350"/>
    <mergeCell ref="AC1350:AE1350"/>
    <mergeCell ref="B1345:D1345"/>
    <mergeCell ref="AC1345:AE1345"/>
    <mergeCell ref="B1346:D1346"/>
    <mergeCell ref="AC1346:AE1346"/>
    <mergeCell ref="B1347:D1347"/>
    <mergeCell ref="AC1347:AE1347"/>
    <mergeCell ref="B1342:D1342"/>
    <mergeCell ref="AC1342:AE1342"/>
    <mergeCell ref="B1343:D1343"/>
    <mergeCell ref="AC1343:AE1343"/>
    <mergeCell ref="B1344:D1344"/>
    <mergeCell ref="AC1344:AE1344"/>
    <mergeCell ref="B1339:D1339"/>
    <mergeCell ref="AC1339:AE1339"/>
    <mergeCell ref="B1340:D1340"/>
    <mergeCell ref="AC1340:AE1340"/>
    <mergeCell ref="B1341:D1341"/>
    <mergeCell ref="AC1341:AE1341"/>
    <mergeCell ref="B1336:D1336"/>
    <mergeCell ref="AC1336:AE1336"/>
    <mergeCell ref="B1337:D1337"/>
    <mergeCell ref="AC1337:AE1337"/>
    <mergeCell ref="B1338:D1338"/>
    <mergeCell ref="AC1338:AE1338"/>
    <mergeCell ref="B1333:D1333"/>
    <mergeCell ref="AC1333:AE1333"/>
    <mergeCell ref="B1334:D1334"/>
    <mergeCell ref="AC1334:AE1334"/>
    <mergeCell ref="B1335:D1335"/>
    <mergeCell ref="AC1335:AE1335"/>
    <mergeCell ref="B1330:D1330"/>
    <mergeCell ref="AC1330:AE1330"/>
    <mergeCell ref="B1331:D1331"/>
    <mergeCell ref="AC1331:AE1331"/>
    <mergeCell ref="B1332:D1332"/>
    <mergeCell ref="AC1332:AE1332"/>
    <mergeCell ref="AC1327:AE1327"/>
    <mergeCell ref="B1328:D1328"/>
    <mergeCell ref="AC1328:AE1328"/>
    <mergeCell ref="B1329:D1329"/>
    <mergeCell ref="AC1329:AE1329"/>
    <mergeCell ref="B1320:D1320"/>
    <mergeCell ref="AC1320:AE1320"/>
    <mergeCell ref="B1321:D1321"/>
    <mergeCell ref="AC1321:AE1321"/>
    <mergeCell ref="AC1322:AE1322"/>
    <mergeCell ref="B1317:D1317"/>
    <mergeCell ref="AC1317:AE1317"/>
    <mergeCell ref="B1318:D1318"/>
    <mergeCell ref="AC1318:AE1318"/>
    <mergeCell ref="B1319:D1319"/>
    <mergeCell ref="AC1319:AE1319"/>
    <mergeCell ref="AC1273:AE1273"/>
    <mergeCell ref="B1274:D1274"/>
    <mergeCell ref="AC1274:AE1274"/>
    <mergeCell ref="B1275:D1275"/>
    <mergeCell ref="AC1275:AE1275"/>
    <mergeCell ref="B1314:D1314"/>
    <mergeCell ref="AC1314:AE1314"/>
    <mergeCell ref="B1315:D1315"/>
    <mergeCell ref="AC1315:AE1315"/>
    <mergeCell ref="B1316:D1316"/>
    <mergeCell ref="AC1316:AE1316"/>
    <mergeCell ref="B1311:D1311"/>
    <mergeCell ref="AC1311:AE1311"/>
    <mergeCell ref="B1312:D1312"/>
    <mergeCell ref="AC1312:AE1312"/>
    <mergeCell ref="B1313:D1313"/>
    <mergeCell ref="AC1313:AE1313"/>
    <mergeCell ref="B1308:D1308"/>
    <mergeCell ref="AC1308:AE1308"/>
    <mergeCell ref="B1309:D1309"/>
    <mergeCell ref="AC1309:AE1309"/>
    <mergeCell ref="B1310:D1310"/>
    <mergeCell ref="AC1310:AE1310"/>
    <mergeCell ref="B1305:D1305"/>
    <mergeCell ref="AC1305:AE1305"/>
    <mergeCell ref="B1306:D1306"/>
    <mergeCell ref="AC1306:AE1306"/>
    <mergeCell ref="B1307:D1307"/>
    <mergeCell ref="AC1307:AE1307"/>
    <mergeCell ref="B1302:D1302"/>
    <mergeCell ref="AC1302:AE1302"/>
    <mergeCell ref="B1303:D1303"/>
    <mergeCell ref="AC1303:AE1303"/>
    <mergeCell ref="B1304:D1304"/>
    <mergeCell ref="AC1304:AE1304"/>
    <mergeCell ref="B1299:D1299"/>
    <mergeCell ref="AC1299:AE1299"/>
    <mergeCell ref="B1300:D1300"/>
    <mergeCell ref="AC1300:AE1300"/>
    <mergeCell ref="B1301:D1301"/>
    <mergeCell ref="AC1301:AE1301"/>
    <mergeCell ref="B1296:D1296"/>
    <mergeCell ref="AC1296:AE1296"/>
    <mergeCell ref="B1297:D1297"/>
    <mergeCell ref="AC1297:AE1297"/>
    <mergeCell ref="B1298:D1298"/>
    <mergeCell ref="AC1298:AE1298"/>
    <mergeCell ref="B1293:D1293"/>
    <mergeCell ref="AC1293:AE1293"/>
    <mergeCell ref="B1294:D1294"/>
    <mergeCell ref="AC1294:AE1294"/>
    <mergeCell ref="B1295:D1295"/>
    <mergeCell ref="AC1295:AE1295"/>
    <mergeCell ref="B1254:D1254"/>
    <mergeCell ref="B1290:D1290"/>
    <mergeCell ref="B1291:D1291"/>
    <mergeCell ref="AC1291:AE1291"/>
    <mergeCell ref="B1292:D1292"/>
    <mergeCell ref="AC1292:AE1292"/>
    <mergeCell ref="B1289:D1289"/>
    <mergeCell ref="AC1289:AE1289"/>
    <mergeCell ref="AC1290:AE1290"/>
    <mergeCell ref="B1280:D1280"/>
    <mergeCell ref="AC1280:AE1280"/>
    <mergeCell ref="B1281:D1281"/>
    <mergeCell ref="AC1281:AE1281"/>
    <mergeCell ref="B1276:D1276"/>
    <mergeCell ref="AC1276:AE1276"/>
    <mergeCell ref="B1277:D1277"/>
    <mergeCell ref="AC1277:AE1277"/>
    <mergeCell ref="B1278:D1278"/>
    <mergeCell ref="AC1278:AE1278"/>
    <mergeCell ref="B1273:D1273"/>
    <mergeCell ref="AC1166:AE1166"/>
    <mergeCell ref="AC1167:AE1167"/>
    <mergeCell ref="AC1172:AE1172"/>
    <mergeCell ref="AC1162:AE1162"/>
    <mergeCell ref="B1163:D1163"/>
    <mergeCell ref="AC1163:AE1163"/>
    <mergeCell ref="B1164:D1164"/>
    <mergeCell ref="AC1164:AE1164"/>
    <mergeCell ref="B1156:D1156"/>
    <mergeCell ref="B1251:D1251"/>
    <mergeCell ref="AC1251:AE1251"/>
    <mergeCell ref="B1252:D1252"/>
    <mergeCell ref="AC1252:AE1252"/>
    <mergeCell ref="B1253:D1253"/>
    <mergeCell ref="AC1253:AE1253"/>
    <mergeCell ref="B1211:D1211"/>
    <mergeCell ref="AC1211:AE1211"/>
    <mergeCell ref="AC1212:AE1212"/>
    <mergeCell ref="B1249:D1249"/>
    <mergeCell ref="B1250:D1250"/>
    <mergeCell ref="AC1250:AE1250"/>
    <mergeCell ref="B1208:D1208"/>
    <mergeCell ref="B1209:D1209"/>
    <mergeCell ref="AC1209:AE1209"/>
    <mergeCell ref="B1210:D1210"/>
    <mergeCell ref="AC1210:AE1210"/>
    <mergeCell ref="B1244:D1244"/>
    <mergeCell ref="AC1244:AE1244"/>
    <mergeCell ref="B1245:D1245"/>
    <mergeCell ref="AC1245:AE1245"/>
    <mergeCell ref="B1246:D1246"/>
    <mergeCell ref="AC1246:AE1246"/>
    <mergeCell ref="B1084:D1084"/>
    <mergeCell ref="AC1084:AE1084"/>
    <mergeCell ref="AC1085:AE1085"/>
    <mergeCell ref="AC1090:AE1090"/>
    <mergeCell ref="B1080:D1080"/>
    <mergeCell ref="AC1080:AE1080"/>
    <mergeCell ref="B1081:D1081"/>
    <mergeCell ref="AC1081:AE1081"/>
    <mergeCell ref="B1082:D1082"/>
    <mergeCell ref="B1170:D1170"/>
    <mergeCell ref="AC1170:AE1170"/>
    <mergeCell ref="B1171:D1171"/>
    <mergeCell ref="AC1171:AE1171"/>
    <mergeCell ref="B1172:D1172"/>
    <mergeCell ref="B1167:D1167"/>
    <mergeCell ref="B1168:D1168"/>
    <mergeCell ref="AC1168:AE1168"/>
    <mergeCell ref="B1169:D1169"/>
    <mergeCell ref="AC1169:AE1169"/>
    <mergeCell ref="B1129:D1129"/>
    <mergeCell ref="AC1129:AE1129"/>
    <mergeCell ref="B1130:D1130"/>
    <mergeCell ref="AC1130:AE1130"/>
    <mergeCell ref="B1131:D1131"/>
    <mergeCell ref="B1126:D1126"/>
    <mergeCell ref="B1127:D1127"/>
    <mergeCell ref="AC1127:AE1127"/>
    <mergeCell ref="B1128:D1128"/>
    <mergeCell ref="AC1128:AE1128"/>
    <mergeCell ref="B1165:D1165"/>
    <mergeCell ref="AC1165:AE1165"/>
    <mergeCell ref="B1166:D1166"/>
    <mergeCell ref="B983:D983"/>
    <mergeCell ref="AC983:AE983"/>
    <mergeCell ref="B984:D984"/>
    <mergeCell ref="AC984:AE984"/>
    <mergeCell ref="B985:D985"/>
    <mergeCell ref="AC985:AE985"/>
    <mergeCell ref="B980:D980"/>
    <mergeCell ref="AC980:AE980"/>
    <mergeCell ref="B981:D981"/>
    <mergeCell ref="B1088:D1088"/>
    <mergeCell ref="AC1088:AE1088"/>
    <mergeCell ref="B1089:D1089"/>
    <mergeCell ref="AC1089:AE1089"/>
    <mergeCell ref="B1090:D1090"/>
    <mergeCell ref="AC1047:AE1047"/>
    <mergeCell ref="B1085:D1085"/>
    <mergeCell ref="B1086:D1086"/>
    <mergeCell ref="AC1086:AE1086"/>
    <mergeCell ref="B1087:D1087"/>
    <mergeCell ref="AC1087:AE1087"/>
    <mergeCell ref="B1044:D1044"/>
    <mergeCell ref="B1045:D1045"/>
    <mergeCell ref="AC1045:AE1045"/>
    <mergeCell ref="B1046:D1046"/>
    <mergeCell ref="AC1046:AE1046"/>
    <mergeCell ref="B1006:D1006"/>
    <mergeCell ref="AC1006:AE1006"/>
    <mergeCell ref="B1007:D1007"/>
    <mergeCell ref="AC1007:AE1007"/>
    <mergeCell ref="B1008:D1008"/>
    <mergeCell ref="B1083:D1083"/>
    <mergeCell ref="AC1083:AE1083"/>
    <mergeCell ref="B917:D917"/>
    <mergeCell ref="AC917:AE917"/>
    <mergeCell ref="B918:D918"/>
    <mergeCell ref="AC918:AE918"/>
    <mergeCell ref="B913:D913"/>
    <mergeCell ref="AC913:AE913"/>
    <mergeCell ref="B914:D914"/>
    <mergeCell ref="AC914:AE914"/>
    <mergeCell ref="B915:D915"/>
    <mergeCell ref="B967:D967"/>
    <mergeCell ref="B1003:D1003"/>
    <mergeCell ref="B1004:D1004"/>
    <mergeCell ref="AC1004:AE1004"/>
    <mergeCell ref="B1005:D1005"/>
    <mergeCell ref="AC1005:AE1005"/>
    <mergeCell ref="B964:D964"/>
    <mergeCell ref="AC964:AE964"/>
    <mergeCell ref="B965:D965"/>
    <mergeCell ref="AC965:AE965"/>
    <mergeCell ref="B966:D966"/>
    <mergeCell ref="AC966:AE966"/>
    <mergeCell ref="B925:D925"/>
    <mergeCell ref="AC925:AE925"/>
    <mergeCell ref="B926:D926"/>
    <mergeCell ref="B962:D962"/>
    <mergeCell ref="B963:D963"/>
    <mergeCell ref="AC963:AE963"/>
    <mergeCell ref="B1001:D1001"/>
    <mergeCell ref="AC1001:AE1001"/>
    <mergeCell ref="B1002:D1002"/>
    <mergeCell ref="AC1002:AE1002"/>
    <mergeCell ref="AC1003:AE1003"/>
    <mergeCell ref="B793:D793"/>
    <mergeCell ref="AC793:AE793"/>
    <mergeCell ref="B794:D794"/>
    <mergeCell ref="AC794:AE794"/>
    <mergeCell ref="B795:D795"/>
    <mergeCell ref="AC795:AE795"/>
    <mergeCell ref="B790:D790"/>
    <mergeCell ref="AC790:AE790"/>
    <mergeCell ref="B791:D791"/>
    <mergeCell ref="B922:D922"/>
    <mergeCell ref="AC922:AE922"/>
    <mergeCell ref="B923:D923"/>
    <mergeCell ref="AC923:AE923"/>
    <mergeCell ref="B924:D924"/>
    <mergeCell ref="AC924:AE924"/>
    <mergeCell ref="B880:D880"/>
    <mergeCell ref="B881:D881"/>
    <mergeCell ref="AC881:AE881"/>
    <mergeCell ref="AC882:AE882"/>
    <mergeCell ref="B921:D921"/>
    <mergeCell ref="B842:D842"/>
    <mergeCell ref="AC842:AE842"/>
    <mergeCell ref="B843:D843"/>
    <mergeCell ref="AC843:AE843"/>
    <mergeCell ref="B844:D844"/>
    <mergeCell ref="B839:D839"/>
    <mergeCell ref="B840:D840"/>
    <mergeCell ref="AC840:AE840"/>
    <mergeCell ref="B841:D841"/>
    <mergeCell ref="AC841:AE841"/>
    <mergeCell ref="B916:D916"/>
    <mergeCell ref="AC916:AE916"/>
    <mergeCell ref="AC750:AE750"/>
    <mergeCell ref="B751:D751"/>
    <mergeCell ref="AC751:AE751"/>
    <mergeCell ref="B746:D746"/>
    <mergeCell ref="AC746:AE746"/>
    <mergeCell ref="B747:D747"/>
    <mergeCell ref="AC747:AE747"/>
    <mergeCell ref="B748:D748"/>
    <mergeCell ref="AC748:AE748"/>
    <mergeCell ref="B801:D801"/>
    <mergeCell ref="AC801:AE801"/>
    <mergeCell ref="B802:D802"/>
    <mergeCell ref="AC802:AE802"/>
    <mergeCell ref="B803:D803"/>
    <mergeCell ref="B762:D762"/>
    <mergeCell ref="B798:D798"/>
    <mergeCell ref="B799:D799"/>
    <mergeCell ref="AC799:AE799"/>
    <mergeCell ref="B800:D800"/>
    <mergeCell ref="AC800:AE800"/>
    <mergeCell ref="B759:D759"/>
    <mergeCell ref="AC759:AE759"/>
    <mergeCell ref="B760:D760"/>
    <mergeCell ref="AC760:AE760"/>
    <mergeCell ref="B761:D761"/>
    <mergeCell ref="AC761:AE761"/>
    <mergeCell ref="B796:D796"/>
    <mergeCell ref="AC796:AE796"/>
    <mergeCell ref="B797:D797"/>
    <mergeCell ref="AC797:AE797"/>
    <mergeCell ref="AC798:AE798"/>
    <mergeCell ref="AC803:AE803"/>
    <mergeCell ref="AC630:AE630"/>
    <mergeCell ref="B631:D631"/>
    <mergeCell ref="AC631:AE631"/>
    <mergeCell ref="B626:D626"/>
    <mergeCell ref="AC626:AE626"/>
    <mergeCell ref="B627:D627"/>
    <mergeCell ref="AC627:AE627"/>
    <mergeCell ref="B628:D628"/>
    <mergeCell ref="AC628:AE628"/>
    <mergeCell ref="B716:D716"/>
    <mergeCell ref="AC717:AE717"/>
    <mergeCell ref="B757:D757"/>
    <mergeCell ref="B758:D758"/>
    <mergeCell ref="AC758:AE758"/>
    <mergeCell ref="B678:D678"/>
    <mergeCell ref="AC678:AE678"/>
    <mergeCell ref="B679:D679"/>
    <mergeCell ref="AC679:AE679"/>
    <mergeCell ref="B680:D680"/>
    <mergeCell ref="B675:D675"/>
    <mergeCell ref="B676:D676"/>
    <mergeCell ref="AC676:AE676"/>
    <mergeCell ref="B677:D677"/>
    <mergeCell ref="AC677:AE677"/>
    <mergeCell ref="B637:D637"/>
    <mergeCell ref="AC637:AE637"/>
    <mergeCell ref="B638:D638"/>
    <mergeCell ref="AC638:AE638"/>
    <mergeCell ref="B639:D639"/>
    <mergeCell ref="B749:D749"/>
    <mergeCell ref="AC749:AE749"/>
    <mergeCell ref="B750:D750"/>
    <mergeCell ref="AC503:AE503"/>
    <mergeCell ref="B504:D504"/>
    <mergeCell ref="AC504:AE504"/>
    <mergeCell ref="B505:D505"/>
    <mergeCell ref="AC505:AE505"/>
    <mergeCell ref="AC502:AE502"/>
    <mergeCell ref="AC497:AE497"/>
    <mergeCell ref="B494:D494"/>
    <mergeCell ref="AC494:AE494"/>
    <mergeCell ref="B634:D634"/>
    <mergeCell ref="B635:D635"/>
    <mergeCell ref="AC635:AE635"/>
    <mergeCell ref="B636:D636"/>
    <mergeCell ref="AC636:AE636"/>
    <mergeCell ref="B596:D596"/>
    <mergeCell ref="AC596:AE596"/>
    <mergeCell ref="B597:D597"/>
    <mergeCell ref="AC597:AE597"/>
    <mergeCell ref="B598:D598"/>
    <mergeCell ref="B593:D593"/>
    <mergeCell ref="B594:D594"/>
    <mergeCell ref="AC594:AE594"/>
    <mergeCell ref="B595:D595"/>
    <mergeCell ref="AC595:AE595"/>
    <mergeCell ref="B514:D514"/>
    <mergeCell ref="AC514:AE514"/>
    <mergeCell ref="B515:D515"/>
    <mergeCell ref="AC515:AE515"/>
    <mergeCell ref="B516:D516"/>
    <mergeCell ref="B629:D629"/>
    <mergeCell ref="AC629:AE629"/>
    <mergeCell ref="B630:D630"/>
    <mergeCell ref="AC422:AE422"/>
    <mergeCell ref="B423:D423"/>
    <mergeCell ref="AC423:AE423"/>
    <mergeCell ref="B418:D418"/>
    <mergeCell ref="AC418:AE418"/>
    <mergeCell ref="B419:D419"/>
    <mergeCell ref="AC419:AE419"/>
    <mergeCell ref="B420:D420"/>
    <mergeCell ref="AC420:AE420"/>
    <mergeCell ref="B511:D511"/>
    <mergeCell ref="B512:D512"/>
    <mergeCell ref="AC512:AE512"/>
    <mergeCell ref="B513:D513"/>
    <mergeCell ref="AC513:AE513"/>
    <mergeCell ref="B473:D473"/>
    <mergeCell ref="AC473:AE473"/>
    <mergeCell ref="B474:D474"/>
    <mergeCell ref="AC474:AE474"/>
    <mergeCell ref="B475:D475"/>
    <mergeCell ref="B434:D434"/>
    <mergeCell ref="B470:D470"/>
    <mergeCell ref="B471:D471"/>
    <mergeCell ref="AC471:AE471"/>
    <mergeCell ref="B472:D472"/>
    <mergeCell ref="AC472:AE472"/>
    <mergeCell ref="B431:D431"/>
    <mergeCell ref="AC431:AE431"/>
    <mergeCell ref="B432:D432"/>
    <mergeCell ref="AC432:AE432"/>
    <mergeCell ref="B433:D433"/>
    <mergeCell ref="AC433:AE433"/>
    <mergeCell ref="B503:D503"/>
    <mergeCell ref="AC302:AE302"/>
    <mergeCell ref="B303:D303"/>
    <mergeCell ref="AC303:AE303"/>
    <mergeCell ref="B298:D298"/>
    <mergeCell ref="AC298:AE298"/>
    <mergeCell ref="B299:D299"/>
    <mergeCell ref="AC299:AE299"/>
    <mergeCell ref="B300:D300"/>
    <mergeCell ref="AC300:AE300"/>
    <mergeCell ref="AC392:AE392"/>
    <mergeCell ref="B393:D393"/>
    <mergeCell ref="B429:D429"/>
    <mergeCell ref="B430:D430"/>
    <mergeCell ref="AC430:AE430"/>
    <mergeCell ref="B350:D350"/>
    <mergeCell ref="AC350:AE350"/>
    <mergeCell ref="B351:D351"/>
    <mergeCell ref="AC351:AE351"/>
    <mergeCell ref="B352:D352"/>
    <mergeCell ref="B347:D347"/>
    <mergeCell ref="B348:D348"/>
    <mergeCell ref="AC348:AE348"/>
    <mergeCell ref="B349:D349"/>
    <mergeCell ref="AC349:AE349"/>
    <mergeCell ref="B309:D309"/>
    <mergeCell ref="AC309:AE309"/>
    <mergeCell ref="B310:D310"/>
    <mergeCell ref="AC310:AE310"/>
    <mergeCell ref="B311:D311"/>
    <mergeCell ref="B421:D421"/>
    <mergeCell ref="AC421:AE421"/>
    <mergeCell ref="B422:D422"/>
    <mergeCell ref="B162:D162"/>
    <mergeCell ref="AC162:AE162"/>
    <mergeCell ref="B163:D163"/>
    <mergeCell ref="AC163:AE163"/>
    <mergeCell ref="B164:D164"/>
    <mergeCell ref="AC164:AE164"/>
    <mergeCell ref="B159:D159"/>
    <mergeCell ref="AC159:AE159"/>
    <mergeCell ref="B160:D160"/>
    <mergeCell ref="B306:D306"/>
    <mergeCell ref="B307:D307"/>
    <mergeCell ref="AC307:AE307"/>
    <mergeCell ref="B308:D308"/>
    <mergeCell ref="AC308:AE308"/>
    <mergeCell ref="B268:D268"/>
    <mergeCell ref="AC268:AE268"/>
    <mergeCell ref="B269:D269"/>
    <mergeCell ref="AC269:AE269"/>
    <mergeCell ref="B270:D270"/>
    <mergeCell ref="B265:D265"/>
    <mergeCell ref="B266:D266"/>
    <mergeCell ref="AC266:AE266"/>
    <mergeCell ref="B267:D267"/>
    <mergeCell ref="AC267:AE267"/>
    <mergeCell ref="B188:D188"/>
    <mergeCell ref="AC227:AE227"/>
    <mergeCell ref="B228:D228"/>
    <mergeCell ref="AC228:AE228"/>
    <mergeCell ref="B229:D229"/>
    <mergeCell ref="B301:D301"/>
    <mergeCell ref="AC301:AE301"/>
    <mergeCell ref="B302:D302"/>
    <mergeCell ref="B132:D132"/>
    <mergeCell ref="AC132:AE132"/>
    <mergeCell ref="B133:D133"/>
    <mergeCell ref="AC133:AE133"/>
    <mergeCell ref="B134:D134"/>
    <mergeCell ref="AC134:AE134"/>
    <mergeCell ref="B129:D129"/>
    <mergeCell ref="AC129:AE129"/>
    <mergeCell ref="B130:D130"/>
    <mergeCell ref="AC130:AE130"/>
    <mergeCell ref="B131:D131"/>
    <mergeCell ref="AC131:AE131"/>
    <mergeCell ref="B126:D126"/>
    <mergeCell ref="AC126:AE126"/>
    <mergeCell ref="B127:D127"/>
    <mergeCell ref="B185:D185"/>
    <mergeCell ref="AC185:AE185"/>
    <mergeCell ref="B146:D146"/>
    <mergeCell ref="B182:D182"/>
    <mergeCell ref="AC182:AE182"/>
    <mergeCell ref="B183:D183"/>
    <mergeCell ref="B184:D184"/>
    <mergeCell ref="AC184:AE184"/>
    <mergeCell ref="B143:D143"/>
    <mergeCell ref="AC143:AE143"/>
    <mergeCell ref="B144:D144"/>
    <mergeCell ref="AC144:AE144"/>
    <mergeCell ref="B145:D145"/>
    <mergeCell ref="AC145:AE145"/>
    <mergeCell ref="B180:D180"/>
    <mergeCell ref="AC180:AE180"/>
    <mergeCell ref="B181:D181"/>
    <mergeCell ref="AC53:AE53"/>
    <mergeCell ref="AC54:AE54"/>
    <mergeCell ref="AC55:AE55"/>
    <mergeCell ref="AC56:AE56"/>
    <mergeCell ref="B1288:D1288"/>
    <mergeCell ref="AC1288:AE1288"/>
    <mergeCell ref="B1285:D1285"/>
    <mergeCell ref="AC1285:AE1285"/>
    <mergeCell ref="B1286:D1286"/>
    <mergeCell ref="AC1286:AE1286"/>
    <mergeCell ref="B1287:D1287"/>
    <mergeCell ref="AC1287:AE1287"/>
    <mergeCell ref="B1282:D1282"/>
    <mergeCell ref="AC1282:AE1282"/>
    <mergeCell ref="B1283:D1283"/>
    <mergeCell ref="AC1283:AE1283"/>
    <mergeCell ref="B1284:D1284"/>
    <mergeCell ref="AC1284:AE1284"/>
    <mergeCell ref="B1279:D1279"/>
    <mergeCell ref="AC1279:AE1279"/>
    <mergeCell ref="B104:D104"/>
    <mergeCell ref="B140:D140"/>
    <mergeCell ref="AC140:AE140"/>
    <mergeCell ref="B141:D141"/>
    <mergeCell ref="B142:D142"/>
    <mergeCell ref="AC142:AE142"/>
    <mergeCell ref="AC102:AE102"/>
    <mergeCell ref="B100:D100"/>
    <mergeCell ref="B101:D101"/>
    <mergeCell ref="B102:D102"/>
    <mergeCell ref="B103:D103"/>
    <mergeCell ref="AC103:AE103"/>
    <mergeCell ref="AC1272:AE1272"/>
    <mergeCell ref="AC1267:AE1267"/>
    <mergeCell ref="B1264:D1264"/>
    <mergeCell ref="AC1264:AE1264"/>
    <mergeCell ref="B1265:D1265"/>
    <mergeCell ref="AC1265:AE1265"/>
    <mergeCell ref="B1266:D1266"/>
    <mergeCell ref="AC1266:AE1266"/>
    <mergeCell ref="B1261:D1261"/>
    <mergeCell ref="AC1261:AE1261"/>
    <mergeCell ref="B1262:D1262"/>
    <mergeCell ref="AC1262:AE1262"/>
    <mergeCell ref="B1263:D1263"/>
    <mergeCell ref="AC1263:AE1263"/>
    <mergeCell ref="B1258:D1258"/>
    <mergeCell ref="AC1258:AE1258"/>
    <mergeCell ref="B1259:D1259"/>
    <mergeCell ref="AC1259:AE1259"/>
    <mergeCell ref="B1260:D1260"/>
    <mergeCell ref="AC1260:AE1260"/>
    <mergeCell ref="B1255:D1255"/>
    <mergeCell ref="AC1255:AE1255"/>
    <mergeCell ref="B1256:D1256"/>
    <mergeCell ref="AC1256:AE1256"/>
    <mergeCell ref="B1257:D1257"/>
    <mergeCell ref="AC1257:AE1257"/>
    <mergeCell ref="B1247:D1247"/>
    <mergeCell ref="AC1247:AE1247"/>
    <mergeCell ref="B1248:D1248"/>
    <mergeCell ref="AC1248:AE1248"/>
    <mergeCell ref="AC1249:AE1249"/>
    <mergeCell ref="AC1254:AE1254"/>
    <mergeCell ref="AC1239:AE1239"/>
    <mergeCell ref="B1240:D1240"/>
    <mergeCell ref="AC1240:AE1240"/>
    <mergeCell ref="B1235:D1235"/>
    <mergeCell ref="AC1235:AE1235"/>
    <mergeCell ref="B1236:D1236"/>
    <mergeCell ref="AC1236:AE1236"/>
    <mergeCell ref="B1237:D1237"/>
    <mergeCell ref="AC1237:AE1237"/>
    <mergeCell ref="B1241:D1241"/>
    <mergeCell ref="AC1241:AE1241"/>
    <mergeCell ref="B1242:D1242"/>
    <mergeCell ref="AC1242:AE1242"/>
    <mergeCell ref="B1243:D1243"/>
    <mergeCell ref="AC1243:AE1243"/>
    <mergeCell ref="B1238:D1238"/>
    <mergeCell ref="AC1238:AE1238"/>
    <mergeCell ref="B1239:D1239"/>
    <mergeCell ref="B1232:D1232"/>
    <mergeCell ref="AC1232:AE1232"/>
    <mergeCell ref="B1233:D1233"/>
    <mergeCell ref="AC1233:AE1233"/>
    <mergeCell ref="B1234:D1234"/>
    <mergeCell ref="AC1234:AE1234"/>
    <mergeCell ref="B1229:D1229"/>
    <mergeCell ref="AC1229:AE1229"/>
    <mergeCell ref="B1230:D1230"/>
    <mergeCell ref="AC1230:AE1230"/>
    <mergeCell ref="B1231:D1231"/>
    <mergeCell ref="AC1231:AE1231"/>
    <mergeCell ref="B1226:D1226"/>
    <mergeCell ref="AC1226:AE1226"/>
    <mergeCell ref="B1227:D1227"/>
    <mergeCell ref="AC1227:AE1227"/>
    <mergeCell ref="B1228:D1228"/>
    <mergeCell ref="AC1228:AE1228"/>
    <mergeCell ref="B1223:D1223"/>
    <mergeCell ref="AC1223:AE1223"/>
    <mergeCell ref="B1224:D1224"/>
    <mergeCell ref="AC1224:AE1224"/>
    <mergeCell ref="B1225:D1225"/>
    <mergeCell ref="AC1225:AE1225"/>
    <mergeCell ref="B1220:D1220"/>
    <mergeCell ref="AC1220:AE1220"/>
    <mergeCell ref="B1221:D1221"/>
    <mergeCell ref="AC1221:AE1221"/>
    <mergeCell ref="B1222:D1222"/>
    <mergeCell ref="AC1222:AE1222"/>
    <mergeCell ref="AC1217:AE1217"/>
    <mergeCell ref="B1218:D1218"/>
    <mergeCell ref="AC1218:AE1218"/>
    <mergeCell ref="B1219:D1219"/>
    <mergeCell ref="AC1219:AE1219"/>
    <mergeCell ref="B1206:D1206"/>
    <mergeCell ref="AC1206:AE1206"/>
    <mergeCell ref="B1207:D1207"/>
    <mergeCell ref="AC1207:AE1207"/>
    <mergeCell ref="AC1208:AE1208"/>
    <mergeCell ref="B1203:D1203"/>
    <mergeCell ref="AC1203:AE1203"/>
    <mergeCell ref="B1204:D1204"/>
    <mergeCell ref="AC1204:AE1204"/>
    <mergeCell ref="B1205:D1205"/>
    <mergeCell ref="AC1205:AE1205"/>
    <mergeCell ref="B1200:D1200"/>
    <mergeCell ref="AC1200:AE1200"/>
    <mergeCell ref="B1201:D1201"/>
    <mergeCell ref="AC1201:AE1201"/>
    <mergeCell ref="B1202:D1202"/>
    <mergeCell ref="AC1202:AE1202"/>
    <mergeCell ref="B1197:D1197"/>
    <mergeCell ref="AC1197:AE1197"/>
    <mergeCell ref="B1198:D1198"/>
    <mergeCell ref="AC1198:AE1198"/>
    <mergeCell ref="B1199:D1199"/>
    <mergeCell ref="AC1199:AE1199"/>
    <mergeCell ref="B1194:D1194"/>
    <mergeCell ref="AC1194:AE1194"/>
    <mergeCell ref="B1195:D1195"/>
    <mergeCell ref="AC1195:AE1195"/>
    <mergeCell ref="B1196:D1196"/>
    <mergeCell ref="AC1196:AE1196"/>
    <mergeCell ref="B1191:D1191"/>
    <mergeCell ref="AC1191:AE1191"/>
    <mergeCell ref="B1192:D1192"/>
    <mergeCell ref="AC1192:AE1192"/>
    <mergeCell ref="B1193:D1193"/>
    <mergeCell ref="AC1193:AE1193"/>
    <mergeCell ref="B1188:D1188"/>
    <mergeCell ref="AC1188:AE1188"/>
    <mergeCell ref="B1189:D1189"/>
    <mergeCell ref="AC1189:AE1189"/>
    <mergeCell ref="B1190:D1190"/>
    <mergeCell ref="AC1190:AE1190"/>
    <mergeCell ref="B1185:D1185"/>
    <mergeCell ref="AC1185:AE1185"/>
    <mergeCell ref="B1186:D1186"/>
    <mergeCell ref="AC1186:AE1186"/>
    <mergeCell ref="B1187:D1187"/>
    <mergeCell ref="AC1187:AE1187"/>
    <mergeCell ref="B1182:D1182"/>
    <mergeCell ref="AC1182:AE1182"/>
    <mergeCell ref="B1183:D1183"/>
    <mergeCell ref="AC1183:AE1183"/>
    <mergeCell ref="B1184:D1184"/>
    <mergeCell ref="AC1184:AE1184"/>
    <mergeCell ref="B1179:D1179"/>
    <mergeCell ref="AC1179:AE1179"/>
    <mergeCell ref="B1180:D1180"/>
    <mergeCell ref="AC1180:AE1180"/>
    <mergeCell ref="B1181:D1181"/>
    <mergeCell ref="AC1181:AE1181"/>
    <mergeCell ref="B1176:D1176"/>
    <mergeCell ref="AC1176:AE1176"/>
    <mergeCell ref="B1177:D1177"/>
    <mergeCell ref="AC1177:AE1177"/>
    <mergeCell ref="B1178:D1178"/>
    <mergeCell ref="AC1178:AE1178"/>
    <mergeCell ref="B1173:D1173"/>
    <mergeCell ref="AC1173:AE1173"/>
    <mergeCell ref="B1174:D1174"/>
    <mergeCell ref="AC1174:AE1174"/>
    <mergeCell ref="B1175:D1175"/>
    <mergeCell ref="AC1175:AE1175"/>
    <mergeCell ref="AC1156:AE1156"/>
    <mergeCell ref="AC1157:AE1157"/>
    <mergeCell ref="B1153:D1153"/>
    <mergeCell ref="AC1153:AE1153"/>
    <mergeCell ref="B1154:D1154"/>
    <mergeCell ref="AC1154:AE1154"/>
    <mergeCell ref="B1155:D1155"/>
    <mergeCell ref="AC1155:AE1155"/>
    <mergeCell ref="B1150:D1150"/>
    <mergeCell ref="AC1150:AE1150"/>
    <mergeCell ref="B1151:D1151"/>
    <mergeCell ref="AC1151:AE1151"/>
    <mergeCell ref="B1152:D1152"/>
    <mergeCell ref="AC1152:AE1152"/>
    <mergeCell ref="B1147:D1147"/>
    <mergeCell ref="AC1147:AE1147"/>
    <mergeCell ref="B1148:D1148"/>
    <mergeCell ref="AC1148:AE1148"/>
    <mergeCell ref="B1149:D1149"/>
    <mergeCell ref="AC1149:AE1149"/>
    <mergeCell ref="B1144:D1144"/>
    <mergeCell ref="AC1144:AE1144"/>
    <mergeCell ref="B1145:D1145"/>
    <mergeCell ref="AC1145:AE1145"/>
    <mergeCell ref="B1146:D1146"/>
    <mergeCell ref="AC1146:AE1146"/>
    <mergeCell ref="B1141:D1141"/>
    <mergeCell ref="AC1141:AE1141"/>
    <mergeCell ref="B1142:D1142"/>
    <mergeCell ref="AC1142:AE1142"/>
    <mergeCell ref="B1143:D1143"/>
    <mergeCell ref="AC1143:AE1143"/>
    <mergeCell ref="B1138:D1138"/>
    <mergeCell ref="AC1138:AE1138"/>
    <mergeCell ref="B1139:D1139"/>
    <mergeCell ref="AC1139:AE1139"/>
    <mergeCell ref="B1140:D1140"/>
    <mergeCell ref="AC1140:AE1140"/>
    <mergeCell ref="B1135:D1135"/>
    <mergeCell ref="AC1135:AE1135"/>
    <mergeCell ref="B1136:D1136"/>
    <mergeCell ref="AC1136:AE1136"/>
    <mergeCell ref="B1137:D1137"/>
    <mergeCell ref="AC1137:AE1137"/>
    <mergeCell ref="B1132:D1132"/>
    <mergeCell ref="AC1132:AE1132"/>
    <mergeCell ref="B1133:D1133"/>
    <mergeCell ref="AC1133:AE1133"/>
    <mergeCell ref="B1134:D1134"/>
    <mergeCell ref="AC1134:AE1134"/>
    <mergeCell ref="B1124:D1124"/>
    <mergeCell ref="AC1124:AE1124"/>
    <mergeCell ref="B1125:D1125"/>
    <mergeCell ref="AC1125:AE1125"/>
    <mergeCell ref="AC1126:AE1126"/>
    <mergeCell ref="AC1131:AE1131"/>
    <mergeCell ref="B1121:D1121"/>
    <mergeCell ref="AC1121:AE1121"/>
    <mergeCell ref="B1122:D1122"/>
    <mergeCell ref="AC1122:AE1122"/>
    <mergeCell ref="B1123:D1123"/>
    <mergeCell ref="AC1123:AE1123"/>
    <mergeCell ref="B1118:D1118"/>
    <mergeCell ref="AC1118:AE1118"/>
    <mergeCell ref="B1119:D1119"/>
    <mergeCell ref="AC1119:AE1119"/>
    <mergeCell ref="B1120:D1120"/>
    <mergeCell ref="AC1120:AE1120"/>
    <mergeCell ref="B1115:D1115"/>
    <mergeCell ref="AC1115:AE1115"/>
    <mergeCell ref="B1116:D1116"/>
    <mergeCell ref="AC1116:AE1116"/>
    <mergeCell ref="B1117:D1117"/>
    <mergeCell ref="AC1117:AE1117"/>
    <mergeCell ref="B1112:D1112"/>
    <mergeCell ref="AC1112:AE1112"/>
    <mergeCell ref="B1113:D1113"/>
    <mergeCell ref="AC1113:AE1113"/>
    <mergeCell ref="B1114:D1114"/>
    <mergeCell ref="AC1114:AE1114"/>
    <mergeCell ref="B1109:D1109"/>
    <mergeCell ref="AC1109:AE1109"/>
    <mergeCell ref="B1110:D1110"/>
    <mergeCell ref="AC1110:AE1110"/>
    <mergeCell ref="B1111:D1111"/>
    <mergeCell ref="AC1111:AE1111"/>
    <mergeCell ref="AC1107:AE1107"/>
    <mergeCell ref="B1108:D1108"/>
    <mergeCell ref="AC1108:AE1108"/>
    <mergeCell ref="B1100:D1100"/>
    <mergeCell ref="AC1100:AE1100"/>
    <mergeCell ref="B1101:D1101"/>
    <mergeCell ref="AC1101:AE1101"/>
    <mergeCell ref="AC1102:AE1102"/>
    <mergeCell ref="B1097:D1097"/>
    <mergeCell ref="AC1097:AE1097"/>
    <mergeCell ref="B1098:D1098"/>
    <mergeCell ref="AC1098:AE1098"/>
    <mergeCell ref="B1099:D1099"/>
    <mergeCell ref="AC1099:AE1099"/>
    <mergeCell ref="B1094:D1094"/>
    <mergeCell ref="AC1094:AE1094"/>
    <mergeCell ref="B1095:D1095"/>
    <mergeCell ref="AC1095:AE1095"/>
    <mergeCell ref="B1096:D1096"/>
    <mergeCell ref="AC1096:AE1096"/>
    <mergeCell ref="B1091:D1091"/>
    <mergeCell ref="AC1091:AE1091"/>
    <mergeCell ref="B1092:D1092"/>
    <mergeCell ref="AC1092:AE1092"/>
    <mergeCell ref="B1093:D1093"/>
    <mergeCell ref="AC1093:AE1093"/>
    <mergeCell ref="AC1082:AE1082"/>
    <mergeCell ref="B1077:D1077"/>
    <mergeCell ref="AC1077:AE1077"/>
    <mergeCell ref="B1078:D1078"/>
    <mergeCell ref="AC1078:AE1078"/>
    <mergeCell ref="B1079:D1079"/>
    <mergeCell ref="AC1079:AE1079"/>
    <mergeCell ref="B1074:D1074"/>
    <mergeCell ref="AC1074:AE1074"/>
    <mergeCell ref="B1075:D1075"/>
    <mergeCell ref="AC1075:AE1075"/>
    <mergeCell ref="B1076:D1076"/>
    <mergeCell ref="AC1076:AE1076"/>
    <mergeCell ref="B1071:D1071"/>
    <mergeCell ref="AC1071:AE1071"/>
    <mergeCell ref="B1072:D1072"/>
    <mergeCell ref="AC1072:AE1072"/>
    <mergeCell ref="B1073:D1073"/>
    <mergeCell ref="AC1073:AE1073"/>
    <mergeCell ref="B1068:D1068"/>
    <mergeCell ref="AC1068:AE1068"/>
    <mergeCell ref="B1069:D1069"/>
    <mergeCell ref="AC1069:AE1069"/>
    <mergeCell ref="B1070:D1070"/>
    <mergeCell ref="AC1070:AE1070"/>
    <mergeCell ref="B1065:D1065"/>
    <mergeCell ref="AC1065:AE1065"/>
    <mergeCell ref="B1066:D1066"/>
    <mergeCell ref="AC1066:AE1066"/>
    <mergeCell ref="B1067:D1067"/>
    <mergeCell ref="AC1067:AE1067"/>
    <mergeCell ref="B1062:D1062"/>
    <mergeCell ref="AC1062:AE1062"/>
    <mergeCell ref="B1063:D1063"/>
    <mergeCell ref="AC1063:AE1063"/>
    <mergeCell ref="B1064:D1064"/>
    <mergeCell ref="AC1064:AE1064"/>
    <mergeCell ref="B1059:D1059"/>
    <mergeCell ref="AC1059:AE1059"/>
    <mergeCell ref="B1060:D1060"/>
    <mergeCell ref="AC1060:AE1060"/>
    <mergeCell ref="B1061:D1061"/>
    <mergeCell ref="AC1061:AE1061"/>
    <mergeCell ref="B1056:D1056"/>
    <mergeCell ref="AC1056:AE1056"/>
    <mergeCell ref="B1057:D1057"/>
    <mergeCell ref="AC1057:AE1057"/>
    <mergeCell ref="B1058:D1058"/>
    <mergeCell ref="AC1058:AE1058"/>
    <mergeCell ref="B1053:D1053"/>
    <mergeCell ref="AC1053:AE1053"/>
    <mergeCell ref="B1054:D1054"/>
    <mergeCell ref="AC1054:AE1054"/>
    <mergeCell ref="B1055:D1055"/>
    <mergeCell ref="AC1055:AE1055"/>
    <mergeCell ref="AC1052:AE1052"/>
    <mergeCell ref="B1042:D1042"/>
    <mergeCell ref="AC1042:AE1042"/>
    <mergeCell ref="B1043:D1043"/>
    <mergeCell ref="AC1043:AE1043"/>
    <mergeCell ref="AC1044:AE1044"/>
    <mergeCell ref="B1039:D1039"/>
    <mergeCell ref="AC1039:AE1039"/>
    <mergeCell ref="B1040:D1040"/>
    <mergeCell ref="AC1040:AE1040"/>
    <mergeCell ref="B1041:D1041"/>
    <mergeCell ref="AC1041:AE1041"/>
    <mergeCell ref="B1036:D1036"/>
    <mergeCell ref="AC1036:AE1036"/>
    <mergeCell ref="B1037:D1037"/>
    <mergeCell ref="AC1037:AE1037"/>
    <mergeCell ref="B1038:D1038"/>
    <mergeCell ref="AC1038:AE1038"/>
    <mergeCell ref="B1033:D1033"/>
    <mergeCell ref="AC1033:AE1033"/>
    <mergeCell ref="B1034:D1034"/>
    <mergeCell ref="AC1034:AE1034"/>
    <mergeCell ref="B1035:D1035"/>
    <mergeCell ref="AC1035:AE1035"/>
    <mergeCell ref="B1030:D1030"/>
    <mergeCell ref="AC1030:AE1030"/>
    <mergeCell ref="B1031:D1031"/>
    <mergeCell ref="AC1031:AE1031"/>
    <mergeCell ref="B1032:D1032"/>
    <mergeCell ref="AC1032:AE1032"/>
    <mergeCell ref="B1027:D1027"/>
    <mergeCell ref="AC1027:AE1027"/>
    <mergeCell ref="B1028:D1028"/>
    <mergeCell ref="AC1028:AE1028"/>
    <mergeCell ref="B1029:D1029"/>
    <mergeCell ref="AC1029:AE1029"/>
    <mergeCell ref="B1024:D1024"/>
    <mergeCell ref="AC1024:AE1024"/>
    <mergeCell ref="B1025:D1025"/>
    <mergeCell ref="AC1025:AE1025"/>
    <mergeCell ref="B1026:D1026"/>
    <mergeCell ref="AC1026:AE1026"/>
    <mergeCell ref="B1021:D1021"/>
    <mergeCell ref="AC1021:AE1021"/>
    <mergeCell ref="B1022:D1022"/>
    <mergeCell ref="AC1022:AE1022"/>
    <mergeCell ref="B1023:D1023"/>
    <mergeCell ref="AC1023:AE1023"/>
    <mergeCell ref="B1018:D1018"/>
    <mergeCell ref="AC1018:AE1018"/>
    <mergeCell ref="B1019:D1019"/>
    <mergeCell ref="AC1019:AE1019"/>
    <mergeCell ref="B1020:D1020"/>
    <mergeCell ref="AC1020:AE1020"/>
    <mergeCell ref="B1015:D1015"/>
    <mergeCell ref="AC1015:AE1015"/>
    <mergeCell ref="B1016:D1016"/>
    <mergeCell ref="AC1016:AE1016"/>
    <mergeCell ref="B1017:D1017"/>
    <mergeCell ref="AC1017:AE1017"/>
    <mergeCell ref="B1012:D1012"/>
    <mergeCell ref="AC1012:AE1012"/>
    <mergeCell ref="B1013:D1013"/>
    <mergeCell ref="AC1013:AE1013"/>
    <mergeCell ref="B1014:D1014"/>
    <mergeCell ref="AC1014:AE1014"/>
    <mergeCell ref="B1009:D1009"/>
    <mergeCell ref="AC1009:AE1009"/>
    <mergeCell ref="B1010:D1010"/>
    <mergeCell ref="AC1010:AE1010"/>
    <mergeCell ref="B1011:D1011"/>
    <mergeCell ref="AC1011:AE1011"/>
    <mergeCell ref="AC1008:AE1008"/>
    <mergeCell ref="B998:D998"/>
    <mergeCell ref="AC998:AE998"/>
    <mergeCell ref="B999:D999"/>
    <mergeCell ref="AC999:AE999"/>
    <mergeCell ref="B1000:D1000"/>
    <mergeCell ref="AC1000:AE1000"/>
    <mergeCell ref="AC997:AE997"/>
    <mergeCell ref="AC992:AE992"/>
    <mergeCell ref="B989:D989"/>
    <mergeCell ref="AC989:AE989"/>
    <mergeCell ref="B990:D990"/>
    <mergeCell ref="AC990:AE990"/>
    <mergeCell ref="B991:D991"/>
    <mergeCell ref="AC991:AE991"/>
    <mergeCell ref="B986:D986"/>
    <mergeCell ref="AC986:AE986"/>
    <mergeCell ref="B987:D987"/>
    <mergeCell ref="AC987:AE987"/>
    <mergeCell ref="B988:D988"/>
    <mergeCell ref="AC988:AE988"/>
    <mergeCell ref="AC981:AE981"/>
    <mergeCell ref="B982:D982"/>
    <mergeCell ref="AC982:AE982"/>
    <mergeCell ref="B977:D977"/>
    <mergeCell ref="AC977:AE977"/>
    <mergeCell ref="B978:D978"/>
    <mergeCell ref="AC978:AE978"/>
    <mergeCell ref="B979:D979"/>
    <mergeCell ref="AC979:AE979"/>
    <mergeCell ref="B974:D974"/>
    <mergeCell ref="AC974:AE974"/>
    <mergeCell ref="B975:D975"/>
    <mergeCell ref="AC975:AE975"/>
    <mergeCell ref="B976:D976"/>
    <mergeCell ref="AC976:AE976"/>
    <mergeCell ref="B971:D971"/>
    <mergeCell ref="AC971:AE971"/>
    <mergeCell ref="B972:D972"/>
    <mergeCell ref="AC972:AE972"/>
    <mergeCell ref="B973:D973"/>
    <mergeCell ref="AC973:AE973"/>
    <mergeCell ref="B968:D968"/>
    <mergeCell ref="AC968:AE968"/>
    <mergeCell ref="B969:D969"/>
    <mergeCell ref="AC969:AE969"/>
    <mergeCell ref="B970:D970"/>
    <mergeCell ref="AC970:AE970"/>
    <mergeCell ref="B960:D960"/>
    <mergeCell ref="AC960:AE960"/>
    <mergeCell ref="B961:D961"/>
    <mergeCell ref="AC961:AE961"/>
    <mergeCell ref="AC962:AE962"/>
    <mergeCell ref="AC967:AE967"/>
    <mergeCell ref="B957:D957"/>
    <mergeCell ref="AC957:AE957"/>
    <mergeCell ref="B958:D958"/>
    <mergeCell ref="AC958:AE958"/>
    <mergeCell ref="B959:D959"/>
    <mergeCell ref="AC959:AE959"/>
    <mergeCell ref="B954:D954"/>
    <mergeCell ref="AC954:AE954"/>
    <mergeCell ref="B955:D955"/>
    <mergeCell ref="AC955:AE955"/>
    <mergeCell ref="B956:D956"/>
    <mergeCell ref="AC956:AE956"/>
    <mergeCell ref="B951:D951"/>
    <mergeCell ref="AC951:AE951"/>
    <mergeCell ref="B952:D952"/>
    <mergeCell ref="AC952:AE952"/>
    <mergeCell ref="B953:D953"/>
    <mergeCell ref="AC953:AE953"/>
    <mergeCell ref="B948:D948"/>
    <mergeCell ref="AC948:AE948"/>
    <mergeCell ref="B949:D949"/>
    <mergeCell ref="AC949:AE949"/>
    <mergeCell ref="B950:D950"/>
    <mergeCell ref="AC950:AE950"/>
    <mergeCell ref="B945:D945"/>
    <mergeCell ref="AC945:AE945"/>
    <mergeCell ref="B946:D946"/>
    <mergeCell ref="AC946:AE946"/>
    <mergeCell ref="B947:D947"/>
    <mergeCell ref="AC947:AE947"/>
    <mergeCell ref="AC942:AE942"/>
    <mergeCell ref="B943:D943"/>
    <mergeCell ref="AC943:AE943"/>
    <mergeCell ref="B944:D944"/>
    <mergeCell ref="AC944:AE944"/>
    <mergeCell ref="B936:D936"/>
    <mergeCell ref="AC936:AE936"/>
    <mergeCell ref="AC937:AE937"/>
    <mergeCell ref="B933:D933"/>
    <mergeCell ref="AC933:AE933"/>
    <mergeCell ref="B934:D934"/>
    <mergeCell ref="AC934:AE934"/>
    <mergeCell ref="B935:D935"/>
    <mergeCell ref="AC935:AE935"/>
    <mergeCell ref="B930:D930"/>
    <mergeCell ref="AC930:AE930"/>
    <mergeCell ref="B931:D931"/>
    <mergeCell ref="AC931:AE931"/>
    <mergeCell ref="B932:D932"/>
    <mergeCell ref="AC932:AE932"/>
    <mergeCell ref="B927:D927"/>
    <mergeCell ref="AC927:AE927"/>
    <mergeCell ref="B928:D928"/>
    <mergeCell ref="AC928:AE928"/>
    <mergeCell ref="B929:D929"/>
    <mergeCell ref="AC929:AE929"/>
    <mergeCell ref="B919:D919"/>
    <mergeCell ref="AC919:AE919"/>
    <mergeCell ref="B920:D920"/>
    <mergeCell ref="AC920:AE920"/>
    <mergeCell ref="AC921:AE921"/>
    <mergeCell ref="AC926:AE926"/>
    <mergeCell ref="AC915:AE915"/>
    <mergeCell ref="B910:D910"/>
    <mergeCell ref="AC910:AE910"/>
    <mergeCell ref="B911:D911"/>
    <mergeCell ref="AC911:AE911"/>
    <mergeCell ref="B912:D912"/>
    <mergeCell ref="AC912:AE912"/>
    <mergeCell ref="B907:D907"/>
    <mergeCell ref="AC907:AE907"/>
    <mergeCell ref="B908:D908"/>
    <mergeCell ref="AC908:AE908"/>
    <mergeCell ref="B909:D909"/>
    <mergeCell ref="AC909:AE909"/>
    <mergeCell ref="B904:D904"/>
    <mergeCell ref="AC904:AE904"/>
    <mergeCell ref="B905:D905"/>
    <mergeCell ref="AC905:AE905"/>
    <mergeCell ref="B906:D906"/>
    <mergeCell ref="AC906:AE906"/>
    <mergeCell ref="B901:D901"/>
    <mergeCell ref="AC901:AE901"/>
    <mergeCell ref="B902:D902"/>
    <mergeCell ref="AC902:AE902"/>
    <mergeCell ref="B903:D903"/>
    <mergeCell ref="AC903:AE903"/>
    <mergeCell ref="B898:D898"/>
    <mergeCell ref="AC898:AE898"/>
    <mergeCell ref="B899:D899"/>
    <mergeCell ref="AC899:AE899"/>
    <mergeCell ref="B900:D900"/>
    <mergeCell ref="AC900:AE900"/>
    <mergeCell ref="B895:D895"/>
    <mergeCell ref="AC895:AE895"/>
    <mergeCell ref="B896:D896"/>
    <mergeCell ref="AC896:AE896"/>
    <mergeCell ref="B897:D897"/>
    <mergeCell ref="AC897:AE897"/>
    <mergeCell ref="B892:D892"/>
    <mergeCell ref="AC892:AE892"/>
    <mergeCell ref="B893:D893"/>
    <mergeCell ref="AC893:AE893"/>
    <mergeCell ref="B894:D894"/>
    <mergeCell ref="AC894:AE894"/>
    <mergeCell ref="B889:D889"/>
    <mergeCell ref="AC889:AE889"/>
    <mergeCell ref="B890:D890"/>
    <mergeCell ref="AC890:AE890"/>
    <mergeCell ref="B891:D891"/>
    <mergeCell ref="AC891:AE891"/>
    <mergeCell ref="AC887:AE887"/>
    <mergeCell ref="B888:D888"/>
    <mergeCell ref="AC888:AE888"/>
    <mergeCell ref="B878:D878"/>
    <mergeCell ref="AC878:AE878"/>
    <mergeCell ref="B879:D879"/>
    <mergeCell ref="AC879:AE879"/>
    <mergeCell ref="AC880:AE880"/>
    <mergeCell ref="B875:D875"/>
    <mergeCell ref="AC875:AE875"/>
    <mergeCell ref="B876:D876"/>
    <mergeCell ref="AC876:AE876"/>
    <mergeCell ref="B877:D877"/>
    <mergeCell ref="AC877:AE877"/>
    <mergeCell ref="B872:D872"/>
    <mergeCell ref="AC872:AE872"/>
    <mergeCell ref="B873:D873"/>
    <mergeCell ref="AC873:AE873"/>
    <mergeCell ref="B874:D874"/>
    <mergeCell ref="AC874:AE874"/>
    <mergeCell ref="B869:D869"/>
    <mergeCell ref="AC869:AE869"/>
    <mergeCell ref="B870:D870"/>
    <mergeCell ref="AC870:AE870"/>
    <mergeCell ref="B871:D871"/>
    <mergeCell ref="AC871:AE871"/>
    <mergeCell ref="B866:D866"/>
    <mergeCell ref="AC866:AE866"/>
    <mergeCell ref="B867:D867"/>
    <mergeCell ref="AC867:AE867"/>
    <mergeCell ref="B868:D868"/>
    <mergeCell ref="AC868:AE868"/>
    <mergeCell ref="B863:D863"/>
    <mergeCell ref="AC863:AE863"/>
    <mergeCell ref="B864:D864"/>
    <mergeCell ref="AC864:AE864"/>
    <mergeCell ref="B865:D865"/>
    <mergeCell ref="AC865:AE865"/>
    <mergeCell ref="B860:D860"/>
    <mergeCell ref="AC860:AE860"/>
    <mergeCell ref="B861:D861"/>
    <mergeCell ref="AC861:AE861"/>
    <mergeCell ref="B862:D862"/>
    <mergeCell ref="AC862:AE862"/>
    <mergeCell ref="B857:D857"/>
    <mergeCell ref="AC857:AE857"/>
    <mergeCell ref="B858:D858"/>
    <mergeCell ref="AC858:AE858"/>
    <mergeCell ref="B859:D859"/>
    <mergeCell ref="AC859:AE859"/>
    <mergeCell ref="B854:D854"/>
    <mergeCell ref="AC854:AE854"/>
    <mergeCell ref="B855:D855"/>
    <mergeCell ref="AC855:AE855"/>
    <mergeCell ref="B856:D856"/>
    <mergeCell ref="AC856:AE856"/>
    <mergeCell ref="B851:D851"/>
    <mergeCell ref="AC851:AE851"/>
    <mergeCell ref="B852:D852"/>
    <mergeCell ref="AC852:AE852"/>
    <mergeCell ref="B853:D853"/>
    <mergeCell ref="AC853:AE853"/>
    <mergeCell ref="B848:D848"/>
    <mergeCell ref="AC848:AE848"/>
    <mergeCell ref="B849:D849"/>
    <mergeCell ref="AC849:AE849"/>
    <mergeCell ref="B850:D850"/>
    <mergeCell ref="AC850:AE850"/>
    <mergeCell ref="B845:D845"/>
    <mergeCell ref="AC845:AE845"/>
    <mergeCell ref="B846:D846"/>
    <mergeCell ref="AC846:AE846"/>
    <mergeCell ref="B847:D847"/>
    <mergeCell ref="AC847:AE847"/>
    <mergeCell ref="B837:D837"/>
    <mergeCell ref="AC837:AE837"/>
    <mergeCell ref="B838:D838"/>
    <mergeCell ref="AC838:AE838"/>
    <mergeCell ref="AC839:AE839"/>
    <mergeCell ref="AC844:AE844"/>
    <mergeCell ref="B834:D834"/>
    <mergeCell ref="AC834:AE834"/>
    <mergeCell ref="B835:D835"/>
    <mergeCell ref="AC835:AE835"/>
    <mergeCell ref="B836:D836"/>
    <mergeCell ref="AC836:AE836"/>
    <mergeCell ref="AC832:AE832"/>
    <mergeCell ref="B833:D833"/>
    <mergeCell ref="AC833:AE833"/>
    <mergeCell ref="B825:D825"/>
    <mergeCell ref="AC825:AE825"/>
    <mergeCell ref="B826:D826"/>
    <mergeCell ref="AC826:AE826"/>
    <mergeCell ref="AC827:AE827"/>
    <mergeCell ref="B822:D822"/>
    <mergeCell ref="AC822:AE822"/>
    <mergeCell ref="B823:D823"/>
    <mergeCell ref="AC823:AE823"/>
    <mergeCell ref="B824:D824"/>
    <mergeCell ref="AC824:AE824"/>
    <mergeCell ref="B819:D819"/>
    <mergeCell ref="AC819:AE819"/>
    <mergeCell ref="B820:D820"/>
    <mergeCell ref="AC820:AE820"/>
    <mergeCell ref="B821:D821"/>
    <mergeCell ref="AC821:AE821"/>
    <mergeCell ref="B816:D816"/>
    <mergeCell ref="AC816:AE816"/>
    <mergeCell ref="B817:D817"/>
    <mergeCell ref="AC817:AE817"/>
    <mergeCell ref="B818:D818"/>
    <mergeCell ref="AC818:AE818"/>
    <mergeCell ref="B813:D813"/>
    <mergeCell ref="AC813:AE813"/>
    <mergeCell ref="B814:D814"/>
    <mergeCell ref="AC814:AE814"/>
    <mergeCell ref="B815:D815"/>
    <mergeCell ref="AC815:AE815"/>
    <mergeCell ref="B810:D810"/>
    <mergeCell ref="AC810:AE810"/>
    <mergeCell ref="B811:D811"/>
    <mergeCell ref="AC811:AE811"/>
    <mergeCell ref="B812:D812"/>
    <mergeCell ref="AC812:AE812"/>
    <mergeCell ref="B807:D807"/>
    <mergeCell ref="AC807:AE807"/>
    <mergeCell ref="B808:D808"/>
    <mergeCell ref="AC808:AE808"/>
    <mergeCell ref="B809:D809"/>
    <mergeCell ref="AC809:AE809"/>
    <mergeCell ref="B804:D804"/>
    <mergeCell ref="AC804:AE804"/>
    <mergeCell ref="B805:D805"/>
    <mergeCell ref="AC805:AE805"/>
    <mergeCell ref="B806:D806"/>
    <mergeCell ref="AC806:AE806"/>
    <mergeCell ref="AC791:AE791"/>
    <mergeCell ref="B792:D792"/>
    <mergeCell ref="AC792:AE792"/>
    <mergeCell ref="B787:D787"/>
    <mergeCell ref="AC787:AE787"/>
    <mergeCell ref="B788:D788"/>
    <mergeCell ref="AC788:AE788"/>
    <mergeCell ref="B789:D789"/>
    <mergeCell ref="AC789:AE789"/>
    <mergeCell ref="B784:D784"/>
    <mergeCell ref="AC784:AE784"/>
    <mergeCell ref="B785:D785"/>
    <mergeCell ref="AC785:AE785"/>
    <mergeCell ref="B786:D786"/>
    <mergeCell ref="AC786:AE786"/>
    <mergeCell ref="B781:D781"/>
    <mergeCell ref="AC781:AE781"/>
    <mergeCell ref="B782:D782"/>
    <mergeCell ref="AC782:AE782"/>
    <mergeCell ref="B783:D783"/>
    <mergeCell ref="AC783:AE783"/>
    <mergeCell ref="B778:D778"/>
    <mergeCell ref="AC778:AE778"/>
    <mergeCell ref="B779:D779"/>
    <mergeCell ref="AC779:AE779"/>
    <mergeCell ref="B780:D780"/>
    <mergeCell ref="AC780:AE780"/>
    <mergeCell ref="AC777:AE777"/>
    <mergeCell ref="AC772:AE772"/>
    <mergeCell ref="B769:D769"/>
    <mergeCell ref="AC769:AE769"/>
    <mergeCell ref="B770:D770"/>
    <mergeCell ref="AC770:AE770"/>
    <mergeCell ref="B771:D771"/>
    <mergeCell ref="AC771:AE771"/>
    <mergeCell ref="B766:D766"/>
    <mergeCell ref="AC766:AE766"/>
    <mergeCell ref="B767:D767"/>
    <mergeCell ref="AC767:AE767"/>
    <mergeCell ref="B768:D768"/>
    <mergeCell ref="AC768:AE768"/>
    <mergeCell ref="B763:D763"/>
    <mergeCell ref="AC763:AE763"/>
    <mergeCell ref="B764:D764"/>
    <mergeCell ref="AC764:AE764"/>
    <mergeCell ref="B765:D765"/>
    <mergeCell ref="AC765:AE765"/>
    <mergeCell ref="B755:D755"/>
    <mergeCell ref="AC755:AE755"/>
    <mergeCell ref="B756:D756"/>
    <mergeCell ref="AC756:AE756"/>
    <mergeCell ref="AC757:AE757"/>
    <mergeCell ref="AC762:AE762"/>
    <mergeCell ref="B752:D752"/>
    <mergeCell ref="AC752:AE752"/>
    <mergeCell ref="B753:D753"/>
    <mergeCell ref="AC753:AE753"/>
    <mergeCell ref="B754:D754"/>
    <mergeCell ref="AC754:AE754"/>
    <mergeCell ref="B743:D743"/>
    <mergeCell ref="AC743:AE743"/>
    <mergeCell ref="B744:D744"/>
    <mergeCell ref="AC744:AE744"/>
    <mergeCell ref="B745:D745"/>
    <mergeCell ref="AC745:AE745"/>
    <mergeCell ref="B740:D740"/>
    <mergeCell ref="AC740:AE740"/>
    <mergeCell ref="B741:D741"/>
    <mergeCell ref="AC741:AE741"/>
    <mergeCell ref="B742:D742"/>
    <mergeCell ref="AC742:AE742"/>
    <mergeCell ref="B737:D737"/>
    <mergeCell ref="AC737:AE737"/>
    <mergeCell ref="B738:D738"/>
    <mergeCell ref="AC738:AE738"/>
    <mergeCell ref="B739:D739"/>
    <mergeCell ref="AC739:AE739"/>
    <mergeCell ref="B734:D734"/>
    <mergeCell ref="AC734:AE734"/>
    <mergeCell ref="B735:D735"/>
    <mergeCell ref="AC735:AE735"/>
    <mergeCell ref="B736:D736"/>
    <mergeCell ref="AC736:AE736"/>
    <mergeCell ref="B731:D731"/>
    <mergeCell ref="AC731:AE731"/>
    <mergeCell ref="B732:D732"/>
    <mergeCell ref="AC732:AE732"/>
    <mergeCell ref="B733:D733"/>
    <mergeCell ref="AC733:AE733"/>
    <mergeCell ref="B728:D728"/>
    <mergeCell ref="AC728:AE728"/>
    <mergeCell ref="B729:D729"/>
    <mergeCell ref="AC729:AE729"/>
    <mergeCell ref="B730:D730"/>
    <mergeCell ref="AC730:AE730"/>
    <mergeCell ref="B725:D725"/>
    <mergeCell ref="AC725:AE725"/>
    <mergeCell ref="B726:D726"/>
    <mergeCell ref="AC726:AE726"/>
    <mergeCell ref="B727:D727"/>
    <mergeCell ref="AC727:AE727"/>
    <mergeCell ref="AC722:AE722"/>
    <mergeCell ref="B723:D723"/>
    <mergeCell ref="AC723:AE723"/>
    <mergeCell ref="B724:D724"/>
    <mergeCell ref="AC724:AE724"/>
    <mergeCell ref="B714:D714"/>
    <mergeCell ref="AC714:AE714"/>
    <mergeCell ref="B715:D715"/>
    <mergeCell ref="AC715:AE715"/>
    <mergeCell ref="AC716:AE716"/>
    <mergeCell ref="B711:D711"/>
    <mergeCell ref="AC711:AE711"/>
    <mergeCell ref="B712:D712"/>
    <mergeCell ref="AC712:AE712"/>
    <mergeCell ref="B713:D713"/>
    <mergeCell ref="AC713:AE713"/>
    <mergeCell ref="B708:D708"/>
    <mergeCell ref="AC708:AE708"/>
    <mergeCell ref="B709:D709"/>
    <mergeCell ref="AC709:AE709"/>
    <mergeCell ref="B710:D710"/>
    <mergeCell ref="AC710:AE710"/>
    <mergeCell ref="B705:D705"/>
    <mergeCell ref="AC705:AE705"/>
    <mergeCell ref="B706:D706"/>
    <mergeCell ref="AC706:AE706"/>
    <mergeCell ref="B707:D707"/>
    <mergeCell ref="AC707:AE707"/>
    <mergeCell ref="B702:D702"/>
    <mergeCell ref="AC702:AE702"/>
    <mergeCell ref="B703:D703"/>
    <mergeCell ref="AC703:AE703"/>
    <mergeCell ref="B704:D704"/>
    <mergeCell ref="AC704:AE704"/>
    <mergeCell ref="B699:D699"/>
    <mergeCell ref="AC699:AE699"/>
    <mergeCell ref="B700:D700"/>
    <mergeCell ref="AC700:AE700"/>
    <mergeCell ref="B701:D701"/>
    <mergeCell ref="AC701:AE701"/>
    <mergeCell ref="B696:D696"/>
    <mergeCell ref="AC696:AE696"/>
    <mergeCell ref="B697:D697"/>
    <mergeCell ref="AC697:AE697"/>
    <mergeCell ref="B698:D698"/>
    <mergeCell ref="AC698:AE698"/>
    <mergeCell ref="B693:D693"/>
    <mergeCell ref="AC693:AE693"/>
    <mergeCell ref="B694:D694"/>
    <mergeCell ref="AC694:AE694"/>
    <mergeCell ref="B695:D695"/>
    <mergeCell ref="AC695:AE695"/>
    <mergeCell ref="B690:D690"/>
    <mergeCell ref="AC690:AE690"/>
    <mergeCell ref="B691:D691"/>
    <mergeCell ref="AC691:AE691"/>
    <mergeCell ref="B692:D692"/>
    <mergeCell ref="AC692:AE692"/>
    <mergeCell ref="B687:D687"/>
    <mergeCell ref="AC687:AE687"/>
    <mergeCell ref="B688:D688"/>
    <mergeCell ref="AC688:AE688"/>
    <mergeCell ref="B689:D689"/>
    <mergeCell ref="AC689:AE689"/>
    <mergeCell ref="B684:D684"/>
    <mergeCell ref="AC684:AE684"/>
    <mergeCell ref="B685:D685"/>
    <mergeCell ref="AC685:AE685"/>
    <mergeCell ref="B686:D686"/>
    <mergeCell ref="AC686:AE686"/>
    <mergeCell ref="B681:D681"/>
    <mergeCell ref="AC681:AE681"/>
    <mergeCell ref="B682:D682"/>
    <mergeCell ref="AC682:AE682"/>
    <mergeCell ref="B683:D683"/>
    <mergeCell ref="AC683:AE683"/>
    <mergeCell ref="B673:D673"/>
    <mergeCell ref="AC673:AE673"/>
    <mergeCell ref="B674:D674"/>
    <mergeCell ref="AC674:AE674"/>
    <mergeCell ref="AC675:AE675"/>
    <mergeCell ref="AC680:AE680"/>
    <mergeCell ref="B670:D670"/>
    <mergeCell ref="AC670:AE670"/>
    <mergeCell ref="B671:D671"/>
    <mergeCell ref="AC671:AE671"/>
    <mergeCell ref="B672:D672"/>
    <mergeCell ref="AC672:AE672"/>
    <mergeCell ref="AC667:AE667"/>
    <mergeCell ref="B668:D668"/>
    <mergeCell ref="AC668:AE668"/>
    <mergeCell ref="B669:D669"/>
    <mergeCell ref="AC669:AE669"/>
    <mergeCell ref="B661:D661"/>
    <mergeCell ref="AC661:AE661"/>
    <mergeCell ref="AC662:AE662"/>
    <mergeCell ref="B658:D658"/>
    <mergeCell ref="AC658:AE658"/>
    <mergeCell ref="B659:D659"/>
    <mergeCell ref="AC659:AE659"/>
    <mergeCell ref="B660:D660"/>
    <mergeCell ref="AC660:AE660"/>
    <mergeCell ref="B655:D655"/>
    <mergeCell ref="AC655:AE655"/>
    <mergeCell ref="B656:D656"/>
    <mergeCell ref="AC656:AE656"/>
    <mergeCell ref="B657:D657"/>
    <mergeCell ref="AC657:AE657"/>
    <mergeCell ref="B652:D652"/>
    <mergeCell ref="AC652:AE652"/>
    <mergeCell ref="B653:D653"/>
    <mergeCell ref="AC653:AE653"/>
    <mergeCell ref="B654:D654"/>
    <mergeCell ref="AC654:AE654"/>
    <mergeCell ref="B649:D649"/>
    <mergeCell ref="AC649:AE649"/>
    <mergeCell ref="B650:D650"/>
    <mergeCell ref="AC650:AE650"/>
    <mergeCell ref="B651:D651"/>
    <mergeCell ref="AC651:AE651"/>
    <mergeCell ref="B646:D646"/>
    <mergeCell ref="AC646:AE646"/>
    <mergeCell ref="B647:D647"/>
    <mergeCell ref="AC647:AE647"/>
    <mergeCell ref="B648:D648"/>
    <mergeCell ref="AC648:AE648"/>
    <mergeCell ref="B643:D643"/>
    <mergeCell ref="AC643:AE643"/>
    <mergeCell ref="B644:D644"/>
    <mergeCell ref="AC644:AE644"/>
    <mergeCell ref="B645:D645"/>
    <mergeCell ref="AC645:AE645"/>
    <mergeCell ref="B640:D640"/>
    <mergeCell ref="AC640:AE640"/>
    <mergeCell ref="B641:D641"/>
    <mergeCell ref="AC641:AE641"/>
    <mergeCell ref="B642:D642"/>
    <mergeCell ref="AC642:AE642"/>
    <mergeCell ref="B632:D632"/>
    <mergeCell ref="AC632:AE632"/>
    <mergeCell ref="B633:D633"/>
    <mergeCell ref="AC633:AE633"/>
    <mergeCell ref="AC634:AE634"/>
    <mergeCell ref="AC639:AE639"/>
    <mergeCell ref="B623:D623"/>
    <mergeCell ref="AC623:AE623"/>
    <mergeCell ref="B624:D624"/>
    <mergeCell ref="AC624:AE624"/>
    <mergeCell ref="B625:D625"/>
    <mergeCell ref="AC625:AE625"/>
    <mergeCell ref="B620:D620"/>
    <mergeCell ref="AC620:AE620"/>
    <mergeCell ref="B621:D621"/>
    <mergeCell ref="AC621:AE621"/>
    <mergeCell ref="B622:D622"/>
    <mergeCell ref="AC622:AE622"/>
    <mergeCell ref="B617:D617"/>
    <mergeCell ref="AC617:AE617"/>
    <mergeCell ref="B618:D618"/>
    <mergeCell ref="AC618:AE618"/>
    <mergeCell ref="B619:D619"/>
    <mergeCell ref="AC619:AE619"/>
    <mergeCell ref="B614:D614"/>
    <mergeCell ref="AC614:AE614"/>
    <mergeCell ref="B615:D615"/>
    <mergeCell ref="AC615:AE615"/>
    <mergeCell ref="B616:D616"/>
    <mergeCell ref="AC616:AE616"/>
    <mergeCell ref="AC612:AE612"/>
    <mergeCell ref="B613:D613"/>
    <mergeCell ref="AC613:AE613"/>
    <mergeCell ref="B605:D605"/>
    <mergeCell ref="AC605:AE605"/>
    <mergeCell ref="B606:D606"/>
    <mergeCell ref="AC606:AE606"/>
    <mergeCell ref="AC607:AE607"/>
    <mergeCell ref="B602:D602"/>
    <mergeCell ref="AC602:AE602"/>
    <mergeCell ref="B603:D603"/>
    <mergeCell ref="AC603:AE603"/>
    <mergeCell ref="B604:D604"/>
    <mergeCell ref="AC604:AE604"/>
    <mergeCell ref="B599:D599"/>
    <mergeCell ref="AC599:AE599"/>
    <mergeCell ref="B600:D600"/>
    <mergeCell ref="AC600:AE600"/>
    <mergeCell ref="B601:D601"/>
    <mergeCell ref="AC601:AE601"/>
    <mergeCell ref="B591:D591"/>
    <mergeCell ref="AC591:AE591"/>
    <mergeCell ref="B592:D592"/>
    <mergeCell ref="AC592:AE592"/>
    <mergeCell ref="AC593:AE593"/>
    <mergeCell ref="AC598:AE598"/>
    <mergeCell ref="B588:D588"/>
    <mergeCell ref="AC588:AE588"/>
    <mergeCell ref="B589:D589"/>
    <mergeCell ref="AC589:AE589"/>
    <mergeCell ref="B590:D590"/>
    <mergeCell ref="AC590:AE590"/>
    <mergeCell ref="B585:D585"/>
    <mergeCell ref="AC585:AE585"/>
    <mergeCell ref="B586:D586"/>
    <mergeCell ref="AC586:AE586"/>
    <mergeCell ref="B587:D587"/>
    <mergeCell ref="AC587:AE587"/>
    <mergeCell ref="B582:D582"/>
    <mergeCell ref="AC582:AE582"/>
    <mergeCell ref="B583:D583"/>
    <mergeCell ref="AC583:AE583"/>
    <mergeCell ref="B584:D584"/>
    <mergeCell ref="AC584:AE584"/>
    <mergeCell ref="B579:D579"/>
    <mergeCell ref="AC579:AE579"/>
    <mergeCell ref="B580:D580"/>
    <mergeCell ref="AC580:AE580"/>
    <mergeCell ref="B581:D581"/>
    <mergeCell ref="AC581:AE581"/>
    <mergeCell ref="B576:D576"/>
    <mergeCell ref="AC576:AE576"/>
    <mergeCell ref="B577:D577"/>
    <mergeCell ref="AC577:AE577"/>
    <mergeCell ref="B578:D578"/>
    <mergeCell ref="AC578:AE578"/>
    <mergeCell ref="B573:D573"/>
    <mergeCell ref="AC573:AE573"/>
    <mergeCell ref="B574:D574"/>
    <mergeCell ref="AC574:AE574"/>
    <mergeCell ref="B575:D575"/>
    <mergeCell ref="AC575:AE575"/>
    <mergeCell ref="B570:D570"/>
    <mergeCell ref="AC570:AE570"/>
    <mergeCell ref="B571:D571"/>
    <mergeCell ref="AC571:AE571"/>
    <mergeCell ref="B572:D572"/>
    <mergeCell ref="AC572:AE572"/>
    <mergeCell ref="B567:D567"/>
    <mergeCell ref="AC567:AE567"/>
    <mergeCell ref="B568:D568"/>
    <mergeCell ref="AC568:AE568"/>
    <mergeCell ref="B569:D569"/>
    <mergeCell ref="AC569:AE569"/>
    <mergeCell ref="B564:D564"/>
    <mergeCell ref="AC564:AE564"/>
    <mergeCell ref="B565:D565"/>
    <mergeCell ref="AC565:AE565"/>
    <mergeCell ref="B566:D566"/>
    <mergeCell ref="AC566:AE566"/>
    <mergeCell ref="B561:D561"/>
    <mergeCell ref="AC561:AE561"/>
    <mergeCell ref="B562:D562"/>
    <mergeCell ref="AC562:AE562"/>
    <mergeCell ref="B563:D563"/>
    <mergeCell ref="AC563:AE563"/>
    <mergeCell ref="B558:D558"/>
    <mergeCell ref="AC558:AE558"/>
    <mergeCell ref="B559:D559"/>
    <mergeCell ref="AC559:AE559"/>
    <mergeCell ref="B560:D560"/>
    <mergeCell ref="AC560:AE560"/>
    <mergeCell ref="B550:D550"/>
    <mergeCell ref="AC550:AE550"/>
    <mergeCell ref="B551:D551"/>
    <mergeCell ref="AC551:AE551"/>
    <mergeCell ref="AC552:AE552"/>
    <mergeCell ref="AC557:AE557"/>
    <mergeCell ref="B547:D547"/>
    <mergeCell ref="AC547:AE547"/>
    <mergeCell ref="B548:D548"/>
    <mergeCell ref="AC548:AE548"/>
    <mergeCell ref="B549:D549"/>
    <mergeCell ref="AC549:AE549"/>
    <mergeCell ref="B544:D544"/>
    <mergeCell ref="AC544:AE544"/>
    <mergeCell ref="B545:D545"/>
    <mergeCell ref="AC545:AE545"/>
    <mergeCell ref="B546:D546"/>
    <mergeCell ref="AC546:AE546"/>
    <mergeCell ref="B541:D541"/>
    <mergeCell ref="AC541:AE541"/>
    <mergeCell ref="B542:D542"/>
    <mergeCell ref="AC542:AE542"/>
    <mergeCell ref="B543:D543"/>
    <mergeCell ref="AC543:AE543"/>
    <mergeCell ref="B538:D538"/>
    <mergeCell ref="AC538:AE538"/>
    <mergeCell ref="B539:D539"/>
    <mergeCell ref="AC539:AE539"/>
    <mergeCell ref="B540:D540"/>
    <mergeCell ref="AC540:AE540"/>
    <mergeCell ref="B535:D535"/>
    <mergeCell ref="AC535:AE535"/>
    <mergeCell ref="B536:D536"/>
    <mergeCell ref="AC536:AE536"/>
    <mergeCell ref="B537:D537"/>
    <mergeCell ref="AC537:AE537"/>
    <mergeCell ref="B532:D532"/>
    <mergeCell ref="AC532:AE532"/>
    <mergeCell ref="B533:D533"/>
    <mergeCell ref="AC533:AE533"/>
    <mergeCell ref="B534:D534"/>
    <mergeCell ref="AC534:AE534"/>
    <mergeCell ref="B529:D529"/>
    <mergeCell ref="AC529:AE529"/>
    <mergeCell ref="B530:D530"/>
    <mergeCell ref="AC530:AE530"/>
    <mergeCell ref="B531:D531"/>
    <mergeCell ref="AC531:AE531"/>
    <mergeCell ref="B526:D526"/>
    <mergeCell ref="AC526:AE526"/>
    <mergeCell ref="B527:D527"/>
    <mergeCell ref="AC527:AE527"/>
    <mergeCell ref="B528:D528"/>
    <mergeCell ref="AC528:AE528"/>
    <mergeCell ref="B523:D523"/>
    <mergeCell ref="AC523:AE523"/>
    <mergeCell ref="B524:D524"/>
    <mergeCell ref="AC524:AE524"/>
    <mergeCell ref="B525:D525"/>
    <mergeCell ref="AC525:AE525"/>
    <mergeCell ref="B520:D520"/>
    <mergeCell ref="AC520:AE520"/>
    <mergeCell ref="B521:D521"/>
    <mergeCell ref="AC521:AE521"/>
    <mergeCell ref="B522:D522"/>
    <mergeCell ref="AC522:AE522"/>
    <mergeCell ref="B517:D517"/>
    <mergeCell ref="AC517:AE517"/>
    <mergeCell ref="B518:D518"/>
    <mergeCell ref="AC518:AE518"/>
    <mergeCell ref="B519:D519"/>
    <mergeCell ref="AC519:AE519"/>
    <mergeCell ref="B509:D509"/>
    <mergeCell ref="AC509:AE509"/>
    <mergeCell ref="B510:D510"/>
    <mergeCell ref="AC510:AE510"/>
    <mergeCell ref="AC511:AE511"/>
    <mergeCell ref="AC516:AE516"/>
    <mergeCell ref="B506:D506"/>
    <mergeCell ref="AC506:AE506"/>
    <mergeCell ref="B507:D507"/>
    <mergeCell ref="AC507:AE507"/>
    <mergeCell ref="B508:D508"/>
    <mergeCell ref="AC508:AE508"/>
    <mergeCell ref="B495:D495"/>
    <mergeCell ref="AC495:AE495"/>
    <mergeCell ref="B496:D496"/>
    <mergeCell ref="AC496:AE496"/>
    <mergeCell ref="B491:D491"/>
    <mergeCell ref="AC491:AE491"/>
    <mergeCell ref="B492:D492"/>
    <mergeCell ref="AC492:AE492"/>
    <mergeCell ref="B493:D493"/>
    <mergeCell ref="AC493:AE493"/>
    <mergeCell ref="B488:D488"/>
    <mergeCell ref="AC488:AE488"/>
    <mergeCell ref="B489:D489"/>
    <mergeCell ref="AC489:AE489"/>
    <mergeCell ref="B490:D490"/>
    <mergeCell ref="AC490:AE490"/>
    <mergeCell ref="B485:D485"/>
    <mergeCell ref="AC485:AE485"/>
    <mergeCell ref="B486:D486"/>
    <mergeCell ref="AC486:AE486"/>
    <mergeCell ref="B487:D487"/>
    <mergeCell ref="AC487:AE487"/>
    <mergeCell ref="B482:D482"/>
    <mergeCell ref="AC482:AE482"/>
    <mergeCell ref="B483:D483"/>
    <mergeCell ref="AC483:AE483"/>
    <mergeCell ref="B484:D484"/>
    <mergeCell ref="AC484:AE484"/>
    <mergeCell ref="B479:D479"/>
    <mergeCell ref="AC479:AE479"/>
    <mergeCell ref="B480:D480"/>
    <mergeCell ref="AC480:AE480"/>
    <mergeCell ref="B481:D481"/>
    <mergeCell ref="AC481:AE481"/>
    <mergeCell ref="B476:D476"/>
    <mergeCell ref="AC476:AE476"/>
    <mergeCell ref="B477:D477"/>
    <mergeCell ref="AC477:AE477"/>
    <mergeCell ref="B478:D478"/>
    <mergeCell ref="AC478:AE478"/>
    <mergeCell ref="B468:D468"/>
    <mergeCell ref="AC468:AE468"/>
    <mergeCell ref="B469:D469"/>
    <mergeCell ref="AC469:AE469"/>
    <mergeCell ref="AC470:AE470"/>
    <mergeCell ref="AC475:AE475"/>
    <mergeCell ref="B465:D465"/>
    <mergeCell ref="AC465:AE465"/>
    <mergeCell ref="B466:D466"/>
    <mergeCell ref="AC466:AE466"/>
    <mergeCell ref="B467:D467"/>
    <mergeCell ref="AC467:AE467"/>
    <mergeCell ref="B462:D462"/>
    <mergeCell ref="AC462:AE462"/>
    <mergeCell ref="B463:D463"/>
    <mergeCell ref="AC463:AE463"/>
    <mergeCell ref="B464:D464"/>
    <mergeCell ref="AC464:AE464"/>
    <mergeCell ref="B459:D459"/>
    <mergeCell ref="AC459:AE459"/>
    <mergeCell ref="B460:D460"/>
    <mergeCell ref="AC460:AE460"/>
    <mergeCell ref="B461:D461"/>
    <mergeCell ref="AC461:AE461"/>
    <mergeCell ref="B456:D456"/>
    <mergeCell ref="AC456:AE456"/>
    <mergeCell ref="B457:D457"/>
    <mergeCell ref="AC457:AE457"/>
    <mergeCell ref="B458:D458"/>
    <mergeCell ref="AC458:AE458"/>
    <mergeCell ref="B453:D453"/>
    <mergeCell ref="AC453:AE453"/>
    <mergeCell ref="B454:D454"/>
    <mergeCell ref="AC454:AE454"/>
    <mergeCell ref="B455:D455"/>
    <mergeCell ref="AC455:AE455"/>
    <mergeCell ref="B450:D450"/>
    <mergeCell ref="AC450:AE450"/>
    <mergeCell ref="B451:D451"/>
    <mergeCell ref="AC451:AE451"/>
    <mergeCell ref="B452:D452"/>
    <mergeCell ref="AC452:AE452"/>
    <mergeCell ref="AC447:AE447"/>
    <mergeCell ref="B448:D448"/>
    <mergeCell ref="AC448:AE448"/>
    <mergeCell ref="B449:D449"/>
    <mergeCell ref="AC449:AE449"/>
    <mergeCell ref="B441:D441"/>
    <mergeCell ref="AC441:AE441"/>
    <mergeCell ref="AC442:AE442"/>
    <mergeCell ref="B438:D438"/>
    <mergeCell ref="AC438:AE438"/>
    <mergeCell ref="B439:D439"/>
    <mergeCell ref="AC439:AE439"/>
    <mergeCell ref="B440:D440"/>
    <mergeCell ref="AC440:AE440"/>
    <mergeCell ref="B435:D435"/>
    <mergeCell ref="AC435:AE435"/>
    <mergeCell ref="B436:D436"/>
    <mergeCell ref="AC436:AE436"/>
    <mergeCell ref="B437:D437"/>
    <mergeCell ref="AC437:AE437"/>
    <mergeCell ref="B427:D427"/>
    <mergeCell ref="AC427:AE427"/>
    <mergeCell ref="B428:D428"/>
    <mergeCell ref="AC428:AE428"/>
    <mergeCell ref="AC429:AE429"/>
    <mergeCell ref="AC434:AE434"/>
    <mergeCell ref="B424:D424"/>
    <mergeCell ref="AC424:AE424"/>
    <mergeCell ref="B425:D425"/>
    <mergeCell ref="AC425:AE425"/>
    <mergeCell ref="B426:D426"/>
    <mergeCell ref="AC426:AE426"/>
    <mergeCell ref="B415:D415"/>
    <mergeCell ref="AC415:AE415"/>
    <mergeCell ref="B416:D416"/>
    <mergeCell ref="AC416:AE416"/>
    <mergeCell ref="B417:D417"/>
    <mergeCell ref="AC417:AE417"/>
    <mergeCell ref="B412:D412"/>
    <mergeCell ref="AC412:AE412"/>
    <mergeCell ref="B413:D413"/>
    <mergeCell ref="AC413:AE413"/>
    <mergeCell ref="B414:D414"/>
    <mergeCell ref="AC414:AE414"/>
    <mergeCell ref="B409:D409"/>
    <mergeCell ref="AC409:AE409"/>
    <mergeCell ref="B410:D410"/>
    <mergeCell ref="AC410:AE410"/>
    <mergeCell ref="B411:D411"/>
    <mergeCell ref="AC411:AE411"/>
    <mergeCell ref="B406:D406"/>
    <mergeCell ref="AC406:AE406"/>
    <mergeCell ref="B407:D407"/>
    <mergeCell ref="AC407:AE407"/>
    <mergeCell ref="B408:D408"/>
    <mergeCell ref="AC408:AE408"/>
    <mergeCell ref="B403:D403"/>
    <mergeCell ref="AC403:AE403"/>
    <mergeCell ref="B404:D404"/>
    <mergeCell ref="AC404:AE404"/>
    <mergeCell ref="B405:D405"/>
    <mergeCell ref="AC405:AE405"/>
    <mergeCell ref="B400:D400"/>
    <mergeCell ref="AC400:AE400"/>
    <mergeCell ref="B401:D401"/>
    <mergeCell ref="AC401:AE401"/>
    <mergeCell ref="B402:D402"/>
    <mergeCell ref="AC402:AE402"/>
    <mergeCell ref="B397:D397"/>
    <mergeCell ref="AC397:AE397"/>
    <mergeCell ref="B398:D398"/>
    <mergeCell ref="AC398:AE398"/>
    <mergeCell ref="B399:D399"/>
    <mergeCell ref="AC399:AE399"/>
    <mergeCell ref="B394:D394"/>
    <mergeCell ref="AC394:AE394"/>
    <mergeCell ref="B395:D395"/>
    <mergeCell ref="AC395:AE395"/>
    <mergeCell ref="B396:D396"/>
    <mergeCell ref="AC396:AE396"/>
    <mergeCell ref="B386:D386"/>
    <mergeCell ref="AC386:AE386"/>
    <mergeCell ref="AC387:AE387"/>
    <mergeCell ref="AC393:AE393"/>
    <mergeCell ref="B383:D383"/>
    <mergeCell ref="AC383:AE383"/>
    <mergeCell ref="B384:D384"/>
    <mergeCell ref="AC384:AE384"/>
    <mergeCell ref="B385:D385"/>
    <mergeCell ref="AC385:AE385"/>
    <mergeCell ref="B380:D380"/>
    <mergeCell ref="AC380:AE380"/>
    <mergeCell ref="B381:D381"/>
    <mergeCell ref="AC381:AE381"/>
    <mergeCell ref="B382:D382"/>
    <mergeCell ref="AC382:AE382"/>
    <mergeCell ref="B377:D377"/>
    <mergeCell ref="AC377:AE377"/>
    <mergeCell ref="B378:D378"/>
    <mergeCell ref="AC378:AE378"/>
    <mergeCell ref="B379:D379"/>
    <mergeCell ref="AC379:AE379"/>
    <mergeCell ref="B374:D374"/>
    <mergeCell ref="AC374:AE374"/>
    <mergeCell ref="B375:D375"/>
    <mergeCell ref="AC375:AE375"/>
    <mergeCell ref="B376:D376"/>
    <mergeCell ref="AC376:AE376"/>
    <mergeCell ref="B371:D371"/>
    <mergeCell ref="AC371:AE371"/>
    <mergeCell ref="B372:D372"/>
    <mergeCell ref="AC372:AE372"/>
    <mergeCell ref="B373:D373"/>
    <mergeCell ref="AC373:AE373"/>
    <mergeCell ref="B368:D368"/>
    <mergeCell ref="AC368:AE368"/>
    <mergeCell ref="B369:D369"/>
    <mergeCell ref="AC369:AE369"/>
    <mergeCell ref="B370:D370"/>
    <mergeCell ref="AC370:AE370"/>
    <mergeCell ref="B365:D365"/>
    <mergeCell ref="AC365:AE365"/>
    <mergeCell ref="B366:D366"/>
    <mergeCell ref="AC366:AE366"/>
    <mergeCell ref="B367:D367"/>
    <mergeCell ref="AC367:AE367"/>
    <mergeCell ref="B362:D362"/>
    <mergeCell ref="AC362:AE362"/>
    <mergeCell ref="B363:D363"/>
    <mergeCell ref="AC363:AE363"/>
    <mergeCell ref="B364:D364"/>
    <mergeCell ref="AC364:AE364"/>
    <mergeCell ref="B359:D359"/>
    <mergeCell ref="AC359:AE359"/>
    <mergeCell ref="B360:D360"/>
    <mergeCell ref="AC360:AE360"/>
    <mergeCell ref="B361:D361"/>
    <mergeCell ref="AC361:AE361"/>
    <mergeCell ref="B356:D356"/>
    <mergeCell ref="AC356:AE356"/>
    <mergeCell ref="B357:D357"/>
    <mergeCell ref="AC357:AE357"/>
    <mergeCell ref="B358:D358"/>
    <mergeCell ref="AC358:AE358"/>
    <mergeCell ref="B353:D353"/>
    <mergeCell ref="AC353:AE353"/>
    <mergeCell ref="B354:D354"/>
    <mergeCell ref="AC354:AE354"/>
    <mergeCell ref="B355:D355"/>
    <mergeCell ref="AC355:AE355"/>
    <mergeCell ref="B345:D345"/>
    <mergeCell ref="AC345:AE345"/>
    <mergeCell ref="B346:D346"/>
    <mergeCell ref="AC346:AE346"/>
    <mergeCell ref="AC347:AE347"/>
    <mergeCell ref="AC352:AE352"/>
    <mergeCell ref="B342:D342"/>
    <mergeCell ref="AC342:AE342"/>
    <mergeCell ref="B343:D343"/>
    <mergeCell ref="AC343:AE343"/>
    <mergeCell ref="B344:D344"/>
    <mergeCell ref="AC344:AE344"/>
    <mergeCell ref="B339:D339"/>
    <mergeCell ref="AC339:AE339"/>
    <mergeCell ref="B340:D340"/>
    <mergeCell ref="AC340:AE340"/>
    <mergeCell ref="B341:D341"/>
    <mergeCell ref="AC341:AE341"/>
    <mergeCell ref="AC337:AE337"/>
    <mergeCell ref="B338:D338"/>
    <mergeCell ref="AC338:AE338"/>
    <mergeCell ref="B330:D330"/>
    <mergeCell ref="AC330:AE330"/>
    <mergeCell ref="B331:D331"/>
    <mergeCell ref="AC331:AE331"/>
    <mergeCell ref="AC332:AE332"/>
    <mergeCell ref="B327:D327"/>
    <mergeCell ref="AC327:AE327"/>
    <mergeCell ref="B328:D328"/>
    <mergeCell ref="AC328:AE328"/>
    <mergeCell ref="B329:D329"/>
    <mergeCell ref="AC329:AE329"/>
    <mergeCell ref="B324:D324"/>
    <mergeCell ref="AC324:AE324"/>
    <mergeCell ref="B325:D325"/>
    <mergeCell ref="AC325:AE325"/>
    <mergeCell ref="B326:D326"/>
    <mergeCell ref="AC326:AE326"/>
    <mergeCell ref="B321:D321"/>
    <mergeCell ref="AC321:AE321"/>
    <mergeCell ref="B322:D322"/>
    <mergeCell ref="AC322:AE322"/>
    <mergeCell ref="B323:D323"/>
    <mergeCell ref="AC323:AE323"/>
    <mergeCell ref="B318:D318"/>
    <mergeCell ref="AC318:AE318"/>
    <mergeCell ref="B319:D319"/>
    <mergeCell ref="AC319:AE319"/>
    <mergeCell ref="B320:D320"/>
    <mergeCell ref="AC320:AE320"/>
    <mergeCell ref="B315:D315"/>
    <mergeCell ref="AC315:AE315"/>
    <mergeCell ref="B316:D316"/>
    <mergeCell ref="AC316:AE316"/>
    <mergeCell ref="B317:D317"/>
    <mergeCell ref="AC317:AE317"/>
    <mergeCell ref="B312:D312"/>
    <mergeCell ref="AC312:AE312"/>
    <mergeCell ref="B313:D313"/>
    <mergeCell ref="AC313:AE313"/>
    <mergeCell ref="B314:D314"/>
    <mergeCell ref="AC314:AE314"/>
    <mergeCell ref="B304:D304"/>
    <mergeCell ref="AC304:AE304"/>
    <mergeCell ref="B305:D305"/>
    <mergeCell ref="AC305:AE305"/>
    <mergeCell ref="AC306:AE306"/>
    <mergeCell ref="AC311:AE311"/>
    <mergeCell ref="B295:D295"/>
    <mergeCell ref="AC295:AE295"/>
    <mergeCell ref="B296:D296"/>
    <mergeCell ref="AC296:AE296"/>
    <mergeCell ref="B297:D297"/>
    <mergeCell ref="AC297:AE297"/>
    <mergeCell ref="B292:D292"/>
    <mergeCell ref="AC292:AE292"/>
    <mergeCell ref="B293:D293"/>
    <mergeCell ref="AC293:AE293"/>
    <mergeCell ref="B294:D294"/>
    <mergeCell ref="AC294:AE294"/>
    <mergeCell ref="B289:D289"/>
    <mergeCell ref="AC289:AE289"/>
    <mergeCell ref="B290:D290"/>
    <mergeCell ref="AC290:AE290"/>
    <mergeCell ref="B291:D291"/>
    <mergeCell ref="AC291:AE291"/>
    <mergeCell ref="B286:D286"/>
    <mergeCell ref="AC286:AE286"/>
    <mergeCell ref="B287:D287"/>
    <mergeCell ref="AC287:AE287"/>
    <mergeCell ref="B288:D288"/>
    <mergeCell ref="AC288:AE288"/>
    <mergeCell ref="B283:D283"/>
    <mergeCell ref="AC283:AE283"/>
    <mergeCell ref="B284:D284"/>
    <mergeCell ref="AC284:AE284"/>
    <mergeCell ref="B285:D285"/>
    <mergeCell ref="AC285:AE285"/>
    <mergeCell ref="AC282:AE282"/>
    <mergeCell ref="AC277:AE277"/>
    <mergeCell ref="B274:D274"/>
    <mergeCell ref="AC274:AE274"/>
    <mergeCell ref="B275:D275"/>
    <mergeCell ref="AC275:AE275"/>
    <mergeCell ref="B276:D276"/>
    <mergeCell ref="AC276:AE276"/>
    <mergeCell ref="B271:D271"/>
    <mergeCell ref="AC271:AE271"/>
    <mergeCell ref="B272:D272"/>
    <mergeCell ref="AC272:AE272"/>
    <mergeCell ref="B273:D273"/>
    <mergeCell ref="AC273:AE273"/>
    <mergeCell ref="B263:D263"/>
    <mergeCell ref="AC263:AE263"/>
    <mergeCell ref="B264:D264"/>
    <mergeCell ref="AC264:AE264"/>
    <mergeCell ref="AC265:AE265"/>
    <mergeCell ref="AC270:AE270"/>
    <mergeCell ref="B260:D260"/>
    <mergeCell ref="AC260:AE260"/>
    <mergeCell ref="B261:D261"/>
    <mergeCell ref="AC261:AE261"/>
    <mergeCell ref="B262:D262"/>
    <mergeCell ref="AC262:AE262"/>
    <mergeCell ref="B257:D257"/>
    <mergeCell ref="AC257:AE257"/>
    <mergeCell ref="B258:D258"/>
    <mergeCell ref="AC258:AE258"/>
    <mergeCell ref="B259:D259"/>
    <mergeCell ref="AC259:AE259"/>
    <mergeCell ref="B254:D254"/>
    <mergeCell ref="AC254:AE254"/>
    <mergeCell ref="B255:D255"/>
    <mergeCell ref="AC255:AE255"/>
    <mergeCell ref="B256:D256"/>
    <mergeCell ref="AC256:AE256"/>
    <mergeCell ref="B251:D251"/>
    <mergeCell ref="AC251:AE251"/>
    <mergeCell ref="B252:D252"/>
    <mergeCell ref="AC252:AE252"/>
    <mergeCell ref="B253:D253"/>
    <mergeCell ref="AC253:AE253"/>
    <mergeCell ref="B248:D248"/>
    <mergeCell ref="AC248:AE248"/>
    <mergeCell ref="B249:D249"/>
    <mergeCell ref="AC249:AE249"/>
    <mergeCell ref="B250:D250"/>
    <mergeCell ref="AC250:AE250"/>
    <mergeCell ref="B245:D245"/>
    <mergeCell ref="AC245:AE245"/>
    <mergeCell ref="B246:D246"/>
    <mergeCell ref="AC246:AE246"/>
    <mergeCell ref="B247:D247"/>
    <mergeCell ref="AC247:AE247"/>
    <mergeCell ref="B242:D242"/>
    <mergeCell ref="AC242:AE242"/>
    <mergeCell ref="B243:D243"/>
    <mergeCell ref="AC243:AE243"/>
    <mergeCell ref="B244:D244"/>
    <mergeCell ref="AC244:AE244"/>
    <mergeCell ref="B239:D239"/>
    <mergeCell ref="AC239:AE239"/>
    <mergeCell ref="B240:D240"/>
    <mergeCell ref="AC240:AE240"/>
    <mergeCell ref="B241:D241"/>
    <mergeCell ref="AC241:AE241"/>
    <mergeCell ref="B236:D236"/>
    <mergeCell ref="AC236:AE236"/>
    <mergeCell ref="B237:D237"/>
    <mergeCell ref="AC237:AE237"/>
    <mergeCell ref="B238:D238"/>
    <mergeCell ref="AC238:AE238"/>
    <mergeCell ref="B233:D233"/>
    <mergeCell ref="AC233:AE233"/>
    <mergeCell ref="B234:D234"/>
    <mergeCell ref="AC234:AE234"/>
    <mergeCell ref="B235:D235"/>
    <mergeCell ref="AC235:AE235"/>
    <mergeCell ref="B230:D230"/>
    <mergeCell ref="AC230:AE230"/>
    <mergeCell ref="B231:D231"/>
    <mergeCell ref="AC231:AE231"/>
    <mergeCell ref="B232:D232"/>
    <mergeCell ref="AC232:AE232"/>
    <mergeCell ref="AC222:AE222"/>
    <mergeCell ref="AC229:AE229"/>
    <mergeCell ref="B219:D219"/>
    <mergeCell ref="AC219:AE219"/>
    <mergeCell ref="B220:D220"/>
    <mergeCell ref="AC220:AE220"/>
    <mergeCell ref="B221:D221"/>
    <mergeCell ref="AC221:AE221"/>
    <mergeCell ref="B216:D216"/>
    <mergeCell ref="AC216:AE216"/>
    <mergeCell ref="B217:D217"/>
    <mergeCell ref="AC217:AE217"/>
    <mergeCell ref="B218:D218"/>
    <mergeCell ref="AC218:AE218"/>
    <mergeCell ref="B213:D213"/>
    <mergeCell ref="AC213:AE213"/>
    <mergeCell ref="B214:D214"/>
    <mergeCell ref="AC214:AE214"/>
    <mergeCell ref="B215:D215"/>
    <mergeCell ref="AC215:AE215"/>
    <mergeCell ref="B210:D210"/>
    <mergeCell ref="AC210:AE210"/>
    <mergeCell ref="B211:D211"/>
    <mergeCell ref="AC211:AE211"/>
    <mergeCell ref="B212:D212"/>
    <mergeCell ref="AC212:AE212"/>
    <mergeCell ref="B207:D207"/>
    <mergeCell ref="AC207:AE207"/>
    <mergeCell ref="B208:D208"/>
    <mergeCell ref="AC208:AE208"/>
    <mergeCell ref="B209:D209"/>
    <mergeCell ref="AC209:AE209"/>
    <mergeCell ref="B204:D204"/>
    <mergeCell ref="AC204:AE204"/>
    <mergeCell ref="B205:D205"/>
    <mergeCell ref="AC205:AE205"/>
    <mergeCell ref="B206:D206"/>
    <mergeCell ref="AC206:AE206"/>
    <mergeCell ref="B201:D201"/>
    <mergeCell ref="AC201:AE201"/>
    <mergeCell ref="B202:D202"/>
    <mergeCell ref="AC202:AE202"/>
    <mergeCell ref="B203:D203"/>
    <mergeCell ref="AC203:AE203"/>
    <mergeCell ref="B198:D198"/>
    <mergeCell ref="AC198:AE198"/>
    <mergeCell ref="B199:D199"/>
    <mergeCell ref="AC199:AE199"/>
    <mergeCell ref="B200:D200"/>
    <mergeCell ref="AC200:AE200"/>
    <mergeCell ref="B195:D195"/>
    <mergeCell ref="AC195:AE195"/>
    <mergeCell ref="B196:D196"/>
    <mergeCell ref="AC196:AE196"/>
    <mergeCell ref="B197:D197"/>
    <mergeCell ref="AC197:AE197"/>
    <mergeCell ref="B192:D192"/>
    <mergeCell ref="AC192:AE192"/>
    <mergeCell ref="B193:D193"/>
    <mergeCell ref="AC193:AE193"/>
    <mergeCell ref="B194:D194"/>
    <mergeCell ref="AC194:AE194"/>
    <mergeCell ref="B189:D189"/>
    <mergeCell ref="AC189:AE189"/>
    <mergeCell ref="B190:D190"/>
    <mergeCell ref="AC190:AE190"/>
    <mergeCell ref="B191:D191"/>
    <mergeCell ref="AC191:AE191"/>
    <mergeCell ref="AC188:AE188"/>
    <mergeCell ref="B177:D177"/>
    <mergeCell ref="AC177:AE177"/>
    <mergeCell ref="B178:D178"/>
    <mergeCell ref="AC178:AE178"/>
    <mergeCell ref="B179:D179"/>
    <mergeCell ref="AC179:AE179"/>
    <mergeCell ref="B174:D174"/>
    <mergeCell ref="AC174:AE174"/>
    <mergeCell ref="B175:D175"/>
    <mergeCell ref="AC175:AE175"/>
    <mergeCell ref="B176:D176"/>
    <mergeCell ref="AC176:AE176"/>
    <mergeCell ref="AC172:AE172"/>
    <mergeCell ref="B173:D173"/>
    <mergeCell ref="AC173:AE173"/>
    <mergeCell ref="B165:D165"/>
    <mergeCell ref="AC165:AE165"/>
    <mergeCell ref="B166:D166"/>
    <mergeCell ref="AC166:AE166"/>
    <mergeCell ref="AC167:AE167"/>
    <mergeCell ref="B186:D186"/>
    <mergeCell ref="AC186:AE186"/>
    <mergeCell ref="B187:D187"/>
    <mergeCell ref="AC187:AE187"/>
    <mergeCell ref="AC181:AE181"/>
    <mergeCell ref="AC183:AE183"/>
    <mergeCell ref="AC160:AE160"/>
    <mergeCell ref="B161:D161"/>
    <mergeCell ref="AC161:AE161"/>
    <mergeCell ref="B156:D156"/>
    <mergeCell ref="AC156:AE156"/>
    <mergeCell ref="B157:D157"/>
    <mergeCell ref="AC157:AE157"/>
    <mergeCell ref="B158:D158"/>
    <mergeCell ref="AC158:AE158"/>
    <mergeCell ref="B153:D153"/>
    <mergeCell ref="AC153:AE153"/>
    <mergeCell ref="B154:D154"/>
    <mergeCell ref="AC154:AE154"/>
    <mergeCell ref="B155:D155"/>
    <mergeCell ref="AC155:AE155"/>
    <mergeCell ref="B150:D150"/>
    <mergeCell ref="AC150:AE150"/>
    <mergeCell ref="B151:D151"/>
    <mergeCell ref="AC151:AE151"/>
    <mergeCell ref="B152:D152"/>
    <mergeCell ref="AC152:AE152"/>
    <mergeCell ref="B147:D147"/>
    <mergeCell ref="AC147:AE147"/>
    <mergeCell ref="B148:D148"/>
    <mergeCell ref="AC148:AE148"/>
    <mergeCell ref="B149:D149"/>
    <mergeCell ref="AC149:AE149"/>
    <mergeCell ref="B138:D138"/>
    <mergeCell ref="AC138:AE138"/>
    <mergeCell ref="B139:D139"/>
    <mergeCell ref="AC139:AE139"/>
    <mergeCell ref="AC141:AE141"/>
    <mergeCell ref="AC146:AE146"/>
    <mergeCell ref="B135:D135"/>
    <mergeCell ref="AC135:AE135"/>
    <mergeCell ref="B136:D136"/>
    <mergeCell ref="AC136:AE136"/>
    <mergeCell ref="B137:D137"/>
    <mergeCell ref="AC137:AE137"/>
    <mergeCell ref="AC127:AE127"/>
    <mergeCell ref="B128:D128"/>
    <mergeCell ref="AC128:AE128"/>
    <mergeCell ref="B123:D123"/>
    <mergeCell ref="AC123:AE123"/>
    <mergeCell ref="B124:D124"/>
    <mergeCell ref="AC124:AE124"/>
    <mergeCell ref="B125:D125"/>
    <mergeCell ref="AC125:AE125"/>
    <mergeCell ref="B120:D120"/>
    <mergeCell ref="AC120:AE120"/>
    <mergeCell ref="B121:D121"/>
    <mergeCell ref="AC121:AE121"/>
    <mergeCell ref="B122:D122"/>
    <mergeCell ref="AC122:AE122"/>
    <mergeCell ref="AC117:AE117"/>
    <mergeCell ref="B118:D118"/>
    <mergeCell ref="AC118:AE118"/>
    <mergeCell ref="B119:D119"/>
    <mergeCell ref="AC119:AE119"/>
    <mergeCell ref="B111:D111"/>
    <mergeCell ref="AC111:AE111"/>
    <mergeCell ref="AC112:AE112"/>
    <mergeCell ref="B108:D108"/>
    <mergeCell ref="AC108:AE108"/>
    <mergeCell ref="B109:D109"/>
    <mergeCell ref="AC109:AE109"/>
    <mergeCell ref="B110:D110"/>
    <mergeCell ref="AC110:AE110"/>
    <mergeCell ref="B105:D105"/>
    <mergeCell ref="AC105:AE105"/>
    <mergeCell ref="B106:D106"/>
    <mergeCell ref="AC106:AE106"/>
    <mergeCell ref="B107:D107"/>
    <mergeCell ref="AC107:AE107"/>
    <mergeCell ref="B96:D96"/>
    <mergeCell ref="AC96:AE96"/>
    <mergeCell ref="B97:D97"/>
    <mergeCell ref="AC97:AE97"/>
    <mergeCell ref="AC99:AE99"/>
    <mergeCell ref="AC104:AE104"/>
    <mergeCell ref="B98:D98"/>
    <mergeCell ref="AC98:AE98"/>
    <mergeCell ref="B99:D99"/>
    <mergeCell ref="AC100:AE100"/>
    <mergeCell ref="AC101:AE101"/>
    <mergeCell ref="B93:D93"/>
    <mergeCell ref="AC93:AE93"/>
    <mergeCell ref="B94:D94"/>
    <mergeCell ref="AC94:AE94"/>
    <mergeCell ref="B95:D95"/>
    <mergeCell ref="AC95:AE95"/>
    <mergeCell ref="B90:D90"/>
    <mergeCell ref="AC90:AE90"/>
    <mergeCell ref="B91:D91"/>
    <mergeCell ref="AC91:AE91"/>
    <mergeCell ref="B92:D92"/>
    <mergeCell ref="AC92:AE92"/>
    <mergeCell ref="B87:D87"/>
    <mergeCell ref="AC87:AE87"/>
    <mergeCell ref="B88:D88"/>
    <mergeCell ref="AC88:AE88"/>
    <mergeCell ref="B89:D89"/>
    <mergeCell ref="AC89:AE89"/>
    <mergeCell ref="B84:D84"/>
    <mergeCell ref="AC84:AE84"/>
    <mergeCell ref="B85:D85"/>
    <mergeCell ref="AC85:AE85"/>
    <mergeCell ref="B86:D86"/>
    <mergeCell ref="AC86:AE86"/>
    <mergeCell ref="B81:D81"/>
    <mergeCell ref="AC81:AE81"/>
    <mergeCell ref="B82:D82"/>
    <mergeCell ref="AC82:AE82"/>
    <mergeCell ref="B83:D83"/>
    <mergeCell ref="AC83:AE83"/>
    <mergeCell ref="B78:D78"/>
    <mergeCell ref="AC78:AE78"/>
    <mergeCell ref="B79:D79"/>
    <mergeCell ref="AC79:AE79"/>
    <mergeCell ref="B80:D80"/>
    <mergeCell ref="AC80:AE80"/>
    <mergeCell ref="B75:D75"/>
    <mergeCell ref="AC75:AE75"/>
    <mergeCell ref="B76:D76"/>
    <mergeCell ref="AC76:AE76"/>
    <mergeCell ref="B77:D77"/>
    <mergeCell ref="AC77:AE77"/>
    <mergeCell ref="B72:D72"/>
    <mergeCell ref="AC72:AE72"/>
    <mergeCell ref="B73:D73"/>
    <mergeCell ref="AC73:AE73"/>
    <mergeCell ref="B74:D74"/>
    <mergeCell ref="AC74:AE74"/>
    <mergeCell ref="B69:D69"/>
    <mergeCell ref="AC69:AE69"/>
    <mergeCell ref="B70:D70"/>
    <mergeCell ref="AC70:AE70"/>
    <mergeCell ref="B71:D71"/>
    <mergeCell ref="AC71:AE71"/>
    <mergeCell ref="B66:D66"/>
    <mergeCell ref="AC66:AE66"/>
    <mergeCell ref="B67:D67"/>
    <mergeCell ref="AC67:AE67"/>
    <mergeCell ref="B68:D68"/>
    <mergeCell ref="AC68:AE68"/>
    <mergeCell ref="B63:D63"/>
    <mergeCell ref="AC63:AE63"/>
    <mergeCell ref="B64:D64"/>
    <mergeCell ref="AC64:AE64"/>
    <mergeCell ref="B65:D65"/>
    <mergeCell ref="AC65:AE65"/>
    <mergeCell ref="B41:D41"/>
    <mergeCell ref="AC41:AE41"/>
    <mergeCell ref="AC57:AE57"/>
    <mergeCell ref="AC62:AE62"/>
    <mergeCell ref="B38:D38"/>
    <mergeCell ref="AC38:AE38"/>
    <mergeCell ref="B39:D39"/>
    <mergeCell ref="AC39:AE39"/>
    <mergeCell ref="B40:D40"/>
    <mergeCell ref="AC40:AE40"/>
    <mergeCell ref="B53:D53"/>
    <mergeCell ref="B54:D54"/>
    <mergeCell ref="B55:D55"/>
    <mergeCell ref="B56:D56"/>
    <mergeCell ref="AC42:AE42"/>
    <mergeCell ref="AC43:AE43"/>
    <mergeCell ref="AC44:AE44"/>
    <mergeCell ref="AC45:AE45"/>
    <mergeCell ref="AC46:AE46"/>
    <mergeCell ref="AC47:AE47"/>
    <mergeCell ref="B35:D35"/>
    <mergeCell ref="AC35:AE35"/>
    <mergeCell ref="B36:D36"/>
    <mergeCell ref="AC36:AE36"/>
    <mergeCell ref="B37:D37"/>
    <mergeCell ref="AC37:AE37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AC48:AE48"/>
    <mergeCell ref="AC49:AE49"/>
    <mergeCell ref="AC50:AE50"/>
    <mergeCell ref="AC51:AE51"/>
    <mergeCell ref="AC52:AE52"/>
    <mergeCell ref="B32:D32"/>
    <mergeCell ref="AC32:AE32"/>
    <mergeCell ref="B33:D33"/>
    <mergeCell ref="AC33:AE33"/>
    <mergeCell ref="B34:D34"/>
    <mergeCell ref="AC34:AE34"/>
    <mergeCell ref="B29:D29"/>
    <mergeCell ref="AC29:AE29"/>
    <mergeCell ref="B30:D30"/>
    <mergeCell ref="AC30:AE30"/>
    <mergeCell ref="B31:D31"/>
    <mergeCell ref="AC31:AE31"/>
    <mergeCell ref="B26:D26"/>
    <mergeCell ref="AC26:AE26"/>
    <mergeCell ref="B27:D27"/>
    <mergeCell ref="AC27:AE27"/>
    <mergeCell ref="B28:D28"/>
    <mergeCell ref="AC28:AE28"/>
    <mergeCell ref="B23:D23"/>
    <mergeCell ref="AC23:AE23"/>
    <mergeCell ref="B24:D24"/>
    <mergeCell ref="AC24:AE24"/>
    <mergeCell ref="B25:D25"/>
    <mergeCell ref="AC25:AE25"/>
    <mergeCell ref="B20:D20"/>
    <mergeCell ref="AC20:AE20"/>
    <mergeCell ref="B21:D21"/>
    <mergeCell ref="AC21:AE21"/>
    <mergeCell ref="B22:D22"/>
    <mergeCell ref="AC22:AE22"/>
    <mergeCell ref="B17:D17"/>
    <mergeCell ref="AC17:AE17"/>
    <mergeCell ref="B18:D18"/>
    <mergeCell ref="AC18:AE18"/>
    <mergeCell ref="B19:D19"/>
    <mergeCell ref="AC19:AE19"/>
    <mergeCell ref="B14:D14"/>
    <mergeCell ref="AC14:AE14"/>
    <mergeCell ref="B15:D15"/>
    <mergeCell ref="AC15:AE15"/>
    <mergeCell ref="B16:D16"/>
    <mergeCell ref="AC16:AE16"/>
    <mergeCell ref="B11:D11"/>
    <mergeCell ref="AC11:AE11"/>
    <mergeCell ref="B12:D12"/>
    <mergeCell ref="AC12:AE12"/>
    <mergeCell ref="B13:D13"/>
    <mergeCell ref="AC13:AE13"/>
    <mergeCell ref="AC7:AE7"/>
    <mergeCell ref="B8:D8"/>
    <mergeCell ref="AC8:AE8"/>
    <mergeCell ref="B9:D9"/>
    <mergeCell ref="AC9:AE9"/>
    <mergeCell ref="B10:D10"/>
    <mergeCell ref="AC10:AE10"/>
  </mergeCells>
  <pageMargins left="0.7" right="0.7" top="0.75" bottom="0.75" header="0.3" footer="0.3"/>
  <pageSetup scale="1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EF92-986D-4419-9742-3E9C054CFCA6}">
  <sheetPr codeName="Hoja4"/>
  <dimension ref="B1:AL47"/>
  <sheetViews>
    <sheetView view="pageBreakPreview" zoomScale="60" zoomScaleNormal="70" workbookViewId="0">
      <selection activeCell="AJ12" sqref="AJ12:AL12"/>
    </sheetView>
  </sheetViews>
  <sheetFormatPr baseColWidth="10" defaultColWidth="11.42578125" defaultRowHeight="18.75" x14ac:dyDescent="0.3"/>
  <cols>
    <col min="1" max="1" width="2.42578125" style="12" customWidth="1"/>
    <col min="2" max="2" width="32.5703125" style="12" customWidth="1"/>
    <col min="3" max="28" width="10.140625" style="19" customWidth="1"/>
    <col min="29" max="16384" width="11.42578125" style="12"/>
  </cols>
  <sheetData>
    <row r="1" spans="2:38" s="4" customFormat="1" x14ac:dyDescent="0.3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2:38" s="4" customFormat="1" x14ac:dyDescent="0.3">
      <c r="B2" s="7" t="s">
        <v>87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s="4" customFormat="1" x14ac:dyDescent="0.3">
      <c r="B3" s="22"/>
      <c r="C3" s="23"/>
      <c r="D3" s="23"/>
      <c r="E3" s="23"/>
      <c r="F3" s="23"/>
      <c r="G3" s="23"/>
      <c r="H3" s="23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</row>
    <row r="4" spans="2:38" s="4" customFormat="1" x14ac:dyDescent="0.3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2:38" s="4" customFormat="1" x14ac:dyDescent="0.3">
      <c r="B5" s="5" t="s">
        <v>84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7"/>
      <c r="AC5" s="37"/>
      <c r="AD5" s="37"/>
      <c r="AE5" s="37"/>
      <c r="AF5" s="37"/>
      <c r="AG5" s="37"/>
      <c r="AH5" s="37"/>
      <c r="AI5" s="37"/>
      <c r="AJ5" s="1"/>
      <c r="AK5" s="37"/>
      <c r="AL5" s="1"/>
    </row>
    <row r="6" spans="2:38" s="4" customFormat="1" x14ac:dyDescent="0.3">
      <c r="AH6" s="3"/>
      <c r="AI6" s="3"/>
      <c r="AJ6" s="3"/>
      <c r="AK6" s="3"/>
    </row>
    <row r="7" spans="2:38" s="4" customFormat="1" x14ac:dyDescent="0.3">
      <c r="B7" s="48">
        <v>44562</v>
      </c>
      <c r="AH7" s="3"/>
      <c r="AI7" s="3"/>
      <c r="AJ7" s="3"/>
      <c r="AK7" s="3"/>
    </row>
    <row r="8" spans="2:38" s="4" customFormat="1" x14ac:dyDescent="0.3"/>
    <row r="9" spans="2:38" s="4" customFormat="1" x14ac:dyDescent="0.3">
      <c r="B9" s="39" t="s">
        <v>3</v>
      </c>
      <c r="E9" s="40">
        <v>44562</v>
      </c>
      <c r="F9" s="40">
        <f>E9+1</f>
        <v>44563</v>
      </c>
      <c r="G9" s="40">
        <f t="shared" ref="G9:AI9" si="0">F9+1</f>
        <v>44564</v>
      </c>
      <c r="H9" s="40">
        <f t="shared" si="0"/>
        <v>44565</v>
      </c>
      <c r="I9" s="40">
        <f t="shared" si="0"/>
        <v>44566</v>
      </c>
      <c r="J9" s="40">
        <f t="shared" si="0"/>
        <v>44567</v>
      </c>
      <c r="K9" s="40">
        <f t="shared" si="0"/>
        <v>44568</v>
      </c>
      <c r="L9" s="40">
        <f t="shared" si="0"/>
        <v>44569</v>
      </c>
      <c r="M9" s="40">
        <f t="shared" si="0"/>
        <v>44570</v>
      </c>
      <c r="N9" s="40">
        <f t="shared" si="0"/>
        <v>44571</v>
      </c>
      <c r="O9" s="40">
        <f t="shared" si="0"/>
        <v>44572</v>
      </c>
      <c r="P9" s="40">
        <f t="shared" si="0"/>
        <v>44573</v>
      </c>
      <c r="Q9" s="40">
        <f t="shared" si="0"/>
        <v>44574</v>
      </c>
      <c r="R9" s="40">
        <f t="shared" si="0"/>
        <v>44575</v>
      </c>
      <c r="S9" s="40">
        <f t="shared" si="0"/>
        <v>44576</v>
      </c>
      <c r="T9" s="40">
        <f t="shared" si="0"/>
        <v>44577</v>
      </c>
      <c r="U9" s="40">
        <f t="shared" si="0"/>
        <v>44578</v>
      </c>
      <c r="V9" s="40">
        <f t="shared" si="0"/>
        <v>44579</v>
      </c>
      <c r="W9" s="40">
        <f t="shared" si="0"/>
        <v>44580</v>
      </c>
      <c r="X9" s="40">
        <f t="shared" si="0"/>
        <v>44581</v>
      </c>
      <c r="Y9" s="40">
        <f t="shared" si="0"/>
        <v>44582</v>
      </c>
      <c r="Z9" s="40">
        <f t="shared" si="0"/>
        <v>44583</v>
      </c>
      <c r="AA9" s="40">
        <f t="shared" si="0"/>
        <v>44584</v>
      </c>
      <c r="AB9" s="40">
        <f t="shared" si="0"/>
        <v>44585</v>
      </c>
      <c r="AC9" s="40">
        <f t="shared" si="0"/>
        <v>44586</v>
      </c>
      <c r="AD9" s="40">
        <f t="shared" si="0"/>
        <v>44587</v>
      </c>
      <c r="AE9" s="40">
        <f t="shared" si="0"/>
        <v>44588</v>
      </c>
      <c r="AF9" s="40">
        <f t="shared" si="0"/>
        <v>44589</v>
      </c>
      <c r="AG9" s="40">
        <f t="shared" si="0"/>
        <v>44590</v>
      </c>
      <c r="AH9" s="40">
        <f t="shared" si="0"/>
        <v>44591</v>
      </c>
      <c r="AI9" s="40">
        <f t="shared" si="0"/>
        <v>44592</v>
      </c>
      <c r="AJ9" s="247" t="s">
        <v>2</v>
      </c>
      <c r="AK9" s="248"/>
      <c r="AL9" s="248"/>
    </row>
    <row r="10" spans="2:38" s="4" customFormat="1" x14ac:dyDescent="0.3">
      <c r="B10" s="14" t="s">
        <v>2</v>
      </c>
      <c r="C10" s="14"/>
      <c r="D10" s="14"/>
      <c r="E10" s="41">
        <f>SUM(E11:E47)</f>
        <v>5534.6364999999996</v>
      </c>
      <c r="F10" s="41">
        <f t="shared" ref="F10:AH10" si="1">SUM(F11:F47)</f>
        <v>5449.3831666666665</v>
      </c>
      <c r="G10" s="41">
        <f t="shared" si="1"/>
        <v>582.06316666666669</v>
      </c>
      <c r="H10" s="41">
        <f t="shared" si="1"/>
        <v>2478.4271666666668</v>
      </c>
      <c r="I10" s="41">
        <f t="shared" si="1"/>
        <v>2233.1848333333328</v>
      </c>
      <c r="J10" s="41">
        <f t="shared" si="1"/>
        <v>2271.0746666666664</v>
      </c>
      <c r="K10" s="41">
        <f t="shared" si="1"/>
        <v>457.47550000000001</v>
      </c>
      <c r="L10" s="41">
        <f t="shared" si="1"/>
        <v>99.09366666666665</v>
      </c>
      <c r="M10" s="41">
        <f t="shared" si="1"/>
        <v>322.6545000000001</v>
      </c>
      <c r="N10" s="41">
        <f t="shared" si="1"/>
        <v>20.169999999999995</v>
      </c>
      <c r="O10" s="41">
        <f t="shared" si="1"/>
        <v>924.58766666666656</v>
      </c>
      <c r="P10" s="41">
        <f t="shared" si="1"/>
        <v>1190.5189999999996</v>
      </c>
      <c r="Q10" s="41">
        <f t="shared" si="1"/>
        <v>2481.0716666666672</v>
      </c>
      <c r="R10" s="41">
        <f t="shared" si="1"/>
        <v>109.94199999999998</v>
      </c>
      <c r="S10" s="41">
        <f t="shared" si="1"/>
        <v>1928.5578333333333</v>
      </c>
      <c r="T10" s="41">
        <f t="shared" si="1"/>
        <v>3638.9326666666675</v>
      </c>
      <c r="U10" s="41">
        <f t="shared" si="1"/>
        <v>2482.8071666666665</v>
      </c>
      <c r="V10" s="41">
        <f t="shared" si="1"/>
        <v>601.26166666666666</v>
      </c>
      <c r="W10" s="41">
        <f t="shared" si="1"/>
        <v>2031.5505000000003</v>
      </c>
      <c r="X10" s="41">
        <f t="shared" si="1"/>
        <v>3166.2361666666675</v>
      </c>
      <c r="Y10" s="41">
        <f t="shared" si="1"/>
        <v>1839.3050000000003</v>
      </c>
      <c r="Z10" s="41">
        <f t="shared" si="1"/>
        <v>1018.9251666666668</v>
      </c>
      <c r="AA10" s="41">
        <f t="shared" si="1"/>
        <v>2008.2165000000002</v>
      </c>
      <c r="AB10" s="41">
        <f t="shared" si="1"/>
        <v>86.878666666666675</v>
      </c>
      <c r="AC10" s="41">
        <f t="shared" si="1"/>
        <v>104.15683333333332</v>
      </c>
      <c r="AD10" s="41">
        <f t="shared" si="1"/>
        <v>817.68333333333374</v>
      </c>
      <c r="AE10" s="41">
        <f t="shared" si="1"/>
        <v>1087.441166666667</v>
      </c>
      <c r="AF10" s="41">
        <f t="shared" si="1"/>
        <v>1706.0151666666659</v>
      </c>
      <c r="AG10" s="41">
        <f t="shared" si="1"/>
        <v>2952.0450000000001</v>
      </c>
      <c r="AH10" s="41">
        <f t="shared" si="1"/>
        <v>3457.3521666666661</v>
      </c>
      <c r="AI10" s="41">
        <f>SUM(AI11:AI47)</f>
        <v>72.604666666666674</v>
      </c>
      <c r="AJ10" s="254">
        <f>SUM(AJ11:AL47)</f>
        <v>53154.253166666676</v>
      </c>
      <c r="AK10" s="255"/>
      <c r="AL10" s="255"/>
    </row>
    <row r="11" spans="2:38" s="4" customFormat="1" x14ac:dyDescent="0.3">
      <c r="B11" s="245" t="s">
        <v>4</v>
      </c>
      <c r="C11" s="245"/>
      <c r="D11" s="245"/>
      <c r="E11" s="20">
        <v>40.035666666666671</v>
      </c>
      <c r="F11" s="21">
        <v>238.97183333333334</v>
      </c>
      <c r="G11" s="20">
        <v>44.079500000000003</v>
      </c>
      <c r="H11" s="21">
        <v>18.868333333333339</v>
      </c>
      <c r="I11" s="20">
        <v>92.931333333333342</v>
      </c>
      <c r="J11" s="21">
        <v>56.291833333333344</v>
      </c>
      <c r="K11" s="20">
        <v>1.7064999999999986</v>
      </c>
      <c r="L11" s="21">
        <v>0</v>
      </c>
      <c r="M11" s="20">
        <v>0.41183333333333322</v>
      </c>
      <c r="N11" s="21">
        <v>0</v>
      </c>
      <c r="O11" s="20">
        <v>199.43500000000006</v>
      </c>
      <c r="P11" s="21">
        <v>0</v>
      </c>
      <c r="Q11" s="20">
        <v>0</v>
      </c>
      <c r="R11" s="21">
        <v>0</v>
      </c>
      <c r="S11" s="20">
        <v>0</v>
      </c>
      <c r="T11" s="21">
        <v>98.387333333333288</v>
      </c>
      <c r="U11" s="20">
        <v>7.2339999999999991</v>
      </c>
      <c r="V11" s="21">
        <v>10.311500000000004</v>
      </c>
      <c r="W11" s="20">
        <v>30.728666666666683</v>
      </c>
      <c r="X11" s="21">
        <v>13.649833333333341</v>
      </c>
      <c r="Y11" s="20">
        <v>0</v>
      </c>
      <c r="Z11" s="21">
        <v>3.8051666666666666</v>
      </c>
      <c r="AA11" s="20">
        <v>6.6074999999999982</v>
      </c>
      <c r="AB11" s="21">
        <v>0</v>
      </c>
      <c r="AC11" s="20">
        <v>0</v>
      </c>
      <c r="AD11" s="21">
        <v>0</v>
      </c>
      <c r="AE11" s="20">
        <v>0</v>
      </c>
      <c r="AF11" s="21">
        <v>96.722166666666709</v>
      </c>
      <c r="AG11" s="20">
        <v>45.759</v>
      </c>
      <c r="AH11" s="21">
        <v>197.9975</v>
      </c>
      <c r="AI11" s="20">
        <v>0</v>
      </c>
      <c r="AJ11" s="252">
        <f>SUM(E11:AI11)</f>
        <v>1203.9345000000001</v>
      </c>
      <c r="AK11" s="253"/>
      <c r="AL11" s="253"/>
    </row>
    <row r="12" spans="2:38" s="4" customFormat="1" x14ac:dyDescent="0.3">
      <c r="B12" s="245" t="s">
        <v>5</v>
      </c>
      <c r="C12" s="245"/>
      <c r="D12" s="245"/>
      <c r="E12" s="20">
        <v>375.94799999999998</v>
      </c>
      <c r="F12" s="21">
        <v>243.93716666666668</v>
      </c>
      <c r="G12" s="20">
        <v>90.725166666666652</v>
      </c>
      <c r="H12" s="21">
        <v>340.09766666666667</v>
      </c>
      <c r="I12" s="20">
        <v>397.41816666666665</v>
      </c>
      <c r="J12" s="21">
        <v>367.01133333333331</v>
      </c>
      <c r="K12" s="20">
        <v>141.34583333333333</v>
      </c>
      <c r="L12" s="21">
        <v>0</v>
      </c>
      <c r="M12" s="20">
        <v>58.505500000000012</v>
      </c>
      <c r="N12" s="21">
        <v>0</v>
      </c>
      <c r="O12" s="20">
        <v>137.36199999999999</v>
      </c>
      <c r="P12" s="21">
        <v>211.90249999999997</v>
      </c>
      <c r="Q12" s="20">
        <v>262.27633333333335</v>
      </c>
      <c r="R12" s="21">
        <v>4.4561666666666664</v>
      </c>
      <c r="S12" s="20">
        <v>210.32916666666665</v>
      </c>
      <c r="T12" s="21">
        <v>192.63316666666671</v>
      </c>
      <c r="U12" s="20">
        <v>287.89049999999997</v>
      </c>
      <c r="V12" s="21">
        <v>177.4975</v>
      </c>
      <c r="W12" s="20">
        <v>304.62783333333334</v>
      </c>
      <c r="X12" s="21">
        <v>382.69566666666674</v>
      </c>
      <c r="Y12" s="20">
        <v>344.20366666666661</v>
      </c>
      <c r="Z12" s="21">
        <v>70.681166666666655</v>
      </c>
      <c r="AA12" s="20">
        <v>209.16133333333332</v>
      </c>
      <c r="AB12" s="21">
        <v>0</v>
      </c>
      <c r="AC12" s="20">
        <v>0</v>
      </c>
      <c r="AD12" s="21">
        <v>167.22183333333334</v>
      </c>
      <c r="AE12" s="20">
        <v>202.26900000000001</v>
      </c>
      <c r="AF12" s="21">
        <v>266.57583333333332</v>
      </c>
      <c r="AG12" s="20">
        <v>305.30850000000004</v>
      </c>
      <c r="AH12" s="21">
        <v>364.59283333333337</v>
      </c>
      <c r="AI12" s="20">
        <v>0</v>
      </c>
      <c r="AJ12" s="252">
        <f>SUM(E12:AI12)</f>
        <v>6116.6738333333333</v>
      </c>
      <c r="AK12" s="253"/>
      <c r="AL12" s="253"/>
    </row>
    <row r="13" spans="2:38" s="4" customFormat="1" x14ac:dyDescent="0.3">
      <c r="B13" s="245" t="s">
        <v>6</v>
      </c>
      <c r="C13" s="245"/>
      <c r="D13" s="245"/>
      <c r="E13" s="20">
        <v>131.80999999999997</v>
      </c>
      <c r="F13" s="21">
        <v>87.025166666666678</v>
      </c>
      <c r="G13" s="20">
        <v>82.388666666666666</v>
      </c>
      <c r="H13" s="21">
        <v>35.117500000000007</v>
      </c>
      <c r="I13" s="20">
        <v>51.385666666666665</v>
      </c>
      <c r="J13" s="21">
        <v>40.465500000000013</v>
      </c>
      <c r="K13" s="20">
        <v>96.599333333333306</v>
      </c>
      <c r="L13" s="21">
        <v>69.482166666666643</v>
      </c>
      <c r="M13" s="20">
        <v>100.30949999999997</v>
      </c>
      <c r="N13" s="21">
        <v>2.1120000000000014</v>
      </c>
      <c r="O13" s="20">
        <v>43.519333333333343</v>
      </c>
      <c r="P13" s="21">
        <v>8.8166666666667712E-2</v>
      </c>
      <c r="Q13" s="20">
        <v>40.813833333333335</v>
      </c>
      <c r="R13" s="21">
        <v>28.809833333333344</v>
      </c>
      <c r="S13" s="20">
        <v>70.495833333333337</v>
      </c>
      <c r="T13" s="21">
        <v>46.288333333333341</v>
      </c>
      <c r="U13" s="20">
        <v>113.36116666666663</v>
      </c>
      <c r="V13" s="21">
        <v>50.75366666666666</v>
      </c>
      <c r="W13" s="20">
        <v>90.769999999999982</v>
      </c>
      <c r="X13" s="21">
        <v>42.303833333333344</v>
      </c>
      <c r="Y13" s="20">
        <v>44.485833333333332</v>
      </c>
      <c r="Z13" s="21">
        <v>23.359000000000002</v>
      </c>
      <c r="AA13" s="20">
        <v>65.467999999999989</v>
      </c>
      <c r="AB13" s="21">
        <v>56.177333333333337</v>
      </c>
      <c r="AC13" s="20">
        <v>69.392833333333314</v>
      </c>
      <c r="AD13" s="21">
        <v>51.367833333333323</v>
      </c>
      <c r="AE13" s="20">
        <v>46.69116666666666</v>
      </c>
      <c r="AF13" s="21">
        <v>27.381666666666661</v>
      </c>
      <c r="AG13" s="20">
        <v>34.54933333333333</v>
      </c>
      <c r="AH13" s="21">
        <v>78.553666666666658</v>
      </c>
      <c r="AI13" s="20">
        <v>66.087500000000006</v>
      </c>
      <c r="AJ13" s="252">
        <f t="shared" ref="AJ13:AJ45" si="2">SUM(E13:AI13)</f>
        <v>1787.4136666666668</v>
      </c>
      <c r="AK13" s="253"/>
      <c r="AL13" s="253"/>
    </row>
    <row r="14" spans="2:38" s="4" customFormat="1" x14ac:dyDescent="0.3">
      <c r="B14" s="245" t="s">
        <v>91</v>
      </c>
      <c r="C14" s="245"/>
      <c r="D14" s="245"/>
      <c r="E14" s="20">
        <v>0</v>
      </c>
      <c r="F14" s="21">
        <v>0</v>
      </c>
      <c r="G14" s="20">
        <v>0</v>
      </c>
      <c r="H14" s="21">
        <v>0</v>
      </c>
      <c r="I14" s="20">
        <v>0</v>
      </c>
      <c r="J14" s="21">
        <v>0</v>
      </c>
      <c r="K14" s="20">
        <v>0</v>
      </c>
      <c r="L14" s="21">
        <v>0</v>
      </c>
      <c r="M14" s="20">
        <v>0</v>
      </c>
      <c r="N14" s="21">
        <v>0</v>
      </c>
      <c r="O14" s="20">
        <v>0</v>
      </c>
      <c r="P14" s="21">
        <v>0</v>
      </c>
      <c r="Q14" s="20">
        <v>0</v>
      </c>
      <c r="R14" s="21">
        <v>0</v>
      </c>
      <c r="S14" s="20">
        <v>0</v>
      </c>
      <c r="T14" s="21">
        <v>0</v>
      </c>
      <c r="U14" s="20">
        <v>0</v>
      </c>
      <c r="V14" s="21">
        <v>0</v>
      </c>
      <c r="W14" s="20">
        <v>0</v>
      </c>
      <c r="X14" s="21">
        <v>0</v>
      </c>
      <c r="Y14" s="20">
        <v>0</v>
      </c>
      <c r="Z14" s="21">
        <v>0</v>
      </c>
      <c r="AA14" s="20">
        <v>0</v>
      </c>
      <c r="AB14" s="21">
        <v>0</v>
      </c>
      <c r="AC14" s="20">
        <v>0</v>
      </c>
      <c r="AD14" s="21">
        <v>0</v>
      </c>
      <c r="AE14" s="20">
        <v>0</v>
      </c>
      <c r="AF14" s="21">
        <v>0</v>
      </c>
      <c r="AG14" s="20">
        <v>0</v>
      </c>
      <c r="AH14" s="21">
        <v>0</v>
      </c>
      <c r="AI14" s="20">
        <v>0</v>
      </c>
      <c r="AJ14" s="252">
        <f>SUM(E14:AI14)</f>
        <v>0</v>
      </c>
      <c r="AK14" s="253"/>
      <c r="AL14" s="253"/>
    </row>
    <row r="15" spans="2:38" s="4" customFormat="1" x14ac:dyDescent="0.3">
      <c r="B15" s="245" t="s">
        <v>7</v>
      </c>
      <c r="C15" s="245"/>
      <c r="D15" s="245"/>
      <c r="E15" s="20">
        <v>70.649500000000003</v>
      </c>
      <c r="F15" s="21">
        <v>20.817833333333333</v>
      </c>
      <c r="G15" s="20">
        <v>15.962999999999997</v>
      </c>
      <c r="H15" s="21">
        <v>2.0201666666666673</v>
      </c>
      <c r="I15" s="20">
        <v>22.886999999999997</v>
      </c>
      <c r="J15" s="21">
        <v>45.043333333333329</v>
      </c>
      <c r="K15" s="20">
        <v>11.348333333333329</v>
      </c>
      <c r="L15" s="21">
        <v>29.603000000000002</v>
      </c>
      <c r="M15" s="20">
        <v>22.869999999999997</v>
      </c>
      <c r="N15" s="21">
        <v>10.672166666666664</v>
      </c>
      <c r="O15" s="20">
        <v>100.96016666666667</v>
      </c>
      <c r="P15" s="21">
        <v>199.60166666666666</v>
      </c>
      <c r="Q15" s="20">
        <v>59.336833333333331</v>
      </c>
      <c r="R15" s="21">
        <v>16.512833333333326</v>
      </c>
      <c r="S15" s="20">
        <v>57.215833333333329</v>
      </c>
      <c r="T15" s="21">
        <v>81.525499999999994</v>
      </c>
      <c r="U15" s="20">
        <v>131.01316666666665</v>
      </c>
      <c r="V15" s="21">
        <v>9.5638333333333279</v>
      </c>
      <c r="W15" s="20">
        <v>1.2778333333333372</v>
      </c>
      <c r="X15" s="21">
        <v>139.30816666666666</v>
      </c>
      <c r="Y15" s="20">
        <v>56.418333333333329</v>
      </c>
      <c r="Z15" s="21">
        <v>0</v>
      </c>
      <c r="AA15" s="20">
        <v>1.8776666666666668</v>
      </c>
      <c r="AB15" s="21">
        <v>30.701333333333331</v>
      </c>
      <c r="AC15" s="20">
        <v>18.668000000000006</v>
      </c>
      <c r="AD15" s="21">
        <v>8.4916666666666636</v>
      </c>
      <c r="AE15" s="20">
        <v>2.434833333333335</v>
      </c>
      <c r="AF15" s="21">
        <v>184.80716666666663</v>
      </c>
      <c r="AG15" s="20">
        <v>212.74499999999998</v>
      </c>
      <c r="AH15" s="21">
        <v>31.386499999999998</v>
      </c>
      <c r="AI15" s="20">
        <v>2.6051666666666677</v>
      </c>
      <c r="AJ15" s="252">
        <f t="shared" si="2"/>
        <v>1598.3258333333333</v>
      </c>
      <c r="AK15" s="253"/>
      <c r="AL15" s="253"/>
    </row>
    <row r="16" spans="2:38" s="4" customFormat="1" x14ac:dyDescent="0.3">
      <c r="B16" s="245" t="s">
        <v>8</v>
      </c>
      <c r="C16" s="245"/>
      <c r="D16" s="245"/>
      <c r="E16" s="20">
        <v>0</v>
      </c>
      <c r="F16" s="21">
        <v>43.195166666666672</v>
      </c>
      <c r="G16" s="20">
        <v>66.680499999999995</v>
      </c>
      <c r="H16" s="21">
        <v>123.75133333333331</v>
      </c>
      <c r="I16" s="20">
        <v>181.06833333333336</v>
      </c>
      <c r="J16" s="21">
        <v>88.691333333333333</v>
      </c>
      <c r="K16" s="20">
        <v>24.324833333333327</v>
      </c>
      <c r="L16" s="21">
        <v>8.4999999999999677E-3</v>
      </c>
      <c r="M16" s="20">
        <v>3.4371666666666663</v>
      </c>
      <c r="N16" s="21">
        <v>7.3858333333333306</v>
      </c>
      <c r="O16" s="20">
        <v>32.481666666666662</v>
      </c>
      <c r="P16" s="21">
        <v>122.97516666666669</v>
      </c>
      <c r="Q16" s="20">
        <v>96.21483333333336</v>
      </c>
      <c r="R16" s="21">
        <v>0.4791666666666668</v>
      </c>
      <c r="S16" s="20">
        <v>11.572833333333328</v>
      </c>
      <c r="T16" s="21">
        <v>0</v>
      </c>
      <c r="U16" s="20">
        <v>58.35466666666666</v>
      </c>
      <c r="V16" s="21">
        <v>30.989666666666672</v>
      </c>
      <c r="W16" s="20">
        <v>15.637333333333331</v>
      </c>
      <c r="X16" s="21">
        <v>170.95383333333336</v>
      </c>
      <c r="Y16" s="20">
        <v>240.14933333333337</v>
      </c>
      <c r="Z16" s="21">
        <v>113.98366666666671</v>
      </c>
      <c r="AA16" s="20">
        <v>115.0931666666667</v>
      </c>
      <c r="AB16" s="21">
        <v>0</v>
      </c>
      <c r="AC16" s="20">
        <v>16.096000000000004</v>
      </c>
      <c r="AD16" s="21">
        <v>48.376666666666672</v>
      </c>
      <c r="AE16" s="20">
        <v>50.386333333333354</v>
      </c>
      <c r="AF16" s="21">
        <v>113.7093333333334</v>
      </c>
      <c r="AG16" s="20">
        <v>13.944666666666665</v>
      </c>
      <c r="AH16" s="21">
        <v>32.661500000000004</v>
      </c>
      <c r="AI16" s="20">
        <v>3.9119999999999995</v>
      </c>
      <c r="AJ16" s="252">
        <f t="shared" si="2"/>
        <v>1826.5148333333341</v>
      </c>
      <c r="AK16" s="253"/>
      <c r="AL16" s="253"/>
    </row>
    <row r="17" spans="2:38" s="4" customFormat="1" x14ac:dyDescent="0.3">
      <c r="B17" s="245" t="s">
        <v>9</v>
      </c>
      <c r="C17" s="245"/>
      <c r="D17" s="245"/>
      <c r="E17" s="20">
        <v>496.54449999999997</v>
      </c>
      <c r="F17" s="21">
        <v>373.91633333333334</v>
      </c>
      <c r="G17" s="20">
        <v>5.3934999999999986</v>
      </c>
      <c r="H17" s="21">
        <v>47.887333333333352</v>
      </c>
      <c r="I17" s="20">
        <v>217.99766666666673</v>
      </c>
      <c r="J17" s="21">
        <v>245.04833333333329</v>
      </c>
      <c r="K17" s="20">
        <v>0</v>
      </c>
      <c r="L17" s="21">
        <v>0</v>
      </c>
      <c r="M17" s="20">
        <v>2.4915000000000012</v>
      </c>
      <c r="N17" s="21">
        <v>0</v>
      </c>
      <c r="O17" s="20">
        <v>147.16833333333332</v>
      </c>
      <c r="P17" s="21">
        <v>397.95833333333303</v>
      </c>
      <c r="Q17" s="20">
        <v>639.96000000000049</v>
      </c>
      <c r="R17" s="21">
        <v>0</v>
      </c>
      <c r="S17" s="20">
        <v>0</v>
      </c>
      <c r="T17" s="21">
        <v>195.2416666666667</v>
      </c>
      <c r="U17" s="20">
        <v>181.63666666666666</v>
      </c>
      <c r="V17" s="21">
        <v>7.2618333333333389</v>
      </c>
      <c r="W17" s="20">
        <v>248.56216666666666</v>
      </c>
      <c r="X17" s="21">
        <v>186.42933333333335</v>
      </c>
      <c r="Y17" s="20">
        <v>24.847999999999999</v>
      </c>
      <c r="Z17" s="21">
        <v>55.175166666666669</v>
      </c>
      <c r="AA17" s="20">
        <v>77.100500000000025</v>
      </c>
      <c r="AB17" s="21">
        <v>0</v>
      </c>
      <c r="AC17" s="20">
        <v>0</v>
      </c>
      <c r="AD17" s="21">
        <v>88.67616666666666</v>
      </c>
      <c r="AE17" s="20">
        <v>27.772999999999993</v>
      </c>
      <c r="AF17" s="21">
        <v>17.172333333333327</v>
      </c>
      <c r="AG17" s="20">
        <v>259.92666666666668</v>
      </c>
      <c r="AH17" s="21">
        <v>233.47783333333334</v>
      </c>
      <c r="AI17" s="20">
        <v>0</v>
      </c>
      <c r="AJ17" s="252">
        <f t="shared" si="2"/>
        <v>4177.6471666666675</v>
      </c>
      <c r="AK17" s="253"/>
      <c r="AL17" s="253"/>
    </row>
    <row r="18" spans="2:38" s="4" customFormat="1" x14ac:dyDescent="0.3">
      <c r="B18" s="245" t="s">
        <v>10</v>
      </c>
      <c r="C18" s="245"/>
      <c r="D18" s="245"/>
      <c r="E18" s="20">
        <v>290.31783333333328</v>
      </c>
      <c r="F18" s="21">
        <v>408.90499999999997</v>
      </c>
      <c r="G18" s="20">
        <v>2.5894999999999992</v>
      </c>
      <c r="H18" s="21">
        <v>202.3688333333333</v>
      </c>
      <c r="I18" s="20">
        <v>215.27150000000006</v>
      </c>
      <c r="J18" s="21">
        <v>195.49300000000002</v>
      </c>
      <c r="K18" s="20">
        <v>10.502666666666663</v>
      </c>
      <c r="L18" s="21">
        <v>0</v>
      </c>
      <c r="M18" s="20">
        <v>5.4266666666666676</v>
      </c>
      <c r="N18" s="21">
        <v>0</v>
      </c>
      <c r="O18" s="20">
        <v>7.8396666666666652</v>
      </c>
      <c r="P18" s="21">
        <v>4.1816666666666658</v>
      </c>
      <c r="Q18" s="20">
        <v>225.81833333333336</v>
      </c>
      <c r="R18" s="21">
        <v>0</v>
      </c>
      <c r="S18" s="20">
        <v>65.135000000000005</v>
      </c>
      <c r="T18" s="21">
        <v>196.21316666666667</v>
      </c>
      <c r="U18" s="20">
        <v>99.672166666666698</v>
      </c>
      <c r="V18" s="21">
        <v>0</v>
      </c>
      <c r="W18" s="20">
        <v>118.21666666666664</v>
      </c>
      <c r="X18" s="21">
        <v>189.73516666666666</v>
      </c>
      <c r="Y18" s="20">
        <v>109.20433333333334</v>
      </c>
      <c r="Z18" s="21">
        <v>115.60599999999999</v>
      </c>
      <c r="AA18" s="20">
        <v>88.962166666666647</v>
      </c>
      <c r="AB18" s="21">
        <v>0</v>
      </c>
      <c r="AC18" s="20">
        <v>0</v>
      </c>
      <c r="AD18" s="21">
        <v>52.345000000000013</v>
      </c>
      <c r="AE18" s="20">
        <v>62.135499999999986</v>
      </c>
      <c r="AF18" s="21">
        <v>12.317833333333336</v>
      </c>
      <c r="AG18" s="20">
        <v>226.15366666666665</v>
      </c>
      <c r="AH18" s="21">
        <v>44.262500000000003</v>
      </c>
      <c r="AI18" s="20">
        <v>0</v>
      </c>
      <c r="AJ18" s="252">
        <f t="shared" si="2"/>
        <v>2948.6738333333333</v>
      </c>
      <c r="AK18" s="253"/>
      <c r="AL18" s="253"/>
    </row>
    <row r="19" spans="2:38" s="4" customFormat="1" x14ac:dyDescent="0.3">
      <c r="B19" s="245" t="s">
        <v>11</v>
      </c>
      <c r="C19" s="245"/>
      <c r="D19" s="245"/>
      <c r="E19" s="20">
        <v>460.74116666666669</v>
      </c>
      <c r="F19" s="21">
        <v>528.59033333333343</v>
      </c>
      <c r="G19" s="20">
        <v>71.992666666666651</v>
      </c>
      <c r="H19" s="21">
        <v>255.07900000000001</v>
      </c>
      <c r="I19" s="20">
        <v>205.59166666666661</v>
      </c>
      <c r="J19" s="21">
        <v>306.03883333333334</v>
      </c>
      <c r="K19" s="20">
        <v>20.150666666666673</v>
      </c>
      <c r="L19" s="21">
        <v>0</v>
      </c>
      <c r="M19" s="20">
        <v>0.55483333333333351</v>
      </c>
      <c r="N19" s="21">
        <v>0</v>
      </c>
      <c r="O19" s="20">
        <v>17.580833333333338</v>
      </c>
      <c r="P19" s="21">
        <v>28.49366666666667</v>
      </c>
      <c r="Q19" s="20">
        <v>354.31833333333338</v>
      </c>
      <c r="R19" s="21">
        <v>0</v>
      </c>
      <c r="S19" s="20">
        <v>140.24716666666669</v>
      </c>
      <c r="T19" s="21">
        <v>286.60783333333336</v>
      </c>
      <c r="U19" s="20">
        <v>484.24733333333336</v>
      </c>
      <c r="V19" s="21">
        <v>0</v>
      </c>
      <c r="W19" s="20">
        <v>344.87516666666664</v>
      </c>
      <c r="X19" s="21">
        <v>719.07316666666679</v>
      </c>
      <c r="Y19" s="20">
        <v>173.55516666666668</v>
      </c>
      <c r="Z19" s="21">
        <v>100.26183333333334</v>
      </c>
      <c r="AA19" s="20">
        <v>177.6045</v>
      </c>
      <c r="AB19" s="21">
        <v>0</v>
      </c>
      <c r="AC19" s="20">
        <v>0</v>
      </c>
      <c r="AD19" s="21">
        <v>69.437499999999972</v>
      </c>
      <c r="AE19" s="20">
        <v>75.662333333333308</v>
      </c>
      <c r="AF19" s="21">
        <v>93.15983333333331</v>
      </c>
      <c r="AG19" s="20">
        <v>258.42666666666673</v>
      </c>
      <c r="AH19" s="21">
        <v>134.95450000000002</v>
      </c>
      <c r="AI19" s="20">
        <v>0</v>
      </c>
      <c r="AJ19" s="252">
        <f t="shared" si="2"/>
        <v>5307.2450000000008</v>
      </c>
      <c r="AK19" s="253"/>
      <c r="AL19" s="253"/>
    </row>
    <row r="20" spans="2:38" s="4" customFormat="1" x14ac:dyDescent="0.3">
      <c r="B20" s="245" t="s">
        <v>12</v>
      </c>
      <c r="C20" s="245"/>
      <c r="D20" s="245"/>
      <c r="E20" s="20">
        <v>729.52833333333331</v>
      </c>
      <c r="F20" s="21">
        <v>621.62716666666665</v>
      </c>
      <c r="G20" s="20">
        <v>87.560333333333332</v>
      </c>
      <c r="H20" s="21">
        <v>385.92466666666667</v>
      </c>
      <c r="I20" s="20">
        <v>330.81216666666666</v>
      </c>
      <c r="J20" s="21">
        <v>405.02949999999998</v>
      </c>
      <c r="K20" s="20">
        <v>104.94183333333335</v>
      </c>
      <c r="L20" s="21">
        <v>0</v>
      </c>
      <c r="M20" s="20">
        <v>12.820666666666664</v>
      </c>
      <c r="N20" s="21">
        <v>0</v>
      </c>
      <c r="O20" s="20">
        <v>91.907499999999999</v>
      </c>
      <c r="P20" s="21">
        <v>89.57950000000001</v>
      </c>
      <c r="Q20" s="20">
        <v>443.37450000000001</v>
      </c>
      <c r="R20" s="21">
        <v>24.539666666666669</v>
      </c>
      <c r="S20" s="20">
        <v>233.3283333333334</v>
      </c>
      <c r="T20" s="21">
        <v>349.04183333333333</v>
      </c>
      <c r="U20" s="20">
        <v>271.31200000000001</v>
      </c>
      <c r="V20" s="21">
        <v>8.266333333333332</v>
      </c>
      <c r="W20" s="20">
        <v>301.09749999999997</v>
      </c>
      <c r="X20" s="21">
        <v>419.72216666666662</v>
      </c>
      <c r="Y20" s="20">
        <v>164.05016666666663</v>
      </c>
      <c r="Z20" s="21">
        <v>284.9085</v>
      </c>
      <c r="AA20" s="20">
        <v>421.67900000000003</v>
      </c>
      <c r="AB20" s="21">
        <v>0</v>
      </c>
      <c r="AC20" s="20">
        <v>0</v>
      </c>
      <c r="AD20" s="21">
        <v>144.30966666666666</v>
      </c>
      <c r="AE20" s="20">
        <v>222.43049999999997</v>
      </c>
      <c r="AF20" s="21">
        <v>290.94233333333324</v>
      </c>
      <c r="AG20" s="20">
        <v>464.91666666666663</v>
      </c>
      <c r="AH20" s="21">
        <v>441.12799999999999</v>
      </c>
      <c r="AI20" s="20">
        <v>0</v>
      </c>
      <c r="AJ20" s="252">
        <f t="shared" si="2"/>
        <v>7344.7788333333338</v>
      </c>
      <c r="AK20" s="253"/>
      <c r="AL20" s="253"/>
    </row>
    <row r="21" spans="2:38" s="4" customFormat="1" x14ac:dyDescent="0.3">
      <c r="B21" s="245" t="s">
        <v>13</v>
      </c>
      <c r="C21" s="245"/>
      <c r="D21" s="245"/>
      <c r="E21" s="20">
        <v>691.95249999999987</v>
      </c>
      <c r="F21" s="21">
        <v>474.51100000000014</v>
      </c>
      <c r="G21" s="20">
        <v>1.012</v>
      </c>
      <c r="H21" s="21">
        <v>93.547333333333327</v>
      </c>
      <c r="I21" s="20">
        <v>87.821833333333302</v>
      </c>
      <c r="J21" s="21">
        <v>62.385499999999986</v>
      </c>
      <c r="K21" s="20">
        <v>0</v>
      </c>
      <c r="L21" s="21">
        <v>0</v>
      </c>
      <c r="M21" s="20">
        <v>15.035499999999999</v>
      </c>
      <c r="N21" s="21">
        <v>0</v>
      </c>
      <c r="O21" s="20">
        <v>0</v>
      </c>
      <c r="P21" s="21">
        <v>0</v>
      </c>
      <c r="Q21" s="20">
        <v>24.539499999999993</v>
      </c>
      <c r="R21" s="21">
        <v>0</v>
      </c>
      <c r="S21" s="20">
        <v>99.821833333333331</v>
      </c>
      <c r="T21" s="21">
        <v>431.03216666666657</v>
      </c>
      <c r="U21" s="20">
        <v>169.87783333333334</v>
      </c>
      <c r="V21" s="21">
        <v>0</v>
      </c>
      <c r="W21" s="20">
        <v>127.27383333333331</v>
      </c>
      <c r="X21" s="21">
        <v>211.62483333333336</v>
      </c>
      <c r="Y21" s="20">
        <v>147.27183333333338</v>
      </c>
      <c r="Z21" s="21">
        <v>58.908499999999982</v>
      </c>
      <c r="AA21" s="20">
        <v>25.734833333333324</v>
      </c>
      <c r="AB21" s="21">
        <v>0</v>
      </c>
      <c r="AC21" s="20">
        <v>0</v>
      </c>
      <c r="AD21" s="21">
        <v>110.1586666666667</v>
      </c>
      <c r="AE21" s="20">
        <v>54.096333333333369</v>
      </c>
      <c r="AF21" s="21">
        <v>24.483333333333334</v>
      </c>
      <c r="AG21" s="20">
        <v>318.58233333333322</v>
      </c>
      <c r="AH21" s="21">
        <v>202.51866666666666</v>
      </c>
      <c r="AI21" s="20">
        <v>0</v>
      </c>
      <c r="AJ21" s="252">
        <f t="shared" si="2"/>
        <v>3432.1901666666668</v>
      </c>
      <c r="AK21" s="253"/>
      <c r="AL21" s="253"/>
    </row>
    <row r="22" spans="2:38" s="4" customFormat="1" x14ac:dyDescent="0.3">
      <c r="B22" s="245" t="s">
        <v>14</v>
      </c>
      <c r="C22" s="245"/>
      <c r="D22" s="245"/>
      <c r="E22" s="20">
        <v>42.212166666666661</v>
      </c>
      <c r="F22" s="21">
        <v>40.655166666666652</v>
      </c>
      <c r="G22" s="20">
        <v>0</v>
      </c>
      <c r="H22" s="21">
        <v>30.160000000000004</v>
      </c>
      <c r="I22" s="20">
        <v>32.49216666666667</v>
      </c>
      <c r="J22" s="21">
        <v>25.644166666666663</v>
      </c>
      <c r="K22" s="20">
        <v>9.112833333333338</v>
      </c>
      <c r="L22" s="21">
        <v>0</v>
      </c>
      <c r="M22" s="20">
        <v>9.2695000000000025</v>
      </c>
      <c r="N22" s="21">
        <v>0</v>
      </c>
      <c r="O22" s="20">
        <v>8.7263333333333346</v>
      </c>
      <c r="P22" s="21">
        <v>20.114999999999995</v>
      </c>
      <c r="Q22" s="20">
        <v>25.003500000000013</v>
      </c>
      <c r="R22" s="21">
        <v>2.4516666666666653</v>
      </c>
      <c r="S22" s="20">
        <v>10.516666666666662</v>
      </c>
      <c r="T22" s="21">
        <v>9.3833333333333329</v>
      </c>
      <c r="U22" s="20">
        <v>10.060833333333335</v>
      </c>
      <c r="V22" s="21">
        <v>6.3933333333333371</v>
      </c>
      <c r="W22" s="20">
        <v>8.2075000000000014</v>
      </c>
      <c r="X22" s="21">
        <v>6.5158333333333358</v>
      </c>
      <c r="Y22" s="20">
        <v>7.3475000000000019</v>
      </c>
      <c r="Z22" s="21">
        <v>15.286166666666666</v>
      </c>
      <c r="AA22" s="20">
        <v>7.8675000000000006</v>
      </c>
      <c r="AB22" s="21">
        <v>0</v>
      </c>
      <c r="AC22" s="20">
        <v>0</v>
      </c>
      <c r="AD22" s="21">
        <v>10.080666666666676</v>
      </c>
      <c r="AE22" s="20">
        <v>4.0606666666666671</v>
      </c>
      <c r="AF22" s="21">
        <v>17.107166666666657</v>
      </c>
      <c r="AG22" s="20">
        <v>17.454833333333337</v>
      </c>
      <c r="AH22" s="21">
        <v>23.018833333333323</v>
      </c>
      <c r="AI22" s="20">
        <v>0</v>
      </c>
      <c r="AJ22" s="252">
        <f t="shared" si="2"/>
        <v>399.14333333333326</v>
      </c>
      <c r="AK22" s="253"/>
      <c r="AL22" s="253"/>
    </row>
    <row r="23" spans="2:38" s="4" customFormat="1" x14ac:dyDescent="0.3">
      <c r="B23" s="245" t="s">
        <v>15</v>
      </c>
      <c r="C23" s="245"/>
      <c r="D23" s="245"/>
      <c r="E23" s="20">
        <v>93.466166666666652</v>
      </c>
      <c r="F23" s="21">
        <v>0</v>
      </c>
      <c r="G23" s="20">
        <v>32.567333333333337</v>
      </c>
      <c r="H23" s="21">
        <v>218.02200000000008</v>
      </c>
      <c r="I23" s="20">
        <v>62.276666666666671</v>
      </c>
      <c r="J23" s="21">
        <v>47.684999999999988</v>
      </c>
      <c r="K23" s="20">
        <v>0</v>
      </c>
      <c r="L23" s="21">
        <v>0</v>
      </c>
      <c r="M23" s="20">
        <v>6.7383333333333333</v>
      </c>
      <c r="N23" s="21">
        <v>0</v>
      </c>
      <c r="O23" s="20">
        <v>0</v>
      </c>
      <c r="P23" s="21">
        <v>0</v>
      </c>
      <c r="Q23" s="20">
        <v>40.393499999999989</v>
      </c>
      <c r="R23" s="21">
        <v>0</v>
      </c>
      <c r="S23" s="20">
        <v>137.81916666666666</v>
      </c>
      <c r="T23" s="21">
        <v>231.95733333333331</v>
      </c>
      <c r="U23" s="20">
        <v>57.716166666666673</v>
      </c>
      <c r="V23" s="21">
        <v>0</v>
      </c>
      <c r="W23" s="20">
        <v>0.65666666666666695</v>
      </c>
      <c r="X23" s="21">
        <v>0</v>
      </c>
      <c r="Y23" s="20">
        <v>0.5514999999999991</v>
      </c>
      <c r="Z23" s="21">
        <v>14.474666666666668</v>
      </c>
      <c r="AA23" s="20">
        <v>99.612000000000023</v>
      </c>
      <c r="AB23" s="21">
        <v>0</v>
      </c>
      <c r="AC23" s="20">
        <v>0</v>
      </c>
      <c r="AD23" s="21">
        <v>0</v>
      </c>
      <c r="AE23" s="20">
        <v>17.847999999999999</v>
      </c>
      <c r="AF23" s="21">
        <v>41.698833333333347</v>
      </c>
      <c r="AG23" s="20">
        <v>45.51666666666668</v>
      </c>
      <c r="AH23" s="21">
        <v>42.715999999999987</v>
      </c>
      <c r="AI23" s="20">
        <v>0</v>
      </c>
      <c r="AJ23" s="252">
        <f t="shared" si="2"/>
        <v>1191.7159999999999</v>
      </c>
      <c r="AK23" s="253"/>
      <c r="AL23" s="253"/>
    </row>
    <row r="24" spans="2:38" s="4" customFormat="1" x14ac:dyDescent="0.3">
      <c r="B24" s="245" t="s">
        <v>16</v>
      </c>
      <c r="C24" s="245"/>
      <c r="D24" s="245"/>
      <c r="E24" s="20">
        <v>122.36783333333332</v>
      </c>
      <c r="F24" s="21">
        <v>30.754166666666663</v>
      </c>
      <c r="G24" s="20">
        <v>0</v>
      </c>
      <c r="H24" s="21">
        <v>70.856166666666667</v>
      </c>
      <c r="I24" s="20">
        <v>0</v>
      </c>
      <c r="J24" s="21">
        <v>41.863833333333332</v>
      </c>
      <c r="K24" s="20">
        <v>0</v>
      </c>
      <c r="L24" s="21">
        <v>0</v>
      </c>
      <c r="M24" s="20">
        <v>0</v>
      </c>
      <c r="N24" s="21">
        <v>0</v>
      </c>
      <c r="O24" s="20">
        <v>0</v>
      </c>
      <c r="P24" s="21">
        <v>0</v>
      </c>
      <c r="Q24" s="20">
        <v>0</v>
      </c>
      <c r="R24" s="21">
        <v>0</v>
      </c>
      <c r="S24" s="20">
        <v>4.7149999999999981</v>
      </c>
      <c r="T24" s="21">
        <v>68.976166666666671</v>
      </c>
      <c r="U24" s="20">
        <v>0</v>
      </c>
      <c r="V24" s="21">
        <v>0</v>
      </c>
      <c r="W24" s="20">
        <v>0</v>
      </c>
      <c r="X24" s="21">
        <v>1.4748333333333348</v>
      </c>
      <c r="Y24" s="20">
        <v>0</v>
      </c>
      <c r="Z24" s="21">
        <v>0</v>
      </c>
      <c r="AA24" s="20">
        <v>0.51400000000000001</v>
      </c>
      <c r="AB24" s="21">
        <v>0</v>
      </c>
      <c r="AC24" s="20">
        <v>0</v>
      </c>
      <c r="AD24" s="21">
        <v>0</v>
      </c>
      <c r="AE24" s="20">
        <v>0</v>
      </c>
      <c r="AF24" s="21">
        <v>0</v>
      </c>
      <c r="AG24" s="20">
        <v>3.8816666666666646</v>
      </c>
      <c r="AH24" s="21">
        <v>17.970666666666666</v>
      </c>
      <c r="AI24" s="20">
        <v>0</v>
      </c>
      <c r="AJ24" s="252">
        <f t="shared" si="2"/>
        <v>363.37433333333325</v>
      </c>
      <c r="AK24" s="253"/>
      <c r="AL24" s="253"/>
    </row>
    <row r="25" spans="2:38" s="4" customFormat="1" x14ac:dyDescent="0.3">
      <c r="B25" s="245" t="s">
        <v>17</v>
      </c>
      <c r="C25" s="245"/>
      <c r="D25" s="245"/>
      <c r="E25" s="20">
        <v>149.98649999999995</v>
      </c>
      <c r="F25" s="21">
        <v>75.98066666666665</v>
      </c>
      <c r="G25" s="20">
        <v>5.1286666666666667</v>
      </c>
      <c r="H25" s="21">
        <v>204.96483333333333</v>
      </c>
      <c r="I25" s="20">
        <v>126.89566666666666</v>
      </c>
      <c r="J25" s="21">
        <v>146.23099999999999</v>
      </c>
      <c r="K25" s="20">
        <v>0</v>
      </c>
      <c r="L25" s="21">
        <v>0</v>
      </c>
      <c r="M25" s="20">
        <v>0</v>
      </c>
      <c r="N25" s="21">
        <v>0</v>
      </c>
      <c r="O25" s="20">
        <v>15.896833333333326</v>
      </c>
      <c r="P25" s="21">
        <v>63.997500000000002</v>
      </c>
      <c r="Q25" s="20">
        <v>8.259666666666666</v>
      </c>
      <c r="R25" s="21">
        <v>10.644500000000001</v>
      </c>
      <c r="S25" s="20">
        <v>58.217833333333331</v>
      </c>
      <c r="T25" s="21">
        <v>152.50333333333333</v>
      </c>
      <c r="U25" s="20">
        <v>14.446333333333333</v>
      </c>
      <c r="V25" s="21">
        <v>85.543999999999997</v>
      </c>
      <c r="W25" s="20">
        <v>31.501666666666679</v>
      </c>
      <c r="X25" s="21">
        <v>23.324666666666662</v>
      </c>
      <c r="Y25" s="20">
        <v>116.57733333333334</v>
      </c>
      <c r="Z25" s="21">
        <v>80.919666666666657</v>
      </c>
      <c r="AA25" s="20">
        <v>93.83016666666667</v>
      </c>
      <c r="AB25" s="21">
        <v>0</v>
      </c>
      <c r="AC25" s="20">
        <v>0</v>
      </c>
      <c r="AD25" s="21">
        <v>19.573333333333345</v>
      </c>
      <c r="AE25" s="20">
        <v>166.00133333333332</v>
      </c>
      <c r="AF25" s="21">
        <v>87.164333333333317</v>
      </c>
      <c r="AG25" s="20">
        <v>188.14266666666668</v>
      </c>
      <c r="AH25" s="21">
        <v>239.26766666666668</v>
      </c>
      <c r="AI25" s="20">
        <v>0</v>
      </c>
      <c r="AJ25" s="252">
        <f t="shared" si="2"/>
        <v>2165.0001666666672</v>
      </c>
      <c r="AK25" s="253"/>
      <c r="AL25" s="253"/>
    </row>
    <row r="26" spans="2:38" s="4" customFormat="1" x14ac:dyDescent="0.3">
      <c r="B26" s="245" t="s">
        <v>18</v>
      </c>
      <c r="C26" s="245"/>
      <c r="D26" s="245"/>
      <c r="E26" s="20">
        <v>4.9716666666666667</v>
      </c>
      <c r="F26" s="21">
        <v>43.096833333333329</v>
      </c>
      <c r="G26" s="20">
        <v>0</v>
      </c>
      <c r="H26" s="21">
        <v>8.0333333333333465E-2</v>
      </c>
      <c r="I26" s="20">
        <v>1.6666666666675193E-4</v>
      </c>
      <c r="J26" s="21">
        <v>22.474666666666671</v>
      </c>
      <c r="K26" s="20">
        <v>0</v>
      </c>
      <c r="L26" s="21">
        <v>0</v>
      </c>
      <c r="M26" s="20">
        <v>4.4298333333333328</v>
      </c>
      <c r="N26" s="21">
        <v>0</v>
      </c>
      <c r="O26" s="20">
        <v>0</v>
      </c>
      <c r="P26" s="21">
        <v>0</v>
      </c>
      <c r="Q26" s="20">
        <v>0</v>
      </c>
      <c r="R26" s="21">
        <v>0</v>
      </c>
      <c r="S26" s="20">
        <v>0</v>
      </c>
      <c r="T26" s="21">
        <v>213.96233333333339</v>
      </c>
      <c r="U26" s="20">
        <v>11.483500000000015</v>
      </c>
      <c r="V26" s="21">
        <v>0</v>
      </c>
      <c r="W26" s="20">
        <v>0</v>
      </c>
      <c r="X26" s="21">
        <v>0</v>
      </c>
      <c r="Y26" s="20">
        <v>0</v>
      </c>
      <c r="Z26" s="21">
        <v>18.506000000000004</v>
      </c>
      <c r="AA26" s="20">
        <v>85.887666666666689</v>
      </c>
      <c r="AB26" s="21">
        <v>0</v>
      </c>
      <c r="AC26" s="20">
        <v>0</v>
      </c>
      <c r="AD26" s="21">
        <v>0</v>
      </c>
      <c r="AE26" s="20">
        <v>68.417500000000018</v>
      </c>
      <c r="AF26" s="21">
        <v>0</v>
      </c>
      <c r="AG26" s="20">
        <v>43.098666666666652</v>
      </c>
      <c r="AH26" s="21">
        <v>151.24266666666665</v>
      </c>
      <c r="AI26" s="20">
        <v>0</v>
      </c>
      <c r="AJ26" s="252">
        <f t="shared" si="2"/>
        <v>667.65183333333346</v>
      </c>
      <c r="AK26" s="253"/>
      <c r="AL26" s="253"/>
    </row>
    <row r="27" spans="2:38" s="4" customFormat="1" x14ac:dyDescent="0.3">
      <c r="B27" s="245" t="s">
        <v>19</v>
      </c>
      <c r="C27" s="245"/>
      <c r="D27" s="245"/>
      <c r="E27" s="20">
        <v>224.45549999999992</v>
      </c>
      <c r="F27" s="21">
        <v>16.318666666666669</v>
      </c>
      <c r="G27" s="20">
        <v>0</v>
      </c>
      <c r="H27" s="21">
        <v>128.6301666666667</v>
      </c>
      <c r="I27" s="20">
        <v>44.647333333333329</v>
      </c>
      <c r="J27" s="21">
        <v>36.245333333333335</v>
      </c>
      <c r="K27" s="20">
        <v>37.442666666666682</v>
      </c>
      <c r="L27" s="21">
        <v>0</v>
      </c>
      <c r="M27" s="20">
        <v>12.333333333333332</v>
      </c>
      <c r="N27" s="21">
        <v>0</v>
      </c>
      <c r="O27" s="20">
        <v>121.70999999999998</v>
      </c>
      <c r="P27" s="21">
        <v>0</v>
      </c>
      <c r="Q27" s="20">
        <v>55.444166666666675</v>
      </c>
      <c r="R27" s="21">
        <v>0</v>
      </c>
      <c r="S27" s="20">
        <v>25.241500000000009</v>
      </c>
      <c r="T27" s="21">
        <v>221.66399999999996</v>
      </c>
      <c r="U27" s="20">
        <v>53.312833333333366</v>
      </c>
      <c r="V27" s="21">
        <v>16.477833333333312</v>
      </c>
      <c r="W27" s="20">
        <v>59.061333333333337</v>
      </c>
      <c r="X27" s="21">
        <v>14.691833333333353</v>
      </c>
      <c r="Y27" s="20">
        <v>289.1898333333333</v>
      </c>
      <c r="Z27" s="21">
        <v>49.439499999999995</v>
      </c>
      <c r="AA27" s="20">
        <v>1.4403333333333272</v>
      </c>
      <c r="AB27" s="21">
        <v>0</v>
      </c>
      <c r="AC27" s="20">
        <v>0</v>
      </c>
      <c r="AD27" s="21">
        <v>0</v>
      </c>
      <c r="AE27" s="20">
        <v>0</v>
      </c>
      <c r="AF27" s="21">
        <v>88.124833333333328</v>
      </c>
      <c r="AG27" s="20">
        <v>141.11083333333329</v>
      </c>
      <c r="AH27" s="21">
        <v>95.25766666666668</v>
      </c>
      <c r="AI27" s="20">
        <v>0</v>
      </c>
      <c r="AJ27" s="252">
        <f t="shared" si="2"/>
        <v>1732.2394999999999</v>
      </c>
      <c r="AK27" s="253"/>
      <c r="AL27" s="253"/>
    </row>
    <row r="28" spans="2:38" x14ac:dyDescent="0.3">
      <c r="B28" s="245" t="s">
        <v>20</v>
      </c>
      <c r="C28" s="245"/>
      <c r="D28" s="245"/>
      <c r="E28" s="20">
        <v>103.41166666666665</v>
      </c>
      <c r="F28" s="21">
        <v>115.18183333333337</v>
      </c>
      <c r="G28" s="20">
        <v>39.332000000000022</v>
      </c>
      <c r="H28" s="21">
        <v>235.66599999999985</v>
      </c>
      <c r="I28" s="20">
        <v>82.925666666666672</v>
      </c>
      <c r="J28" s="21">
        <v>95.696166666666642</v>
      </c>
      <c r="K28" s="20">
        <v>0</v>
      </c>
      <c r="L28" s="21">
        <v>0</v>
      </c>
      <c r="M28" s="20">
        <v>1.5603333333333336</v>
      </c>
      <c r="N28" s="21">
        <v>0</v>
      </c>
      <c r="O28" s="20">
        <v>0</v>
      </c>
      <c r="P28" s="21">
        <v>16.353000000000009</v>
      </c>
      <c r="Q28" s="20">
        <v>99.393999999999977</v>
      </c>
      <c r="R28" s="21">
        <v>19.557333333333322</v>
      </c>
      <c r="S28" s="20">
        <v>8.1940000000000097</v>
      </c>
      <c r="T28" s="21">
        <v>57.685833333333342</v>
      </c>
      <c r="U28" s="20">
        <v>65.462000000000046</v>
      </c>
      <c r="V28" s="21">
        <v>113.34533333333331</v>
      </c>
      <c r="W28" s="20">
        <v>116.58516666666668</v>
      </c>
      <c r="X28" s="21">
        <v>263.7526666666667</v>
      </c>
      <c r="Y28" s="20">
        <v>67.104000000000013</v>
      </c>
      <c r="Z28" s="21">
        <v>6.3713333333333324</v>
      </c>
      <c r="AA28" s="20">
        <v>91.081000000000031</v>
      </c>
      <c r="AB28" s="21">
        <v>0</v>
      </c>
      <c r="AC28" s="20">
        <v>0</v>
      </c>
      <c r="AD28" s="21">
        <v>9.341500000000007</v>
      </c>
      <c r="AE28" s="20">
        <v>9.2050000000000054</v>
      </c>
      <c r="AF28" s="21">
        <v>65.248666666666679</v>
      </c>
      <c r="AG28" s="20">
        <v>23.449333333333339</v>
      </c>
      <c r="AH28" s="21">
        <v>109.88266666666667</v>
      </c>
      <c r="AI28" s="20">
        <v>0</v>
      </c>
      <c r="AJ28" s="252">
        <f t="shared" si="2"/>
        <v>1815.7864999999999</v>
      </c>
      <c r="AK28" s="253"/>
      <c r="AL28" s="253"/>
    </row>
    <row r="29" spans="2:38" x14ac:dyDescent="0.3">
      <c r="B29" s="245" t="s">
        <v>21</v>
      </c>
      <c r="C29" s="245"/>
      <c r="D29" s="245"/>
      <c r="E29" s="20">
        <v>46.193333333333328</v>
      </c>
      <c r="F29" s="21">
        <v>1.8638333333333317</v>
      </c>
      <c r="G29" s="20">
        <v>17.37466666666667</v>
      </c>
      <c r="H29" s="21">
        <v>47.609333333333325</v>
      </c>
      <c r="I29" s="20">
        <v>6.6619999999999999</v>
      </c>
      <c r="J29" s="21">
        <v>25.210833333333337</v>
      </c>
      <c r="K29" s="20">
        <v>0</v>
      </c>
      <c r="L29" s="21">
        <v>0</v>
      </c>
      <c r="M29" s="20">
        <v>3.014333333333334</v>
      </c>
      <c r="N29" s="21">
        <v>0</v>
      </c>
      <c r="O29" s="20">
        <v>0</v>
      </c>
      <c r="P29" s="21">
        <v>11.088333333333333</v>
      </c>
      <c r="Q29" s="20">
        <v>35.646999999999991</v>
      </c>
      <c r="R29" s="21">
        <v>0</v>
      </c>
      <c r="S29" s="20">
        <v>21.596000000000004</v>
      </c>
      <c r="T29" s="21">
        <v>69.546499999999995</v>
      </c>
      <c r="U29" s="20">
        <v>16.659666666666666</v>
      </c>
      <c r="V29" s="21">
        <v>2.2529999999999974</v>
      </c>
      <c r="W29" s="20">
        <v>2.7745000000000011</v>
      </c>
      <c r="X29" s="21">
        <v>60.451333333333331</v>
      </c>
      <c r="Y29" s="20">
        <v>5.5135000000000058</v>
      </c>
      <c r="Z29" s="21">
        <v>3.9115000000000002</v>
      </c>
      <c r="AA29" s="20">
        <v>77.247333333333344</v>
      </c>
      <c r="AB29" s="21">
        <v>0</v>
      </c>
      <c r="AC29" s="20">
        <v>0</v>
      </c>
      <c r="AD29" s="21">
        <v>0</v>
      </c>
      <c r="AE29" s="20">
        <v>27.471000000000004</v>
      </c>
      <c r="AF29" s="21">
        <v>64.807833333333335</v>
      </c>
      <c r="AG29" s="20">
        <v>36.51</v>
      </c>
      <c r="AH29" s="21">
        <v>61.147000000000006</v>
      </c>
      <c r="AI29" s="20">
        <v>0</v>
      </c>
      <c r="AJ29" s="252">
        <f t="shared" si="2"/>
        <v>644.5528333333333</v>
      </c>
      <c r="AK29" s="253"/>
      <c r="AL29" s="253"/>
    </row>
    <row r="30" spans="2:38" x14ac:dyDescent="0.3">
      <c r="B30" s="245" t="s">
        <v>22</v>
      </c>
      <c r="C30" s="245"/>
      <c r="D30" s="245"/>
      <c r="E30" s="20">
        <v>3.8205000000000005</v>
      </c>
      <c r="F30" s="21">
        <v>8.9251666666666658</v>
      </c>
      <c r="G30" s="20">
        <v>4.028833333333333</v>
      </c>
      <c r="H30" s="21">
        <v>4.8315000000000001</v>
      </c>
      <c r="I30" s="20">
        <v>10.060499999999999</v>
      </c>
      <c r="J30" s="21">
        <v>4.6366666666666676</v>
      </c>
      <c r="K30" s="20">
        <v>0</v>
      </c>
      <c r="L30" s="21">
        <v>0</v>
      </c>
      <c r="M30" s="20">
        <v>2.0451666666666664</v>
      </c>
      <c r="N30" s="21">
        <v>0</v>
      </c>
      <c r="O30" s="20">
        <v>0</v>
      </c>
      <c r="P30" s="21">
        <v>8.8856666666666673</v>
      </c>
      <c r="Q30" s="20">
        <v>7.3440000000000012</v>
      </c>
      <c r="R30" s="21">
        <v>2.8666666666666677E-2</v>
      </c>
      <c r="S30" s="20">
        <v>4.6398333333333337</v>
      </c>
      <c r="T30" s="21">
        <v>20.442666666666668</v>
      </c>
      <c r="U30" s="20">
        <v>64.351333333333372</v>
      </c>
      <c r="V30" s="21">
        <v>16.756000000000004</v>
      </c>
      <c r="W30" s="20">
        <v>0.92833333333333312</v>
      </c>
      <c r="X30" s="21">
        <v>1.3551666666666664</v>
      </c>
      <c r="Y30" s="20">
        <v>2.2474999999999987</v>
      </c>
      <c r="Z30" s="21">
        <v>1.784833333333333</v>
      </c>
      <c r="AA30" s="20">
        <v>8.5054999999999996</v>
      </c>
      <c r="AB30" s="21">
        <v>0</v>
      </c>
      <c r="AC30" s="20">
        <v>0</v>
      </c>
      <c r="AD30" s="21">
        <v>0</v>
      </c>
      <c r="AE30" s="20">
        <v>8.6091666666666651</v>
      </c>
      <c r="AF30" s="21">
        <v>8.0583333333333318</v>
      </c>
      <c r="AG30" s="20">
        <v>1.6511666666666662</v>
      </c>
      <c r="AH30" s="21">
        <v>17.555833333333336</v>
      </c>
      <c r="AI30" s="20">
        <v>0</v>
      </c>
      <c r="AJ30" s="252">
        <f t="shared" si="2"/>
        <v>211.49233333333336</v>
      </c>
      <c r="AK30" s="253"/>
      <c r="AL30" s="253"/>
    </row>
    <row r="31" spans="2:38" x14ac:dyDescent="0.3">
      <c r="B31" s="245" t="s">
        <v>23</v>
      </c>
      <c r="C31" s="245"/>
      <c r="D31" s="245"/>
      <c r="E31" s="20">
        <v>0.25883333333333169</v>
      </c>
      <c r="F31" s="21">
        <v>67.472333333333339</v>
      </c>
      <c r="G31" s="20">
        <v>1.5665</v>
      </c>
      <c r="H31" s="21">
        <v>20.714666666666677</v>
      </c>
      <c r="I31" s="20">
        <v>54.438833333333328</v>
      </c>
      <c r="J31" s="21">
        <v>13.888500000000002</v>
      </c>
      <c r="K31" s="20">
        <v>0</v>
      </c>
      <c r="L31" s="21">
        <v>0</v>
      </c>
      <c r="M31" s="20">
        <v>6.9446666666666665</v>
      </c>
      <c r="N31" s="21">
        <v>0</v>
      </c>
      <c r="O31" s="20">
        <v>0</v>
      </c>
      <c r="P31" s="21">
        <v>15.298833333333338</v>
      </c>
      <c r="Q31" s="20">
        <v>42.19</v>
      </c>
      <c r="R31" s="21">
        <v>2.4621666666666671</v>
      </c>
      <c r="S31" s="20">
        <v>42.129499999999993</v>
      </c>
      <c r="T31" s="21">
        <v>77.284166666666664</v>
      </c>
      <c r="U31" s="20">
        <v>28.997833333333329</v>
      </c>
      <c r="V31" s="21">
        <v>15.900500000000005</v>
      </c>
      <c r="W31" s="20">
        <v>73.898833333333343</v>
      </c>
      <c r="X31" s="21">
        <v>18.311</v>
      </c>
      <c r="Y31" s="20">
        <v>44.780666666666669</v>
      </c>
      <c r="Z31" s="21">
        <v>0</v>
      </c>
      <c r="AA31" s="20">
        <v>37.775999999999996</v>
      </c>
      <c r="AB31" s="21">
        <v>0</v>
      </c>
      <c r="AC31" s="20">
        <v>0</v>
      </c>
      <c r="AD31" s="21">
        <v>0</v>
      </c>
      <c r="AE31" s="20">
        <v>31.095333333333329</v>
      </c>
      <c r="AF31" s="21">
        <v>86.785500000000013</v>
      </c>
      <c r="AG31" s="20">
        <v>54.426666666666662</v>
      </c>
      <c r="AH31" s="21">
        <v>76.894166666666663</v>
      </c>
      <c r="AI31" s="20">
        <v>0</v>
      </c>
      <c r="AJ31" s="252">
        <f t="shared" si="2"/>
        <v>813.51550000000009</v>
      </c>
      <c r="AK31" s="253"/>
      <c r="AL31" s="253"/>
    </row>
    <row r="32" spans="2:38" x14ac:dyDescent="0.3">
      <c r="B32" s="245" t="s">
        <v>24</v>
      </c>
      <c r="C32" s="245"/>
      <c r="D32" s="245"/>
      <c r="E32" s="20">
        <v>24.151833333333329</v>
      </c>
      <c r="F32" s="21">
        <v>3.1859999999999995</v>
      </c>
      <c r="G32" s="20">
        <v>13.680333333333333</v>
      </c>
      <c r="H32" s="21">
        <v>12.230000000000002</v>
      </c>
      <c r="I32" s="20">
        <v>9.6005000000000003</v>
      </c>
      <c r="J32" s="21">
        <v>0</v>
      </c>
      <c r="K32" s="20">
        <v>0</v>
      </c>
      <c r="L32" s="21">
        <v>0</v>
      </c>
      <c r="M32" s="20">
        <v>3.3371666666666648</v>
      </c>
      <c r="N32" s="21">
        <v>0</v>
      </c>
      <c r="O32" s="20">
        <v>0</v>
      </c>
      <c r="P32" s="21">
        <v>0</v>
      </c>
      <c r="Q32" s="20">
        <v>20.743333333333332</v>
      </c>
      <c r="R32" s="21">
        <v>0</v>
      </c>
      <c r="S32" s="20">
        <v>0.24066666666666681</v>
      </c>
      <c r="T32" s="21">
        <v>124.47116666666666</v>
      </c>
      <c r="U32" s="20">
        <v>22.214166666666667</v>
      </c>
      <c r="V32" s="21">
        <v>3.690666666666667</v>
      </c>
      <c r="W32" s="20">
        <v>40.401499999999999</v>
      </c>
      <c r="X32" s="21">
        <v>6.0603333333333316</v>
      </c>
      <c r="Y32" s="20">
        <v>1.8065000000000007</v>
      </c>
      <c r="Z32" s="21">
        <v>1.5425000000000002</v>
      </c>
      <c r="AA32" s="20">
        <v>56.238</v>
      </c>
      <c r="AB32" s="21">
        <v>0</v>
      </c>
      <c r="AC32" s="20">
        <v>0</v>
      </c>
      <c r="AD32" s="21">
        <v>0</v>
      </c>
      <c r="AE32" s="20">
        <v>10.854166666666664</v>
      </c>
      <c r="AF32" s="21">
        <v>28.635499999999997</v>
      </c>
      <c r="AG32" s="20">
        <v>20.669999999999995</v>
      </c>
      <c r="AH32" s="21">
        <v>37.682500000000012</v>
      </c>
      <c r="AI32" s="20">
        <v>0</v>
      </c>
      <c r="AJ32" s="252">
        <f t="shared" si="2"/>
        <v>441.43683333333337</v>
      </c>
      <c r="AK32" s="253"/>
      <c r="AL32" s="253"/>
    </row>
    <row r="33" spans="2:38" x14ac:dyDescent="0.3">
      <c r="B33" s="245" t="s">
        <v>25</v>
      </c>
      <c r="C33" s="245"/>
      <c r="D33" s="245"/>
      <c r="E33" s="20">
        <v>20.147333333333336</v>
      </c>
      <c r="F33" s="21">
        <v>48.214166666666678</v>
      </c>
      <c r="G33" s="20">
        <v>0</v>
      </c>
      <c r="H33" s="21">
        <v>0</v>
      </c>
      <c r="I33" s="20">
        <v>0</v>
      </c>
      <c r="J33" s="21">
        <v>0</v>
      </c>
      <c r="K33" s="20">
        <v>0</v>
      </c>
      <c r="L33" s="21">
        <v>0</v>
      </c>
      <c r="M33" s="20">
        <v>13.339999999999996</v>
      </c>
      <c r="N33" s="21">
        <v>0</v>
      </c>
      <c r="O33" s="20">
        <v>0</v>
      </c>
      <c r="P33" s="21">
        <v>0</v>
      </c>
      <c r="Q33" s="20">
        <v>0</v>
      </c>
      <c r="R33" s="21">
        <v>0</v>
      </c>
      <c r="S33" s="20">
        <v>26.897833333333338</v>
      </c>
      <c r="T33" s="21">
        <v>4.1023333333333323</v>
      </c>
      <c r="U33" s="20">
        <v>1.2723333333333335</v>
      </c>
      <c r="V33" s="21">
        <v>0</v>
      </c>
      <c r="W33" s="20">
        <v>0.1189999999999999</v>
      </c>
      <c r="X33" s="21">
        <v>46.600500000000018</v>
      </c>
      <c r="Y33" s="20">
        <v>0</v>
      </c>
      <c r="Z33" s="21">
        <v>0</v>
      </c>
      <c r="AA33" s="20">
        <v>22.267500000000005</v>
      </c>
      <c r="AB33" s="21">
        <v>0</v>
      </c>
      <c r="AC33" s="20">
        <v>0</v>
      </c>
      <c r="AD33" s="21">
        <v>2.8021666666666674</v>
      </c>
      <c r="AE33" s="20">
        <v>0</v>
      </c>
      <c r="AF33" s="21">
        <v>5.4853333333333341</v>
      </c>
      <c r="AG33" s="20">
        <v>34.620166666666663</v>
      </c>
      <c r="AH33" s="21">
        <v>13.718</v>
      </c>
      <c r="AI33" s="20">
        <v>0</v>
      </c>
      <c r="AJ33" s="252">
        <f t="shared" si="2"/>
        <v>239.58666666666667</v>
      </c>
      <c r="AK33" s="253"/>
      <c r="AL33" s="253"/>
    </row>
    <row r="34" spans="2:38" x14ac:dyDescent="0.3">
      <c r="B34" s="245" t="s">
        <v>26</v>
      </c>
      <c r="C34" s="245"/>
      <c r="D34" s="245"/>
      <c r="E34" s="20">
        <v>0</v>
      </c>
      <c r="F34" s="21">
        <v>0</v>
      </c>
      <c r="G34" s="20">
        <v>0</v>
      </c>
      <c r="H34" s="21">
        <v>0</v>
      </c>
      <c r="I34" s="20">
        <v>0</v>
      </c>
      <c r="J34" s="21">
        <v>0</v>
      </c>
      <c r="K34" s="20">
        <v>0</v>
      </c>
      <c r="L34" s="21">
        <v>0</v>
      </c>
      <c r="M34" s="20">
        <v>0</v>
      </c>
      <c r="N34" s="21">
        <v>0</v>
      </c>
      <c r="O34" s="20">
        <v>0</v>
      </c>
      <c r="P34" s="21">
        <v>0</v>
      </c>
      <c r="Q34" s="20">
        <v>0</v>
      </c>
      <c r="R34" s="21">
        <v>0</v>
      </c>
      <c r="S34" s="20">
        <v>0</v>
      </c>
      <c r="T34" s="21">
        <v>0</v>
      </c>
      <c r="U34" s="20">
        <v>0</v>
      </c>
      <c r="V34" s="21">
        <v>0</v>
      </c>
      <c r="W34" s="20">
        <v>0</v>
      </c>
      <c r="X34" s="21">
        <v>0</v>
      </c>
      <c r="Y34" s="20">
        <v>0</v>
      </c>
      <c r="Z34" s="21">
        <v>0</v>
      </c>
      <c r="AA34" s="20">
        <v>0</v>
      </c>
      <c r="AB34" s="21">
        <v>0</v>
      </c>
      <c r="AC34" s="20">
        <v>0</v>
      </c>
      <c r="AD34" s="21">
        <v>0</v>
      </c>
      <c r="AE34" s="20">
        <v>0</v>
      </c>
      <c r="AF34" s="21">
        <v>0</v>
      </c>
      <c r="AG34" s="20">
        <v>0</v>
      </c>
      <c r="AH34" s="21">
        <v>0</v>
      </c>
      <c r="AI34" s="20">
        <v>0</v>
      </c>
      <c r="AJ34" s="252">
        <f t="shared" si="2"/>
        <v>0</v>
      </c>
      <c r="AK34" s="253"/>
      <c r="AL34" s="253"/>
    </row>
    <row r="35" spans="2:38" x14ac:dyDescent="0.3">
      <c r="B35" s="245" t="s">
        <v>27</v>
      </c>
      <c r="C35" s="245"/>
      <c r="D35" s="245"/>
      <c r="E35" s="20">
        <v>29.483833333333337</v>
      </c>
      <c r="F35" s="21">
        <v>74.604666666666674</v>
      </c>
      <c r="G35" s="20">
        <v>0</v>
      </c>
      <c r="H35" s="21">
        <v>0</v>
      </c>
      <c r="I35" s="20">
        <v>0</v>
      </c>
      <c r="J35" s="21">
        <v>0</v>
      </c>
      <c r="K35" s="20">
        <v>0</v>
      </c>
      <c r="L35" s="21">
        <v>0</v>
      </c>
      <c r="M35" s="20">
        <v>0.39433333333333354</v>
      </c>
      <c r="N35" s="21">
        <v>0</v>
      </c>
      <c r="O35" s="20">
        <v>0</v>
      </c>
      <c r="P35" s="21">
        <v>0</v>
      </c>
      <c r="Q35" s="20">
        <v>0</v>
      </c>
      <c r="R35" s="21">
        <v>0</v>
      </c>
      <c r="S35" s="20">
        <v>78.5655</v>
      </c>
      <c r="T35" s="21">
        <v>30.145000000000003</v>
      </c>
      <c r="U35" s="20">
        <v>17.209499999999995</v>
      </c>
      <c r="V35" s="21">
        <v>6.9861666666666649</v>
      </c>
      <c r="W35" s="20">
        <v>30.074166666666677</v>
      </c>
      <c r="X35" s="21">
        <v>5.6886666666666672</v>
      </c>
      <c r="Y35" s="20">
        <v>0</v>
      </c>
      <c r="Z35" s="21">
        <v>0</v>
      </c>
      <c r="AA35" s="20">
        <v>0</v>
      </c>
      <c r="AB35" s="21">
        <v>0</v>
      </c>
      <c r="AC35" s="20">
        <v>0</v>
      </c>
      <c r="AD35" s="21">
        <v>8.4841666666666633</v>
      </c>
      <c r="AE35" s="20">
        <v>0</v>
      </c>
      <c r="AF35" s="21">
        <v>14.470833333333328</v>
      </c>
      <c r="AG35" s="20">
        <v>13.113666666666669</v>
      </c>
      <c r="AH35" s="21">
        <v>72.941500000000019</v>
      </c>
      <c r="AI35" s="20">
        <v>0</v>
      </c>
      <c r="AJ35" s="252">
        <f t="shared" si="2"/>
        <v>382.16200000000003</v>
      </c>
      <c r="AK35" s="253"/>
      <c r="AL35" s="253"/>
    </row>
    <row r="36" spans="2:38" x14ac:dyDescent="0.3">
      <c r="B36" s="245" t="s">
        <v>28</v>
      </c>
      <c r="C36" s="245"/>
      <c r="D36" s="245"/>
      <c r="E36" s="20">
        <v>256.10850000000005</v>
      </c>
      <c r="F36" s="21">
        <v>376.92083333333335</v>
      </c>
      <c r="G36" s="20">
        <v>0</v>
      </c>
      <c r="H36" s="21">
        <v>0</v>
      </c>
      <c r="I36" s="20">
        <v>0</v>
      </c>
      <c r="J36" s="21">
        <v>0</v>
      </c>
      <c r="K36" s="20">
        <v>0</v>
      </c>
      <c r="L36" s="21">
        <v>0</v>
      </c>
      <c r="M36" s="20">
        <v>14.622166666666672</v>
      </c>
      <c r="N36" s="21">
        <v>0</v>
      </c>
      <c r="O36" s="20">
        <v>0</v>
      </c>
      <c r="P36" s="21">
        <v>0</v>
      </c>
      <c r="Q36" s="20">
        <v>0</v>
      </c>
      <c r="R36" s="21">
        <v>0</v>
      </c>
      <c r="S36" s="20">
        <v>235.42999999999995</v>
      </c>
      <c r="T36" s="21">
        <v>200.3893333333333</v>
      </c>
      <c r="U36" s="20">
        <v>104.31183333333334</v>
      </c>
      <c r="V36" s="21">
        <v>6.1303333333333407</v>
      </c>
      <c r="W36" s="20">
        <v>25.248166666666663</v>
      </c>
      <c r="X36" s="21">
        <v>34.397666666666659</v>
      </c>
      <c r="Y36" s="20">
        <v>0</v>
      </c>
      <c r="Z36" s="21">
        <v>0</v>
      </c>
      <c r="AA36" s="20">
        <v>0</v>
      </c>
      <c r="AB36" s="21">
        <v>0</v>
      </c>
      <c r="AC36" s="20">
        <v>0</v>
      </c>
      <c r="AD36" s="21">
        <v>6.0315000000000012</v>
      </c>
      <c r="AE36" s="20">
        <v>0</v>
      </c>
      <c r="AF36" s="21">
        <v>4.7143333333333333</v>
      </c>
      <c r="AG36" s="20">
        <v>17.830666666666659</v>
      </c>
      <c r="AH36" s="21">
        <v>211.21050000000005</v>
      </c>
      <c r="AI36" s="20">
        <v>0</v>
      </c>
      <c r="AJ36" s="252">
        <f t="shared" si="2"/>
        <v>1493.3458333333338</v>
      </c>
      <c r="AK36" s="253"/>
      <c r="AL36" s="253"/>
    </row>
    <row r="37" spans="2:38" x14ac:dyDescent="0.3">
      <c r="B37" s="245" t="s">
        <v>92</v>
      </c>
      <c r="C37" s="245"/>
      <c r="D37" s="245"/>
      <c r="E37" s="20">
        <v>0</v>
      </c>
      <c r="F37" s="21">
        <v>0</v>
      </c>
      <c r="G37" s="20">
        <v>0</v>
      </c>
      <c r="H37" s="21">
        <v>0</v>
      </c>
      <c r="I37" s="20">
        <v>0</v>
      </c>
      <c r="J37" s="21">
        <v>0</v>
      </c>
      <c r="K37" s="20">
        <v>0</v>
      </c>
      <c r="L37" s="21">
        <v>0</v>
      </c>
      <c r="M37" s="20">
        <v>0</v>
      </c>
      <c r="N37" s="21">
        <v>0</v>
      </c>
      <c r="O37" s="20">
        <v>0</v>
      </c>
      <c r="P37" s="21">
        <v>0</v>
      </c>
      <c r="Q37" s="20">
        <v>0</v>
      </c>
      <c r="R37" s="21">
        <v>0</v>
      </c>
      <c r="S37" s="20">
        <v>0</v>
      </c>
      <c r="T37" s="21">
        <v>0</v>
      </c>
      <c r="U37" s="20">
        <v>0</v>
      </c>
      <c r="V37" s="21">
        <v>0</v>
      </c>
      <c r="W37" s="20">
        <v>0</v>
      </c>
      <c r="X37" s="21">
        <v>0</v>
      </c>
      <c r="Y37" s="20">
        <v>0</v>
      </c>
      <c r="Z37" s="21">
        <v>0</v>
      </c>
      <c r="AA37" s="20">
        <v>0</v>
      </c>
      <c r="AB37" s="21">
        <v>0</v>
      </c>
      <c r="AC37" s="20">
        <v>0</v>
      </c>
      <c r="AD37" s="21">
        <v>0</v>
      </c>
      <c r="AE37" s="20">
        <v>0</v>
      </c>
      <c r="AF37" s="21">
        <v>0</v>
      </c>
      <c r="AG37" s="20">
        <v>0</v>
      </c>
      <c r="AH37" s="21">
        <v>0</v>
      </c>
      <c r="AI37" s="20">
        <v>0</v>
      </c>
      <c r="AJ37" s="252">
        <f t="shared" si="2"/>
        <v>0</v>
      </c>
      <c r="AK37" s="253"/>
      <c r="AL37" s="253"/>
    </row>
    <row r="38" spans="2:38" x14ac:dyDescent="0.3">
      <c r="B38" s="245" t="s">
        <v>29</v>
      </c>
      <c r="C38" s="245"/>
      <c r="D38" s="245"/>
      <c r="E38" s="20">
        <v>20.473333333333336</v>
      </c>
      <c r="F38" s="21">
        <v>368.83750000000003</v>
      </c>
      <c r="G38" s="20">
        <v>0</v>
      </c>
      <c r="H38" s="21">
        <v>0</v>
      </c>
      <c r="I38" s="20">
        <v>0</v>
      </c>
      <c r="J38" s="21">
        <v>0</v>
      </c>
      <c r="K38" s="20">
        <v>0</v>
      </c>
      <c r="L38" s="21">
        <v>0</v>
      </c>
      <c r="M38" s="20">
        <v>2.8851666666666649</v>
      </c>
      <c r="N38" s="21">
        <v>0</v>
      </c>
      <c r="O38" s="20">
        <v>0</v>
      </c>
      <c r="P38" s="21">
        <v>0</v>
      </c>
      <c r="Q38" s="20">
        <v>0</v>
      </c>
      <c r="R38" s="21">
        <v>0</v>
      </c>
      <c r="S38" s="20">
        <v>55.389333333333326</v>
      </c>
      <c r="T38" s="21">
        <v>27.235000000000003</v>
      </c>
      <c r="U38" s="20">
        <v>42.108833333333344</v>
      </c>
      <c r="V38" s="21">
        <v>12.217166666666667</v>
      </c>
      <c r="W38" s="20">
        <v>27.49166666666666</v>
      </c>
      <c r="X38" s="21">
        <v>22.987166666666667</v>
      </c>
      <c r="Y38" s="20">
        <v>0</v>
      </c>
      <c r="Z38" s="21">
        <v>0</v>
      </c>
      <c r="AA38" s="20">
        <v>82.82716666666667</v>
      </c>
      <c r="AB38" s="21">
        <v>0</v>
      </c>
      <c r="AC38" s="20">
        <v>0</v>
      </c>
      <c r="AD38" s="21">
        <v>9.2291666666666643</v>
      </c>
      <c r="AE38" s="20">
        <v>0</v>
      </c>
      <c r="AF38" s="21">
        <v>15.477499999999997</v>
      </c>
      <c r="AG38" s="20">
        <v>43.073333333333338</v>
      </c>
      <c r="AH38" s="21">
        <v>62.509499999999996</v>
      </c>
      <c r="AI38" s="20">
        <v>0</v>
      </c>
      <c r="AJ38" s="252">
        <f t="shared" si="2"/>
        <v>792.74183333333349</v>
      </c>
      <c r="AK38" s="253"/>
      <c r="AL38" s="253"/>
    </row>
    <row r="39" spans="2:38" x14ac:dyDescent="0.3">
      <c r="B39" s="245" t="s">
        <v>30</v>
      </c>
      <c r="C39" s="245"/>
      <c r="D39" s="245"/>
      <c r="E39" s="20">
        <v>249.3216666666666</v>
      </c>
      <c r="F39" s="21">
        <v>248.36516666666665</v>
      </c>
      <c r="G39" s="20">
        <v>0</v>
      </c>
      <c r="H39" s="21">
        <v>0</v>
      </c>
      <c r="I39" s="20">
        <v>0</v>
      </c>
      <c r="J39" s="21">
        <v>0</v>
      </c>
      <c r="K39" s="20">
        <v>0</v>
      </c>
      <c r="L39" s="21">
        <v>0</v>
      </c>
      <c r="M39" s="20">
        <v>0.51100000000000012</v>
      </c>
      <c r="N39" s="21">
        <v>0</v>
      </c>
      <c r="O39" s="20">
        <v>0</v>
      </c>
      <c r="P39" s="21">
        <v>0</v>
      </c>
      <c r="Q39" s="20">
        <v>0</v>
      </c>
      <c r="R39" s="21">
        <v>0</v>
      </c>
      <c r="S39" s="20">
        <v>0</v>
      </c>
      <c r="T39" s="21">
        <v>0</v>
      </c>
      <c r="U39" s="20">
        <v>53.218333333333341</v>
      </c>
      <c r="V39" s="21">
        <v>1.6833333333333329E-2</v>
      </c>
      <c r="W39" s="20">
        <v>1.2913333333333334</v>
      </c>
      <c r="X39" s="21">
        <v>0.26950000000000002</v>
      </c>
      <c r="Y39" s="20">
        <v>0</v>
      </c>
      <c r="Z39" s="21">
        <v>0</v>
      </c>
      <c r="AA39" s="20">
        <v>5.0166666666666679E-2</v>
      </c>
      <c r="AB39" s="21">
        <v>0</v>
      </c>
      <c r="AC39" s="20">
        <v>0</v>
      </c>
      <c r="AD39" s="21">
        <v>0</v>
      </c>
      <c r="AE39" s="20">
        <v>0</v>
      </c>
      <c r="AF39" s="21">
        <v>23.435999999999993</v>
      </c>
      <c r="AG39" s="20">
        <v>26.677666666666667</v>
      </c>
      <c r="AH39" s="21">
        <v>182.80433333333332</v>
      </c>
      <c r="AI39" s="20">
        <v>0</v>
      </c>
      <c r="AJ39" s="252">
        <f t="shared" si="2"/>
        <v>785.96199999999999</v>
      </c>
      <c r="AK39" s="253"/>
      <c r="AL39" s="253"/>
    </row>
    <row r="40" spans="2:38" x14ac:dyDescent="0.3">
      <c r="B40" s="245" t="s">
        <v>31</v>
      </c>
      <c r="C40" s="245"/>
      <c r="D40" s="245"/>
      <c r="E40" s="20">
        <v>95.337999999999965</v>
      </c>
      <c r="F40" s="21">
        <v>113.65650000000001</v>
      </c>
      <c r="G40" s="20">
        <v>0</v>
      </c>
      <c r="H40" s="21">
        <v>0</v>
      </c>
      <c r="I40" s="20">
        <v>0</v>
      </c>
      <c r="J40" s="21">
        <v>0</v>
      </c>
      <c r="K40" s="20">
        <v>0</v>
      </c>
      <c r="L40" s="21">
        <v>0</v>
      </c>
      <c r="M40" s="20">
        <v>5.8748333333333376</v>
      </c>
      <c r="N40" s="21">
        <v>0</v>
      </c>
      <c r="O40" s="20">
        <v>0</v>
      </c>
      <c r="P40" s="21">
        <v>0</v>
      </c>
      <c r="Q40" s="20">
        <v>0</v>
      </c>
      <c r="R40" s="21">
        <v>0</v>
      </c>
      <c r="S40" s="20">
        <v>82.224666666666707</v>
      </c>
      <c r="T40" s="21">
        <v>53.261333333333361</v>
      </c>
      <c r="U40" s="20">
        <v>32.71549999999997</v>
      </c>
      <c r="V40" s="21">
        <v>5.7821666666666722</v>
      </c>
      <c r="W40" s="20">
        <v>6.7646666666666695</v>
      </c>
      <c r="X40" s="21">
        <v>15.151333333333339</v>
      </c>
      <c r="Y40" s="20">
        <v>0</v>
      </c>
      <c r="Z40" s="21">
        <v>0</v>
      </c>
      <c r="AA40" s="20">
        <v>42.553000000000004</v>
      </c>
      <c r="AB40" s="21">
        <v>0</v>
      </c>
      <c r="AC40" s="20">
        <v>0</v>
      </c>
      <c r="AD40" s="21">
        <v>5.0760000000000005</v>
      </c>
      <c r="AE40" s="20">
        <v>0</v>
      </c>
      <c r="AF40" s="21">
        <v>1.5658333333333347</v>
      </c>
      <c r="AG40" s="20">
        <v>6.3449999999999989</v>
      </c>
      <c r="AH40" s="21">
        <v>81.659999999999968</v>
      </c>
      <c r="AI40" s="20">
        <v>0</v>
      </c>
      <c r="AJ40" s="252">
        <f t="shared" si="2"/>
        <v>547.96883333333335</v>
      </c>
      <c r="AK40" s="253"/>
      <c r="AL40" s="253"/>
    </row>
    <row r="41" spans="2:38" x14ac:dyDescent="0.3">
      <c r="B41" s="245" t="s">
        <v>32</v>
      </c>
      <c r="C41" s="245"/>
      <c r="D41" s="245"/>
      <c r="E41" s="20">
        <v>0</v>
      </c>
      <c r="F41" s="21">
        <v>154.32116666666667</v>
      </c>
      <c r="G41" s="20">
        <v>0</v>
      </c>
      <c r="H41" s="21">
        <v>0</v>
      </c>
      <c r="I41" s="20">
        <v>0</v>
      </c>
      <c r="J41" s="21">
        <v>0</v>
      </c>
      <c r="K41" s="20">
        <v>0</v>
      </c>
      <c r="L41" s="21">
        <v>0</v>
      </c>
      <c r="M41" s="20">
        <v>0.52166666666666672</v>
      </c>
      <c r="N41" s="21">
        <v>0</v>
      </c>
      <c r="O41" s="20">
        <v>0</v>
      </c>
      <c r="P41" s="21">
        <v>0</v>
      </c>
      <c r="Q41" s="20">
        <v>0</v>
      </c>
      <c r="R41" s="21">
        <v>0</v>
      </c>
      <c r="S41" s="20">
        <v>40.553666666666672</v>
      </c>
      <c r="T41" s="21">
        <v>161.61583333333334</v>
      </c>
      <c r="U41" s="20">
        <v>60.929833333333328</v>
      </c>
      <c r="V41" s="21">
        <v>11.759000000000002</v>
      </c>
      <c r="W41" s="20">
        <v>19.691666666666666</v>
      </c>
      <c r="X41" s="21">
        <v>6.0586666666666673</v>
      </c>
      <c r="Y41" s="20">
        <v>0</v>
      </c>
      <c r="Z41" s="21">
        <v>0</v>
      </c>
      <c r="AA41" s="20">
        <v>0</v>
      </c>
      <c r="AB41" s="21">
        <v>0</v>
      </c>
      <c r="AC41" s="20">
        <v>0</v>
      </c>
      <c r="AD41" s="21">
        <v>4.0393333333333334</v>
      </c>
      <c r="AE41" s="20">
        <v>0</v>
      </c>
      <c r="AF41" s="21">
        <v>8.1166666666666671</v>
      </c>
      <c r="AG41" s="20">
        <v>0</v>
      </c>
      <c r="AH41" s="21">
        <v>161.625</v>
      </c>
      <c r="AI41" s="20">
        <v>0</v>
      </c>
      <c r="AJ41" s="252">
        <f t="shared" si="2"/>
        <v>629.23250000000007</v>
      </c>
      <c r="AK41" s="253"/>
      <c r="AL41" s="253"/>
    </row>
    <row r="42" spans="2:38" x14ac:dyDescent="0.3">
      <c r="B42" s="245" t="s">
        <v>33</v>
      </c>
      <c r="C42" s="245"/>
      <c r="D42" s="245"/>
      <c r="E42" s="20">
        <v>10.425833333333332</v>
      </c>
      <c r="F42" s="21">
        <v>2.7833333333333319</v>
      </c>
      <c r="G42" s="20">
        <v>0</v>
      </c>
      <c r="H42" s="21">
        <v>0</v>
      </c>
      <c r="I42" s="20">
        <v>0</v>
      </c>
      <c r="J42" s="21">
        <v>0</v>
      </c>
      <c r="K42" s="20">
        <v>0</v>
      </c>
      <c r="L42" s="21">
        <v>0</v>
      </c>
      <c r="M42" s="20">
        <v>4.1265000000000001</v>
      </c>
      <c r="N42" s="21">
        <v>0</v>
      </c>
      <c r="O42" s="20">
        <v>0</v>
      </c>
      <c r="P42" s="21">
        <v>0</v>
      </c>
      <c r="Q42" s="20">
        <v>0</v>
      </c>
      <c r="R42" s="21">
        <v>0</v>
      </c>
      <c r="S42" s="20">
        <v>23.443833333333338</v>
      </c>
      <c r="T42" s="21">
        <v>21.934999999999999</v>
      </c>
      <c r="U42" s="20">
        <v>12.271000000000001</v>
      </c>
      <c r="V42" s="21">
        <v>1.4969999999999986</v>
      </c>
      <c r="W42" s="20">
        <v>3.1435</v>
      </c>
      <c r="X42" s="21">
        <v>2.419999999999999</v>
      </c>
      <c r="Y42" s="20">
        <v>0</v>
      </c>
      <c r="Z42" s="21">
        <v>0</v>
      </c>
      <c r="AA42" s="20">
        <v>13.00133333333333</v>
      </c>
      <c r="AB42" s="21">
        <v>0</v>
      </c>
      <c r="AC42" s="20">
        <v>0</v>
      </c>
      <c r="AD42" s="21">
        <v>0.57549999999999968</v>
      </c>
      <c r="AE42" s="20">
        <v>0</v>
      </c>
      <c r="AF42" s="21">
        <v>13.287499999999994</v>
      </c>
      <c r="AG42" s="20">
        <v>20.520666666666667</v>
      </c>
      <c r="AH42" s="21">
        <v>11.693166666666666</v>
      </c>
      <c r="AI42" s="20">
        <v>0</v>
      </c>
      <c r="AJ42" s="252">
        <f t="shared" si="2"/>
        <v>141.12416666666667</v>
      </c>
      <c r="AK42" s="253"/>
      <c r="AL42" s="253"/>
    </row>
    <row r="43" spans="2:38" x14ac:dyDescent="0.3">
      <c r="B43" s="245" t="s">
        <v>34</v>
      </c>
      <c r="C43" s="245"/>
      <c r="D43" s="245"/>
      <c r="E43" s="20">
        <v>4.9018333333333333</v>
      </c>
      <c r="F43" s="21">
        <v>7.6656666666666657</v>
      </c>
      <c r="G43" s="20">
        <v>0</v>
      </c>
      <c r="H43" s="21">
        <v>0</v>
      </c>
      <c r="I43" s="20">
        <v>0</v>
      </c>
      <c r="J43" s="21">
        <v>0</v>
      </c>
      <c r="K43" s="20">
        <v>0</v>
      </c>
      <c r="L43" s="21">
        <v>0</v>
      </c>
      <c r="M43" s="20">
        <v>0.41549999999999998</v>
      </c>
      <c r="N43" s="21">
        <v>0</v>
      </c>
      <c r="O43" s="20">
        <v>0</v>
      </c>
      <c r="P43" s="21">
        <v>0</v>
      </c>
      <c r="Q43" s="20">
        <v>0</v>
      </c>
      <c r="R43" s="21">
        <v>0</v>
      </c>
      <c r="S43" s="20">
        <v>6.9721666666666664</v>
      </c>
      <c r="T43" s="21">
        <v>3.875666666666667</v>
      </c>
      <c r="U43" s="20">
        <v>4.6703333333333337</v>
      </c>
      <c r="V43" s="21">
        <v>0.52416666666666656</v>
      </c>
      <c r="W43" s="20">
        <v>0.64383333333333337</v>
      </c>
      <c r="X43" s="21">
        <v>1.9691666666666665</v>
      </c>
      <c r="Y43" s="20">
        <v>0</v>
      </c>
      <c r="Z43" s="21">
        <v>0</v>
      </c>
      <c r="AA43" s="20">
        <v>5.2573333333333325</v>
      </c>
      <c r="AB43" s="21">
        <v>0</v>
      </c>
      <c r="AC43" s="20">
        <v>0</v>
      </c>
      <c r="AD43" s="21">
        <v>0.43200000000000016</v>
      </c>
      <c r="AE43" s="20">
        <v>0</v>
      </c>
      <c r="AF43" s="21">
        <v>2.5430000000000001</v>
      </c>
      <c r="AG43" s="20">
        <v>4.076666666666668</v>
      </c>
      <c r="AH43" s="21">
        <v>9.5926666666666662</v>
      </c>
      <c r="AI43" s="20">
        <v>0</v>
      </c>
      <c r="AJ43" s="252">
        <f t="shared" si="2"/>
        <v>53.54</v>
      </c>
      <c r="AK43" s="253"/>
      <c r="AL43" s="253"/>
    </row>
    <row r="44" spans="2:38" x14ac:dyDescent="0.3">
      <c r="B44" s="245" t="s">
        <v>35</v>
      </c>
      <c r="C44" s="245"/>
      <c r="D44" s="245"/>
      <c r="E44" s="20">
        <v>230.86083333333329</v>
      </c>
      <c r="F44" s="21">
        <v>27.601166666666668</v>
      </c>
      <c r="G44" s="20">
        <v>0</v>
      </c>
      <c r="H44" s="21">
        <v>0</v>
      </c>
      <c r="I44" s="20">
        <v>0</v>
      </c>
      <c r="J44" s="21">
        <v>0</v>
      </c>
      <c r="K44" s="20">
        <v>0</v>
      </c>
      <c r="L44" s="21">
        <v>0</v>
      </c>
      <c r="M44" s="20">
        <v>8.427500000000002</v>
      </c>
      <c r="N44" s="21">
        <v>0</v>
      </c>
      <c r="O44" s="20">
        <v>0</v>
      </c>
      <c r="P44" s="21">
        <v>0</v>
      </c>
      <c r="Q44" s="20">
        <v>0</v>
      </c>
      <c r="R44" s="21">
        <v>0</v>
      </c>
      <c r="S44" s="20">
        <v>38.92433333333333</v>
      </c>
      <c r="T44" s="21">
        <v>11.525333333333332</v>
      </c>
      <c r="U44" s="20">
        <v>0</v>
      </c>
      <c r="V44" s="21">
        <v>1.3438333333333339</v>
      </c>
      <c r="W44" s="20">
        <v>0</v>
      </c>
      <c r="X44" s="21">
        <v>76.099166666666676</v>
      </c>
      <c r="Y44" s="20">
        <v>0</v>
      </c>
      <c r="Z44" s="21">
        <v>0</v>
      </c>
      <c r="AA44" s="20">
        <v>32.43383333333334</v>
      </c>
      <c r="AB44" s="21">
        <v>0</v>
      </c>
      <c r="AC44" s="20">
        <v>0</v>
      </c>
      <c r="AD44" s="21">
        <v>0</v>
      </c>
      <c r="AE44" s="20">
        <v>0</v>
      </c>
      <c r="AF44" s="21">
        <v>0.92149999999999965</v>
      </c>
      <c r="AG44" s="20">
        <v>16.615499999999997</v>
      </c>
      <c r="AH44" s="21">
        <v>0</v>
      </c>
      <c r="AI44" s="20">
        <v>0</v>
      </c>
      <c r="AJ44" s="252">
        <f t="shared" si="2"/>
        <v>444.75299999999993</v>
      </c>
      <c r="AK44" s="253"/>
      <c r="AL44" s="253"/>
    </row>
    <row r="45" spans="2:38" x14ac:dyDescent="0.3">
      <c r="B45" s="245" t="s">
        <v>36</v>
      </c>
      <c r="C45" s="245"/>
      <c r="D45" s="245"/>
      <c r="E45" s="20">
        <v>280.45383333333336</v>
      </c>
      <c r="F45" s="21">
        <v>295.95099999999996</v>
      </c>
      <c r="G45" s="20">
        <v>0</v>
      </c>
      <c r="H45" s="21">
        <v>0</v>
      </c>
      <c r="I45" s="20">
        <v>0</v>
      </c>
      <c r="J45" s="21">
        <v>0</v>
      </c>
      <c r="K45" s="20">
        <v>0</v>
      </c>
      <c r="L45" s="21">
        <v>0</v>
      </c>
      <c r="M45" s="20">
        <v>0</v>
      </c>
      <c r="N45" s="21">
        <v>0</v>
      </c>
      <c r="O45" s="20">
        <v>0</v>
      </c>
      <c r="P45" s="21">
        <v>0</v>
      </c>
      <c r="Q45" s="20">
        <v>0</v>
      </c>
      <c r="R45" s="21">
        <v>0</v>
      </c>
      <c r="S45" s="20">
        <v>85.621000000000024</v>
      </c>
      <c r="T45" s="21">
        <v>0</v>
      </c>
      <c r="U45" s="20">
        <v>0</v>
      </c>
      <c r="V45" s="21">
        <v>0</v>
      </c>
      <c r="W45" s="20">
        <v>0</v>
      </c>
      <c r="X45" s="21">
        <v>81.891833333333324</v>
      </c>
      <c r="Y45" s="20">
        <v>0</v>
      </c>
      <c r="Z45" s="21">
        <v>0</v>
      </c>
      <c r="AA45" s="20">
        <v>60.53799999999999</v>
      </c>
      <c r="AB45" s="21">
        <v>0</v>
      </c>
      <c r="AC45" s="20">
        <v>0</v>
      </c>
      <c r="AD45" s="21">
        <v>1.6329999999999996</v>
      </c>
      <c r="AE45" s="20">
        <v>0</v>
      </c>
      <c r="AF45" s="21">
        <v>1.0938333333333334</v>
      </c>
      <c r="AG45" s="20">
        <v>52.946666666666673</v>
      </c>
      <c r="AH45" s="21">
        <v>0</v>
      </c>
      <c r="AI45" s="20">
        <v>0</v>
      </c>
      <c r="AJ45" s="252">
        <f t="shared" si="2"/>
        <v>860.12916666666672</v>
      </c>
      <c r="AK45" s="253"/>
      <c r="AL45" s="253"/>
    </row>
    <row r="46" spans="2:38" x14ac:dyDescent="0.3">
      <c r="B46" s="13" t="s">
        <v>89</v>
      </c>
      <c r="C46" s="13"/>
      <c r="D46" s="13"/>
      <c r="E46" s="20">
        <v>2.4739999999999993</v>
      </c>
      <c r="F46" s="21">
        <v>23.873000000000005</v>
      </c>
      <c r="G46" s="20">
        <v>0</v>
      </c>
      <c r="H46" s="21">
        <v>0</v>
      </c>
      <c r="I46" s="20">
        <v>0</v>
      </c>
      <c r="J46" s="21">
        <v>0</v>
      </c>
      <c r="K46" s="20">
        <v>0</v>
      </c>
      <c r="L46" s="21">
        <v>0</v>
      </c>
      <c r="M46" s="20">
        <v>0</v>
      </c>
      <c r="N46" s="21">
        <v>0</v>
      </c>
      <c r="O46" s="20">
        <v>0</v>
      </c>
      <c r="P46" s="21">
        <v>0</v>
      </c>
      <c r="Q46" s="20">
        <v>0</v>
      </c>
      <c r="R46" s="21">
        <v>0</v>
      </c>
      <c r="S46" s="20">
        <v>0</v>
      </c>
      <c r="T46" s="21">
        <v>0</v>
      </c>
      <c r="U46" s="20">
        <v>0</v>
      </c>
      <c r="V46" s="21">
        <v>0</v>
      </c>
      <c r="W46" s="20">
        <v>0</v>
      </c>
      <c r="X46" s="21">
        <v>0</v>
      </c>
      <c r="Y46" s="20">
        <v>0</v>
      </c>
      <c r="Z46" s="21">
        <v>0</v>
      </c>
      <c r="AA46" s="20">
        <v>0</v>
      </c>
      <c r="AB46" s="21">
        <v>0</v>
      </c>
      <c r="AC46" s="20">
        <v>0</v>
      </c>
      <c r="AD46" s="21">
        <v>0</v>
      </c>
      <c r="AE46" s="20">
        <v>0</v>
      </c>
      <c r="AF46" s="21">
        <v>0</v>
      </c>
      <c r="AG46" s="20">
        <v>0</v>
      </c>
      <c r="AH46" s="21">
        <v>1.339333333333333</v>
      </c>
      <c r="AI46" s="20">
        <v>0</v>
      </c>
      <c r="AJ46" s="252">
        <f t="shared" ref="AJ46:AJ47" si="3">SUM(E46:AI46)</f>
        <v>27.686333333333337</v>
      </c>
      <c r="AK46" s="253"/>
      <c r="AL46" s="253"/>
    </row>
    <row r="47" spans="2:38" x14ac:dyDescent="0.3">
      <c r="B47" s="13" t="s">
        <v>90</v>
      </c>
      <c r="C47" s="13"/>
      <c r="D47" s="13"/>
      <c r="E47" s="20">
        <v>231.82399999999998</v>
      </c>
      <c r="F47" s="21">
        <v>261.65733333333333</v>
      </c>
      <c r="G47" s="20">
        <v>0</v>
      </c>
      <c r="H47" s="21">
        <v>0</v>
      </c>
      <c r="I47" s="20">
        <v>0</v>
      </c>
      <c r="J47" s="21">
        <v>0</v>
      </c>
      <c r="K47" s="20">
        <v>0</v>
      </c>
      <c r="L47" s="21">
        <v>0</v>
      </c>
      <c r="M47" s="20">
        <v>0</v>
      </c>
      <c r="N47" s="21">
        <v>0</v>
      </c>
      <c r="O47" s="20">
        <v>0</v>
      </c>
      <c r="P47" s="21">
        <v>0</v>
      </c>
      <c r="Q47" s="20">
        <v>0</v>
      </c>
      <c r="R47" s="21">
        <v>0</v>
      </c>
      <c r="S47" s="20">
        <v>53.079333333333331</v>
      </c>
      <c r="T47" s="21">
        <v>0</v>
      </c>
      <c r="U47" s="20">
        <v>4.795499999999997</v>
      </c>
      <c r="V47" s="21">
        <v>0</v>
      </c>
      <c r="W47" s="20">
        <v>0</v>
      </c>
      <c r="X47" s="21">
        <v>1.2688333333333328</v>
      </c>
      <c r="Y47" s="20">
        <v>0</v>
      </c>
      <c r="Z47" s="21">
        <v>0</v>
      </c>
      <c r="AA47" s="20">
        <v>0</v>
      </c>
      <c r="AB47" s="21">
        <v>0</v>
      </c>
      <c r="AC47" s="20">
        <v>0</v>
      </c>
      <c r="AD47" s="21">
        <v>0</v>
      </c>
      <c r="AE47" s="20">
        <v>0</v>
      </c>
      <c r="AF47" s="21">
        <v>0</v>
      </c>
      <c r="AG47" s="20">
        <v>0</v>
      </c>
      <c r="AH47" s="21">
        <v>14.088999999999999</v>
      </c>
      <c r="AI47" s="20">
        <v>0</v>
      </c>
      <c r="AJ47" s="252">
        <f t="shared" si="3"/>
        <v>566.71399999999994</v>
      </c>
      <c r="AK47" s="253"/>
      <c r="AL47" s="253"/>
    </row>
  </sheetData>
  <mergeCells count="74">
    <mergeCell ref="AJ46:AL46"/>
    <mergeCell ref="AJ47:AL47"/>
    <mergeCell ref="B41:D41"/>
    <mergeCell ref="B42:D42"/>
    <mergeCell ref="B43:D43"/>
    <mergeCell ref="B44:D44"/>
    <mergeCell ref="B45:D45"/>
    <mergeCell ref="AJ41:AL41"/>
    <mergeCell ref="AJ42:AL42"/>
    <mergeCell ref="AJ43:AL43"/>
    <mergeCell ref="AJ44:AL44"/>
    <mergeCell ref="AJ45:AL45"/>
    <mergeCell ref="B36:D36"/>
    <mergeCell ref="B37:D37"/>
    <mergeCell ref="B38:D38"/>
    <mergeCell ref="B39:D39"/>
    <mergeCell ref="B40:D40"/>
    <mergeCell ref="B31:D31"/>
    <mergeCell ref="B32:D32"/>
    <mergeCell ref="B33:D33"/>
    <mergeCell ref="B34:D34"/>
    <mergeCell ref="B35:D35"/>
    <mergeCell ref="B26:D26"/>
    <mergeCell ref="B27:D27"/>
    <mergeCell ref="B28:D28"/>
    <mergeCell ref="B29:D29"/>
    <mergeCell ref="B30:D30"/>
    <mergeCell ref="B21:D21"/>
    <mergeCell ref="B22:D22"/>
    <mergeCell ref="B23:D23"/>
    <mergeCell ref="B24:D24"/>
    <mergeCell ref="B25:D25"/>
    <mergeCell ref="B16:D16"/>
    <mergeCell ref="B17:D17"/>
    <mergeCell ref="B18:D18"/>
    <mergeCell ref="B19:D19"/>
    <mergeCell ref="B20:D20"/>
    <mergeCell ref="B11:D11"/>
    <mergeCell ref="B12:D12"/>
    <mergeCell ref="B13:D13"/>
    <mergeCell ref="B14:D14"/>
    <mergeCell ref="B15:D15"/>
    <mergeCell ref="AJ37:AL37"/>
    <mergeCell ref="AJ38:AL38"/>
    <mergeCell ref="AJ39:AL39"/>
    <mergeCell ref="AJ40:AL40"/>
    <mergeCell ref="AJ32:AL32"/>
    <mergeCell ref="AJ33:AL33"/>
    <mergeCell ref="AJ34:AL34"/>
    <mergeCell ref="AJ35:AL35"/>
    <mergeCell ref="AJ36:AL36"/>
    <mergeCell ref="AJ31:AL31"/>
    <mergeCell ref="AJ20:AL20"/>
    <mergeCell ref="AJ21:AL21"/>
    <mergeCell ref="AJ22:AL22"/>
    <mergeCell ref="AJ23:AL23"/>
    <mergeCell ref="AJ24:AL24"/>
    <mergeCell ref="AJ25:AL25"/>
    <mergeCell ref="AJ26:AL26"/>
    <mergeCell ref="AJ27:AL27"/>
    <mergeCell ref="AJ28:AL28"/>
    <mergeCell ref="AJ29:AL29"/>
    <mergeCell ref="AJ30:AL30"/>
    <mergeCell ref="AJ9:AL9"/>
    <mergeCell ref="AJ19:AL19"/>
    <mergeCell ref="AJ10:AL10"/>
    <mergeCell ref="AJ11:AL11"/>
    <mergeCell ref="AJ12:AL12"/>
    <mergeCell ref="AJ13:AL13"/>
    <mergeCell ref="AJ14:AL14"/>
    <mergeCell ref="AJ15:AL15"/>
    <mergeCell ref="AJ16:AL16"/>
    <mergeCell ref="AJ17:AL17"/>
    <mergeCell ref="AJ18:AL18"/>
  </mergeCells>
  <pageMargins left="0.7" right="0.7" top="0.75" bottom="0.75" header="0.3" footer="0.3"/>
  <pageSetup scale="1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DF2B-45D1-43E2-985B-6AD4D287D8C2}">
  <sheetPr codeName="Hoja5"/>
  <dimension ref="B1:AL59"/>
  <sheetViews>
    <sheetView view="pageBreakPreview" zoomScale="60" zoomScaleNormal="70" workbookViewId="0">
      <selection activeCell="AJ13" sqref="AJ13:AL13"/>
    </sheetView>
  </sheetViews>
  <sheetFormatPr baseColWidth="10" defaultColWidth="11.42578125" defaultRowHeight="18.75" x14ac:dyDescent="0.3"/>
  <cols>
    <col min="1" max="1" width="2.42578125" style="12" customWidth="1"/>
    <col min="2" max="2" width="32.5703125" style="12" customWidth="1"/>
    <col min="3" max="28" width="10.140625" style="19" customWidth="1"/>
    <col min="29" max="16384" width="11.42578125" style="12"/>
  </cols>
  <sheetData>
    <row r="1" spans="2:38" s="4" customFormat="1" x14ac:dyDescent="0.3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2:38" s="4" customFormat="1" x14ac:dyDescent="0.3">
      <c r="B2" s="7" t="s">
        <v>88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s="4" customFormat="1" x14ac:dyDescent="0.3">
      <c r="B3" s="22"/>
      <c r="C3" s="23"/>
      <c r="D3" s="23"/>
      <c r="E3" s="23"/>
      <c r="F3" s="23"/>
      <c r="G3" s="23"/>
      <c r="H3" s="23"/>
      <c r="I3" s="23"/>
      <c r="J3" s="23"/>
      <c r="K3" s="23"/>
      <c r="L3" s="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2:38" s="4" customFormat="1" x14ac:dyDescent="0.3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2:38" s="4" customFormat="1" x14ac:dyDescent="0.3">
      <c r="B5" s="5" t="s">
        <v>85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7"/>
      <c r="AC5" s="37"/>
      <c r="AD5" s="37"/>
      <c r="AE5" s="37"/>
      <c r="AF5" s="37"/>
      <c r="AG5" s="37"/>
      <c r="AH5" s="37"/>
      <c r="AI5" s="37"/>
      <c r="AJ5" s="1"/>
      <c r="AK5" s="37"/>
      <c r="AL5" s="1"/>
    </row>
    <row r="6" spans="2:38" s="4" customFormat="1" x14ac:dyDescent="0.3">
      <c r="AH6" s="3"/>
      <c r="AI6" s="3"/>
      <c r="AJ6" s="3"/>
      <c r="AK6" s="3"/>
    </row>
    <row r="7" spans="2:38" s="4" customFormat="1" x14ac:dyDescent="0.3">
      <c r="B7" s="48">
        <v>44562</v>
      </c>
      <c r="AH7" s="3"/>
      <c r="AI7" s="3"/>
      <c r="AJ7" s="3"/>
      <c r="AK7" s="3"/>
    </row>
    <row r="8" spans="2:38" s="4" customFormat="1" x14ac:dyDescent="0.3"/>
    <row r="9" spans="2:38" s="4" customFormat="1" x14ac:dyDescent="0.3">
      <c r="B9" s="39" t="s">
        <v>3</v>
      </c>
      <c r="C9" s="230"/>
      <c r="D9" s="230"/>
      <c r="E9" s="40">
        <v>44562</v>
      </c>
      <c r="F9" s="40">
        <f>E9+1</f>
        <v>44563</v>
      </c>
      <c r="G9" s="40">
        <f t="shared" ref="G9:AI9" si="0">F9+1</f>
        <v>44564</v>
      </c>
      <c r="H9" s="40">
        <f t="shared" si="0"/>
        <v>44565</v>
      </c>
      <c r="I9" s="40">
        <f t="shared" si="0"/>
        <v>44566</v>
      </c>
      <c r="J9" s="40">
        <f t="shared" si="0"/>
        <v>44567</v>
      </c>
      <c r="K9" s="40">
        <f t="shared" si="0"/>
        <v>44568</v>
      </c>
      <c r="L9" s="40">
        <f t="shared" si="0"/>
        <v>44569</v>
      </c>
      <c r="M9" s="40">
        <f t="shared" si="0"/>
        <v>44570</v>
      </c>
      <c r="N9" s="40">
        <f t="shared" si="0"/>
        <v>44571</v>
      </c>
      <c r="O9" s="40">
        <f t="shared" si="0"/>
        <v>44572</v>
      </c>
      <c r="P9" s="40">
        <f t="shared" si="0"/>
        <v>44573</v>
      </c>
      <c r="Q9" s="40">
        <f t="shared" si="0"/>
        <v>44574</v>
      </c>
      <c r="R9" s="40">
        <f t="shared" si="0"/>
        <v>44575</v>
      </c>
      <c r="S9" s="40">
        <f t="shared" si="0"/>
        <v>44576</v>
      </c>
      <c r="T9" s="40">
        <f t="shared" si="0"/>
        <v>44577</v>
      </c>
      <c r="U9" s="40">
        <f t="shared" si="0"/>
        <v>44578</v>
      </c>
      <c r="V9" s="40">
        <f t="shared" si="0"/>
        <v>44579</v>
      </c>
      <c r="W9" s="40">
        <f t="shared" si="0"/>
        <v>44580</v>
      </c>
      <c r="X9" s="40">
        <f t="shared" si="0"/>
        <v>44581</v>
      </c>
      <c r="Y9" s="40">
        <f t="shared" si="0"/>
        <v>44582</v>
      </c>
      <c r="Z9" s="40">
        <f t="shared" si="0"/>
        <v>44583</v>
      </c>
      <c r="AA9" s="40">
        <f t="shared" si="0"/>
        <v>44584</v>
      </c>
      <c r="AB9" s="40">
        <f t="shared" si="0"/>
        <v>44585</v>
      </c>
      <c r="AC9" s="40">
        <f t="shared" si="0"/>
        <v>44586</v>
      </c>
      <c r="AD9" s="40">
        <f t="shared" si="0"/>
        <v>44587</v>
      </c>
      <c r="AE9" s="40">
        <f t="shared" si="0"/>
        <v>44588</v>
      </c>
      <c r="AF9" s="40">
        <f t="shared" si="0"/>
        <v>44589</v>
      </c>
      <c r="AG9" s="40">
        <f t="shared" si="0"/>
        <v>44590</v>
      </c>
      <c r="AH9" s="40">
        <f t="shared" si="0"/>
        <v>44591</v>
      </c>
      <c r="AI9" s="40">
        <f t="shared" si="0"/>
        <v>44592</v>
      </c>
      <c r="AJ9" s="247" t="s">
        <v>2</v>
      </c>
      <c r="AK9" s="248"/>
      <c r="AL9" s="248"/>
    </row>
    <row r="10" spans="2:38" s="4" customFormat="1" x14ac:dyDescent="0.3">
      <c r="B10" s="250" t="s">
        <v>2</v>
      </c>
      <c r="C10" s="250"/>
      <c r="D10" s="250"/>
      <c r="E10" s="41">
        <f>SUM(E11:E59)</f>
        <v>5637.6028333333334</v>
      </c>
      <c r="F10" s="41">
        <f t="shared" ref="F10:AH10" si="1">SUM(F11:F59)</f>
        <v>4370.6821666666674</v>
      </c>
      <c r="G10" s="41">
        <f t="shared" si="1"/>
        <v>483.36049999999994</v>
      </c>
      <c r="H10" s="41">
        <f t="shared" si="1"/>
        <v>2516.4854999999998</v>
      </c>
      <c r="I10" s="41">
        <f t="shared" si="1"/>
        <v>2837.8305000000005</v>
      </c>
      <c r="J10" s="41">
        <f t="shared" si="1"/>
        <v>1484.8965000000001</v>
      </c>
      <c r="K10" s="41">
        <f t="shared" si="1"/>
        <v>453.25483333333335</v>
      </c>
      <c r="L10" s="41">
        <f t="shared" si="1"/>
        <v>355.54849999999993</v>
      </c>
      <c r="M10" s="41">
        <f t="shared" si="1"/>
        <v>539.89116666666689</v>
      </c>
      <c r="N10" s="41">
        <f t="shared" si="1"/>
        <v>504.31699999999995</v>
      </c>
      <c r="O10" s="41">
        <f t="shared" si="1"/>
        <v>654.88699999999994</v>
      </c>
      <c r="P10" s="41">
        <f t="shared" si="1"/>
        <v>1388.9434999999994</v>
      </c>
      <c r="Q10" s="41">
        <f t="shared" si="1"/>
        <v>1349.2718333333332</v>
      </c>
      <c r="R10" s="41">
        <f t="shared" si="1"/>
        <v>374.4758333333333</v>
      </c>
      <c r="S10" s="41">
        <f t="shared" si="1"/>
        <v>666.24283333333346</v>
      </c>
      <c r="T10" s="41">
        <f t="shared" si="1"/>
        <v>925.50433333333353</v>
      </c>
      <c r="U10" s="41">
        <f t="shared" si="1"/>
        <v>889.21833333333336</v>
      </c>
      <c r="V10" s="41">
        <f t="shared" si="1"/>
        <v>1121.0245000000004</v>
      </c>
      <c r="W10" s="41">
        <f t="shared" si="1"/>
        <v>862.29200000000026</v>
      </c>
      <c r="X10" s="41">
        <f t="shared" si="1"/>
        <v>1409.6421666666668</v>
      </c>
      <c r="Y10" s="41">
        <f t="shared" si="1"/>
        <v>966.41750000000013</v>
      </c>
      <c r="Z10" s="41">
        <f t="shared" si="1"/>
        <v>1544.9959999999999</v>
      </c>
      <c r="AA10" s="41">
        <f t="shared" si="1"/>
        <v>2872.5981666666667</v>
      </c>
      <c r="AB10" s="41">
        <f t="shared" si="1"/>
        <v>152.11816666666667</v>
      </c>
      <c r="AC10" s="41">
        <f t="shared" si="1"/>
        <v>171.38849999999999</v>
      </c>
      <c r="AD10" s="41">
        <f t="shared" si="1"/>
        <v>692.19966666666664</v>
      </c>
      <c r="AE10" s="41">
        <f t="shared" si="1"/>
        <v>692.26949999999988</v>
      </c>
      <c r="AF10" s="41">
        <f t="shared" si="1"/>
        <v>1020.2159999999999</v>
      </c>
      <c r="AG10" s="41">
        <f t="shared" si="1"/>
        <v>1330.7860000000003</v>
      </c>
      <c r="AH10" s="41">
        <f t="shared" si="1"/>
        <v>4691.8371666666662</v>
      </c>
      <c r="AI10" s="101">
        <f>SUM(AI11:AI59)</f>
        <v>482.02283333333338</v>
      </c>
      <c r="AJ10" s="249">
        <f>SUM(AJ11:AK59)</f>
        <v>43442.221333333357</v>
      </c>
      <c r="AK10" s="249"/>
      <c r="AL10" s="249"/>
    </row>
    <row r="11" spans="2:38" s="4" customFormat="1" x14ac:dyDescent="0.3">
      <c r="B11" s="245" t="s">
        <v>37</v>
      </c>
      <c r="C11" s="245"/>
      <c r="D11" s="245"/>
      <c r="E11" s="52">
        <v>6.409833333333335</v>
      </c>
      <c r="F11" s="51">
        <v>6.0046666666666679</v>
      </c>
      <c r="G11" s="52">
        <v>0.97666666666666702</v>
      </c>
      <c r="H11" s="51">
        <v>5.5136666666666674</v>
      </c>
      <c r="I11" s="52">
        <v>7.4816666666666674</v>
      </c>
      <c r="J11" s="51">
        <v>0.48916666666666708</v>
      </c>
      <c r="K11" s="52">
        <v>7.4499999999999969E-2</v>
      </c>
      <c r="L11" s="51">
        <v>0</v>
      </c>
      <c r="M11" s="52">
        <v>0.29950000000000004</v>
      </c>
      <c r="N11" s="51">
        <v>0</v>
      </c>
      <c r="O11" s="52">
        <v>0</v>
      </c>
      <c r="P11" s="51">
        <v>0.64983333333333326</v>
      </c>
      <c r="Q11" s="52">
        <v>2.3038333333333334</v>
      </c>
      <c r="R11" s="51">
        <v>0</v>
      </c>
      <c r="S11" s="52">
        <v>0</v>
      </c>
      <c r="T11" s="51">
        <v>1.0166666666666668</v>
      </c>
      <c r="U11" s="52">
        <v>2.6166666666666612E-2</v>
      </c>
      <c r="V11" s="51">
        <v>0.57250000000000034</v>
      </c>
      <c r="W11" s="52">
        <v>0.44566666666666682</v>
      </c>
      <c r="X11" s="51">
        <v>0</v>
      </c>
      <c r="Y11" s="52">
        <v>0</v>
      </c>
      <c r="Z11" s="51">
        <v>2.3913333333333329</v>
      </c>
      <c r="AA11" s="52">
        <v>0.20516666666666664</v>
      </c>
      <c r="AB11" s="51">
        <v>0</v>
      </c>
      <c r="AC11" s="52">
        <v>0</v>
      </c>
      <c r="AD11" s="51">
        <v>2.1999999999999974E-2</v>
      </c>
      <c r="AE11" s="52">
        <v>1.2658333333333336</v>
      </c>
      <c r="AF11" s="51">
        <v>8.7333333333333249E-2</v>
      </c>
      <c r="AG11" s="52">
        <v>7.3616666666666664</v>
      </c>
      <c r="AH11" s="51">
        <v>4.2343333333333346</v>
      </c>
      <c r="AI11" s="100">
        <v>0</v>
      </c>
      <c r="AJ11" s="238">
        <f>SUM(E11:AI11)</f>
        <v>47.831999999999994</v>
      </c>
      <c r="AK11" s="238"/>
      <c r="AL11" s="238"/>
    </row>
    <row r="12" spans="2:38" s="4" customFormat="1" x14ac:dyDescent="0.3">
      <c r="B12" s="245" t="s">
        <v>38</v>
      </c>
      <c r="C12" s="245"/>
      <c r="D12" s="245"/>
      <c r="E12" s="52">
        <v>7.9505000000000035</v>
      </c>
      <c r="F12" s="51">
        <v>5.0803333333333347</v>
      </c>
      <c r="G12" s="52">
        <v>0.17900000000000052</v>
      </c>
      <c r="H12" s="51">
        <v>8.9066666666666645</v>
      </c>
      <c r="I12" s="52">
        <v>19.514666666666667</v>
      </c>
      <c r="J12" s="51">
        <v>0.71433333333333404</v>
      </c>
      <c r="K12" s="52">
        <v>0.70550000000000013</v>
      </c>
      <c r="L12" s="51">
        <v>0</v>
      </c>
      <c r="M12" s="52">
        <v>0.20266666666666644</v>
      </c>
      <c r="N12" s="51">
        <v>0</v>
      </c>
      <c r="O12" s="52">
        <v>0.51216666666666655</v>
      </c>
      <c r="P12" s="51">
        <v>2.0619999999999998</v>
      </c>
      <c r="Q12" s="52">
        <v>4.9898333333333316</v>
      </c>
      <c r="R12" s="51">
        <v>1.0831666666666664</v>
      </c>
      <c r="S12" s="52">
        <v>1.345499999999999</v>
      </c>
      <c r="T12" s="51">
        <v>0.1671666666666661</v>
      </c>
      <c r="U12" s="52">
        <v>0</v>
      </c>
      <c r="V12" s="51">
        <v>0</v>
      </c>
      <c r="W12" s="52">
        <v>0</v>
      </c>
      <c r="X12" s="51">
        <v>0</v>
      </c>
      <c r="Y12" s="52">
        <v>0</v>
      </c>
      <c r="Z12" s="51">
        <v>0</v>
      </c>
      <c r="AA12" s="52">
        <v>3.3101666666666674</v>
      </c>
      <c r="AB12" s="51">
        <v>0</v>
      </c>
      <c r="AC12" s="52">
        <v>0</v>
      </c>
      <c r="AD12" s="51">
        <v>0.19466666666666671</v>
      </c>
      <c r="AE12" s="52">
        <v>3.3141666666666674</v>
      </c>
      <c r="AF12" s="51">
        <v>6.6795000000000009</v>
      </c>
      <c r="AG12" s="52">
        <v>5.1121666666666661</v>
      </c>
      <c r="AH12" s="51">
        <v>7.0381666666666653</v>
      </c>
      <c r="AI12" s="100">
        <v>0</v>
      </c>
      <c r="AJ12" s="238">
        <f>SUM(E12:AI12)</f>
        <v>79.062333333333342</v>
      </c>
      <c r="AK12" s="238"/>
      <c r="AL12" s="238"/>
    </row>
    <row r="13" spans="2:38" s="4" customFormat="1" x14ac:dyDescent="0.3">
      <c r="B13" s="245" t="s">
        <v>39</v>
      </c>
      <c r="C13" s="245"/>
      <c r="D13" s="245"/>
      <c r="E13" s="52">
        <v>33.761833333333314</v>
      </c>
      <c r="F13" s="51">
        <v>32.543000000000006</v>
      </c>
      <c r="G13" s="52">
        <v>0.57050000000000023</v>
      </c>
      <c r="H13" s="51">
        <v>16.703500000000002</v>
      </c>
      <c r="I13" s="52">
        <v>19.068000000000008</v>
      </c>
      <c r="J13" s="51">
        <v>0.80266666666666608</v>
      </c>
      <c r="K13" s="52">
        <v>0.27</v>
      </c>
      <c r="L13" s="51">
        <v>0</v>
      </c>
      <c r="M13" s="52">
        <v>1.7000000000000053E-2</v>
      </c>
      <c r="N13" s="51">
        <v>0</v>
      </c>
      <c r="O13" s="52">
        <v>5.3516666666666666</v>
      </c>
      <c r="P13" s="51">
        <v>25.206166666666665</v>
      </c>
      <c r="Q13" s="52">
        <v>12.730499999999996</v>
      </c>
      <c r="R13" s="51">
        <v>1.7169999999999996</v>
      </c>
      <c r="S13" s="52">
        <v>0.74549999999999994</v>
      </c>
      <c r="T13" s="51">
        <v>3.077</v>
      </c>
      <c r="U13" s="52">
        <v>0.86883333333333357</v>
      </c>
      <c r="V13" s="51">
        <v>0</v>
      </c>
      <c r="W13" s="52">
        <v>19.859999999999985</v>
      </c>
      <c r="X13" s="51">
        <v>26.492833333333348</v>
      </c>
      <c r="Y13" s="52">
        <v>0</v>
      </c>
      <c r="Z13" s="51">
        <v>0.5701666666666656</v>
      </c>
      <c r="AA13" s="52">
        <v>9.5323333333333338</v>
      </c>
      <c r="AB13" s="51">
        <v>0</v>
      </c>
      <c r="AC13" s="52">
        <v>0</v>
      </c>
      <c r="AD13" s="51">
        <v>0</v>
      </c>
      <c r="AE13" s="52">
        <v>5.458333333333333</v>
      </c>
      <c r="AF13" s="51">
        <v>1.9133333333333331</v>
      </c>
      <c r="AG13" s="52">
        <v>2.3501666666666701</v>
      </c>
      <c r="AH13" s="51">
        <v>54.038166666666676</v>
      </c>
      <c r="AI13" s="100">
        <v>0</v>
      </c>
      <c r="AJ13" s="238">
        <f t="shared" ref="AJ13:AJ23" si="2">SUM(E13:AI13)</f>
        <v>273.64850000000001</v>
      </c>
      <c r="AK13" s="238"/>
      <c r="AL13" s="238"/>
    </row>
    <row r="14" spans="2:38" s="4" customFormat="1" x14ac:dyDescent="0.3">
      <c r="B14" s="245" t="s">
        <v>40</v>
      </c>
      <c r="C14" s="245"/>
      <c r="D14" s="245"/>
      <c r="E14" s="52">
        <v>637.85033333333331</v>
      </c>
      <c r="F14" s="51">
        <v>130.43549999999996</v>
      </c>
      <c r="G14" s="52">
        <v>0</v>
      </c>
      <c r="H14" s="51">
        <v>48.37466666666667</v>
      </c>
      <c r="I14" s="52">
        <v>93.350833333333327</v>
      </c>
      <c r="J14" s="51">
        <v>20.537833333333317</v>
      </c>
      <c r="K14" s="52">
        <v>0</v>
      </c>
      <c r="L14" s="51">
        <v>0</v>
      </c>
      <c r="M14" s="52">
        <v>2.8333333333333616E-2</v>
      </c>
      <c r="N14" s="51">
        <v>0</v>
      </c>
      <c r="O14" s="52">
        <v>21.918999999999986</v>
      </c>
      <c r="P14" s="51">
        <v>3.348333333333334</v>
      </c>
      <c r="Q14" s="52">
        <v>15.184333333333338</v>
      </c>
      <c r="R14" s="51">
        <v>0</v>
      </c>
      <c r="S14" s="52">
        <v>1.4880000000000104</v>
      </c>
      <c r="T14" s="51">
        <v>4.6251666666666669</v>
      </c>
      <c r="U14" s="52">
        <v>6.378000000000001</v>
      </c>
      <c r="V14" s="51">
        <v>0.31550000000000483</v>
      </c>
      <c r="W14" s="52">
        <v>2.5833333333333996E-2</v>
      </c>
      <c r="X14" s="51">
        <v>9.2688333333333333</v>
      </c>
      <c r="Y14" s="52">
        <v>0</v>
      </c>
      <c r="Z14" s="51">
        <v>0</v>
      </c>
      <c r="AA14" s="52">
        <v>358.99200000000002</v>
      </c>
      <c r="AB14" s="51">
        <v>0</v>
      </c>
      <c r="AC14" s="52">
        <v>0</v>
      </c>
      <c r="AD14" s="51">
        <v>0</v>
      </c>
      <c r="AE14" s="52">
        <v>2.5799999999999992</v>
      </c>
      <c r="AF14" s="51">
        <v>1.7925000000000013</v>
      </c>
      <c r="AG14" s="52">
        <v>0.17016666666666727</v>
      </c>
      <c r="AH14" s="51">
        <v>35.794333333333299</v>
      </c>
      <c r="AI14" s="100">
        <v>0</v>
      </c>
      <c r="AJ14" s="238">
        <f t="shared" si="2"/>
        <v>1392.4595000000002</v>
      </c>
      <c r="AK14" s="238"/>
      <c r="AL14" s="238"/>
    </row>
    <row r="15" spans="2:38" s="4" customFormat="1" x14ac:dyDescent="0.3">
      <c r="B15" s="245" t="s">
        <v>41</v>
      </c>
      <c r="C15" s="245"/>
      <c r="D15" s="245"/>
      <c r="E15" s="52">
        <v>90.175999999999988</v>
      </c>
      <c r="F15" s="51">
        <v>36.588000000000001</v>
      </c>
      <c r="G15" s="52">
        <v>3.3573333333333357</v>
      </c>
      <c r="H15" s="51">
        <v>54.700499999999998</v>
      </c>
      <c r="I15" s="52">
        <v>78.878833333333347</v>
      </c>
      <c r="J15" s="51">
        <v>13.015500000000007</v>
      </c>
      <c r="K15" s="52">
        <v>54.052166666666615</v>
      </c>
      <c r="L15" s="51">
        <v>2.2356666666666665</v>
      </c>
      <c r="M15" s="52">
        <v>15.131666666666673</v>
      </c>
      <c r="N15" s="51">
        <v>45.353833333333355</v>
      </c>
      <c r="O15" s="52">
        <v>121.26800000000001</v>
      </c>
      <c r="P15" s="51">
        <v>22.125833333333333</v>
      </c>
      <c r="Q15" s="52">
        <v>81.832166666666666</v>
      </c>
      <c r="R15" s="51">
        <v>0</v>
      </c>
      <c r="S15" s="52">
        <v>0.22099999999999997</v>
      </c>
      <c r="T15" s="51">
        <v>31.61866666666667</v>
      </c>
      <c r="U15" s="52">
        <v>32.658499999999997</v>
      </c>
      <c r="V15" s="51">
        <v>14.874833333333338</v>
      </c>
      <c r="W15" s="52">
        <v>42.938499999999983</v>
      </c>
      <c r="X15" s="51">
        <v>3.6000000000000005</v>
      </c>
      <c r="Y15" s="52">
        <v>56.002499999999998</v>
      </c>
      <c r="Z15" s="51">
        <v>0</v>
      </c>
      <c r="AA15" s="52">
        <v>25.284999999999997</v>
      </c>
      <c r="AB15" s="51">
        <v>0.4653333333333331</v>
      </c>
      <c r="AC15" s="52">
        <v>0</v>
      </c>
      <c r="AD15" s="51">
        <v>31.161999999999978</v>
      </c>
      <c r="AE15" s="52">
        <v>42.586333333333329</v>
      </c>
      <c r="AF15" s="51">
        <v>7.3333333333333195E-2</v>
      </c>
      <c r="AG15" s="52">
        <v>66.582999999999998</v>
      </c>
      <c r="AH15" s="51">
        <v>8.4459999999999926</v>
      </c>
      <c r="AI15" s="100">
        <v>0</v>
      </c>
      <c r="AJ15" s="238">
        <f t="shared" si="2"/>
        <v>975.23049999999967</v>
      </c>
      <c r="AK15" s="238"/>
      <c r="AL15" s="238"/>
    </row>
    <row r="16" spans="2:38" s="4" customFormat="1" x14ac:dyDescent="0.3">
      <c r="B16" s="245" t="s">
        <v>42</v>
      </c>
      <c r="C16" s="245"/>
      <c r="D16" s="245"/>
      <c r="E16" s="52">
        <v>75.845333333333357</v>
      </c>
      <c r="F16" s="51">
        <v>10.090833333333332</v>
      </c>
      <c r="G16" s="52">
        <v>0</v>
      </c>
      <c r="H16" s="51">
        <v>7.9671666666666683</v>
      </c>
      <c r="I16" s="52">
        <v>19.190666666666658</v>
      </c>
      <c r="J16" s="51">
        <v>0</v>
      </c>
      <c r="K16" s="52">
        <v>21.997833333333336</v>
      </c>
      <c r="L16" s="51">
        <v>0</v>
      </c>
      <c r="M16" s="52">
        <v>0</v>
      </c>
      <c r="N16" s="51">
        <v>0</v>
      </c>
      <c r="O16" s="52">
        <v>3.7576666666666672</v>
      </c>
      <c r="P16" s="51">
        <v>27.141666666666673</v>
      </c>
      <c r="Q16" s="52">
        <v>102.85933333333332</v>
      </c>
      <c r="R16" s="51">
        <v>2.1695000000000015</v>
      </c>
      <c r="S16" s="52">
        <v>0</v>
      </c>
      <c r="T16" s="51">
        <v>0.52716666666666656</v>
      </c>
      <c r="U16" s="52">
        <v>2.1545000000000001</v>
      </c>
      <c r="V16" s="51">
        <v>0</v>
      </c>
      <c r="W16" s="52">
        <v>0</v>
      </c>
      <c r="X16" s="51">
        <v>2.0243333333333338</v>
      </c>
      <c r="Y16" s="52">
        <v>3.4166666666666741E-2</v>
      </c>
      <c r="Z16" s="51">
        <v>0</v>
      </c>
      <c r="AA16" s="52">
        <v>6.729166666666667</v>
      </c>
      <c r="AB16" s="51">
        <v>0</v>
      </c>
      <c r="AC16" s="52">
        <v>0</v>
      </c>
      <c r="AD16" s="51">
        <v>2.8166666666666628E-2</v>
      </c>
      <c r="AE16" s="52">
        <v>42.126000000000005</v>
      </c>
      <c r="AF16" s="51">
        <v>18.497999999999998</v>
      </c>
      <c r="AG16" s="52">
        <v>0</v>
      </c>
      <c r="AH16" s="51">
        <v>0</v>
      </c>
      <c r="AI16" s="100">
        <v>0</v>
      </c>
      <c r="AJ16" s="238">
        <f t="shared" si="2"/>
        <v>343.14150000000012</v>
      </c>
      <c r="AK16" s="238"/>
      <c r="AL16" s="238"/>
    </row>
    <row r="17" spans="2:38" s="4" customFormat="1" x14ac:dyDescent="0.3">
      <c r="B17" s="245" t="s">
        <v>43</v>
      </c>
      <c r="C17" s="245"/>
      <c r="D17" s="245"/>
      <c r="E17" s="52">
        <v>275.15016666666662</v>
      </c>
      <c r="F17" s="51">
        <v>202.30399999999997</v>
      </c>
      <c r="G17" s="52">
        <v>6.0840000000000156</v>
      </c>
      <c r="H17" s="51">
        <v>58.896833333333326</v>
      </c>
      <c r="I17" s="52">
        <v>81.192833333333311</v>
      </c>
      <c r="J17" s="51">
        <v>50.307833333333349</v>
      </c>
      <c r="K17" s="52">
        <v>54.652833333333355</v>
      </c>
      <c r="L17" s="51">
        <v>45.773499999999999</v>
      </c>
      <c r="M17" s="52">
        <v>23.054333333333332</v>
      </c>
      <c r="N17" s="51">
        <v>0.1455000000000003</v>
      </c>
      <c r="O17" s="52">
        <v>116.03533333333334</v>
      </c>
      <c r="P17" s="51">
        <v>39.385833333333345</v>
      </c>
      <c r="Q17" s="52">
        <v>2.7796666666666749</v>
      </c>
      <c r="R17" s="51">
        <v>13.005833333333324</v>
      </c>
      <c r="S17" s="52">
        <v>0.56616666666666704</v>
      </c>
      <c r="T17" s="51">
        <v>45.090499999999984</v>
      </c>
      <c r="U17" s="52">
        <v>15.523833333333354</v>
      </c>
      <c r="V17" s="51">
        <v>11.162166666666685</v>
      </c>
      <c r="W17" s="52">
        <v>8.7950000000000159</v>
      </c>
      <c r="X17" s="51">
        <v>4.8333333333333188E-3</v>
      </c>
      <c r="Y17" s="52">
        <v>67.718833333333322</v>
      </c>
      <c r="Z17" s="51">
        <v>111.32633333333339</v>
      </c>
      <c r="AA17" s="52">
        <v>119.31199999999998</v>
      </c>
      <c r="AB17" s="51">
        <v>0.41133333333333344</v>
      </c>
      <c r="AC17" s="52">
        <v>0.427333333333343</v>
      </c>
      <c r="AD17" s="51">
        <v>26.536333333333339</v>
      </c>
      <c r="AE17" s="52">
        <v>48.600499999999997</v>
      </c>
      <c r="AF17" s="51">
        <v>61.264166666666675</v>
      </c>
      <c r="AG17" s="52">
        <v>92.104333333333358</v>
      </c>
      <c r="AH17" s="51">
        <v>63.814500000000002</v>
      </c>
      <c r="AI17" s="100">
        <v>14.481166666666674</v>
      </c>
      <c r="AJ17" s="238">
        <f t="shared" si="2"/>
        <v>1655.9078333333332</v>
      </c>
      <c r="AK17" s="238"/>
      <c r="AL17" s="238"/>
    </row>
    <row r="18" spans="2:38" s="4" customFormat="1" x14ac:dyDescent="0.3">
      <c r="B18" s="245" t="s">
        <v>44</v>
      </c>
      <c r="C18" s="245"/>
      <c r="D18" s="245"/>
      <c r="E18" s="52">
        <v>72.896333333333374</v>
      </c>
      <c r="F18" s="51">
        <v>44.233999999999995</v>
      </c>
      <c r="G18" s="52">
        <v>0</v>
      </c>
      <c r="H18" s="51">
        <v>33.375499999999995</v>
      </c>
      <c r="I18" s="52">
        <v>60.09650000000002</v>
      </c>
      <c r="J18" s="51">
        <v>0</v>
      </c>
      <c r="K18" s="52">
        <v>2.6935000000000002</v>
      </c>
      <c r="L18" s="51">
        <v>0</v>
      </c>
      <c r="M18" s="52">
        <v>0</v>
      </c>
      <c r="N18" s="51">
        <v>0</v>
      </c>
      <c r="O18" s="52">
        <v>13.237333333333332</v>
      </c>
      <c r="P18" s="51">
        <v>54.544666666666664</v>
      </c>
      <c r="Q18" s="52">
        <v>135.55533333333332</v>
      </c>
      <c r="R18" s="51">
        <v>0.728833333333333</v>
      </c>
      <c r="S18" s="52">
        <v>0</v>
      </c>
      <c r="T18" s="51">
        <v>0</v>
      </c>
      <c r="U18" s="52">
        <v>2.0666666666666344E-2</v>
      </c>
      <c r="V18" s="51">
        <v>1.8473333333333295</v>
      </c>
      <c r="W18" s="52">
        <v>0</v>
      </c>
      <c r="X18" s="51">
        <v>7.2875000000000005</v>
      </c>
      <c r="Y18" s="52">
        <v>0</v>
      </c>
      <c r="Z18" s="51">
        <v>3.4666666666666637E-2</v>
      </c>
      <c r="AA18" s="52">
        <v>32.744666666666667</v>
      </c>
      <c r="AB18" s="51">
        <v>0</v>
      </c>
      <c r="AC18" s="52">
        <v>0</v>
      </c>
      <c r="AD18" s="51">
        <v>3.2744999999999993</v>
      </c>
      <c r="AE18" s="52">
        <v>12.18883333333333</v>
      </c>
      <c r="AF18" s="51">
        <v>8.0224999999999991</v>
      </c>
      <c r="AG18" s="52">
        <v>1.3174999999999992</v>
      </c>
      <c r="AH18" s="51">
        <v>45.874000000000024</v>
      </c>
      <c r="AI18" s="100">
        <v>0</v>
      </c>
      <c r="AJ18" s="238">
        <f t="shared" si="2"/>
        <v>529.97416666666675</v>
      </c>
      <c r="AK18" s="238"/>
      <c r="AL18" s="238"/>
    </row>
    <row r="19" spans="2:38" s="4" customFormat="1" x14ac:dyDescent="0.3">
      <c r="B19" s="245" t="s">
        <v>45</v>
      </c>
      <c r="C19" s="245"/>
      <c r="D19" s="245"/>
      <c r="E19" s="52">
        <v>120.39</v>
      </c>
      <c r="F19" s="51">
        <v>64.603833333333341</v>
      </c>
      <c r="G19" s="52">
        <v>70.936666666666682</v>
      </c>
      <c r="H19" s="51">
        <v>105.71300000000002</v>
      </c>
      <c r="I19" s="52">
        <v>79.208500000000015</v>
      </c>
      <c r="J19" s="51">
        <v>47.313166666666667</v>
      </c>
      <c r="K19" s="52">
        <v>96.404666666666671</v>
      </c>
      <c r="L19" s="51">
        <v>78.15900000000002</v>
      </c>
      <c r="M19" s="52">
        <v>43.289000000000009</v>
      </c>
      <c r="N19" s="51">
        <v>78.276833333333329</v>
      </c>
      <c r="O19" s="52">
        <v>99.849666666666678</v>
      </c>
      <c r="P19" s="51">
        <v>30.398500000000002</v>
      </c>
      <c r="Q19" s="52">
        <v>37.354499999999994</v>
      </c>
      <c r="R19" s="51">
        <v>62.285833333333329</v>
      </c>
      <c r="S19" s="52">
        <v>78.717500000000044</v>
      </c>
      <c r="T19" s="51">
        <v>77.759166666666616</v>
      </c>
      <c r="U19" s="52">
        <v>60.68133333333332</v>
      </c>
      <c r="V19" s="51">
        <v>120.89516666666671</v>
      </c>
      <c r="W19" s="52">
        <v>33.880666666666656</v>
      </c>
      <c r="X19" s="51">
        <v>13.145833333333325</v>
      </c>
      <c r="Y19" s="52">
        <v>25.633666666666659</v>
      </c>
      <c r="Z19" s="51">
        <v>48.655166666666709</v>
      </c>
      <c r="AA19" s="52">
        <v>28.454500000000017</v>
      </c>
      <c r="AB19" s="51">
        <v>55.062333333333314</v>
      </c>
      <c r="AC19" s="52">
        <v>59.880499999999998</v>
      </c>
      <c r="AD19" s="51">
        <v>44.862666666666669</v>
      </c>
      <c r="AE19" s="52">
        <v>8.7906666666666684</v>
      </c>
      <c r="AF19" s="51">
        <v>31.473000000000003</v>
      </c>
      <c r="AG19" s="52">
        <v>46.99783333333334</v>
      </c>
      <c r="AH19" s="51">
        <v>77.736666666666622</v>
      </c>
      <c r="AI19" s="100">
        <v>85.873666666666651</v>
      </c>
      <c r="AJ19" s="238">
        <f t="shared" si="2"/>
        <v>1912.6835000000001</v>
      </c>
      <c r="AK19" s="238"/>
      <c r="AL19" s="238"/>
    </row>
    <row r="20" spans="2:38" s="4" customFormat="1" x14ac:dyDescent="0.3">
      <c r="B20" s="245" t="s">
        <v>46</v>
      </c>
      <c r="C20" s="245"/>
      <c r="D20" s="245"/>
      <c r="E20" s="52">
        <v>134.54616666666664</v>
      </c>
      <c r="F20" s="51">
        <v>212.428</v>
      </c>
      <c r="G20" s="52">
        <v>67.771999999999963</v>
      </c>
      <c r="H20" s="51">
        <v>142.22516666666664</v>
      </c>
      <c r="I20" s="52">
        <v>117.44849999999998</v>
      </c>
      <c r="J20" s="51">
        <v>55.668166666666679</v>
      </c>
      <c r="K20" s="52">
        <v>48.343666666666657</v>
      </c>
      <c r="L20" s="51">
        <v>114.31183333333335</v>
      </c>
      <c r="M20" s="52">
        <v>94.644499999999994</v>
      </c>
      <c r="N20" s="51">
        <v>234.52449999999999</v>
      </c>
      <c r="O20" s="52">
        <v>7.8305000000000051</v>
      </c>
      <c r="P20" s="51">
        <v>78.643000000000015</v>
      </c>
      <c r="Q20" s="52">
        <v>137.10316666666665</v>
      </c>
      <c r="R20" s="51">
        <v>75.624833333333342</v>
      </c>
      <c r="S20" s="52">
        <v>174.63899999999998</v>
      </c>
      <c r="T20" s="51">
        <v>79.990999999999971</v>
      </c>
      <c r="U20" s="52">
        <v>4.8996666666666693</v>
      </c>
      <c r="V20" s="51">
        <v>127.13383333333336</v>
      </c>
      <c r="W20" s="52">
        <v>52.67</v>
      </c>
      <c r="X20" s="51">
        <v>86.266666666666666</v>
      </c>
      <c r="Y20" s="52">
        <v>74.924666666666695</v>
      </c>
      <c r="Z20" s="51">
        <v>107.77633333333328</v>
      </c>
      <c r="AA20" s="52">
        <v>121.3458333333333</v>
      </c>
      <c r="AB20" s="51">
        <v>64.656500000000023</v>
      </c>
      <c r="AC20" s="52">
        <v>21.404000000000003</v>
      </c>
      <c r="AD20" s="51">
        <v>65.703999999999979</v>
      </c>
      <c r="AE20" s="52">
        <v>132.52333333333326</v>
      </c>
      <c r="AF20" s="51">
        <v>3.3333333333333333E-2</v>
      </c>
      <c r="AG20" s="52">
        <v>64.12283333333329</v>
      </c>
      <c r="AH20" s="51">
        <v>68.991333333333316</v>
      </c>
      <c r="AI20" s="100">
        <v>119.19200000000004</v>
      </c>
      <c r="AJ20" s="238">
        <f t="shared" si="2"/>
        <v>2887.3883333333333</v>
      </c>
      <c r="AK20" s="238"/>
      <c r="AL20" s="238"/>
    </row>
    <row r="21" spans="2:38" s="4" customFormat="1" x14ac:dyDescent="0.3">
      <c r="B21" s="245" t="s">
        <v>47</v>
      </c>
      <c r="C21" s="245"/>
      <c r="D21" s="245"/>
      <c r="E21" s="52">
        <v>31.439666666666675</v>
      </c>
      <c r="F21" s="51">
        <v>80.259000000000029</v>
      </c>
      <c r="G21" s="52">
        <v>51.121666666666698</v>
      </c>
      <c r="H21" s="51">
        <v>67.513000000000005</v>
      </c>
      <c r="I21" s="52">
        <v>52.058333333333358</v>
      </c>
      <c r="J21" s="51">
        <v>45.555499999999988</v>
      </c>
      <c r="K21" s="52">
        <v>31.969500000000014</v>
      </c>
      <c r="L21" s="51">
        <v>25.806333333333349</v>
      </c>
      <c r="M21" s="52">
        <v>26.235500000000005</v>
      </c>
      <c r="N21" s="51">
        <v>61.257999999999996</v>
      </c>
      <c r="O21" s="52">
        <v>19.344666666666665</v>
      </c>
      <c r="P21" s="51">
        <v>82.83666666666663</v>
      </c>
      <c r="Q21" s="52">
        <v>35.419000000000011</v>
      </c>
      <c r="R21" s="51">
        <v>26.236666666666665</v>
      </c>
      <c r="S21" s="52">
        <v>41.978833333333334</v>
      </c>
      <c r="T21" s="51">
        <v>33.835833333333341</v>
      </c>
      <c r="U21" s="52">
        <v>81.554166666666632</v>
      </c>
      <c r="V21" s="51">
        <v>5.1593333333333309</v>
      </c>
      <c r="W21" s="52">
        <v>30.441666666666674</v>
      </c>
      <c r="X21" s="51">
        <v>13.222666666666665</v>
      </c>
      <c r="Y21" s="52">
        <v>13.572333333333324</v>
      </c>
      <c r="Z21" s="51">
        <v>15.507333333333333</v>
      </c>
      <c r="AA21" s="52">
        <v>9.530999999999997</v>
      </c>
      <c r="AB21" s="51">
        <v>14.69766666666666</v>
      </c>
      <c r="AC21" s="52">
        <v>9.9143333333333334</v>
      </c>
      <c r="AD21" s="51">
        <v>39.45750000000001</v>
      </c>
      <c r="AE21" s="52">
        <v>10.228833333333332</v>
      </c>
      <c r="AF21" s="51">
        <v>21.002333333333333</v>
      </c>
      <c r="AG21" s="52">
        <v>54.859166666666667</v>
      </c>
      <c r="AH21" s="51">
        <v>27.694500000000016</v>
      </c>
      <c r="AI21" s="100">
        <v>82.957333333333366</v>
      </c>
      <c r="AJ21" s="238">
        <f t="shared" si="2"/>
        <v>1142.6683333333335</v>
      </c>
      <c r="AK21" s="238"/>
      <c r="AL21" s="238"/>
    </row>
    <row r="22" spans="2:38" s="4" customFormat="1" x14ac:dyDescent="0.3">
      <c r="B22" s="245" t="s">
        <v>48</v>
      </c>
      <c r="C22" s="245"/>
      <c r="D22" s="245"/>
      <c r="E22" s="52">
        <v>28.039666666666644</v>
      </c>
      <c r="F22" s="51">
        <v>67.776666666666657</v>
      </c>
      <c r="G22" s="52">
        <v>44.896499999999989</v>
      </c>
      <c r="H22" s="51">
        <v>48.255166666666668</v>
      </c>
      <c r="I22" s="52">
        <v>43.457833333333326</v>
      </c>
      <c r="J22" s="51">
        <v>31.198499999999989</v>
      </c>
      <c r="K22" s="52">
        <v>34.94666666666668</v>
      </c>
      <c r="L22" s="51">
        <v>24.096166666666669</v>
      </c>
      <c r="M22" s="52">
        <v>23.008999999999993</v>
      </c>
      <c r="N22" s="51">
        <v>41.455500000000008</v>
      </c>
      <c r="O22" s="52">
        <v>16.943000000000005</v>
      </c>
      <c r="P22" s="51">
        <v>8.0166666666666664E-2</v>
      </c>
      <c r="Q22" s="52">
        <v>26.897833333333335</v>
      </c>
      <c r="R22" s="51">
        <v>22.595499999999994</v>
      </c>
      <c r="S22" s="52">
        <v>32.61583333333332</v>
      </c>
      <c r="T22" s="51">
        <v>30.437666666666669</v>
      </c>
      <c r="U22" s="52">
        <v>15.577833333333336</v>
      </c>
      <c r="V22" s="51">
        <v>0</v>
      </c>
      <c r="W22" s="52">
        <v>28.316833333333356</v>
      </c>
      <c r="X22" s="51">
        <v>13.726666666666679</v>
      </c>
      <c r="Y22" s="52">
        <v>14.728833333333345</v>
      </c>
      <c r="Z22" s="51">
        <v>14.334000000000003</v>
      </c>
      <c r="AA22" s="52">
        <v>11.376166666666677</v>
      </c>
      <c r="AB22" s="51">
        <v>14.694333333333336</v>
      </c>
      <c r="AC22" s="52">
        <v>12.557833333333335</v>
      </c>
      <c r="AD22" s="51">
        <v>21.869166666666651</v>
      </c>
      <c r="AE22" s="52">
        <v>12.629999999999988</v>
      </c>
      <c r="AF22" s="51">
        <v>14.187500000000002</v>
      </c>
      <c r="AG22" s="52">
        <v>41.118166666666681</v>
      </c>
      <c r="AH22" s="51">
        <v>30.774333333333345</v>
      </c>
      <c r="AI22" s="100">
        <v>2.4695000000000005</v>
      </c>
      <c r="AJ22" s="238">
        <f t="shared" si="2"/>
        <v>765.06283333333329</v>
      </c>
      <c r="AK22" s="238"/>
      <c r="AL22" s="238"/>
    </row>
    <row r="23" spans="2:38" s="4" customFormat="1" x14ac:dyDescent="0.3">
      <c r="B23" s="245" t="s">
        <v>49</v>
      </c>
      <c r="C23" s="245"/>
      <c r="D23" s="245"/>
      <c r="E23" s="52">
        <v>1.3681666666666668</v>
      </c>
      <c r="F23" s="51">
        <v>31.521000000000004</v>
      </c>
      <c r="G23" s="52">
        <v>2.6666666666666571E-2</v>
      </c>
      <c r="H23" s="51">
        <v>0.40783333333333344</v>
      </c>
      <c r="I23" s="52">
        <v>6.8728333333333333</v>
      </c>
      <c r="J23" s="51">
        <v>0.13616666666666707</v>
      </c>
      <c r="K23" s="52">
        <v>8.7833333333333263E-2</v>
      </c>
      <c r="L23" s="51">
        <v>0.76383333333333359</v>
      </c>
      <c r="M23" s="52">
        <v>0.58916666666666717</v>
      </c>
      <c r="N23" s="51">
        <v>0</v>
      </c>
      <c r="O23" s="52">
        <v>0.33716666666666673</v>
      </c>
      <c r="P23" s="51">
        <v>0.37683333333333324</v>
      </c>
      <c r="Q23" s="52">
        <v>10.903333333333332</v>
      </c>
      <c r="R23" s="51">
        <v>0.71750000000000025</v>
      </c>
      <c r="S23" s="52">
        <v>12.671333333333333</v>
      </c>
      <c r="T23" s="51">
        <v>4.222333333333335</v>
      </c>
      <c r="U23" s="52">
        <v>0</v>
      </c>
      <c r="V23" s="51">
        <v>0</v>
      </c>
      <c r="W23" s="52">
        <v>9.6650000000000116</v>
      </c>
      <c r="X23" s="51">
        <v>8.2500000000000018E-2</v>
      </c>
      <c r="Y23" s="52">
        <v>0</v>
      </c>
      <c r="Z23" s="51">
        <v>64.191666666666663</v>
      </c>
      <c r="AA23" s="52">
        <v>0.78349999999999997</v>
      </c>
      <c r="AB23" s="51">
        <v>0.21850000000000003</v>
      </c>
      <c r="AC23" s="52">
        <v>0</v>
      </c>
      <c r="AD23" s="51">
        <v>0</v>
      </c>
      <c r="AE23" s="52">
        <v>0</v>
      </c>
      <c r="AF23" s="51">
        <v>0</v>
      </c>
      <c r="AG23" s="52">
        <v>0</v>
      </c>
      <c r="AH23" s="51">
        <v>0</v>
      </c>
      <c r="AI23" s="100">
        <v>0</v>
      </c>
      <c r="AJ23" s="238">
        <f t="shared" si="2"/>
        <v>145.94316666666668</v>
      </c>
      <c r="AK23" s="238"/>
      <c r="AL23" s="238"/>
    </row>
    <row r="24" spans="2:38" s="4" customFormat="1" x14ac:dyDescent="0.3">
      <c r="B24" s="245" t="s">
        <v>50</v>
      </c>
      <c r="C24" s="245"/>
      <c r="D24" s="245"/>
      <c r="E24" s="52">
        <v>174.30616666666671</v>
      </c>
      <c r="F24" s="51">
        <v>111.38649999999998</v>
      </c>
      <c r="G24" s="52">
        <v>11.339333333333338</v>
      </c>
      <c r="H24" s="51">
        <v>109.75216666666667</v>
      </c>
      <c r="I24" s="52">
        <v>45.497833333333332</v>
      </c>
      <c r="J24" s="51">
        <v>13.283333333333347</v>
      </c>
      <c r="K24" s="52">
        <v>5.8333333333332382E-3</v>
      </c>
      <c r="L24" s="51">
        <v>0</v>
      </c>
      <c r="M24" s="52">
        <v>10.873500000000003</v>
      </c>
      <c r="N24" s="51">
        <v>8.4993333333333325</v>
      </c>
      <c r="O24" s="52">
        <v>53.457333333333338</v>
      </c>
      <c r="P24" s="51">
        <v>11.993499999999997</v>
      </c>
      <c r="Q24" s="52">
        <v>8.8710000000000004</v>
      </c>
      <c r="R24" s="51">
        <v>0</v>
      </c>
      <c r="S24" s="52">
        <v>43.869499999999988</v>
      </c>
      <c r="T24" s="51">
        <v>30.114499999999996</v>
      </c>
      <c r="U24" s="52">
        <v>15.240166666666671</v>
      </c>
      <c r="V24" s="51">
        <v>4.7026666666666612</v>
      </c>
      <c r="W24" s="52">
        <v>8.367333333333324</v>
      </c>
      <c r="X24" s="51">
        <v>0</v>
      </c>
      <c r="Y24" s="52">
        <v>1.7678333333333331</v>
      </c>
      <c r="Z24" s="51">
        <v>0</v>
      </c>
      <c r="AA24" s="52">
        <v>184.64983333333333</v>
      </c>
      <c r="AB24" s="51">
        <v>1.0464999999999993</v>
      </c>
      <c r="AC24" s="52">
        <v>0</v>
      </c>
      <c r="AD24" s="51">
        <v>37.891999999999989</v>
      </c>
      <c r="AE24" s="52">
        <v>26.364000000000004</v>
      </c>
      <c r="AF24" s="51">
        <v>17.464999999999996</v>
      </c>
      <c r="AG24" s="52">
        <v>24.084500000000002</v>
      </c>
      <c r="AH24" s="51">
        <v>97.906666666666638</v>
      </c>
      <c r="AI24" s="100">
        <v>85.213333333333338</v>
      </c>
      <c r="AJ24" s="238">
        <f>SUM(E24:AI24)</f>
        <v>1137.9496666666671</v>
      </c>
      <c r="AK24" s="238"/>
      <c r="AL24" s="238"/>
    </row>
    <row r="25" spans="2:38" s="4" customFormat="1" x14ac:dyDescent="0.3">
      <c r="B25" s="245" t="s">
        <v>97</v>
      </c>
      <c r="C25" s="245"/>
      <c r="D25" s="245"/>
      <c r="E25" s="52">
        <v>0</v>
      </c>
      <c r="F25" s="51">
        <v>0</v>
      </c>
      <c r="G25" s="52">
        <v>0</v>
      </c>
      <c r="H25" s="51">
        <v>0</v>
      </c>
      <c r="I25" s="52">
        <v>0</v>
      </c>
      <c r="J25" s="51">
        <v>0</v>
      </c>
      <c r="K25" s="52">
        <v>0</v>
      </c>
      <c r="L25" s="51">
        <v>0</v>
      </c>
      <c r="M25" s="52">
        <v>0</v>
      </c>
      <c r="N25" s="51">
        <v>0</v>
      </c>
      <c r="O25" s="52">
        <v>0</v>
      </c>
      <c r="P25" s="51">
        <v>0</v>
      </c>
      <c r="Q25" s="52">
        <v>0</v>
      </c>
      <c r="R25" s="51">
        <v>0</v>
      </c>
      <c r="S25" s="52">
        <v>0</v>
      </c>
      <c r="T25" s="51">
        <v>0</v>
      </c>
      <c r="U25" s="52">
        <v>0</v>
      </c>
      <c r="V25" s="51">
        <v>0</v>
      </c>
      <c r="W25" s="52">
        <v>0</v>
      </c>
      <c r="X25" s="51">
        <v>0</v>
      </c>
      <c r="Y25" s="52">
        <v>0</v>
      </c>
      <c r="Z25" s="51">
        <v>0</v>
      </c>
      <c r="AA25" s="52">
        <v>0</v>
      </c>
      <c r="AB25" s="51">
        <v>0</v>
      </c>
      <c r="AC25" s="52">
        <v>0</v>
      </c>
      <c r="AD25" s="51">
        <v>0</v>
      </c>
      <c r="AE25" s="52">
        <v>0</v>
      </c>
      <c r="AF25" s="51">
        <v>0</v>
      </c>
      <c r="AG25" s="52">
        <v>0</v>
      </c>
      <c r="AH25" s="51">
        <v>0</v>
      </c>
      <c r="AI25" s="100">
        <v>0</v>
      </c>
      <c r="AJ25" s="238">
        <f t="shared" ref="AJ25:AJ59" si="3">SUM(E25:AI25)</f>
        <v>0</v>
      </c>
      <c r="AK25" s="238"/>
      <c r="AL25" s="238"/>
    </row>
    <row r="26" spans="2:38" s="4" customFormat="1" x14ac:dyDescent="0.3">
      <c r="B26" s="245" t="s">
        <v>51</v>
      </c>
      <c r="C26" s="245"/>
      <c r="D26" s="245"/>
      <c r="E26" s="52">
        <v>424.07049999999998</v>
      </c>
      <c r="F26" s="51">
        <v>409.22100000000006</v>
      </c>
      <c r="G26" s="52">
        <v>80.720666666666659</v>
      </c>
      <c r="H26" s="51">
        <v>331.36750000000001</v>
      </c>
      <c r="I26" s="52">
        <v>313.69066666666669</v>
      </c>
      <c r="J26" s="51">
        <v>245.41816666666668</v>
      </c>
      <c r="K26" s="52">
        <v>41.668333333333351</v>
      </c>
      <c r="L26" s="51">
        <v>0</v>
      </c>
      <c r="M26" s="52">
        <v>30.158999999999995</v>
      </c>
      <c r="N26" s="51">
        <v>0</v>
      </c>
      <c r="O26" s="52">
        <v>57.610999999999997</v>
      </c>
      <c r="P26" s="51">
        <v>439.93049999999977</v>
      </c>
      <c r="Q26" s="52">
        <v>21.007333333333332</v>
      </c>
      <c r="R26" s="51">
        <v>0</v>
      </c>
      <c r="S26" s="52">
        <v>0</v>
      </c>
      <c r="T26" s="51">
        <v>35.378500000000017</v>
      </c>
      <c r="U26" s="52">
        <v>31.878666666666668</v>
      </c>
      <c r="V26" s="51">
        <v>15.521833333333337</v>
      </c>
      <c r="W26" s="52">
        <v>87.535833333333329</v>
      </c>
      <c r="X26" s="51">
        <v>105.57933333333332</v>
      </c>
      <c r="Y26" s="52">
        <v>9.7160000000000011</v>
      </c>
      <c r="Z26" s="51">
        <v>147.60866666666666</v>
      </c>
      <c r="AA26" s="52">
        <v>288.71083333333326</v>
      </c>
      <c r="AB26" s="51">
        <v>0</v>
      </c>
      <c r="AC26" s="52">
        <v>0</v>
      </c>
      <c r="AD26" s="51">
        <v>7.9410000000000069</v>
      </c>
      <c r="AE26" s="52">
        <v>28.228500000000004</v>
      </c>
      <c r="AF26" s="51">
        <v>53.299166666666672</v>
      </c>
      <c r="AG26" s="52">
        <v>156.85749999999999</v>
      </c>
      <c r="AH26" s="51">
        <v>349.13099999999991</v>
      </c>
      <c r="AI26" s="100">
        <v>0</v>
      </c>
      <c r="AJ26" s="238">
        <f t="shared" si="3"/>
        <v>3712.2514999999989</v>
      </c>
      <c r="AK26" s="238"/>
      <c r="AL26" s="238"/>
    </row>
    <row r="27" spans="2:38" s="4" customFormat="1" x14ac:dyDescent="0.3">
      <c r="B27" s="245" t="s">
        <v>52</v>
      </c>
      <c r="C27" s="245"/>
      <c r="D27" s="245"/>
      <c r="E27" s="52">
        <v>0</v>
      </c>
      <c r="F27" s="51">
        <v>0</v>
      </c>
      <c r="G27" s="52">
        <v>0</v>
      </c>
      <c r="H27" s="51">
        <v>0</v>
      </c>
      <c r="I27" s="52">
        <v>0</v>
      </c>
      <c r="J27" s="51">
        <v>0</v>
      </c>
      <c r="K27" s="52">
        <v>0</v>
      </c>
      <c r="L27" s="51">
        <v>0</v>
      </c>
      <c r="M27" s="52">
        <v>0</v>
      </c>
      <c r="N27" s="51">
        <v>0</v>
      </c>
      <c r="O27" s="52">
        <v>0</v>
      </c>
      <c r="P27" s="51">
        <v>0</v>
      </c>
      <c r="Q27" s="52">
        <v>0</v>
      </c>
      <c r="R27" s="51">
        <v>0</v>
      </c>
      <c r="S27" s="52">
        <v>0</v>
      </c>
      <c r="T27" s="51">
        <v>0</v>
      </c>
      <c r="U27" s="52">
        <v>0</v>
      </c>
      <c r="V27" s="51">
        <v>0</v>
      </c>
      <c r="W27" s="52">
        <v>0</v>
      </c>
      <c r="X27" s="51">
        <v>0</v>
      </c>
      <c r="Y27" s="52">
        <v>0</v>
      </c>
      <c r="Z27" s="51">
        <v>0</v>
      </c>
      <c r="AA27" s="52">
        <v>0</v>
      </c>
      <c r="AB27" s="51">
        <v>0</v>
      </c>
      <c r="AC27" s="52">
        <v>0</v>
      </c>
      <c r="AD27" s="51">
        <v>0</v>
      </c>
      <c r="AE27" s="52">
        <v>0</v>
      </c>
      <c r="AF27" s="51">
        <v>0</v>
      </c>
      <c r="AG27" s="52">
        <v>0</v>
      </c>
      <c r="AH27" s="51">
        <v>0</v>
      </c>
      <c r="AI27" s="100">
        <v>0</v>
      </c>
      <c r="AJ27" s="238">
        <f t="shared" si="3"/>
        <v>0</v>
      </c>
      <c r="AK27" s="238"/>
      <c r="AL27" s="238"/>
    </row>
    <row r="28" spans="2:38" x14ac:dyDescent="0.3">
      <c r="B28" s="245" t="s">
        <v>53</v>
      </c>
      <c r="C28" s="245"/>
      <c r="D28" s="245"/>
      <c r="E28" s="52">
        <v>16.300999999999998</v>
      </c>
      <c r="F28" s="51">
        <v>10.892166666666647</v>
      </c>
      <c r="G28" s="52">
        <v>5.8289999999999988</v>
      </c>
      <c r="H28" s="51">
        <v>11.612333333333334</v>
      </c>
      <c r="I28" s="52">
        <v>11.664333333333332</v>
      </c>
      <c r="J28" s="51">
        <v>0</v>
      </c>
      <c r="K28" s="52">
        <v>0</v>
      </c>
      <c r="L28" s="51">
        <v>0</v>
      </c>
      <c r="M28" s="52">
        <v>0</v>
      </c>
      <c r="N28" s="51">
        <v>0</v>
      </c>
      <c r="O28" s="52">
        <v>1.0724999999999998</v>
      </c>
      <c r="P28" s="51">
        <v>0</v>
      </c>
      <c r="Q28" s="52">
        <v>0</v>
      </c>
      <c r="R28" s="51">
        <v>0</v>
      </c>
      <c r="S28" s="52">
        <v>0</v>
      </c>
      <c r="T28" s="51">
        <v>2.6499999999999986</v>
      </c>
      <c r="U28" s="52">
        <v>0</v>
      </c>
      <c r="V28" s="51">
        <v>0</v>
      </c>
      <c r="W28" s="52">
        <v>0</v>
      </c>
      <c r="X28" s="51">
        <v>53.16299999999999</v>
      </c>
      <c r="Y28" s="52">
        <v>0</v>
      </c>
      <c r="Z28" s="51">
        <v>27.341500000000007</v>
      </c>
      <c r="AA28" s="52">
        <v>17.719999999999995</v>
      </c>
      <c r="AB28" s="51">
        <v>0</v>
      </c>
      <c r="AC28" s="52">
        <v>0</v>
      </c>
      <c r="AD28" s="51">
        <v>78.793999999999997</v>
      </c>
      <c r="AE28" s="52">
        <v>0.76666666666666639</v>
      </c>
      <c r="AF28" s="51">
        <v>0.19566666666666682</v>
      </c>
      <c r="AG28" s="52">
        <v>0</v>
      </c>
      <c r="AH28" s="51">
        <v>0.80116666666666891</v>
      </c>
      <c r="AI28" s="100">
        <v>0</v>
      </c>
      <c r="AJ28" s="238">
        <f>SUM(E28:AI28)</f>
        <v>238.80333333333326</v>
      </c>
      <c r="AK28" s="238"/>
      <c r="AL28" s="238"/>
    </row>
    <row r="29" spans="2:38" x14ac:dyDescent="0.3">
      <c r="B29" s="245" t="s">
        <v>54</v>
      </c>
      <c r="C29" s="245"/>
      <c r="D29" s="245"/>
      <c r="E29" s="52">
        <v>190.66283333333331</v>
      </c>
      <c r="F29" s="51">
        <v>141.2738333333333</v>
      </c>
      <c r="G29" s="52">
        <v>1.6330000000000002</v>
      </c>
      <c r="H29" s="51">
        <v>90.104000000000013</v>
      </c>
      <c r="I29" s="52">
        <v>65.074333333333328</v>
      </c>
      <c r="J29" s="51">
        <v>10.417833333333327</v>
      </c>
      <c r="K29" s="52">
        <v>0</v>
      </c>
      <c r="L29" s="51">
        <v>0</v>
      </c>
      <c r="M29" s="52">
        <v>1.0766666666666667</v>
      </c>
      <c r="N29" s="51">
        <v>0</v>
      </c>
      <c r="O29" s="52">
        <v>4.0548333333333328</v>
      </c>
      <c r="P29" s="51">
        <v>303.16333333333324</v>
      </c>
      <c r="Q29" s="52">
        <v>1.3</v>
      </c>
      <c r="R29" s="51">
        <v>0</v>
      </c>
      <c r="S29" s="52">
        <v>5.072000000000001</v>
      </c>
      <c r="T29" s="51">
        <v>2.5669999999999993</v>
      </c>
      <c r="U29" s="52">
        <v>48.727666666666671</v>
      </c>
      <c r="V29" s="51">
        <v>7.3921666666666637</v>
      </c>
      <c r="W29" s="52">
        <v>6.5450000000000141</v>
      </c>
      <c r="X29" s="51">
        <v>24.223333333333333</v>
      </c>
      <c r="Y29" s="52">
        <v>22.134833333333344</v>
      </c>
      <c r="Z29" s="51">
        <v>302.46816666666655</v>
      </c>
      <c r="AA29" s="52">
        <v>300.04900000000004</v>
      </c>
      <c r="AB29" s="51">
        <v>0</v>
      </c>
      <c r="AC29" s="52">
        <v>0</v>
      </c>
      <c r="AD29" s="51">
        <v>1.1968333333333325</v>
      </c>
      <c r="AE29" s="52">
        <v>25.780666666666665</v>
      </c>
      <c r="AF29" s="51">
        <v>66.25233333333334</v>
      </c>
      <c r="AG29" s="52">
        <v>74.143833333333333</v>
      </c>
      <c r="AH29" s="51">
        <v>156.941</v>
      </c>
      <c r="AI29" s="100">
        <v>0</v>
      </c>
      <c r="AJ29" s="238">
        <f t="shared" si="3"/>
        <v>1852.2544999999998</v>
      </c>
      <c r="AK29" s="238"/>
      <c r="AL29" s="238"/>
    </row>
    <row r="30" spans="2:38" x14ac:dyDescent="0.3">
      <c r="B30" s="245" t="s">
        <v>55</v>
      </c>
      <c r="C30" s="245"/>
      <c r="D30" s="245"/>
      <c r="E30" s="52">
        <v>330.13833333333315</v>
      </c>
      <c r="F30" s="51">
        <v>166.52883333333332</v>
      </c>
      <c r="G30" s="52">
        <v>0</v>
      </c>
      <c r="H30" s="51">
        <v>72.535333333333298</v>
      </c>
      <c r="I30" s="52">
        <v>76.788999999999973</v>
      </c>
      <c r="J30" s="51">
        <v>10.206666666666674</v>
      </c>
      <c r="K30" s="52">
        <v>0</v>
      </c>
      <c r="L30" s="51">
        <v>0</v>
      </c>
      <c r="M30" s="52">
        <v>0</v>
      </c>
      <c r="N30" s="51">
        <v>0</v>
      </c>
      <c r="O30" s="52">
        <v>21.27333333333333</v>
      </c>
      <c r="P30" s="51">
        <v>0</v>
      </c>
      <c r="Q30" s="52">
        <v>9.384666666666666</v>
      </c>
      <c r="R30" s="51">
        <v>46.799999999999976</v>
      </c>
      <c r="S30" s="52">
        <v>0</v>
      </c>
      <c r="T30" s="51">
        <v>0</v>
      </c>
      <c r="U30" s="52">
        <v>0.30983333333333174</v>
      </c>
      <c r="V30" s="51">
        <v>0</v>
      </c>
      <c r="W30" s="52">
        <v>0</v>
      </c>
      <c r="X30" s="51">
        <v>16.703666666666667</v>
      </c>
      <c r="Y30" s="52">
        <v>3.2999999999999828E-2</v>
      </c>
      <c r="Z30" s="51">
        <v>9.6000000000000793E-2</v>
      </c>
      <c r="AA30" s="52">
        <v>278.19416666666655</v>
      </c>
      <c r="AB30" s="51">
        <v>0</v>
      </c>
      <c r="AC30" s="52">
        <v>0</v>
      </c>
      <c r="AD30" s="51">
        <v>1.9120000000000004</v>
      </c>
      <c r="AE30" s="52">
        <v>12.758499999999998</v>
      </c>
      <c r="AF30" s="51">
        <v>85.032166666666654</v>
      </c>
      <c r="AG30" s="52">
        <v>28.626166666666673</v>
      </c>
      <c r="AH30" s="51">
        <v>180.99950000000001</v>
      </c>
      <c r="AI30" s="100">
        <v>0</v>
      </c>
      <c r="AJ30" s="238">
        <f t="shared" si="3"/>
        <v>1338.3211666666662</v>
      </c>
      <c r="AK30" s="238"/>
      <c r="AL30" s="238"/>
    </row>
    <row r="31" spans="2:38" x14ac:dyDescent="0.3">
      <c r="B31" s="245" t="s">
        <v>56</v>
      </c>
      <c r="C31" s="245"/>
      <c r="D31" s="245"/>
      <c r="E31" s="52">
        <v>141.05433333333335</v>
      </c>
      <c r="F31" s="51">
        <v>147.24049999999994</v>
      </c>
      <c r="G31" s="52">
        <v>4.8000000000000279E-2</v>
      </c>
      <c r="H31" s="51">
        <v>28.013333333333335</v>
      </c>
      <c r="I31" s="52">
        <v>30.75650000000001</v>
      </c>
      <c r="J31" s="51">
        <v>10.707166666666669</v>
      </c>
      <c r="K31" s="52">
        <v>0</v>
      </c>
      <c r="L31" s="51">
        <v>0</v>
      </c>
      <c r="M31" s="52">
        <v>0</v>
      </c>
      <c r="N31" s="51">
        <v>0</v>
      </c>
      <c r="O31" s="52">
        <v>0</v>
      </c>
      <c r="P31" s="51">
        <v>0</v>
      </c>
      <c r="Q31" s="52">
        <v>0</v>
      </c>
      <c r="R31" s="51">
        <v>0</v>
      </c>
      <c r="S31" s="52">
        <v>30.133499999999998</v>
      </c>
      <c r="T31" s="51">
        <v>7.4073333333333293</v>
      </c>
      <c r="U31" s="52">
        <v>7.3981666666666612</v>
      </c>
      <c r="V31" s="51">
        <v>0.11583333333333434</v>
      </c>
      <c r="W31" s="52">
        <v>0</v>
      </c>
      <c r="X31" s="51">
        <v>5.7571666666666763</v>
      </c>
      <c r="Y31" s="52">
        <v>7.8406666666666673</v>
      </c>
      <c r="Z31" s="51">
        <v>8.6833333333331694E-2</v>
      </c>
      <c r="AA31" s="52">
        <v>7.2423333333333337</v>
      </c>
      <c r="AB31" s="51">
        <v>0</v>
      </c>
      <c r="AC31" s="52">
        <v>0</v>
      </c>
      <c r="AD31" s="51">
        <v>0.53433333333333344</v>
      </c>
      <c r="AE31" s="52">
        <v>0</v>
      </c>
      <c r="AF31" s="51">
        <v>8.0026666666666681</v>
      </c>
      <c r="AG31" s="52">
        <v>10.323666666666677</v>
      </c>
      <c r="AH31" s="51">
        <v>91.754833333333337</v>
      </c>
      <c r="AI31" s="100">
        <v>0</v>
      </c>
      <c r="AJ31" s="238">
        <f t="shared" si="3"/>
        <v>534.4171666666665</v>
      </c>
      <c r="AK31" s="238"/>
      <c r="AL31" s="238"/>
    </row>
    <row r="32" spans="2:38" x14ac:dyDescent="0.3">
      <c r="B32" s="245" t="s">
        <v>94</v>
      </c>
      <c r="C32" s="245"/>
      <c r="D32" s="245"/>
      <c r="E32" s="52">
        <v>0</v>
      </c>
      <c r="F32" s="51">
        <v>0</v>
      </c>
      <c r="G32" s="52">
        <v>0</v>
      </c>
      <c r="H32" s="51">
        <v>0</v>
      </c>
      <c r="I32" s="52">
        <v>0</v>
      </c>
      <c r="J32" s="51">
        <v>0</v>
      </c>
      <c r="K32" s="52">
        <v>0</v>
      </c>
      <c r="L32" s="51">
        <v>0</v>
      </c>
      <c r="M32" s="52">
        <v>0</v>
      </c>
      <c r="N32" s="51">
        <v>0</v>
      </c>
      <c r="O32" s="52">
        <v>0</v>
      </c>
      <c r="P32" s="51">
        <v>0</v>
      </c>
      <c r="Q32" s="52">
        <v>0</v>
      </c>
      <c r="R32" s="51">
        <v>0</v>
      </c>
      <c r="S32" s="52">
        <v>0</v>
      </c>
      <c r="T32" s="51">
        <v>0</v>
      </c>
      <c r="U32" s="52">
        <v>0</v>
      </c>
      <c r="V32" s="51">
        <v>0</v>
      </c>
      <c r="W32" s="52">
        <v>0</v>
      </c>
      <c r="X32" s="51">
        <v>0</v>
      </c>
      <c r="Y32" s="52">
        <v>0</v>
      </c>
      <c r="Z32" s="51">
        <v>0</v>
      </c>
      <c r="AA32" s="52">
        <v>0</v>
      </c>
      <c r="AB32" s="51">
        <v>0</v>
      </c>
      <c r="AC32" s="52">
        <v>0</v>
      </c>
      <c r="AD32" s="51">
        <v>0</v>
      </c>
      <c r="AE32" s="52">
        <v>0</v>
      </c>
      <c r="AF32" s="51">
        <v>0</v>
      </c>
      <c r="AG32" s="52">
        <v>0</v>
      </c>
      <c r="AH32" s="51">
        <v>0</v>
      </c>
      <c r="AI32" s="100">
        <v>0</v>
      </c>
      <c r="AJ32" s="238">
        <f t="shared" si="3"/>
        <v>0</v>
      </c>
      <c r="AK32" s="238"/>
      <c r="AL32" s="238"/>
    </row>
    <row r="33" spans="2:38" x14ac:dyDescent="0.3">
      <c r="B33" s="245" t="s">
        <v>57</v>
      </c>
      <c r="C33" s="245"/>
      <c r="D33" s="245"/>
      <c r="E33" s="52">
        <v>22.221999999999998</v>
      </c>
      <c r="F33" s="51">
        <v>33.656666666666673</v>
      </c>
      <c r="G33" s="52">
        <v>3.4999999999999844E-2</v>
      </c>
      <c r="H33" s="51">
        <v>16.658833333333334</v>
      </c>
      <c r="I33" s="52">
        <v>15.471999999999998</v>
      </c>
      <c r="J33" s="51">
        <v>6.5026666666666655</v>
      </c>
      <c r="K33" s="52">
        <v>0</v>
      </c>
      <c r="L33" s="51">
        <v>0</v>
      </c>
      <c r="M33" s="52">
        <v>1.1145000000000005</v>
      </c>
      <c r="N33" s="51">
        <v>0</v>
      </c>
      <c r="O33" s="52">
        <v>0.91016666666666657</v>
      </c>
      <c r="P33" s="51">
        <v>12.753166666666667</v>
      </c>
      <c r="Q33" s="52">
        <v>16.040500000000002</v>
      </c>
      <c r="R33" s="51">
        <v>10.403499999999998</v>
      </c>
      <c r="S33" s="52">
        <v>4.572166666666666</v>
      </c>
      <c r="T33" s="51">
        <v>5.7160000000000002</v>
      </c>
      <c r="U33" s="52">
        <v>47.158000000000015</v>
      </c>
      <c r="V33" s="51">
        <v>0</v>
      </c>
      <c r="W33" s="52">
        <v>1.4538333333333306</v>
      </c>
      <c r="X33" s="51">
        <v>4.7843333333333344</v>
      </c>
      <c r="Y33" s="52">
        <v>0.68566666666666698</v>
      </c>
      <c r="Z33" s="51">
        <v>0.23650000000000096</v>
      </c>
      <c r="AA33" s="52">
        <v>21.147666666666666</v>
      </c>
      <c r="AB33" s="51">
        <v>0</v>
      </c>
      <c r="AC33" s="52">
        <v>0</v>
      </c>
      <c r="AD33" s="51">
        <v>0.12566666666666618</v>
      </c>
      <c r="AE33" s="52">
        <v>0.46633333333333382</v>
      </c>
      <c r="AF33" s="51">
        <v>20.057833333333338</v>
      </c>
      <c r="AG33" s="52">
        <v>10.213333333333335</v>
      </c>
      <c r="AH33" s="51">
        <v>41.480833333333329</v>
      </c>
      <c r="AI33" s="100">
        <v>0</v>
      </c>
      <c r="AJ33" s="238">
        <f t="shared" si="3"/>
        <v>293.86716666666672</v>
      </c>
      <c r="AK33" s="238"/>
      <c r="AL33" s="238"/>
    </row>
    <row r="34" spans="2:38" x14ac:dyDescent="0.3">
      <c r="B34" s="245" t="s">
        <v>58</v>
      </c>
      <c r="C34" s="245"/>
      <c r="D34" s="245"/>
      <c r="E34" s="52">
        <v>96.14166666666668</v>
      </c>
      <c r="F34" s="51">
        <v>133.86150000000001</v>
      </c>
      <c r="G34" s="52">
        <v>0.80050000000000143</v>
      </c>
      <c r="H34" s="51">
        <v>47.632500000000007</v>
      </c>
      <c r="I34" s="52">
        <v>57.336500000000015</v>
      </c>
      <c r="J34" s="51">
        <v>17.575499999999984</v>
      </c>
      <c r="K34" s="52">
        <v>0</v>
      </c>
      <c r="L34" s="51">
        <v>0</v>
      </c>
      <c r="M34" s="52">
        <v>3.0135000000000005</v>
      </c>
      <c r="N34" s="51">
        <v>0</v>
      </c>
      <c r="O34" s="52">
        <v>0.33516666666666678</v>
      </c>
      <c r="P34" s="51">
        <v>35.936166666666672</v>
      </c>
      <c r="Q34" s="52">
        <v>55.863000000000014</v>
      </c>
      <c r="R34" s="51">
        <v>40.71633333333331</v>
      </c>
      <c r="S34" s="52">
        <v>20.156999999999996</v>
      </c>
      <c r="T34" s="51">
        <v>13.6195</v>
      </c>
      <c r="U34" s="52">
        <v>16.93116666666667</v>
      </c>
      <c r="V34" s="51">
        <v>0</v>
      </c>
      <c r="W34" s="52">
        <v>0</v>
      </c>
      <c r="X34" s="51">
        <v>2.2388333333333335</v>
      </c>
      <c r="Y34" s="52">
        <v>0</v>
      </c>
      <c r="Z34" s="51">
        <v>9.9999999999980096E-4</v>
      </c>
      <c r="AA34" s="52">
        <v>76.241333333333358</v>
      </c>
      <c r="AB34" s="51">
        <v>0</v>
      </c>
      <c r="AC34" s="52">
        <v>0</v>
      </c>
      <c r="AD34" s="51">
        <v>0</v>
      </c>
      <c r="AE34" s="52">
        <v>0</v>
      </c>
      <c r="AF34" s="51">
        <v>5.8243333333333416</v>
      </c>
      <c r="AG34" s="52">
        <v>1.5933333333333286</v>
      </c>
      <c r="AH34" s="51">
        <v>97.653166666666621</v>
      </c>
      <c r="AI34" s="100">
        <v>0</v>
      </c>
      <c r="AJ34" s="238">
        <f t="shared" si="3"/>
        <v>723.47199999999998</v>
      </c>
      <c r="AK34" s="238"/>
      <c r="AL34" s="238"/>
    </row>
    <row r="35" spans="2:38" x14ac:dyDescent="0.3">
      <c r="B35" s="245" t="s">
        <v>95</v>
      </c>
      <c r="C35" s="245"/>
      <c r="D35" s="245"/>
      <c r="E35" s="52">
        <v>0</v>
      </c>
      <c r="F35" s="51">
        <v>0</v>
      </c>
      <c r="G35" s="52">
        <v>0</v>
      </c>
      <c r="H35" s="51">
        <v>0</v>
      </c>
      <c r="I35" s="52">
        <v>0</v>
      </c>
      <c r="J35" s="51">
        <v>0</v>
      </c>
      <c r="K35" s="52">
        <v>0</v>
      </c>
      <c r="L35" s="51">
        <v>0</v>
      </c>
      <c r="M35" s="52">
        <v>0</v>
      </c>
      <c r="N35" s="51">
        <v>0</v>
      </c>
      <c r="O35" s="52">
        <v>0</v>
      </c>
      <c r="P35" s="51">
        <v>0</v>
      </c>
      <c r="Q35" s="52">
        <v>0</v>
      </c>
      <c r="R35" s="51">
        <v>0</v>
      </c>
      <c r="S35" s="52">
        <v>0</v>
      </c>
      <c r="T35" s="51">
        <v>0</v>
      </c>
      <c r="U35" s="52">
        <v>0</v>
      </c>
      <c r="V35" s="51">
        <v>0</v>
      </c>
      <c r="W35" s="52">
        <v>0</v>
      </c>
      <c r="X35" s="51">
        <v>0</v>
      </c>
      <c r="Y35" s="52">
        <v>0</v>
      </c>
      <c r="Z35" s="51">
        <v>0</v>
      </c>
      <c r="AA35" s="52">
        <v>0</v>
      </c>
      <c r="AB35" s="51">
        <v>0</v>
      </c>
      <c r="AC35" s="52">
        <v>0</v>
      </c>
      <c r="AD35" s="51">
        <v>0</v>
      </c>
      <c r="AE35" s="52">
        <v>0</v>
      </c>
      <c r="AF35" s="51">
        <v>0</v>
      </c>
      <c r="AG35" s="52">
        <v>0</v>
      </c>
      <c r="AH35" s="51">
        <v>0</v>
      </c>
      <c r="AI35" s="100">
        <v>0</v>
      </c>
      <c r="AJ35" s="238">
        <f t="shared" si="3"/>
        <v>0</v>
      </c>
      <c r="AK35" s="238"/>
      <c r="AL35" s="238"/>
    </row>
    <row r="36" spans="2:38" x14ac:dyDescent="0.3">
      <c r="B36" s="245" t="s">
        <v>59</v>
      </c>
      <c r="C36" s="245"/>
      <c r="D36" s="245"/>
      <c r="E36" s="52">
        <v>112.32483333333336</v>
      </c>
      <c r="F36" s="51">
        <v>151.38233333333335</v>
      </c>
      <c r="G36" s="52">
        <v>57.934333333333328</v>
      </c>
      <c r="H36" s="51">
        <v>123.40066666666667</v>
      </c>
      <c r="I36" s="52">
        <v>129.56783333333328</v>
      </c>
      <c r="J36" s="51">
        <v>116.36849999999998</v>
      </c>
      <c r="K36" s="52">
        <v>17.997333333333334</v>
      </c>
      <c r="L36" s="51">
        <v>44.705499999999986</v>
      </c>
      <c r="M36" s="52">
        <v>134.02350000000001</v>
      </c>
      <c r="N36" s="51">
        <v>16.43950000000001</v>
      </c>
      <c r="O36" s="52">
        <v>37.019999999999996</v>
      </c>
      <c r="P36" s="51">
        <v>73.948666666666696</v>
      </c>
      <c r="Q36" s="52">
        <v>73.93249999999999</v>
      </c>
      <c r="R36" s="51">
        <v>13.7</v>
      </c>
      <c r="S36" s="52">
        <v>12.423666666666669</v>
      </c>
      <c r="T36" s="51">
        <v>24.495166666666659</v>
      </c>
      <c r="U36" s="52">
        <v>52.187333333333335</v>
      </c>
      <c r="V36" s="51">
        <v>140.04249999999999</v>
      </c>
      <c r="W36" s="52">
        <v>97.929000000000002</v>
      </c>
      <c r="X36" s="51">
        <v>127.67733333333335</v>
      </c>
      <c r="Y36" s="52">
        <v>64.286666666666662</v>
      </c>
      <c r="Z36" s="51">
        <v>65.600333333333339</v>
      </c>
      <c r="AA36" s="52">
        <v>54.102999999999994</v>
      </c>
      <c r="AB36" s="51">
        <v>0</v>
      </c>
      <c r="AC36" s="52">
        <v>64.596666666666664</v>
      </c>
      <c r="AD36" s="51">
        <v>21.559166666666663</v>
      </c>
      <c r="AE36" s="52">
        <v>64.533333333333331</v>
      </c>
      <c r="AF36" s="51">
        <v>73.49733333333333</v>
      </c>
      <c r="AG36" s="52">
        <v>48.080833333333359</v>
      </c>
      <c r="AH36" s="51">
        <v>111.12233333333327</v>
      </c>
      <c r="AI36" s="100">
        <v>74.862999999999985</v>
      </c>
      <c r="AJ36" s="238">
        <f t="shared" si="3"/>
        <v>2199.7431666666662</v>
      </c>
      <c r="AK36" s="238"/>
      <c r="AL36" s="238"/>
    </row>
    <row r="37" spans="2:38" x14ac:dyDescent="0.3">
      <c r="B37" s="245" t="s">
        <v>60</v>
      </c>
      <c r="C37" s="245"/>
      <c r="D37" s="245"/>
      <c r="E37" s="52">
        <v>61.239333333333349</v>
      </c>
      <c r="F37" s="51">
        <v>28.639166666666668</v>
      </c>
      <c r="G37" s="52">
        <v>0</v>
      </c>
      <c r="H37" s="51">
        <v>22.046166666666672</v>
      </c>
      <c r="I37" s="52">
        <v>35.470333333333315</v>
      </c>
      <c r="J37" s="51">
        <v>2.9356666666666671</v>
      </c>
      <c r="K37" s="52">
        <v>5.3666666666666647E-2</v>
      </c>
      <c r="L37" s="51">
        <v>14.395333333333326</v>
      </c>
      <c r="M37" s="52">
        <v>86.217666666666716</v>
      </c>
      <c r="N37" s="51">
        <v>5.7616666666666658</v>
      </c>
      <c r="O37" s="52">
        <v>6.7546666666666679</v>
      </c>
      <c r="P37" s="51">
        <v>2.8210000000000024</v>
      </c>
      <c r="Q37" s="52">
        <v>41.852666666666664</v>
      </c>
      <c r="R37" s="51">
        <v>0.11650000000000005</v>
      </c>
      <c r="S37" s="52">
        <v>12.598666666666665</v>
      </c>
      <c r="T37" s="51">
        <v>0</v>
      </c>
      <c r="U37" s="52">
        <v>6.8358333333333325</v>
      </c>
      <c r="V37" s="51">
        <v>44.849666666666671</v>
      </c>
      <c r="W37" s="52">
        <v>3.2708333333333512</v>
      </c>
      <c r="X37" s="51">
        <v>15.843000000000005</v>
      </c>
      <c r="Y37" s="52">
        <v>7.1833333333333138E-2</v>
      </c>
      <c r="Z37" s="51">
        <v>0</v>
      </c>
      <c r="AA37" s="52">
        <v>47.687166666666691</v>
      </c>
      <c r="AB37" s="51">
        <v>0</v>
      </c>
      <c r="AC37" s="52">
        <v>0</v>
      </c>
      <c r="AD37" s="51">
        <v>0</v>
      </c>
      <c r="AE37" s="52">
        <v>0.60183333333333278</v>
      </c>
      <c r="AF37" s="51">
        <v>23.060000000000009</v>
      </c>
      <c r="AG37" s="52">
        <v>12.898833333333329</v>
      </c>
      <c r="AH37" s="51">
        <v>51.683999999999955</v>
      </c>
      <c r="AI37" s="100">
        <v>11.177166666666659</v>
      </c>
      <c r="AJ37" s="238">
        <f t="shared" si="3"/>
        <v>538.88266666666664</v>
      </c>
      <c r="AK37" s="238"/>
      <c r="AL37" s="238"/>
    </row>
    <row r="38" spans="2:38" x14ac:dyDescent="0.3">
      <c r="B38" s="245" t="s">
        <v>61</v>
      </c>
      <c r="C38" s="245"/>
      <c r="D38" s="245"/>
      <c r="E38" s="52">
        <v>43.505833333333314</v>
      </c>
      <c r="F38" s="51">
        <v>20.643333333333334</v>
      </c>
      <c r="G38" s="52">
        <v>0</v>
      </c>
      <c r="H38" s="51">
        <v>33.283666666666669</v>
      </c>
      <c r="I38" s="52">
        <v>48.578666666666678</v>
      </c>
      <c r="J38" s="51">
        <v>8.1666666666665808E-3</v>
      </c>
      <c r="K38" s="52">
        <v>0</v>
      </c>
      <c r="L38" s="51">
        <v>0.46983333333333305</v>
      </c>
      <c r="M38" s="52">
        <v>8.210999999999995</v>
      </c>
      <c r="N38" s="51">
        <v>11.204166666666666</v>
      </c>
      <c r="O38" s="52">
        <v>0.12133333333333311</v>
      </c>
      <c r="P38" s="51">
        <v>0</v>
      </c>
      <c r="Q38" s="52">
        <v>12.962500000000009</v>
      </c>
      <c r="R38" s="51">
        <v>4.3013333333333339</v>
      </c>
      <c r="S38" s="52">
        <v>9.8828333333333269</v>
      </c>
      <c r="T38" s="51">
        <v>0</v>
      </c>
      <c r="U38" s="52">
        <v>0.38283333333333308</v>
      </c>
      <c r="V38" s="51">
        <v>8.3550000000000075</v>
      </c>
      <c r="W38" s="52">
        <v>0.8406666666666659</v>
      </c>
      <c r="X38" s="51">
        <v>0</v>
      </c>
      <c r="Y38" s="52">
        <v>0.4926666666666672</v>
      </c>
      <c r="Z38" s="51">
        <v>5.8833333333333113E-2</v>
      </c>
      <c r="AA38" s="52">
        <v>11.970500000000001</v>
      </c>
      <c r="AB38" s="51">
        <v>0</v>
      </c>
      <c r="AC38" s="52">
        <v>0</v>
      </c>
      <c r="AD38" s="51">
        <v>0</v>
      </c>
      <c r="AE38" s="52">
        <v>0</v>
      </c>
      <c r="AF38" s="51">
        <v>1.8774999999999937</v>
      </c>
      <c r="AG38" s="52">
        <v>9.1608333333333292</v>
      </c>
      <c r="AH38" s="51">
        <v>25.23466666666668</v>
      </c>
      <c r="AI38" s="100">
        <v>5.7956666666666772</v>
      </c>
      <c r="AJ38" s="238">
        <f t="shared" si="3"/>
        <v>257.34183333333334</v>
      </c>
      <c r="AK38" s="238"/>
      <c r="AL38" s="238"/>
    </row>
    <row r="39" spans="2:38" x14ac:dyDescent="0.3">
      <c r="B39" s="245" t="s">
        <v>62</v>
      </c>
      <c r="C39" s="245"/>
      <c r="D39" s="245"/>
      <c r="E39" s="52">
        <v>124.2938333333334</v>
      </c>
      <c r="F39" s="51">
        <v>56.454666666666661</v>
      </c>
      <c r="G39" s="52">
        <v>0</v>
      </c>
      <c r="H39" s="51">
        <v>28.446833333333331</v>
      </c>
      <c r="I39" s="52">
        <v>32.749333333333325</v>
      </c>
      <c r="J39" s="51">
        <v>13.510499999999993</v>
      </c>
      <c r="K39" s="52">
        <v>0.10066666666666725</v>
      </c>
      <c r="L39" s="51">
        <v>0</v>
      </c>
      <c r="M39" s="52">
        <v>0</v>
      </c>
      <c r="N39" s="51">
        <v>0</v>
      </c>
      <c r="O39" s="52">
        <v>0</v>
      </c>
      <c r="P39" s="51">
        <v>0</v>
      </c>
      <c r="Q39" s="52">
        <v>9.3676666666666701</v>
      </c>
      <c r="R39" s="51">
        <v>0.7838333333333336</v>
      </c>
      <c r="S39" s="52">
        <v>34.30416666666666</v>
      </c>
      <c r="T39" s="51">
        <v>0</v>
      </c>
      <c r="U39" s="52">
        <v>0</v>
      </c>
      <c r="V39" s="51">
        <v>0</v>
      </c>
      <c r="W39" s="52">
        <v>0</v>
      </c>
      <c r="X39" s="51">
        <v>0</v>
      </c>
      <c r="Y39" s="52">
        <v>0</v>
      </c>
      <c r="Z39" s="51">
        <v>1.2666666666666633E-2</v>
      </c>
      <c r="AA39" s="52">
        <v>9.2663333333333355</v>
      </c>
      <c r="AB39" s="51">
        <v>0</v>
      </c>
      <c r="AC39" s="52">
        <v>0</v>
      </c>
      <c r="AD39" s="51">
        <v>0.43483333333333468</v>
      </c>
      <c r="AE39" s="52">
        <v>8.2153333333333283</v>
      </c>
      <c r="AF39" s="51">
        <v>8.4011666666666702</v>
      </c>
      <c r="AG39" s="52">
        <v>0</v>
      </c>
      <c r="AH39" s="51">
        <v>52.295500000000004</v>
      </c>
      <c r="AI39" s="100">
        <v>0</v>
      </c>
      <c r="AJ39" s="238">
        <f t="shared" si="3"/>
        <v>378.6373333333334</v>
      </c>
      <c r="AK39" s="238"/>
      <c r="AL39" s="238"/>
    </row>
    <row r="40" spans="2:38" x14ac:dyDescent="0.3">
      <c r="B40" s="245" t="s">
        <v>63</v>
      </c>
      <c r="C40" s="245"/>
      <c r="D40" s="245"/>
      <c r="E40" s="52">
        <v>897.28349999999989</v>
      </c>
      <c r="F40" s="51">
        <v>431.32216666666665</v>
      </c>
      <c r="G40" s="52">
        <v>1.9999999999996019E-3</v>
      </c>
      <c r="H40" s="51">
        <v>143.8003333333333</v>
      </c>
      <c r="I40" s="52">
        <v>172.82333333333332</v>
      </c>
      <c r="J40" s="51">
        <v>52.401166666666612</v>
      </c>
      <c r="K40" s="52">
        <v>0</v>
      </c>
      <c r="L40" s="51">
        <v>0</v>
      </c>
      <c r="M40" s="52">
        <v>0</v>
      </c>
      <c r="N40" s="51">
        <v>0</v>
      </c>
      <c r="O40" s="52">
        <v>0</v>
      </c>
      <c r="P40" s="51">
        <v>0</v>
      </c>
      <c r="Q40" s="52">
        <v>52.636833333333342</v>
      </c>
      <c r="R40" s="51">
        <v>0</v>
      </c>
      <c r="S40" s="52">
        <v>18.990500000000004</v>
      </c>
      <c r="T40" s="51">
        <v>38.487500000000026</v>
      </c>
      <c r="U40" s="52">
        <v>39.222833333333348</v>
      </c>
      <c r="V40" s="51">
        <v>3.9839999999999995</v>
      </c>
      <c r="W40" s="52">
        <v>1.9463333333333319</v>
      </c>
      <c r="X40" s="51">
        <v>4.6405000000000136</v>
      </c>
      <c r="Y40" s="52">
        <v>2.9403333333333039</v>
      </c>
      <c r="Z40" s="51">
        <v>0.19566666666666729</v>
      </c>
      <c r="AA40" s="52">
        <v>58.732666666666674</v>
      </c>
      <c r="AB40" s="51">
        <v>0</v>
      </c>
      <c r="AC40" s="52">
        <v>0</v>
      </c>
      <c r="AD40" s="51">
        <v>2.6038333333333408</v>
      </c>
      <c r="AE40" s="52">
        <v>2.4489999999999927</v>
      </c>
      <c r="AF40" s="51">
        <v>32.111833333333315</v>
      </c>
      <c r="AG40" s="52">
        <v>66.255333333333326</v>
      </c>
      <c r="AH40" s="51">
        <v>220.20300000000006</v>
      </c>
      <c r="AI40" s="100">
        <v>0</v>
      </c>
      <c r="AJ40" s="238">
        <f t="shared" si="3"/>
        <v>2243.0326666666665</v>
      </c>
      <c r="AK40" s="238"/>
      <c r="AL40" s="238"/>
    </row>
    <row r="41" spans="2:38" x14ac:dyDescent="0.3">
      <c r="B41" s="245" t="s">
        <v>64</v>
      </c>
      <c r="C41" s="245"/>
      <c r="D41" s="245"/>
      <c r="E41" s="52">
        <v>90.704666666666654</v>
      </c>
      <c r="F41" s="51">
        <v>93.711499999999987</v>
      </c>
      <c r="G41" s="52">
        <v>2.0063333333333335</v>
      </c>
      <c r="H41" s="51">
        <v>50.708333333333329</v>
      </c>
      <c r="I41" s="52">
        <v>64.114666666666693</v>
      </c>
      <c r="J41" s="51">
        <v>29.424833333333339</v>
      </c>
      <c r="K41" s="52">
        <v>1.1280000000000017</v>
      </c>
      <c r="L41" s="51">
        <v>0</v>
      </c>
      <c r="M41" s="52">
        <v>0</v>
      </c>
      <c r="N41" s="51">
        <v>0</v>
      </c>
      <c r="O41" s="52">
        <v>1.2051666666666667</v>
      </c>
      <c r="P41" s="51">
        <v>0</v>
      </c>
      <c r="Q41" s="52">
        <v>4.7726666666666651</v>
      </c>
      <c r="R41" s="51">
        <v>0</v>
      </c>
      <c r="S41" s="52">
        <v>0</v>
      </c>
      <c r="T41" s="51">
        <v>7.8834999999999997</v>
      </c>
      <c r="U41" s="52">
        <v>4.0731666666666708</v>
      </c>
      <c r="V41" s="51">
        <v>5.1436666666666628</v>
      </c>
      <c r="W41" s="52">
        <v>3.5013333333333341</v>
      </c>
      <c r="X41" s="51">
        <v>0.49483333333333174</v>
      </c>
      <c r="Y41" s="52">
        <v>4.5493333333333306</v>
      </c>
      <c r="Z41" s="51">
        <v>0</v>
      </c>
      <c r="AA41" s="52">
        <v>8.3638333333333339</v>
      </c>
      <c r="AB41" s="51">
        <v>0</v>
      </c>
      <c r="AC41" s="52">
        <v>0</v>
      </c>
      <c r="AD41" s="51">
        <v>0.42700000000000077</v>
      </c>
      <c r="AE41" s="52">
        <v>1.4706666666666652</v>
      </c>
      <c r="AF41" s="51">
        <v>11.849833333333329</v>
      </c>
      <c r="AG41" s="52">
        <v>14.027333333333333</v>
      </c>
      <c r="AH41" s="51">
        <v>42.884833333333319</v>
      </c>
      <c r="AI41" s="100">
        <v>0</v>
      </c>
      <c r="AJ41" s="238">
        <f t="shared" si="3"/>
        <v>442.44550000000004</v>
      </c>
      <c r="AK41" s="238"/>
      <c r="AL41" s="238"/>
    </row>
    <row r="42" spans="2:38" x14ac:dyDescent="0.3">
      <c r="B42" s="245" t="s">
        <v>96</v>
      </c>
      <c r="C42" s="245"/>
      <c r="D42" s="245"/>
      <c r="E42" s="52">
        <v>0</v>
      </c>
      <c r="F42" s="51">
        <v>0</v>
      </c>
      <c r="G42" s="52">
        <v>0</v>
      </c>
      <c r="H42" s="51">
        <v>0</v>
      </c>
      <c r="I42" s="52">
        <v>0</v>
      </c>
      <c r="J42" s="51">
        <v>0</v>
      </c>
      <c r="K42" s="52">
        <v>0</v>
      </c>
      <c r="L42" s="51">
        <v>0</v>
      </c>
      <c r="M42" s="52">
        <v>0</v>
      </c>
      <c r="N42" s="51">
        <v>0</v>
      </c>
      <c r="O42" s="52">
        <v>0</v>
      </c>
      <c r="P42" s="51">
        <v>0</v>
      </c>
      <c r="Q42" s="52">
        <v>0</v>
      </c>
      <c r="R42" s="51">
        <v>0</v>
      </c>
      <c r="S42" s="52">
        <v>0</v>
      </c>
      <c r="T42" s="51">
        <v>0</v>
      </c>
      <c r="U42" s="52">
        <v>0</v>
      </c>
      <c r="V42" s="51">
        <v>0</v>
      </c>
      <c r="W42" s="52">
        <v>0</v>
      </c>
      <c r="X42" s="51">
        <v>0</v>
      </c>
      <c r="Y42" s="52">
        <v>0</v>
      </c>
      <c r="Z42" s="51">
        <v>0</v>
      </c>
      <c r="AA42" s="52">
        <v>0</v>
      </c>
      <c r="AB42" s="51">
        <v>0</v>
      </c>
      <c r="AC42" s="52">
        <v>0</v>
      </c>
      <c r="AD42" s="51">
        <v>0</v>
      </c>
      <c r="AE42" s="52">
        <v>0</v>
      </c>
      <c r="AF42" s="51">
        <v>0</v>
      </c>
      <c r="AG42" s="52">
        <v>0</v>
      </c>
      <c r="AH42" s="51">
        <v>0</v>
      </c>
      <c r="AI42" s="100">
        <v>0</v>
      </c>
      <c r="AJ42" s="238">
        <f t="shared" si="3"/>
        <v>0</v>
      </c>
      <c r="AK42" s="238"/>
      <c r="AL42" s="238"/>
    </row>
    <row r="43" spans="2:38" x14ac:dyDescent="0.3">
      <c r="B43" s="245" t="s">
        <v>65</v>
      </c>
      <c r="C43" s="245"/>
      <c r="D43" s="245"/>
      <c r="E43" s="52">
        <v>33.547000000000011</v>
      </c>
      <c r="F43" s="51">
        <v>62.599500000000006</v>
      </c>
      <c r="G43" s="52">
        <v>3.8333333333332928E-2</v>
      </c>
      <c r="H43" s="51">
        <v>31.744999999999997</v>
      </c>
      <c r="I43" s="52">
        <v>38.529166666666669</v>
      </c>
      <c r="J43" s="51">
        <v>12.889833333333335</v>
      </c>
      <c r="K43" s="52">
        <v>2.3333333333333664E-2</v>
      </c>
      <c r="L43" s="51">
        <v>0</v>
      </c>
      <c r="M43" s="52">
        <v>1.8976666666666671</v>
      </c>
      <c r="N43" s="51">
        <v>0</v>
      </c>
      <c r="O43" s="52">
        <v>0.3900000000000019</v>
      </c>
      <c r="P43" s="51">
        <v>0</v>
      </c>
      <c r="Q43" s="52">
        <v>21.473500000000001</v>
      </c>
      <c r="R43" s="51">
        <v>0.28416666666666662</v>
      </c>
      <c r="S43" s="52">
        <v>3.0636666666666659</v>
      </c>
      <c r="T43" s="51">
        <v>2.6795000000000018</v>
      </c>
      <c r="U43" s="52">
        <v>0.71183333333333376</v>
      </c>
      <c r="V43" s="51">
        <v>2.8721666666666685</v>
      </c>
      <c r="W43" s="52">
        <v>1.3784999999999958</v>
      </c>
      <c r="X43" s="51">
        <v>1.3278333333333299</v>
      </c>
      <c r="Y43" s="52">
        <v>2.6183333333333314</v>
      </c>
      <c r="Z43" s="51">
        <v>2.5993333333333348</v>
      </c>
      <c r="AA43" s="52">
        <v>10.241833333333338</v>
      </c>
      <c r="AB43" s="51">
        <v>0</v>
      </c>
      <c r="AC43" s="52">
        <v>0</v>
      </c>
      <c r="AD43" s="51">
        <v>1.6666666666666312E-3</v>
      </c>
      <c r="AE43" s="52">
        <v>6.6211666666666691</v>
      </c>
      <c r="AF43" s="51">
        <v>10.151333333333339</v>
      </c>
      <c r="AG43" s="52">
        <v>15.049166666666672</v>
      </c>
      <c r="AH43" s="51">
        <v>31.315666666666665</v>
      </c>
      <c r="AI43" s="100">
        <v>0</v>
      </c>
      <c r="AJ43" s="238">
        <f t="shared" si="3"/>
        <v>294.04950000000008</v>
      </c>
      <c r="AK43" s="238"/>
      <c r="AL43" s="238"/>
    </row>
    <row r="44" spans="2:38" x14ac:dyDescent="0.3">
      <c r="B44" s="245" t="s">
        <v>66</v>
      </c>
      <c r="C44" s="245"/>
      <c r="D44" s="245"/>
      <c r="E44" s="52">
        <v>41.842833333333338</v>
      </c>
      <c r="F44" s="51">
        <v>85.893666666666689</v>
      </c>
      <c r="G44" s="52">
        <v>2.9035000000000037</v>
      </c>
      <c r="H44" s="51">
        <v>65.564166666666665</v>
      </c>
      <c r="I44" s="52">
        <v>65.799000000000021</v>
      </c>
      <c r="J44" s="51">
        <v>34.605833333333337</v>
      </c>
      <c r="K44" s="52">
        <v>4.3366666666666651</v>
      </c>
      <c r="L44" s="51">
        <v>0</v>
      </c>
      <c r="M44" s="52">
        <v>1.527666666666665</v>
      </c>
      <c r="N44" s="51">
        <v>0</v>
      </c>
      <c r="O44" s="52">
        <v>0.97333333333333361</v>
      </c>
      <c r="P44" s="51">
        <v>2.4548333333333363</v>
      </c>
      <c r="Q44" s="52">
        <v>42.667999999999999</v>
      </c>
      <c r="R44" s="51">
        <v>4.8268333333333349</v>
      </c>
      <c r="S44" s="52">
        <v>52.609499999999997</v>
      </c>
      <c r="T44" s="51">
        <v>12.977166666666665</v>
      </c>
      <c r="U44" s="52">
        <v>46.652666666666669</v>
      </c>
      <c r="V44" s="51">
        <v>11.157833333333329</v>
      </c>
      <c r="W44" s="52">
        <v>40.174999999999997</v>
      </c>
      <c r="X44" s="51">
        <v>22.55266666666666</v>
      </c>
      <c r="Y44" s="52">
        <v>25.2425</v>
      </c>
      <c r="Z44" s="51">
        <v>0</v>
      </c>
      <c r="AA44" s="52">
        <v>49.608666666666664</v>
      </c>
      <c r="AB44" s="51">
        <v>0</v>
      </c>
      <c r="AC44" s="52">
        <v>0</v>
      </c>
      <c r="AD44" s="51">
        <v>0.49483333333333257</v>
      </c>
      <c r="AE44" s="52">
        <v>12.058166666666654</v>
      </c>
      <c r="AF44" s="51">
        <v>24.909666666666666</v>
      </c>
      <c r="AG44" s="52">
        <v>21.378333333333334</v>
      </c>
      <c r="AH44" s="51">
        <v>60.054333333333339</v>
      </c>
      <c r="AI44" s="100">
        <v>0</v>
      </c>
      <c r="AJ44" s="238">
        <f t="shared" si="3"/>
        <v>733.26766666666686</v>
      </c>
      <c r="AK44" s="238"/>
      <c r="AL44" s="238"/>
    </row>
    <row r="45" spans="2:38" x14ac:dyDescent="0.3">
      <c r="B45" s="245" t="s">
        <v>67</v>
      </c>
      <c r="C45" s="245"/>
      <c r="D45" s="245"/>
      <c r="E45" s="52">
        <v>5.7001666666666644</v>
      </c>
      <c r="F45" s="51">
        <v>10.317333333333334</v>
      </c>
      <c r="G45" s="52">
        <v>4.686166666666665</v>
      </c>
      <c r="H45" s="51">
        <v>30.071000000000002</v>
      </c>
      <c r="I45" s="52">
        <v>39.513833333333345</v>
      </c>
      <c r="J45" s="51">
        <v>12.0855</v>
      </c>
      <c r="K45" s="52">
        <v>6.0648333333333335</v>
      </c>
      <c r="L45" s="51">
        <v>0</v>
      </c>
      <c r="M45" s="52">
        <v>0.15750000000000033</v>
      </c>
      <c r="N45" s="51">
        <v>0</v>
      </c>
      <c r="O45" s="52">
        <v>8.8833333333333181E-2</v>
      </c>
      <c r="P45" s="51">
        <v>0.84000000000000008</v>
      </c>
      <c r="Q45" s="52">
        <v>11.908166666666668</v>
      </c>
      <c r="R45" s="51">
        <v>0.2233333333333333</v>
      </c>
      <c r="S45" s="52">
        <v>0.78299999999999981</v>
      </c>
      <c r="T45" s="51">
        <v>9.4815000000000023</v>
      </c>
      <c r="U45" s="52">
        <v>1.974166666666666</v>
      </c>
      <c r="V45" s="51">
        <v>6.286333333333336</v>
      </c>
      <c r="W45" s="52">
        <v>3.8194999999999997</v>
      </c>
      <c r="X45" s="51">
        <v>13.785666666666668</v>
      </c>
      <c r="Y45" s="52">
        <v>6.3020000000000032</v>
      </c>
      <c r="Z45" s="51">
        <v>5.9641666666666637</v>
      </c>
      <c r="AA45" s="52">
        <v>15.587499999999995</v>
      </c>
      <c r="AB45" s="51">
        <v>0</v>
      </c>
      <c r="AC45" s="52">
        <v>0</v>
      </c>
      <c r="AD45" s="51">
        <v>2.3128333333333337</v>
      </c>
      <c r="AE45" s="52">
        <v>6.1526666666666667</v>
      </c>
      <c r="AF45" s="51">
        <v>7.6446666666666658</v>
      </c>
      <c r="AG45" s="52">
        <v>6.5274999999999999</v>
      </c>
      <c r="AH45" s="51">
        <v>13.52783333333333</v>
      </c>
      <c r="AI45" s="100">
        <v>0</v>
      </c>
      <c r="AJ45" s="238">
        <f t="shared" si="3"/>
        <v>221.80600000000001</v>
      </c>
      <c r="AK45" s="238"/>
      <c r="AL45" s="238"/>
    </row>
    <row r="46" spans="2:38" x14ac:dyDescent="0.3">
      <c r="B46" s="245" t="s">
        <v>68</v>
      </c>
      <c r="C46" s="245"/>
      <c r="D46" s="245"/>
      <c r="E46" s="52">
        <v>8.9818333333333396</v>
      </c>
      <c r="F46" s="51">
        <v>9.2773333333333312</v>
      </c>
      <c r="G46" s="52">
        <v>1.893833333333333</v>
      </c>
      <c r="H46" s="51">
        <v>51.565999999999995</v>
      </c>
      <c r="I46" s="52">
        <v>242.20166666666654</v>
      </c>
      <c r="J46" s="51">
        <v>333.93000000000018</v>
      </c>
      <c r="K46" s="52">
        <v>3.8793333333333324</v>
      </c>
      <c r="L46" s="51">
        <v>0</v>
      </c>
      <c r="M46" s="52">
        <v>3.0850000000000031</v>
      </c>
      <c r="N46" s="51">
        <v>0</v>
      </c>
      <c r="O46" s="52">
        <v>11.771166666666664</v>
      </c>
      <c r="P46" s="51">
        <v>35.270333333333333</v>
      </c>
      <c r="Q46" s="52">
        <v>43.37116666666666</v>
      </c>
      <c r="R46" s="51">
        <v>1.7073333333333323</v>
      </c>
      <c r="S46" s="52">
        <v>12.1035</v>
      </c>
      <c r="T46" s="51">
        <v>34.766166666666663</v>
      </c>
      <c r="U46" s="52">
        <v>67.897833333333324</v>
      </c>
      <c r="V46" s="51">
        <v>84.834999999999994</v>
      </c>
      <c r="W46" s="52">
        <v>262.63000000000005</v>
      </c>
      <c r="X46" s="51">
        <v>495.68000000000029</v>
      </c>
      <c r="Y46" s="52">
        <v>391.82000000000005</v>
      </c>
      <c r="Z46" s="51">
        <v>60.464999999999996</v>
      </c>
      <c r="AA46" s="52">
        <v>86.321999999999989</v>
      </c>
      <c r="AB46" s="51">
        <v>0</v>
      </c>
      <c r="AC46" s="52">
        <v>0</v>
      </c>
      <c r="AD46" s="51">
        <v>54.578000000000003</v>
      </c>
      <c r="AE46" s="52">
        <v>46.005000000000003</v>
      </c>
      <c r="AF46" s="51">
        <v>61.031999999999996</v>
      </c>
      <c r="AG46" s="52">
        <v>63.275666666666652</v>
      </c>
      <c r="AH46" s="51">
        <v>77.358500000000006</v>
      </c>
      <c r="AI46" s="100">
        <v>0</v>
      </c>
      <c r="AJ46" s="238">
        <f t="shared" si="3"/>
        <v>2545.7036666666672</v>
      </c>
      <c r="AK46" s="238"/>
      <c r="AL46" s="238"/>
    </row>
    <row r="47" spans="2:38" x14ac:dyDescent="0.3">
      <c r="B47" s="245" t="s">
        <v>69</v>
      </c>
      <c r="C47" s="245"/>
      <c r="D47" s="245"/>
      <c r="E47" s="52">
        <v>135.36966666666669</v>
      </c>
      <c r="F47" s="51">
        <v>234.57533333333336</v>
      </c>
      <c r="G47" s="52">
        <v>4.5861666666666645</v>
      </c>
      <c r="H47" s="51">
        <v>88.41216666666665</v>
      </c>
      <c r="I47" s="52">
        <v>87.313499999999991</v>
      </c>
      <c r="J47" s="51">
        <v>53.339500000000008</v>
      </c>
      <c r="K47" s="52">
        <v>4.1990000000000016</v>
      </c>
      <c r="L47" s="51">
        <v>0</v>
      </c>
      <c r="M47" s="52">
        <v>1.0808333333333335</v>
      </c>
      <c r="N47" s="51">
        <v>0</v>
      </c>
      <c r="O47" s="52">
        <v>0</v>
      </c>
      <c r="P47" s="51">
        <v>0</v>
      </c>
      <c r="Q47" s="52">
        <v>1.2476666666666647</v>
      </c>
      <c r="R47" s="51">
        <v>4.4935000000000009</v>
      </c>
      <c r="S47" s="52">
        <v>0.18766666666666676</v>
      </c>
      <c r="T47" s="51">
        <v>0</v>
      </c>
      <c r="U47" s="52">
        <v>2.143000000000002</v>
      </c>
      <c r="V47" s="51">
        <v>38.617333333333328</v>
      </c>
      <c r="W47" s="52">
        <v>0.79416666666666624</v>
      </c>
      <c r="X47" s="51">
        <v>42.126833333333352</v>
      </c>
      <c r="Y47" s="52">
        <v>38.976166666666664</v>
      </c>
      <c r="Z47" s="51">
        <v>370.92499999999995</v>
      </c>
      <c r="AA47" s="52">
        <v>55.623166666666656</v>
      </c>
      <c r="AB47" s="51">
        <v>0</v>
      </c>
      <c r="AC47" s="52">
        <v>0</v>
      </c>
      <c r="AD47" s="51">
        <v>4.3640000000000043</v>
      </c>
      <c r="AE47" s="52">
        <v>18.944666666666677</v>
      </c>
      <c r="AF47" s="51">
        <v>46.906166666666657</v>
      </c>
      <c r="AG47" s="52">
        <v>39.787000000000013</v>
      </c>
      <c r="AH47" s="51">
        <v>134.75516666666667</v>
      </c>
      <c r="AI47" s="100">
        <v>0</v>
      </c>
      <c r="AJ47" s="238">
        <f t="shared" si="3"/>
        <v>1408.7676666666671</v>
      </c>
      <c r="AK47" s="238"/>
      <c r="AL47" s="238"/>
    </row>
    <row r="48" spans="2:38" x14ac:dyDescent="0.3">
      <c r="B48" s="245" t="s">
        <v>70</v>
      </c>
      <c r="C48" s="245"/>
      <c r="D48" s="245"/>
      <c r="E48" s="52">
        <v>26.455833333333331</v>
      </c>
      <c r="F48" s="51">
        <v>79.545666666666691</v>
      </c>
      <c r="G48" s="52">
        <v>12.509166666666671</v>
      </c>
      <c r="H48" s="51">
        <v>57.727333333333334</v>
      </c>
      <c r="I48" s="52">
        <v>70.556833333333316</v>
      </c>
      <c r="J48" s="51">
        <v>43.899833333333333</v>
      </c>
      <c r="K48" s="52">
        <v>0.5893333333333336</v>
      </c>
      <c r="L48" s="51">
        <v>0</v>
      </c>
      <c r="M48" s="52">
        <v>11.531333333333336</v>
      </c>
      <c r="N48" s="51">
        <v>0</v>
      </c>
      <c r="O48" s="52">
        <v>6.2038333333333382</v>
      </c>
      <c r="P48" s="51">
        <v>29.536666666666665</v>
      </c>
      <c r="Q48" s="52">
        <v>28.58733333333333</v>
      </c>
      <c r="R48" s="51">
        <v>0</v>
      </c>
      <c r="S48" s="52">
        <v>0.10183333333333332</v>
      </c>
      <c r="T48" s="51">
        <v>0</v>
      </c>
      <c r="U48" s="52">
        <v>6.639833333333339</v>
      </c>
      <c r="V48" s="51">
        <v>0</v>
      </c>
      <c r="W48" s="52">
        <v>0</v>
      </c>
      <c r="X48" s="51">
        <v>0</v>
      </c>
      <c r="Y48" s="52">
        <v>0</v>
      </c>
      <c r="Z48" s="51">
        <v>7.6666666666670357E-3</v>
      </c>
      <c r="AA48" s="52">
        <v>0</v>
      </c>
      <c r="AB48" s="51">
        <v>0</v>
      </c>
      <c r="AC48" s="52">
        <v>0</v>
      </c>
      <c r="AD48" s="51">
        <v>10.254833333333334</v>
      </c>
      <c r="AE48" s="52">
        <v>30.145333333333344</v>
      </c>
      <c r="AF48" s="51">
        <v>31.98</v>
      </c>
      <c r="AG48" s="52">
        <v>58.228333333333332</v>
      </c>
      <c r="AH48" s="51">
        <v>120.71900000000001</v>
      </c>
      <c r="AI48" s="100">
        <v>0</v>
      </c>
      <c r="AJ48" s="238">
        <f t="shared" si="3"/>
        <v>625.22000000000014</v>
      </c>
      <c r="AK48" s="238"/>
      <c r="AL48" s="238"/>
    </row>
    <row r="49" spans="2:38" x14ac:dyDescent="0.3">
      <c r="B49" s="245" t="s">
        <v>71</v>
      </c>
      <c r="C49" s="245"/>
      <c r="D49" s="245"/>
      <c r="E49" s="52">
        <v>24.942833333333354</v>
      </c>
      <c r="F49" s="51">
        <v>191.67733333333339</v>
      </c>
      <c r="G49" s="52">
        <v>0</v>
      </c>
      <c r="H49" s="51">
        <v>50.170500000000011</v>
      </c>
      <c r="I49" s="52">
        <v>49.283500000000018</v>
      </c>
      <c r="J49" s="51">
        <v>4.76799999999999</v>
      </c>
      <c r="K49" s="52">
        <v>0</v>
      </c>
      <c r="L49" s="51">
        <v>0</v>
      </c>
      <c r="M49" s="52">
        <v>0.25050000000000028</v>
      </c>
      <c r="N49" s="51">
        <v>0</v>
      </c>
      <c r="O49" s="52">
        <v>0</v>
      </c>
      <c r="P49" s="51">
        <v>0</v>
      </c>
      <c r="Q49" s="52">
        <v>48.75333333333333</v>
      </c>
      <c r="R49" s="51">
        <v>0</v>
      </c>
      <c r="S49" s="52">
        <v>11.402499999999991</v>
      </c>
      <c r="T49" s="51">
        <v>14.820000000000004</v>
      </c>
      <c r="U49" s="52">
        <v>0</v>
      </c>
      <c r="V49" s="51">
        <v>0</v>
      </c>
      <c r="W49" s="52">
        <v>0</v>
      </c>
      <c r="X49" s="51">
        <v>0</v>
      </c>
      <c r="Y49" s="52">
        <v>0</v>
      </c>
      <c r="Z49" s="51">
        <v>0</v>
      </c>
      <c r="AA49" s="52">
        <v>15.340833333333334</v>
      </c>
      <c r="AB49" s="51">
        <v>0</v>
      </c>
      <c r="AC49" s="52">
        <v>0</v>
      </c>
      <c r="AD49" s="51">
        <v>0.29183333333333439</v>
      </c>
      <c r="AE49" s="52">
        <v>0</v>
      </c>
      <c r="AF49" s="51">
        <v>2.8690000000000104</v>
      </c>
      <c r="AG49" s="52">
        <v>2.2500000000000617E-2</v>
      </c>
      <c r="AH49" s="51">
        <v>5.6853333333333431</v>
      </c>
      <c r="AI49" s="100">
        <v>0</v>
      </c>
      <c r="AJ49" s="238">
        <f t="shared" si="3"/>
        <v>420.27800000000002</v>
      </c>
      <c r="AK49" s="238"/>
      <c r="AL49" s="238"/>
    </row>
    <row r="50" spans="2:38" x14ac:dyDescent="0.3">
      <c r="B50" s="245" t="s">
        <v>72</v>
      </c>
      <c r="C50" s="245"/>
      <c r="D50" s="245"/>
      <c r="E50" s="52">
        <v>5.3369999999999962</v>
      </c>
      <c r="F50" s="51">
        <v>69.158833333333362</v>
      </c>
      <c r="G50" s="52">
        <v>3.2666666666666802E-2</v>
      </c>
      <c r="H50" s="51">
        <v>40.776000000000003</v>
      </c>
      <c r="I50" s="52">
        <v>30.469999999999992</v>
      </c>
      <c r="J50" s="51">
        <v>11.153666666666675</v>
      </c>
      <c r="K50" s="52">
        <v>1.0001666666666633</v>
      </c>
      <c r="L50" s="51">
        <v>0</v>
      </c>
      <c r="M50" s="52">
        <v>0.15699999999999992</v>
      </c>
      <c r="N50" s="51">
        <v>0</v>
      </c>
      <c r="O50" s="52">
        <v>0</v>
      </c>
      <c r="P50" s="51">
        <v>2.8166666666666628E-2</v>
      </c>
      <c r="Q50" s="52">
        <v>67.904499999999999</v>
      </c>
      <c r="R50" s="51">
        <v>0.29700000000000004</v>
      </c>
      <c r="S50" s="52">
        <v>5.639833333333331</v>
      </c>
      <c r="T50" s="51">
        <v>0</v>
      </c>
      <c r="U50" s="52">
        <v>3.1898333333333371</v>
      </c>
      <c r="V50" s="51">
        <v>2.2499999999999964E-2</v>
      </c>
      <c r="W50" s="52">
        <v>2.2999999999999982E-2</v>
      </c>
      <c r="X50" s="51">
        <v>0.55199999999999727</v>
      </c>
      <c r="Y50" s="52">
        <v>4.0500000000000057E-2</v>
      </c>
      <c r="Z50" s="51">
        <v>1.3486666666666711</v>
      </c>
      <c r="AA50" s="52">
        <v>14.43733333333333</v>
      </c>
      <c r="AB50" s="51">
        <v>0</v>
      </c>
      <c r="AC50" s="52">
        <v>0</v>
      </c>
      <c r="AD50" s="51">
        <v>0.64666666666666595</v>
      </c>
      <c r="AE50" s="52">
        <v>0</v>
      </c>
      <c r="AF50" s="51">
        <v>0.31033333333333224</v>
      </c>
      <c r="AG50" s="52">
        <v>41.825000000000003</v>
      </c>
      <c r="AH50" s="51">
        <v>112.94249999999998</v>
      </c>
      <c r="AI50" s="100">
        <v>0</v>
      </c>
      <c r="AJ50" s="238">
        <f t="shared" si="3"/>
        <v>407.29316666666676</v>
      </c>
      <c r="AK50" s="238"/>
      <c r="AL50" s="238"/>
    </row>
    <row r="51" spans="2:38" x14ac:dyDescent="0.3">
      <c r="B51" s="245" t="s">
        <v>73</v>
      </c>
      <c r="C51" s="245"/>
      <c r="D51" s="245"/>
      <c r="E51" s="52">
        <v>19.906500000000005</v>
      </c>
      <c r="F51" s="51">
        <v>10.92683333333332</v>
      </c>
      <c r="G51" s="52">
        <v>1.033333333333341E-2</v>
      </c>
      <c r="H51" s="51">
        <v>87.228333333333353</v>
      </c>
      <c r="I51" s="52">
        <v>153.65249999999997</v>
      </c>
      <c r="J51" s="51">
        <v>59.080999999999975</v>
      </c>
      <c r="K51" s="52">
        <v>0.44783333333333342</v>
      </c>
      <c r="L51" s="51">
        <v>0</v>
      </c>
      <c r="M51" s="52">
        <v>9.9500000000001407E-2</v>
      </c>
      <c r="N51" s="51">
        <v>0</v>
      </c>
      <c r="O51" s="52">
        <v>0</v>
      </c>
      <c r="P51" s="51">
        <v>35.331166666666661</v>
      </c>
      <c r="Q51" s="52">
        <v>99.127833333333342</v>
      </c>
      <c r="R51" s="51">
        <v>11.454666666666666</v>
      </c>
      <c r="S51" s="52">
        <v>16.689666666666668</v>
      </c>
      <c r="T51" s="51">
        <v>142.95400000000004</v>
      </c>
      <c r="U51" s="52">
        <v>87.255999999999972</v>
      </c>
      <c r="V51" s="51">
        <v>331.98083333333335</v>
      </c>
      <c r="W51" s="52">
        <v>4.5854999999999961</v>
      </c>
      <c r="X51" s="51">
        <v>38.773666666666671</v>
      </c>
      <c r="Y51" s="52">
        <v>63.108999999999995</v>
      </c>
      <c r="Z51" s="51">
        <v>24.288166666666683</v>
      </c>
      <c r="AA51" s="52">
        <v>341.69600000000003</v>
      </c>
      <c r="AB51" s="51">
        <v>0</v>
      </c>
      <c r="AC51" s="52">
        <v>0</v>
      </c>
      <c r="AD51" s="51">
        <v>191.03516666666673</v>
      </c>
      <c r="AE51" s="52">
        <v>51.989833333333337</v>
      </c>
      <c r="AF51" s="51">
        <v>102.88233333333335</v>
      </c>
      <c r="AG51" s="52">
        <v>0</v>
      </c>
      <c r="AH51" s="51">
        <v>1221.8083333333334</v>
      </c>
      <c r="AI51" s="100">
        <v>0</v>
      </c>
      <c r="AJ51" s="238">
        <f t="shared" si="3"/>
        <v>3096.3150000000001</v>
      </c>
      <c r="AK51" s="238"/>
      <c r="AL51" s="238"/>
    </row>
    <row r="52" spans="2:38" x14ac:dyDescent="0.3">
      <c r="B52" s="245" t="s">
        <v>74</v>
      </c>
      <c r="C52" s="245"/>
      <c r="D52" s="245"/>
      <c r="E52" s="52">
        <v>69.273666666666657</v>
      </c>
      <c r="F52" s="51">
        <v>52.768166666666659</v>
      </c>
      <c r="G52" s="52">
        <v>1.1346666666666665</v>
      </c>
      <c r="H52" s="51">
        <v>30.534833333333339</v>
      </c>
      <c r="I52" s="52">
        <v>30.427999999999983</v>
      </c>
      <c r="J52" s="51">
        <v>10.378666666666669</v>
      </c>
      <c r="K52" s="52">
        <v>1.7933333333333332</v>
      </c>
      <c r="L52" s="51">
        <v>0</v>
      </c>
      <c r="M52" s="52">
        <v>2.8631666666666664</v>
      </c>
      <c r="N52" s="51">
        <v>0</v>
      </c>
      <c r="O52" s="52">
        <v>1.9848333333333334</v>
      </c>
      <c r="P52" s="51">
        <v>8.5583333333333336</v>
      </c>
      <c r="Q52" s="52">
        <v>30.608500000000003</v>
      </c>
      <c r="R52" s="51">
        <v>4.3729999999999993</v>
      </c>
      <c r="S52" s="52">
        <v>8.9555000000000007</v>
      </c>
      <c r="T52" s="51">
        <v>25.357166666666668</v>
      </c>
      <c r="U52" s="52">
        <v>6.3176666666666659</v>
      </c>
      <c r="V52" s="51">
        <v>3.991166666666667</v>
      </c>
      <c r="W52" s="52">
        <v>5.3193333333333328</v>
      </c>
      <c r="X52" s="51">
        <v>9.3016666666666676</v>
      </c>
      <c r="Y52" s="52">
        <v>3.3351666666666668</v>
      </c>
      <c r="Z52" s="51">
        <v>17.164333333333339</v>
      </c>
      <c r="AA52" s="52">
        <v>123.72916666666666</v>
      </c>
      <c r="AB52" s="51">
        <v>0</v>
      </c>
      <c r="AC52" s="52">
        <v>0</v>
      </c>
      <c r="AD52" s="51">
        <v>4.246999999999999</v>
      </c>
      <c r="AE52" s="52">
        <v>6.761333333333333</v>
      </c>
      <c r="AF52" s="51">
        <v>11.8</v>
      </c>
      <c r="AG52" s="52">
        <v>31.427333333333319</v>
      </c>
      <c r="AH52" s="51">
        <v>80.77600000000001</v>
      </c>
      <c r="AI52" s="100">
        <v>0</v>
      </c>
      <c r="AJ52" s="238">
        <f t="shared" si="3"/>
        <v>583.18200000000002</v>
      </c>
      <c r="AK52" s="238"/>
      <c r="AL52" s="238"/>
    </row>
    <row r="53" spans="2:38" x14ac:dyDescent="0.3">
      <c r="B53" s="245" t="s">
        <v>75</v>
      </c>
      <c r="C53" s="245"/>
      <c r="D53" s="245"/>
      <c r="E53" s="52">
        <v>507.96216666666663</v>
      </c>
      <c r="F53" s="51">
        <v>164.05400000000009</v>
      </c>
      <c r="G53" s="52">
        <v>4.4258333333333342</v>
      </c>
      <c r="H53" s="51">
        <v>164.19516666666664</v>
      </c>
      <c r="I53" s="52">
        <v>154.44650000000001</v>
      </c>
      <c r="J53" s="51">
        <v>18.909666666666659</v>
      </c>
      <c r="K53" s="52">
        <v>6.6085000000000012</v>
      </c>
      <c r="L53" s="51">
        <v>0</v>
      </c>
      <c r="M53" s="52">
        <v>0</v>
      </c>
      <c r="N53" s="51">
        <v>0</v>
      </c>
      <c r="O53" s="52">
        <v>1.0823333333333347</v>
      </c>
      <c r="P53" s="51">
        <v>5.3013333333333374</v>
      </c>
      <c r="Q53" s="52">
        <v>14.861666666666677</v>
      </c>
      <c r="R53" s="51">
        <v>0</v>
      </c>
      <c r="S53" s="52">
        <v>4.5499999999999832E-2</v>
      </c>
      <c r="T53" s="51">
        <v>37.826500000000003</v>
      </c>
      <c r="U53" s="52">
        <v>48.516999999999989</v>
      </c>
      <c r="V53" s="51">
        <v>13.226833333333328</v>
      </c>
      <c r="W53" s="52">
        <v>14.719999999999997</v>
      </c>
      <c r="X53" s="51">
        <v>33.319833333333335</v>
      </c>
      <c r="Y53" s="52">
        <v>7.0435000000000025</v>
      </c>
      <c r="Z53" s="51">
        <v>5.3048333333333249</v>
      </c>
      <c r="AA53" s="52">
        <v>36.378166666666644</v>
      </c>
      <c r="AB53" s="51">
        <v>0</v>
      </c>
      <c r="AC53" s="52">
        <v>0</v>
      </c>
      <c r="AD53" s="51">
        <v>6.0311666666666595</v>
      </c>
      <c r="AE53" s="52">
        <v>3.1929999999999974</v>
      </c>
      <c r="AF53" s="51">
        <v>41.511333333333305</v>
      </c>
      <c r="AG53" s="52">
        <v>32.210166666666652</v>
      </c>
      <c r="AH53" s="51">
        <v>276.21299999999997</v>
      </c>
      <c r="AI53" s="100">
        <v>0</v>
      </c>
      <c r="AJ53" s="238">
        <f t="shared" si="3"/>
        <v>1597.3880000000001</v>
      </c>
      <c r="AK53" s="238"/>
      <c r="AL53" s="238"/>
    </row>
    <row r="54" spans="2:38" x14ac:dyDescent="0.3">
      <c r="B54" s="245" t="s">
        <v>76</v>
      </c>
      <c r="C54" s="245"/>
      <c r="D54" s="245"/>
      <c r="E54" s="52">
        <v>0</v>
      </c>
      <c r="F54" s="51">
        <v>246.19833333333327</v>
      </c>
      <c r="G54" s="52">
        <v>21.327999999999989</v>
      </c>
      <c r="H54" s="51">
        <v>0</v>
      </c>
      <c r="I54" s="52">
        <v>0</v>
      </c>
      <c r="J54" s="51">
        <v>0</v>
      </c>
      <c r="K54" s="52">
        <v>0</v>
      </c>
      <c r="L54" s="51">
        <v>0</v>
      </c>
      <c r="M54" s="52">
        <v>0</v>
      </c>
      <c r="N54" s="51">
        <v>0</v>
      </c>
      <c r="O54" s="52">
        <v>0</v>
      </c>
      <c r="P54" s="51">
        <v>0</v>
      </c>
      <c r="Q54" s="52">
        <v>0</v>
      </c>
      <c r="R54" s="51">
        <v>0</v>
      </c>
      <c r="S54" s="52">
        <v>0</v>
      </c>
      <c r="T54" s="51">
        <v>25.154500000000009</v>
      </c>
      <c r="U54" s="52">
        <v>0.2505000000000005</v>
      </c>
      <c r="V54" s="51">
        <v>0</v>
      </c>
      <c r="W54" s="52">
        <v>0</v>
      </c>
      <c r="X54" s="51">
        <v>0</v>
      </c>
      <c r="Y54" s="52">
        <v>0</v>
      </c>
      <c r="Z54" s="51">
        <v>6.2106666666666674</v>
      </c>
      <c r="AA54" s="52">
        <v>9.7776666666666703</v>
      </c>
      <c r="AB54" s="51">
        <v>0</v>
      </c>
      <c r="AC54" s="52">
        <v>0</v>
      </c>
      <c r="AD54" s="51">
        <v>0.79666666666666519</v>
      </c>
      <c r="AE54" s="52">
        <v>0</v>
      </c>
      <c r="AF54" s="51">
        <v>0</v>
      </c>
      <c r="AG54" s="52">
        <v>0</v>
      </c>
      <c r="AH54" s="51">
        <v>66.326333333333352</v>
      </c>
      <c r="AI54" s="100">
        <v>0</v>
      </c>
      <c r="AJ54" s="238">
        <f>SUM(E54:AI54)</f>
        <v>376.04266666666661</v>
      </c>
      <c r="AK54" s="238"/>
      <c r="AL54" s="238"/>
    </row>
    <row r="55" spans="2:38" x14ac:dyDescent="0.3">
      <c r="B55" s="245" t="s">
        <v>77</v>
      </c>
      <c r="C55" s="245"/>
      <c r="D55" s="245"/>
      <c r="E55" s="52">
        <v>110.85266666666664</v>
      </c>
      <c r="F55" s="51">
        <v>90.645333333333326</v>
      </c>
      <c r="G55" s="52">
        <v>0.32200000000000056</v>
      </c>
      <c r="H55" s="51">
        <v>56.825833333333335</v>
      </c>
      <c r="I55" s="52">
        <v>74.894666666666652</v>
      </c>
      <c r="J55" s="51">
        <v>34.086500000000001</v>
      </c>
      <c r="K55" s="52">
        <v>1.720999999999997</v>
      </c>
      <c r="L55" s="51">
        <v>0</v>
      </c>
      <c r="M55" s="52">
        <v>0.14250000000000065</v>
      </c>
      <c r="N55" s="51">
        <v>0</v>
      </c>
      <c r="O55" s="52">
        <v>9.2386666666666635</v>
      </c>
      <c r="P55" s="51">
        <v>16.123333333333335</v>
      </c>
      <c r="Q55" s="52">
        <v>9.2834999999999877</v>
      </c>
      <c r="R55" s="51">
        <v>1.1279999999999948</v>
      </c>
      <c r="S55" s="52">
        <v>0</v>
      </c>
      <c r="T55" s="51">
        <v>4.4418333333333306</v>
      </c>
      <c r="U55" s="52">
        <v>16.668666666666667</v>
      </c>
      <c r="V55" s="51">
        <v>30.667833333333327</v>
      </c>
      <c r="W55" s="52">
        <v>4.5531666666666695</v>
      </c>
      <c r="X55" s="51">
        <v>28.778333333333311</v>
      </c>
      <c r="Y55" s="52">
        <v>18.047666666666661</v>
      </c>
      <c r="Z55" s="51">
        <v>43.741833333333339</v>
      </c>
      <c r="AA55" s="52">
        <v>20.774166666666648</v>
      </c>
      <c r="AB55" s="51">
        <v>0</v>
      </c>
      <c r="AC55" s="52">
        <v>0</v>
      </c>
      <c r="AD55" s="51">
        <v>5.0929999999999946</v>
      </c>
      <c r="AE55" s="52">
        <v>7.2693333333333223</v>
      </c>
      <c r="AF55" s="51">
        <v>27.423166666666667</v>
      </c>
      <c r="AG55" s="52">
        <v>25.218833333333329</v>
      </c>
      <c r="AH55" s="51">
        <v>111.23249999999999</v>
      </c>
      <c r="AI55" s="100">
        <v>0</v>
      </c>
      <c r="AJ55" s="238">
        <f t="shared" si="3"/>
        <v>749.17433333333315</v>
      </c>
      <c r="AK55" s="238"/>
      <c r="AL55" s="238"/>
    </row>
    <row r="56" spans="2:38" x14ac:dyDescent="0.3">
      <c r="B56" s="245" t="s">
        <v>78</v>
      </c>
      <c r="C56" s="245"/>
      <c r="D56" s="245"/>
      <c r="E56" s="52">
        <v>0</v>
      </c>
      <c r="F56" s="51">
        <v>0</v>
      </c>
      <c r="G56" s="52">
        <v>1.9098333333333328</v>
      </c>
      <c r="H56" s="51">
        <v>29.001833333333327</v>
      </c>
      <c r="I56" s="52">
        <v>0</v>
      </c>
      <c r="J56" s="51">
        <v>45.299333333333301</v>
      </c>
      <c r="K56" s="52">
        <v>1.3136666666666661</v>
      </c>
      <c r="L56" s="51">
        <v>0</v>
      </c>
      <c r="M56" s="52">
        <v>0.71316666666666639</v>
      </c>
      <c r="N56" s="51">
        <v>0</v>
      </c>
      <c r="O56" s="52">
        <v>11.743333333333318</v>
      </c>
      <c r="P56" s="51">
        <v>0</v>
      </c>
      <c r="Q56" s="52">
        <v>5.2900000000000045</v>
      </c>
      <c r="R56" s="51">
        <v>15.823666666666654</v>
      </c>
      <c r="S56" s="52">
        <v>0</v>
      </c>
      <c r="T56" s="51">
        <v>0</v>
      </c>
      <c r="U56" s="52">
        <v>28.346500000000013</v>
      </c>
      <c r="V56" s="51">
        <v>12.502499999999987</v>
      </c>
      <c r="W56" s="52">
        <v>29.60199999999999</v>
      </c>
      <c r="X56" s="51">
        <v>0</v>
      </c>
      <c r="Y56" s="52">
        <v>39.934999999999988</v>
      </c>
      <c r="Z56" s="51">
        <v>84.254666666666651</v>
      </c>
      <c r="AA56" s="52">
        <v>0</v>
      </c>
      <c r="AB56" s="51">
        <v>0</v>
      </c>
      <c r="AC56" s="52">
        <v>0</v>
      </c>
      <c r="AD56" s="51">
        <v>6.9076666666666586</v>
      </c>
      <c r="AE56" s="52">
        <v>4.7900000000000009</v>
      </c>
      <c r="AF56" s="51">
        <v>16.384499999999996</v>
      </c>
      <c r="AG56" s="52">
        <v>0</v>
      </c>
      <c r="AH56" s="51">
        <v>0</v>
      </c>
      <c r="AI56" s="100">
        <v>0</v>
      </c>
      <c r="AJ56" s="238">
        <f t="shared" si="3"/>
        <v>333.81766666666664</v>
      </c>
      <c r="AK56" s="238"/>
      <c r="AL56" s="238"/>
    </row>
    <row r="57" spans="2:38" x14ac:dyDescent="0.3">
      <c r="B57" s="245" t="s">
        <v>79</v>
      </c>
      <c r="C57" s="245"/>
      <c r="D57" s="245"/>
      <c r="E57" s="52">
        <v>194.49133333333336</v>
      </c>
      <c r="F57" s="51">
        <v>25.112333333333339</v>
      </c>
      <c r="G57" s="52">
        <v>0</v>
      </c>
      <c r="H57" s="51">
        <v>0</v>
      </c>
      <c r="I57" s="52">
        <v>0</v>
      </c>
      <c r="J57" s="51">
        <v>0</v>
      </c>
      <c r="K57" s="52">
        <v>0</v>
      </c>
      <c r="L57" s="51">
        <v>0</v>
      </c>
      <c r="M57" s="52">
        <v>15.049333333333333</v>
      </c>
      <c r="N57" s="51">
        <v>0</v>
      </c>
      <c r="O57" s="52">
        <v>0</v>
      </c>
      <c r="P57" s="51">
        <v>0</v>
      </c>
      <c r="Q57" s="52">
        <v>0</v>
      </c>
      <c r="R57" s="51">
        <v>0</v>
      </c>
      <c r="S57" s="52">
        <v>12.30916666666667</v>
      </c>
      <c r="T57" s="51">
        <v>67.06583333333333</v>
      </c>
      <c r="U57" s="52">
        <v>18.949000000000005</v>
      </c>
      <c r="V57" s="51">
        <v>22.352</v>
      </c>
      <c r="W57" s="52">
        <v>47.638500000000001</v>
      </c>
      <c r="X57" s="51">
        <v>153.54083333333335</v>
      </c>
      <c r="Y57" s="52">
        <v>0</v>
      </c>
      <c r="Z57" s="51">
        <v>0</v>
      </c>
      <c r="AA57" s="52">
        <v>0</v>
      </c>
      <c r="AB57" s="51">
        <v>0</v>
      </c>
      <c r="AC57" s="52">
        <v>0</v>
      </c>
      <c r="AD57" s="51">
        <v>5.7743333333333329</v>
      </c>
      <c r="AE57" s="52">
        <v>0</v>
      </c>
      <c r="AF57" s="51">
        <v>51.333166666666678</v>
      </c>
      <c r="AG57" s="52">
        <v>102.38066666666667</v>
      </c>
      <c r="AH57" s="51">
        <v>290.29466666666673</v>
      </c>
      <c r="AI57" s="100">
        <v>0</v>
      </c>
      <c r="AJ57" s="238">
        <f>SUM(E57:AI57)</f>
        <v>1006.2911666666669</v>
      </c>
      <c r="AK57" s="238"/>
      <c r="AL57" s="238"/>
    </row>
    <row r="58" spans="2:38" x14ac:dyDescent="0.3">
      <c r="B58" s="245" t="s">
        <v>80</v>
      </c>
      <c r="C58" s="245"/>
      <c r="D58" s="245"/>
      <c r="E58" s="52">
        <v>190.30550000000005</v>
      </c>
      <c r="F58" s="51">
        <v>155.30350000000001</v>
      </c>
      <c r="G58" s="52">
        <v>0</v>
      </c>
      <c r="H58" s="51">
        <v>0</v>
      </c>
      <c r="I58" s="52">
        <v>0</v>
      </c>
      <c r="J58" s="51">
        <v>0</v>
      </c>
      <c r="K58" s="52">
        <v>0</v>
      </c>
      <c r="L58" s="51">
        <v>0</v>
      </c>
      <c r="M58" s="52">
        <v>0</v>
      </c>
      <c r="N58" s="51">
        <v>0</v>
      </c>
      <c r="O58" s="52">
        <v>0</v>
      </c>
      <c r="P58" s="51">
        <v>0</v>
      </c>
      <c r="Q58" s="52">
        <v>0</v>
      </c>
      <c r="R58" s="51">
        <v>0</v>
      </c>
      <c r="S58" s="52">
        <v>0.66733333333333245</v>
      </c>
      <c r="T58" s="51">
        <v>66.902500000000003</v>
      </c>
      <c r="U58" s="52">
        <v>56.792500000000004</v>
      </c>
      <c r="V58" s="51">
        <v>43.80333333333332</v>
      </c>
      <c r="W58" s="52">
        <v>0.57950000000000135</v>
      </c>
      <c r="X58" s="51">
        <v>33.585833333333355</v>
      </c>
      <c r="Y58" s="52">
        <v>0</v>
      </c>
      <c r="Z58" s="51">
        <v>0</v>
      </c>
      <c r="AA58" s="52">
        <v>0</v>
      </c>
      <c r="AB58" s="51">
        <v>0</v>
      </c>
      <c r="AC58" s="52">
        <v>0</v>
      </c>
      <c r="AD58" s="51">
        <v>0.43599999999999944</v>
      </c>
      <c r="AE58" s="52">
        <v>0</v>
      </c>
      <c r="AF58" s="51">
        <v>6.6321666666666506</v>
      </c>
      <c r="AG58" s="52">
        <v>49.640833333333298</v>
      </c>
      <c r="AH58" s="51">
        <v>128.13400000000001</v>
      </c>
      <c r="AI58" s="100">
        <v>0</v>
      </c>
      <c r="AJ58" s="238">
        <f>SUM(E58:AI58)</f>
        <v>732.78300000000002</v>
      </c>
      <c r="AK58" s="238"/>
      <c r="AL58" s="238"/>
    </row>
    <row r="59" spans="2:38" x14ac:dyDescent="0.3">
      <c r="B59" s="245" t="s">
        <v>93</v>
      </c>
      <c r="C59" s="245"/>
      <c r="D59" s="245"/>
      <c r="E59" s="52">
        <v>22.561000000000011</v>
      </c>
      <c r="F59" s="51">
        <v>22.545666666666662</v>
      </c>
      <c r="G59" s="52">
        <v>21.310833333333338</v>
      </c>
      <c r="H59" s="51">
        <v>24.752666666666691</v>
      </c>
      <c r="I59" s="52">
        <v>23.336000000000016</v>
      </c>
      <c r="J59" s="51">
        <v>15.970166666666662</v>
      </c>
      <c r="K59" s="52">
        <v>14.12533333333332</v>
      </c>
      <c r="L59" s="51">
        <v>4.8315000000000001</v>
      </c>
      <c r="M59" s="52">
        <v>0.14599999999999999</v>
      </c>
      <c r="N59" s="51">
        <v>1.3981666666666659</v>
      </c>
      <c r="O59" s="52">
        <v>1.2089999999999992</v>
      </c>
      <c r="P59" s="51">
        <v>8.153499999999994</v>
      </c>
      <c r="Q59" s="52">
        <v>10.282499999999999</v>
      </c>
      <c r="R59" s="51">
        <v>6.878166666666667</v>
      </c>
      <c r="S59" s="52">
        <v>4.6914999999999987</v>
      </c>
      <c r="T59" s="51">
        <v>0.39033333333333303</v>
      </c>
      <c r="U59" s="52">
        <v>6.2221666666666664</v>
      </c>
      <c r="V59" s="51">
        <v>6.6408333333333376</v>
      </c>
      <c r="W59" s="52">
        <v>8.0444999999999958</v>
      </c>
      <c r="X59" s="51">
        <v>8.9000000000000024E-2</v>
      </c>
      <c r="Y59" s="52">
        <v>2.8138333333333359</v>
      </c>
      <c r="Z59" s="51">
        <v>14.228499999999997</v>
      </c>
      <c r="AA59" s="52">
        <v>1.4015000000000004</v>
      </c>
      <c r="AB59" s="51">
        <v>0.86566666666666559</v>
      </c>
      <c r="AC59" s="52">
        <v>2.6078333333333337</v>
      </c>
      <c r="AD59" s="51">
        <v>12.402333333333337</v>
      </c>
      <c r="AE59" s="52">
        <v>4.4113333333333333</v>
      </c>
      <c r="AF59" s="51">
        <v>4.4925000000000015</v>
      </c>
      <c r="AG59" s="52">
        <v>5.4521666666666704</v>
      </c>
      <c r="AH59" s="51">
        <v>16.165166666666675</v>
      </c>
      <c r="AI59" s="100">
        <v>0</v>
      </c>
      <c r="AJ59" s="238">
        <f t="shared" si="3"/>
        <v>268.41966666666667</v>
      </c>
      <c r="AK59" s="238"/>
      <c r="AL59" s="238"/>
    </row>
  </sheetData>
  <mergeCells count="101">
    <mergeCell ref="B57:D57"/>
    <mergeCell ref="AJ57:AL57"/>
    <mergeCell ref="B58:D58"/>
    <mergeCell ref="AJ58:AL58"/>
    <mergeCell ref="B59:D59"/>
    <mergeCell ref="AJ59:AL59"/>
    <mergeCell ref="B54:D54"/>
    <mergeCell ref="AJ54:AL54"/>
    <mergeCell ref="B55:D55"/>
    <mergeCell ref="AJ55:AL55"/>
    <mergeCell ref="B56:D56"/>
    <mergeCell ref="AJ56:AL56"/>
    <mergeCell ref="B51:D51"/>
    <mergeCell ref="AJ51:AL51"/>
    <mergeCell ref="B52:D52"/>
    <mergeCell ref="AJ52:AL52"/>
    <mergeCell ref="B53:D53"/>
    <mergeCell ref="AJ53:AL53"/>
    <mergeCell ref="B48:D48"/>
    <mergeCell ref="AJ48:AL48"/>
    <mergeCell ref="B49:D49"/>
    <mergeCell ref="AJ49:AL49"/>
    <mergeCell ref="B50:D50"/>
    <mergeCell ref="AJ50:AL50"/>
    <mergeCell ref="B45:D45"/>
    <mergeCell ref="B46:D46"/>
    <mergeCell ref="AJ46:AL46"/>
    <mergeCell ref="B47:D47"/>
    <mergeCell ref="AJ47:AL47"/>
    <mergeCell ref="B40:D40"/>
    <mergeCell ref="B41:D41"/>
    <mergeCell ref="B42:D42"/>
    <mergeCell ref="B43:D43"/>
    <mergeCell ref="B44:D44"/>
    <mergeCell ref="AJ44:AL44"/>
    <mergeCell ref="AJ45:AL45"/>
    <mergeCell ref="B35:D35"/>
    <mergeCell ref="B36:D36"/>
    <mergeCell ref="B37:D37"/>
    <mergeCell ref="B38:D38"/>
    <mergeCell ref="B39:D39"/>
    <mergeCell ref="B30:D30"/>
    <mergeCell ref="B31:D31"/>
    <mergeCell ref="B32:D32"/>
    <mergeCell ref="B33:D33"/>
    <mergeCell ref="B34:D34"/>
    <mergeCell ref="B25:D25"/>
    <mergeCell ref="B26:D26"/>
    <mergeCell ref="B27:D27"/>
    <mergeCell ref="B28:D28"/>
    <mergeCell ref="B29:D29"/>
    <mergeCell ref="B20:D20"/>
    <mergeCell ref="B21:D21"/>
    <mergeCell ref="B22:D22"/>
    <mergeCell ref="B23:D23"/>
    <mergeCell ref="B24:D24"/>
    <mergeCell ref="B15:D15"/>
    <mergeCell ref="B16:D16"/>
    <mergeCell ref="B17:D17"/>
    <mergeCell ref="B18:D18"/>
    <mergeCell ref="B19:D19"/>
    <mergeCell ref="B10:D10"/>
    <mergeCell ref="B11:D11"/>
    <mergeCell ref="B12:D12"/>
    <mergeCell ref="B13:D13"/>
    <mergeCell ref="B14:D14"/>
    <mergeCell ref="AJ38:AL38"/>
    <mergeCell ref="AJ39:AL39"/>
    <mergeCell ref="AJ40:AL40"/>
    <mergeCell ref="AJ41:AL41"/>
    <mergeCell ref="AJ42:AL42"/>
    <mergeCell ref="AJ43:AL43"/>
    <mergeCell ref="AJ37:AL37"/>
    <mergeCell ref="AJ26:AL26"/>
    <mergeCell ref="AJ27:AL27"/>
    <mergeCell ref="AJ28:AL28"/>
    <mergeCell ref="AJ29:AL29"/>
    <mergeCell ref="AJ30:AL30"/>
    <mergeCell ref="AJ31:AL31"/>
    <mergeCell ref="AJ32:AL32"/>
    <mergeCell ref="AJ33:AL33"/>
    <mergeCell ref="AJ34:AL34"/>
    <mergeCell ref="AJ35:AL35"/>
    <mergeCell ref="AJ36:AL36"/>
    <mergeCell ref="AJ9:AL9"/>
    <mergeCell ref="AJ10:AL10"/>
    <mergeCell ref="AJ11:AL11"/>
    <mergeCell ref="AJ12:AL12"/>
    <mergeCell ref="AJ13:AL13"/>
    <mergeCell ref="AJ25:AL25"/>
    <mergeCell ref="AJ14:AL14"/>
    <mergeCell ref="AJ15:AL15"/>
    <mergeCell ref="AJ16:AL16"/>
    <mergeCell ref="AJ17:AL17"/>
    <mergeCell ref="AJ18:AL18"/>
    <mergeCell ref="AJ19:AL19"/>
    <mergeCell ref="AJ20:AL20"/>
    <mergeCell ref="AJ21:AL21"/>
    <mergeCell ref="AJ22:AL22"/>
    <mergeCell ref="AJ23:AL23"/>
    <mergeCell ref="AJ24:AL24"/>
  </mergeCells>
  <pageMargins left="0.7" right="0.7" top="0.75" bottom="0.75" header="0.3" footer="0.3"/>
  <pageSetup scale="1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Resumen-Mensual</vt:lpstr>
      <vt:lpstr>Resumen-DiarioHorario-Eólico</vt:lpstr>
      <vt:lpstr>Resumen-DiarioHorario-Solar</vt:lpstr>
      <vt:lpstr>Acumulado-Anual-Eólico</vt:lpstr>
      <vt:lpstr>Acumulado-Anual-Solar</vt:lpstr>
      <vt:lpstr>'Acumulado-Anual-Eólico'!Área_de_impresión</vt:lpstr>
      <vt:lpstr>'Acumulado-Anual-Solar'!Área_de_impresión</vt:lpstr>
      <vt:lpstr>'Resumen-DiarioHorario-Eólico'!Área_de_impresión</vt:lpstr>
      <vt:lpstr>'Resumen-DiarioHorario-Solar'!Área_de_impresión</vt:lpstr>
      <vt:lpstr>'Resumen-Mensual'!Área_de_impresión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despacho</dc:creator>
  <cp:lastModifiedBy>Despacho</cp:lastModifiedBy>
  <cp:lastPrinted>2020-01-24T04:58:06Z</cp:lastPrinted>
  <dcterms:created xsi:type="dcterms:W3CDTF">2016-05-03T12:39:59Z</dcterms:created>
  <dcterms:modified xsi:type="dcterms:W3CDTF">2022-05-15T04:34:29Z</dcterms:modified>
</cp:coreProperties>
</file>